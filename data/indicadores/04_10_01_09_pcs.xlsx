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C7BC11BB-CD51-4358-BC3D-1DB96E447E1E}" xr6:coauthVersionLast="47" xr6:coauthVersionMax="47" xr10:uidLastSave="{00000000-0000-0000-0000-000000000000}"/>
  <bookViews>
    <workbookView xWindow="-108" yWindow="-108" windowWidth="23256" windowHeight="12456" activeTab="5" xr2:uid="{1F0CCE29-C528-4204-AA1E-F32404105712}"/>
  </bookViews>
  <sheets>
    <sheet name="Datos procesados" sheetId="7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12" i="7" l="1"/>
  <c r="BB12" i="7"/>
  <c r="BA12" i="7"/>
  <c r="AX12" i="7"/>
  <c r="AY12" i="7"/>
  <c r="AZ12" i="7"/>
  <c r="AV12" i="7"/>
  <c r="AW12" i="7"/>
  <c r="AS12" i="7"/>
  <c r="AT12" i="7"/>
  <c r="AU12" i="7"/>
  <c r="AR12" i="7"/>
  <c r="AQ12" i="7"/>
  <c r="AP12" i="7"/>
  <c r="AO12" i="7"/>
  <c r="AN12" i="7"/>
  <c r="AL12" i="7"/>
  <c r="AM12" i="7"/>
  <c r="AK12" i="7"/>
  <c r="AI12" i="7"/>
  <c r="AJ12" i="7"/>
  <c r="AH12" i="7"/>
  <c r="AC3" i="7"/>
  <c r="AD3" i="7"/>
  <c r="AC4" i="7"/>
  <c r="AD4" i="7"/>
  <c r="AC5" i="7"/>
  <c r="AD5" i="7"/>
  <c r="AC6" i="7"/>
  <c r="AD6" i="7"/>
  <c r="AC7" i="7"/>
  <c r="AD7" i="7"/>
  <c r="AC8" i="7"/>
  <c r="AD8" i="7"/>
  <c r="AC9" i="7"/>
  <c r="AD9" i="7"/>
  <c r="AC10" i="7"/>
  <c r="AD10" i="7"/>
  <c r="AC11" i="7"/>
  <c r="AD11" i="7"/>
  <c r="AC12" i="7"/>
  <c r="AD12" i="7"/>
  <c r="AC13" i="7"/>
  <c r="AD13" i="7"/>
  <c r="AC14" i="7"/>
  <c r="AD14" i="7"/>
  <c r="AC15" i="7"/>
  <c r="AD15" i="7"/>
  <c r="AC16" i="7"/>
  <c r="AD16" i="7"/>
  <c r="AC17" i="7"/>
  <c r="AD17" i="7"/>
  <c r="AC18" i="7"/>
  <c r="AD18" i="7"/>
  <c r="AC19" i="7"/>
  <c r="AD19" i="7"/>
  <c r="AC20" i="7"/>
  <c r="AD20" i="7"/>
  <c r="AC21" i="7"/>
  <c r="AD21" i="7"/>
  <c r="AC22" i="7"/>
  <c r="AD22" i="7"/>
  <c r="AC23" i="7"/>
  <c r="AD23" i="7"/>
  <c r="AC24" i="7"/>
  <c r="AD24" i="7"/>
  <c r="AC25" i="7"/>
  <c r="AD25" i="7"/>
  <c r="AC26" i="7"/>
  <c r="AD26" i="7"/>
  <c r="AC27" i="7"/>
  <c r="AD27" i="7"/>
  <c r="AC28" i="7"/>
  <c r="AD28" i="7"/>
  <c r="AC29" i="7"/>
  <c r="AD29" i="7"/>
  <c r="AC30" i="7"/>
  <c r="AD30" i="7"/>
  <c r="AC31" i="7"/>
  <c r="AD31" i="7"/>
  <c r="AC32" i="7"/>
  <c r="AD32" i="7"/>
  <c r="AC33" i="7"/>
  <c r="AD33" i="7"/>
  <c r="AC34" i="7"/>
  <c r="AD34" i="7"/>
  <c r="AC35" i="7"/>
  <c r="AD35" i="7"/>
  <c r="AC36" i="7"/>
  <c r="AD36" i="7"/>
  <c r="AC37" i="7"/>
  <c r="AD37" i="7"/>
  <c r="AC38" i="7"/>
  <c r="AD38" i="7"/>
  <c r="AC39" i="7"/>
  <c r="AD39" i="7"/>
  <c r="AC40" i="7"/>
  <c r="AD40" i="7"/>
  <c r="AC41" i="7"/>
  <c r="AD41" i="7"/>
  <c r="AC42" i="7"/>
  <c r="AD42" i="7"/>
  <c r="AC43" i="7"/>
  <c r="AD43" i="7"/>
  <c r="AC44" i="7"/>
  <c r="AD44" i="7"/>
  <c r="AC45" i="7"/>
  <c r="AD45" i="7"/>
  <c r="AC46" i="7"/>
  <c r="AD46" i="7"/>
  <c r="AC47" i="7"/>
  <c r="AD47" i="7"/>
  <c r="AC48" i="7"/>
  <c r="AD48" i="7"/>
  <c r="AC49" i="7"/>
  <c r="AD49" i="7"/>
  <c r="AC50" i="7"/>
  <c r="AD50" i="7"/>
  <c r="AC51" i="7"/>
  <c r="AD51" i="7"/>
  <c r="AC52" i="7"/>
  <c r="AD52" i="7"/>
  <c r="AC53" i="7"/>
  <c r="AD53" i="7"/>
  <c r="AC54" i="7"/>
  <c r="AD54" i="7"/>
  <c r="AC55" i="7"/>
  <c r="AD55" i="7"/>
  <c r="AC56" i="7"/>
  <c r="AD56" i="7"/>
  <c r="AC57" i="7"/>
  <c r="AD57" i="7"/>
  <c r="AC58" i="7"/>
  <c r="AD58" i="7"/>
  <c r="AC59" i="7"/>
  <c r="AD59" i="7"/>
  <c r="AC60" i="7"/>
  <c r="AD60" i="7"/>
  <c r="AC61" i="7"/>
  <c r="AD61" i="7"/>
  <c r="AC62" i="7"/>
  <c r="AD62" i="7"/>
  <c r="AC63" i="7"/>
  <c r="AD63" i="7"/>
  <c r="AC64" i="7"/>
  <c r="AD64" i="7"/>
  <c r="AC65" i="7"/>
  <c r="AD65" i="7"/>
  <c r="AC66" i="7"/>
  <c r="AD66" i="7"/>
  <c r="AC67" i="7"/>
  <c r="AD67" i="7"/>
  <c r="AC68" i="7"/>
  <c r="AD68" i="7"/>
  <c r="AC69" i="7"/>
  <c r="AD69" i="7"/>
  <c r="AC70" i="7"/>
  <c r="AD70" i="7"/>
  <c r="AC71" i="7"/>
  <c r="AD71" i="7"/>
  <c r="AC72" i="7"/>
  <c r="AD72" i="7"/>
  <c r="AC73" i="7"/>
  <c r="AD73" i="7"/>
  <c r="AC74" i="7"/>
  <c r="AD74" i="7"/>
  <c r="AC75" i="7"/>
  <c r="AD75" i="7"/>
  <c r="AC76" i="7"/>
  <c r="AD76" i="7"/>
  <c r="AC77" i="7"/>
  <c r="AD77" i="7"/>
  <c r="AC78" i="7"/>
  <c r="AD78" i="7"/>
  <c r="AC79" i="7"/>
  <c r="AD79" i="7"/>
  <c r="AC80" i="7"/>
  <c r="AD80" i="7"/>
  <c r="AC81" i="7"/>
  <c r="AD81" i="7"/>
  <c r="AC82" i="7"/>
  <c r="AD82" i="7"/>
  <c r="AC83" i="7"/>
  <c r="AD83" i="7"/>
  <c r="AC84" i="7"/>
  <c r="AD84" i="7"/>
  <c r="AC85" i="7"/>
  <c r="AD85" i="7"/>
  <c r="AC86" i="7"/>
  <c r="AD86" i="7"/>
  <c r="AC87" i="7"/>
  <c r="AD87" i="7"/>
  <c r="AC88" i="7"/>
  <c r="AD88" i="7"/>
  <c r="AC89" i="7"/>
  <c r="AD89" i="7"/>
  <c r="AC90" i="7"/>
  <c r="AD90" i="7"/>
  <c r="AC91" i="7"/>
  <c r="AD91" i="7"/>
  <c r="AC92" i="7"/>
  <c r="AD92" i="7"/>
  <c r="AC93" i="7"/>
  <c r="AD93" i="7"/>
  <c r="AC94" i="7"/>
  <c r="AD94" i="7"/>
  <c r="AC95" i="7"/>
  <c r="AD95" i="7"/>
  <c r="AC96" i="7"/>
  <c r="AD96" i="7"/>
  <c r="AC97" i="7"/>
  <c r="AD97" i="7"/>
  <c r="AC98" i="7"/>
  <c r="AD98" i="7"/>
  <c r="AC99" i="7"/>
  <c r="AD99" i="7"/>
  <c r="AC100" i="7"/>
  <c r="AD100" i="7"/>
  <c r="AC101" i="7"/>
  <c r="AD101" i="7"/>
  <c r="AC102" i="7"/>
  <c r="AD102" i="7"/>
  <c r="AC103" i="7"/>
  <c r="AD103" i="7"/>
  <c r="AC104" i="7"/>
  <c r="AD104" i="7"/>
  <c r="AC105" i="7"/>
  <c r="AD105" i="7"/>
  <c r="AC106" i="7"/>
  <c r="AD106" i="7"/>
  <c r="AC107" i="7"/>
  <c r="AD107" i="7"/>
  <c r="AC108" i="7"/>
  <c r="AD108" i="7"/>
  <c r="AC109" i="7"/>
  <c r="AD109" i="7"/>
  <c r="AC110" i="7"/>
  <c r="AD110" i="7"/>
  <c r="AC111" i="7"/>
  <c r="AD111" i="7"/>
  <c r="AC112" i="7"/>
  <c r="AD112" i="7"/>
  <c r="AC113" i="7"/>
  <c r="AD113" i="7"/>
  <c r="AC114" i="7"/>
  <c r="AD114" i="7"/>
  <c r="AC115" i="7"/>
  <c r="AD115" i="7"/>
  <c r="AC116" i="7"/>
  <c r="AD116" i="7"/>
  <c r="AC117" i="7"/>
  <c r="AD117" i="7"/>
  <c r="AC118" i="7"/>
  <c r="AD118" i="7"/>
  <c r="AC119" i="7"/>
  <c r="AD119" i="7"/>
  <c r="AC120" i="7"/>
  <c r="AD120" i="7"/>
  <c r="AC121" i="7"/>
  <c r="AD121" i="7"/>
  <c r="AC122" i="7"/>
  <c r="AD122" i="7"/>
  <c r="AC123" i="7"/>
  <c r="AD123" i="7"/>
  <c r="AC124" i="7"/>
  <c r="AD124" i="7"/>
  <c r="AC125" i="7"/>
  <c r="AD125" i="7"/>
  <c r="AC126" i="7"/>
  <c r="AD126" i="7"/>
  <c r="AC127" i="7"/>
  <c r="AD127" i="7"/>
  <c r="AC128" i="7"/>
  <c r="AD128" i="7"/>
  <c r="AC129" i="7"/>
  <c r="AD129" i="7"/>
  <c r="AC130" i="7"/>
  <c r="AD130" i="7"/>
  <c r="AC131" i="7"/>
  <c r="AD131" i="7"/>
  <c r="AC132" i="7"/>
  <c r="AD132" i="7"/>
  <c r="AC133" i="7"/>
  <c r="AD133" i="7"/>
  <c r="AC134" i="7"/>
  <c r="AD134" i="7"/>
  <c r="AC135" i="7"/>
  <c r="AD135" i="7"/>
  <c r="AC136" i="7"/>
  <c r="AD136" i="7"/>
  <c r="AC137" i="7"/>
  <c r="AD137" i="7"/>
  <c r="AC138" i="7"/>
  <c r="AD138" i="7"/>
  <c r="AC139" i="7"/>
  <c r="AD139" i="7"/>
  <c r="AC140" i="7"/>
  <c r="AD140" i="7"/>
  <c r="AC141" i="7"/>
  <c r="AD141" i="7"/>
  <c r="AC142" i="7"/>
  <c r="AD142" i="7"/>
  <c r="AC143" i="7"/>
  <c r="AD143" i="7"/>
  <c r="AC144" i="7"/>
  <c r="AD144" i="7"/>
  <c r="AC145" i="7"/>
  <c r="AD145" i="7"/>
  <c r="AC146" i="7"/>
  <c r="AD146" i="7"/>
  <c r="AC147" i="7"/>
  <c r="AD147" i="7"/>
  <c r="AC148" i="7"/>
  <c r="AD148" i="7"/>
  <c r="AC149" i="7"/>
  <c r="AD149" i="7"/>
  <c r="AC150" i="7"/>
  <c r="AD150" i="7"/>
  <c r="AC151" i="7"/>
  <c r="AD151" i="7"/>
  <c r="AC152" i="7"/>
  <c r="AD152" i="7"/>
  <c r="AC153" i="7"/>
  <c r="AD153" i="7"/>
  <c r="AC154" i="7"/>
  <c r="AD154" i="7"/>
  <c r="AC155" i="7"/>
  <c r="AD155" i="7"/>
  <c r="AC156" i="7"/>
  <c r="AD156" i="7"/>
  <c r="AC157" i="7"/>
  <c r="AD157" i="7"/>
  <c r="AC158" i="7"/>
  <c r="AD158" i="7"/>
  <c r="AC159" i="7"/>
  <c r="AD159" i="7"/>
  <c r="AC160" i="7"/>
  <c r="AD160" i="7"/>
  <c r="AC162" i="7"/>
  <c r="AD162" i="7"/>
  <c r="AC163" i="7"/>
  <c r="AD163" i="7"/>
  <c r="AC164" i="7"/>
  <c r="AD164" i="7"/>
  <c r="AC165" i="7"/>
  <c r="AD165" i="7"/>
  <c r="AC166" i="7"/>
  <c r="AD166" i="7"/>
  <c r="AC167" i="7"/>
  <c r="AD167" i="7"/>
  <c r="AC168" i="7"/>
  <c r="AD168" i="7"/>
  <c r="AC169" i="7"/>
  <c r="AD169" i="7"/>
  <c r="AC170" i="7"/>
  <c r="AD170" i="7"/>
  <c r="AC171" i="7"/>
  <c r="AD171" i="7"/>
  <c r="AC172" i="7"/>
  <c r="AD172" i="7"/>
  <c r="AC173" i="7"/>
  <c r="AD173" i="7"/>
  <c r="AC174" i="7"/>
  <c r="AD174" i="7"/>
  <c r="AC175" i="7"/>
  <c r="AD175" i="7"/>
  <c r="AC176" i="7"/>
  <c r="AD176" i="7"/>
  <c r="AC177" i="7"/>
  <c r="AD177" i="7"/>
  <c r="AC181" i="7"/>
  <c r="AD181" i="7"/>
  <c r="AC182" i="7"/>
  <c r="AD182" i="7"/>
  <c r="AC183" i="7"/>
  <c r="AD183" i="7"/>
  <c r="AC184" i="7"/>
  <c r="AD184" i="7"/>
  <c r="AC185" i="7"/>
  <c r="AD185" i="7"/>
  <c r="AC186" i="7"/>
  <c r="AD186" i="7"/>
  <c r="AC187" i="7"/>
  <c r="AD187" i="7"/>
  <c r="AC188" i="7"/>
  <c r="AD188" i="7"/>
  <c r="AC189" i="7"/>
  <c r="AD189" i="7"/>
  <c r="AC190" i="7"/>
  <c r="AD190" i="7"/>
  <c r="AC191" i="7"/>
  <c r="AD191" i="7"/>
  <c r="AC192" i="7"/>
  <c r="AD192" i="7"/>
  <c r="AC193" i="7"/>
  <c r="AD193" i="7"/>
  <c r="AC194" i="7"/>
  <c r="AD194" i="7"/>
  <c r="AC195" i="7"/>
  <c r="AD195" i="7"/>
  <c r="AC196" i="7"/>
  <c r="AD196" i="7"/>
  <c r="AC197" i="7"/>
  <c r="AD197" i="7"/>
  <c r="AC198" i="7"/>
  <c r="AD198" i="7"/>
  <c r="AC199" i="7"/>
  <c r="AD199" i="7"/>
  <c r="AC200" i="7"/>
  <c r="AD200" i="7"/>
  <c r="AC201" i="7"/>
  <c r="AD201" i="7"/>
  <c r="AC202" i="7"/>
  <c r="AD202" i="7"/>
  <c r="AC203" i="7"/>
  <c r="AD203" i="7"/>
  <c r="AC204" i="7"/>
  <c r="AD204" i="7"/>
  <c r="AC205" i="7"/>
  <c r="AD205" i="7"/>
  <c r="AC206" i="7"/>
  <c r="AD206" i="7"/>
  <c r="AC207" i="7"/>
  <c r="AD207" i="7"/>
  <c r="AC208" i="7"/>
  <c r="AD208" i="7"/>
  <c r="AC209" i="7"/>
  <c r="AD209" i="7"/>
  <c r="AC210" i="7"/>
  <c r="AD210" i="7"/>
  <c r="AC211" i="7"/>
  <c r="AD211" i="7"/>
  <c r="AC212" i="7"/>
  <c r="AD212" i="7"/>
  <c r="AC213" i="7"/>
  <c r="AD213" i="7"/>
  <c r="AC214" i="7"/>
  <c r="AD214" i="7"/>
  <c r="AC215" i="7"/>
  <c r="AD215" i="7"/>
  <c r="AC216" i="7"/>
  <c r="AD216" i="7"/>
  <c r="AC217" i="7"/>
  <c r="AD217" i="7"/>
  <c r="AC218" i="7"/>
  <c r="AD218" i="7"/>
  <c r="AC219" i="7"/>
  <c r="AD219" i="7"/>
  <c r="AC220" i="7"/>
  <c r="AD220" i="7"/>
  <c r="AC221" i="7"/>
  <c r="AD221" i="7"/>
  <c r="AC222" i="7"/>
  <c r="AD222" i="7"/>
  <c r="AC223" i="7"/>
  <c r="AD223" i="7"/>
  <c r="AC224" i="7"/>
  <c r="AD224" i="7"/>
  <c r="AC225" i="7"/>
  <c r="AD225" i="7"/>
  <c r="AC226" i="7"/>
  <c r="AD226" i="7"/>
  <c r="AC227" i="7"/>
  <c r="AD227" i="7"/>
  <c r="AC228" i="7"/>
  <c r="AD228" i="7"/>
  <c r="AC229" i="7"/>
  <c r="AD229" i="7"/>
  <c r="AC230" i="7"/>
  <c r="AD230" i="7"/>
  <c r="AC231" i="7"/>
  <c r="AD231" i="7"/>
  <c r="AC232" i="7"/>
  <c r="AD232" i="7"/>
  <c r="AC233" i="7"/>
  <c r="AD233" i="7"/>
  <c r="AC234" i="7"/>
  <c r="AD234" i="7"/>
  <c r="AC235" i="7"/>
  <c r="AD235" i="7"/>
  <c r="AC236" i="7"/>
  <c r="AD236" i="7"/>
  <c r="AC237" i="7"/>
  <c r="AD237" i="7"/>
  <c r="AC238" i="7"/>
  <c r="AD238" i="7"/>
  <c r="AC239" i="7"/>
  <c r="AD239" i="7"/>
  <c r="AC240" i="7"/>
  <c r="AD240" i="7"/>
  <c r="AC241" i="7"/>
  <c r="AD241" i="7"/>
  <c r="AC242" i="7"/>
  <c r="AD242" i="7"/>
  <c r="AC243" i="7"/>
  <c r="AD243" i="7"/>
  <c r="AC244" i="7"/>
  <c r="AD244" i="7"/>
  <c r="AC245" i="7"/>
  <c r="AD245" i="7"/>
  <c r="AC246" i="7"/>
  <c r="AD246" i="7"/>
  <c r="AC247" i="7"/>
  <c r="AD247" i="7"/>
  <c r="AC248" i="7"/>
  <c r="AD248" i="7"/>
  <c r="AC249" i="7"/>
  <c r="AD249" i="7"/>
  <c r="AC250" i="7"/>
  <c r="AD250" i="7"/>
  <c r="AC251" i="7"/>
  <c r="AD251" i="7"/>
  <c r="AC252" i="7"/>
  <c r="AD252" i="7"/>
  <c r="AC253" i="7"/>
  <c r="AD253" i="7"/>
  <c r="AC254" i="7"/>
  <c r="AD254" i="7"/>
  <c r="AC255" i="7"/>
  <c r="AD255" i="7"/>
  <c r="AC256" i="7"/>
  <c r="AD256" i="7"/>
  <c r="AC257" i="7"/>
  <c r="AD257" i="7"/>
  <c r="AC258" i="7"/>
  <c r="AD258" i="7"/>
  <c r="AC259" i="7"/>
  <c r="AD259" i="7"/>
  <c r="AC260" i="7"/>
  <c r="AD260" i="7"/>
  <c r="AC261" i="7"/>
  <c r="AD261" i="7"/>
  <c r="AC262" i="7"/>
  <c r="AD262" i="7"/>
  <c r="AC263" i="7"/>
  <c r="AD263" i="7"/>
  <c r="AC264" i="7"/>
  <c r="AD264" i="7"/>
  <c r="AC265" i="7"/>
  <c r="AD265" i="7"/>
  <c r="AC266" i="7"/>
  <c r="AD266" i="7"/>
  <c r="AC267" i="7"/>
  <c r="AD267" i="7"/>
  <c r="AC268" i="7"/>
  <c r="AD268" i="7"/>
  <c r="AC269" i="7"/>
  <c r="AD269" i="7"/>
  <c r="AC270" i="7"/>
  <c r="AD270" i="7"/>
  <c r="AC271" i="7"/>
  <c r="AD271" i="7"/>
  <c r="AC272" i="7"/>
  <c r="AD272" i="7"/>
  <c r="AC273" i="7"/>
  <c r="AD273" i="7"/>
  <c r="AC274" i="7"/>
  <c r="AD274" i="7"/>
  <c r="AC275" i="7"/>
  <c r="AD275" i="7"/>
  <c r="AC276" i="7"/>
  <c r="AD276" i="7"/>
  <c r="AC277" i="7"/>
  <c r="AD277" i="7"/>
  <c r="AC278" i="7"/>
  <c r="AD278" i="7"/>
  <c r="AC279" i="7"/>
  <c r="AD279" i="7"/>
  <c r="AC280" i="7"/>
  <c r="AD280" i="7"/>
  <c r="AC281" i="7"/>
  <c r="AD281" i="7"/>
  <c r="AC282" i="7"/>
  <c r="AD282" i="7"/>
  <c r="AC283" i="7"/>
  <c r="AD283" i="7"/>
  <c r="AC284" i="7"/>
  <c r="AD284" i="7"/>
  <c r="AC285" i="7"/>
  <c r="AD285" i="7"/>
  <c r="AC286" i="7"/>
  <c r="AD286" i="7"/>
  <c r="AC287" i="7"/>
  <c r="AD287" i="7"/>
  <c r="AC288" i="7"/>
  <c r="AD288" i="7"/>
  <c r="AC289" i="7"/>
  <c r="AD289" i="7"/>
  <c r="AC290" i="7"/>
  <c r="AD290" i="7"/>
  <c r="AC291" i="7"/>
  <c r="AD291" i="7"/>
  <c r="AC292" i="7"/>
  <c r="AD292" i="7"/>
  <c r="AC293" i="7"/>
  <c r="AD293" i="7"/>
  <c r="AC294" i="7"/>
  <c r="AD294" i="7"/>
  <c r="AC295" i="7"/>
  <c r="AD295" i="7"/>
  <c r="AC296" i="7"/>
  <c r="AD296" i="7"/>
  <c r="AC297" i="7"/>
  <c r="AD297" i="7"/>
  <c r="AC298" i="7"/>
  <c r="AD298" i="7"/>
  <c r="AC299" i="7"/>
  <c r="AD299" i="7"/>
  <c r="AC300" i="7"/>
  <c r="AD300" i="7"/>
  <c r="AC301" i="7"/>
  <c r="AD301" i="7"/>
  <c r="AC302" i="7"/>
  <c r="AD302" i="7"/>
  <c r="AC303" i="7"/>
  <c r="AD303" i="7"/>
  <c r="AC304" i="7"/>
  <c r="AD304" i="7"/>
  <c r="AC305" i="7"/>
  <c r="AD305" i="7"/>
  <c r="AC306" i="7"/>
  <c r="AD306" i="7"/>
  <c r="AC307" i="7"/>
  <c r="AD307" i="7"/>
  <c r="AC308" i="7"/>
  <c r="AD308" i="7"/>
  <c r="AC309" i="7"/>
  <c r="AD309" i="7"/>
  <c r="AC310" i="7"/>
  <c r="AD310" i="7"/>
  <c r="AC311" i="7"/>
  <c r="AD311" i="7"/>
  <c r="AC312" i="7"/>
  <c r="AD312" i="7"/>
  <c r="AC313" i="7"/>
  <c r="AD313" i="7"/>
  <c r="AC314" i="7"/>
  <c r="AD314" i="7"/>
  <c r="AC315" i="7"/>
  <c r="AD315" i="7"/>
  <c r="AC316" i="7"/>
  <c r="AD316" i="7"/>
  <c r="AC317" i="7"/>
  <c r="AD317" i="7"/>
  <c r="AC318" i="7"/>
  <c r="AD318" i="7"/>
  <c r="AC319" i="7"/>
  <c r="AD319" i="7"/>
  <c r="AC320" i="7"/>
  <c r="AD320" i="7"/>
  <c r="AC321" i="7"/>
  <c r="AD321" i="7"/>
  <c r="AC322" i="7"/>
  <c r="AD322" i="7"/>
  <c r="AC323" i="7"/>
  <c r="AD323" i="7"/>
  <c r="AC324" i="7"/>
  <c r="AD324" i="7"/>
  <c r="AC325" i="7"/>
  <c r="AD325" i="7"/>
  <c r="AC326" i="7"/>
  <c r="AD326" i="7"/>
  <c r="AC327" i="7"/>
  <c r="AD327" i="7"/>
  <c r="AC328" i="7"/>
  <c r="AD328" i="7"/>
  <c r="AC329" i="7"/>
  <c r="AD329" i="7"/>
  <c r="AC330" i="7"/>
  <c r="AD330" i="7"/>
  <c r="AC331" i="7"/>
  <c r="AD331" i="7"/>
  <c r="AC332" i="7"/>
  <c r="AD332" i="7"/>
  <c r="AC333" i="7"/>
  <c r="AD333" i="7"/>
  <c r="AC334" i="7"/>
  <c r="AD334" i="7"/>
  <c r="AC335" i="7"/>
  <c r="AD335" i="7"/>
  <c r="AC336" i="7"/>
  <c r="AD336" i="7"/>
  <c r="AC337" i="7"/>
  <c r="AD337" i="7"/>
  <c r="AC338" i="7"/>
  <c r="AD338" i="7"/>
  <c r="AC339" i="7"/>
  <c r="AD339" i="7"/>
  <c r="AC340" i="7"/>
  <c r="AD340" i="7"/>
  <c r="AC341" i="7"/>
  <c r="AD341" i="7"/>
  <c r="AC342" i="7"/>
  <c r="AD342" i="7"/>
  <c r="AC343" i="7"/>
  <c r="AD343" i="7"/>
  <c r="AC344" i="7"/>
  <c r="AD344" i="7"/>
  <c r="AD2" i="7"/>
  <c r="AC2" i="7"/>
  <c r="AA3" i="7"/>
  <c r="AB3" i="7"/>
  <c r="AA4" i="7"/>
  <c r="AB4" i="7"/>
  <c r="AA5" i="7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A32" i="7"/>
  <c r="AB32" i="7"/>
  <c r="AA33" i="7"/>
  <c r="AB33" i="7"/>
  <c r="AA34" i="7"/>
  <c r="AB34" i="7"/>
  <c r="AA35" i="7"/>
  <c r="AB35" i="7"/>
  <c r="AA36" i="7"/>
  <c r="AB36" i="7"/>
  <c r="AA37" i="7"/>
  <c r="AB37" i="7"/>
  <c r="AA38" i="7"/>
  <c r="AB38" i="7"/>
  <c r="AA39" i="7"/>
  <c r="AB39" i="7"/>
  <c r="AA40" i="7"/>
  <c r="AB40" i="7"/>
  <c r="AA41" i="7"/>
  <c r="AB41" i="7"/>
  <c r="AA42" i="7"/>
  <c r="AB42" i="7"/>
  <c r="AA43" i="7"/>
  <c r="AB43" i="7"/>
  <c r="AA44" i="7"/>
  <c r="AB44" i="7"/>
  <c r="AA45" i="7"/>
  <c r="AB45" i="7"/>
  <c r="AA46" i="7"/>
  <c r="AB46" i="7"/>
  <c r="AA47" i="7"/>
  <c r="AB47" i="7"/>
  <c r="AA48" i="7"/>
  <c r="AB48" i="7"/>
  <c r="AA49" i="7"/>
  <c r="AB49" i="7"/>
  <c r="AA50" i="7"/>
  <c r="AB50" i="7"/>
  <c r="AA51" i="7"/>
  <c r="AB51" i="7"/>
  <c r="AA52" i="7"/>
  <c r="AB52" i="7"/>
  <c r="AA53" i="7"/>
  <c r="AB53" i="7"/>
  <c r="AA54" i="7"/>
  <c r="AB54" i="7"/>
  <c r="AA55" i="7"/>
  <c r="AB55" i="7"/>
  <c r="AA56" i="7"/>
  <c r="AB56" i="7"/>
  <c r="AA57" i="7"/>
  <c r="AB57" i="7"/>
  <c r="AA58" i="7"/>
  <c r="AB58" i="7"/>
  <c r="AA59" i="7"/>
  <c r="AB59" i="7"/>
  <c r="AA60" i="7"/>
  <c r="AB60" i="7"/>
  <c r="AA61" i="7"/>
  <c r="AB61" i="7"/>
  <c r="AA62" i="7"/>
  <c r="AB62" i="7"/>
  <c r="AA63" i="7"/>
  <c r="AB63" i="7"/>
  <c r="AA64" i="7"/>
  <c r="AB64" i="7"/>
  <c r="AA65" i="7"/>
  <c r="AB65" i="7"/>
  <c r="AA66" i="7"/>
  <c r="AB66" i="7"/>
  <c r="AA67" i="7"/>
  <c r="AB67" i="7"/>
  <c r="AA68" i="7"/>
  <c r="AB68" i="7"/>
  <c r="AA69" i="7"/>
  <c r="AB69" i="7"/>
  <c r="AA70" i="7"/>
  <c r="AB70" i="7"/>
  <c r="AA71" i="7"/>
  <c r="AB71" i="7"/>
  <c r="AA72" i="7"/>
  <c r="AB72" i="7"/>
  <c r="AA73" i="7"/>
  <c r="AB73" i="7"/>
  <c r="AA74" i="7"/>
  <c r="AB74" i="7"/>
  <c r="AA75" i="7"/>
  <c r="AB75" i="7"/>
  <c r="AA76" i="7"/>
  <c r="AB76" i="7"/>
  <c r="AA77" i="7"/>
  <c r="AB77" i="7"/>
  <c r="AA78" i="7"/>
  <c r="AB78" i="7"/>
  <c r="AA79" i="7"/>
  <c r="AB79" i="7"/>
  <c r="AA80" i="7"/>
  <c r="AB80" i="7"/>
  <c r="AA81" i="7"/>
  <c r="AB81" i="7"/>
  <c r="AA82" i="7"/>
  <c r="AB82" i="7"/>
  <c r="AA83" i="7"/>
  <c r="AB83" i="7"/>
  <c r="AA84" i="7"/>
  <c r="AB84" i="7"/>
  <c r="AA85" i="7"/>
  <c r="AB85" i="7"/>
  <c r="AA86" i="7"/>
  <c r="AB86" i="7"/>
  <c r="AA87" i="7"/>
  <c r="AB87" i="7"/>
  <c r="AA88" i="7"/>
  <c r="AB88" i="7"/>
  <c r="AA89" i="7"/>
  <c r="AB89" i="7"/>
  <c r="AA90" i="7"/>
  <c r="AB90" i="7"/>
  <c r="AA91" i="7"/>
  <c r="AB91" i="7"/>
  <c r="AA92" i="7"/>
  <c r="AB92" i="7"/>
  <c r="AA93" i="7"/>
  <c r="AB93" i="7"/>
  <c r="AA94" i="7"/>
  <c r="AB94" i="7"/>
  <c r="AA95" i="7"/>
  <c r="AB95" i="7"/>
  <c r="AA96" i="7"/>
  <c r="AB96" i="7"/>
  <c r="AA97" i="7"/>
  <c r="AB97" i="7"/>
  <c r="AA98" i="7"/>
  <c r="AB98" i="7"/>
  <c r="AA99" i="7"/>
  <c r="AB99" i="7"/>
  <c r="AA100" i="7"/>
  <c r="AB100" i="7"/>
  <c r="AA101" i="7"/>
  <c r="AB101" i="7"/>
  <c r="AA102" i="7"/>
  <c r="AB102" i="7"/>
  <c r="AA103" i="7"/>
  <c r="AB103" i="7"/>
  <c r="AA104" i="7"/>
  <c r="AB104" i="7"/>
  <c r="AA105" i="7"/>
  <c r="AB105" i="7"/>
  <c r="AA106" i="7"/>
  <c r="AB106" i="7"/>
  <c r="AA107" i="7"/>
  <c r="AB107" i="7"/>
  <c r="AA108" i="7"/>
  <c r="AB108" i="7"/>
  <c r="AA109" i="7"/>
  <c r="AB109" i="7"/>
  <c r="AA110" i="7"/>
  <c r="AB110" i="7"/>
  <c r="AA111" i="7"/>
  <c r="AB111" i="7"/>
  <c r="AA112" i="7"/>
  <c r="AB112" i="7"/>
  <c r="AA113" i="7"/>
  <c r="AB113" i="7"/>
  <c r="AA114" i="7"/>
  <c r="AB114" i="7"/>
  <c r="AA115" i="7"/>
  <c r="AB115" i="7"/>
  <c r="AA116" i="7"/>
  <c r="AB116" i="7"/>
  <c r="AA117" i="7"/>
  <c r="AB117" i="7"/>
  <c r="AA118" i="7"/>
  <c r="AB118" i="7"/>
  <c r="AA119" i="7"/>
  <c r="AB119" i="7"/>
  <c r="AA120" i="7"/>
  <c r="AB120" i="7"/>
  <c r="AA121" i="7"/>
  <c r="AB121" i="7"/>
  <c r="AA122" i="7"/>
  <c r="AB122" i="7"/>
  <c r="AA123" i="7"/>
  <c r="AB123" i="7"/>
  <c r="AA124" i="7"/>
  <c r="AB124" i="7"/>
  <c r="AA125" i="7"/>
  <c r="AB125" i="7"/>
  <c r="AA126" i="7"/>
  <c r="AB126" i="7"/>
  <c r="AA127" i="7"/>
  <c r="AB127" i="7"/>
  <c r="AA128" i="7"/>
  <c r="AB128" i="7"/>
  <c r="AA129" i="7"/>
  <c r="AB129" i="7"/>
  <c r="AA130" i="7"/>
  <c r="AB130" i="7"/>
  <c r="AA131" i="7"/>
  <c r="AB131" i="7"/>
  <c r="AA132" i="7"/>
  <c r="AB132" i="7"/>
  <c r="AA133" i="7"/>
  <c r="AB133" i="7"/>
  <c r="AA134" i="7"/>
  <c r="AB134" i="7"/>
  <c r="AA135" i="7"/>
  <c r="AB135" i="7"/>
  <c r="AA136" i="7"/>
  <c r="AB136" i="7"/>
  <c r="AA137" i="7"/>
  <c r="AB137" i="7"/>
  <c r="AA138" i="7"/>
  <c r="AB138" i="7"/>
  <c r="AA139" i="7"/>
  <c r="AB139" i="7"/>
  <c r="AA140" i="7"/>
  <c r="AB140" i="7"/>
  <c r="AA141" i="7"/>
  <c r="AB141" i="7"/>
  <c r="AA142" i="7"/>
  <c r="AB142" i="7"/>
  <c r="AA143" i="7"/>
  <c r="AB143" i="7"/>
  <c r="AA144" i="7"/>
  <c r="AB144" i="7"/>
  <c r="AA145" i="7"/>
  <c r="AB145" i="7"/>
  <c r="AA146" i="7"/>
  <c r="AB146" i="7"/>
  <c r="AA147" i="7"/>
  <c r="AB147" i="7"/>
  <c r="AA148" i="7"/>
  <c r="AB148" i="7"/>
  <c r="AA149" i="7"/>
  <c r="AB149" i="7"/>
  <c r="AA150" i="7"/>
  <c r="AB150" i="7"/>
  <c r="AA151" i="7"/>
  <c r="AB151" i="7"/>
  <c r="AA152" i="7"/>
  <c r="AB152" i="7"/>
  <c r="AA153" i="7"/>
  <c r="AB153" i="7"/>
  <c r="AA154" i="7"/>
  <c r="AB154" i="7"/>
  <c r="AA155" i="7"/>
  <c r="AB155" i="7"/>
  <c r="AA156" i="7"/>
  <c r="AB156" i="7"/>
  <c r="AA157" i="7"/>
  <c r="AB157" i="7"/>
  <c r="AA158" i="7"/>
  <c r="AB158" i="7"/>
  <c r="AA159" i="7"/>
  <c r="AB159" i="7"/>
  <c r="AA160" i="7"/>
  <c r="AB160" i="7"/>
  <c r="AA163" i="7"/>
  <c r="AB163" i="7"/>
  <c r="AA164" i="7"/>
  <c r="AB164" i="7"/>
  <c r="AA165" i="7"/>
  <c r="AB165" i="7"/>
  <c r="AA166" i="7"/>
  <c r="AB166" i="7"/>
  <c r="AA167" i="7"/>
  <c r="AB167" i="7"/>
  <c r="AA168" i="7"/>
  <c r="AB168" i="7"/>
  <c r="AA169" i="7"/>
  <c r="AB169" i="7"/>
  <c r="AA170" i="7"/>
  <c r="AB170" i="7"/>
  <c r="AA171" i="7"/>
  <c r="AB171" i="7"/>
  <c r="AA172" i="7"/>
  <c r="AB172" i="7"/>
  <c r="AA173" i="7"/>
  <c r="AB173" i="7"/>
  <c r="AA174" i="7"/>
  <c r="AB174" i="7"/>
  <c r="AA175" i="7"/>
  <c r="AB175" i="7"/>
  <c r="AA176" i="7"/>
  <c r="AB176" i="7"/>
  <c r="AA177" i="7"/>
  <c r="AB177" i="7"/>
  <c r="AA181" i="7"/>
  <c r="AB181" i="7"/>
  <c r="AA182" i="7"/>
  <c r="AB182" i="7"/>
  <c r="AB183" i="7"/>
  <c r="AA184" i="7"/>
  <c r="AB184" i="7"/>
  <c r="AA185" i="7"/>
  <c r="AB185" i="7"/>
  <c r="AA186" i="7"/>
  <c r="AB186" i="7"/>
  <c r="AA187" i="7"/>
  <c r="AB187" i="7"/>
  <c r="AA188" i="7"/>
  <c r="AB188" i="7"/>
  <c r="AA189" i="7"/>
  <c r="AB189" i="7"/>
  <c r="AA190" i="7"/>
  <c r="AB190" i="7"/>
  <c r="AA191" i="7"/>
  <c r="AB191" i="7"/>
  <c r="AA192" i="7"/>
  <c r="AB192" i="7"/>
  <c r="AA193" i="7"/>
  <c r="AB193" i="7"/>
  <c r="AA194" i="7"/>
  <c r="AB194" i="7"/>
  <c r="AA195" i="7"/>
  <c r="AB195" i="7"/>
  <c r="AA196" i="7"/>
  <c r="AB196" i="7"/>
  <c r="AA197" i="7"/>
  <c r="AB197" i="7"/>
  <c r="AA198" i="7"/>
  <c r="AB198" i="7"/>
  <c r="AB199" i="7"/>
  <c r="AA200" i="7"/>
  <c r="AB200" i="7"/>
  <c r="AA201" i="7"/>
  <c r="AB201" i="7"/>
  <c r="AA202" i="7"/>
  <c r="AB202" i="7"/>
  <c r="AA203" i="7"/>
  <c r="AB203" i="7"/>
  <c r="AA204" i="7"/>
  <c r="AB204" i="7"/>
  <c r="AA205" i="7"/>
  <c r="AB205" i="7"/>
  <c r="AA206" i="7"/>
  <c r="AB206" i="7"/>
  <c r="AA207" i="7"/>
  <c r="AB207" i="7"/>
  <c r="AA208" i="7"/>
  <c r="AB208" i="7"/>
  <c r="AA209" i="7"/>
  <c r="AB209" i="7"/>
  <c r="AA210" i="7"/>
  <c r="AB210" i="7"/>
  <c r="AA211" i="7"/>
  <c r="AB211" i="7"/>
  <c r="AA212" i="7"/>
  <c r="AB212" i="7"/>
  <c r="AA213" i="7"/>
  <c r="AB213" i="7"/>
  <c r="AA214" i="7"/>
  <c r="AB214" i="7"/>
  <c r="AA215" i="7"/>
  <c r="AB215" i="7"/>
  <c r="AA216" i="7"/>
  <c r="AB216" i="7"/>
  <c r="AA217" i="7"/>
  <c r="AB217" i="7"/>
  <c r="AA218" i="7"/>
  <c r="AB218" i="7"/>
  <c r="AA219" i="7"/>
  <c r="AB219" i="7"/>
  <c r="AA220" i="7"/>
  <c r="AB220" i="7"/>
  <c r="AA221" i="7"/>
  <c r="AB221" i="7"/>
  <c r="AA222" i="7"/>
  <c r="AB222" i="7"/>
  <c r="AA223" i="7"/>
  <c r="AB223" i="7"/>
  <c r="AA224" i="7"/>
  <c r="AB224" i="7"/>
  <c r="AA225" i="7"/>
  <c r="AB225" i="7"/>
  <c r="AA226" i="7"/>
  <c r="AB226" i="7"/>
  <c r="AA227" i="7"/>
  <c r="AB227" i="7"/>
  <c r="AA228" i="7"/>
  <c r="AB228" i="7"/>
  <c r="AA229" i="7"/>
  <c r="AB229" i="7"/>
  <c r="AA230" i="7"/>
  <c r="AB230" i="7"/>
  <c r="AA231" i="7"/>
  <c r="AB231" i="7"/>
  <c r="AA232" i="7"/>
  <c r="AB232" i="7"/>
  <c r="AA233" i="7"/>
  <c r="AB233" i="7"/>
  <c r="AA234" i="7"/>
  <c r="AB234" i="7"/>
  <c r="AA235" i="7"/>
  <c r="AB235" i="7"/>
  <c r="AA236" i="7"/>
  <c r="AB236" i="7"/>
  <c r="AA237" i="7"/>
  <c r="AB237" i="7"/>
  <c r="AA238" i="7"/>
  <c r="AB238" i="7"/>
  <c r="AA239" i="7"/>
  <c r="AB239" i="7"/>
  <c r="AA240" i="7"/>
  <c r="AB240" i="7"/>
  <c r="AA241" i="7"/>
  <c r="AB241" i="7"/>
  <c r="AA242" i="7"/>
  <c r="AB242" i="7"/>
  <c r="AA243" i="7"/>
  <c r="AB243" i="7"/>
  <c r="AA244" i="7"/>
  <c r="AB244" i="7"/>
  <c r="AA245" i="7"/>
  <c r="AB245" i="7"/>
  <c r="AA246" i="7"/>
  <c r="AB246" i="7"/>
  <c r="AA247" i="7"/>
  <c r="AB247" i="7"/>
  <c r="AA248" i="7"/>
  <c r="AB248" i="7"/>
  <c r="AA249" i="7"/>
  <c r="AB249" i="7"/>
  <c r="AA250" i="7"/>
  <c r="AB250" i="7"/>
  <c r="AA251" i="7"/>
  <c r="AB251" i="7"/>
  <c r="AA252" i="7"/>
  <c r="AB252" i="7"/>
  <c r="AA253" i="7"/>
  <c r="AB253" i="7"/>
  <c r="AA254" i="7"/>
  <c r="AB254" i="7"/>
  <c r="AA255" i="7"/>
  <c r="AB255" i="7"/>
  <c r="AA256" i="7"/>
  <c r="AB256" i="7"/>
  <c r="AA257" i="7"/>
  <c r="AB257" i="7"/>
  <c r="AA258" i="7"/>
  <c r="AB258" i="7"/>
  <c r="AA259" i="7"/>
  <c r="AB259" i="7"/>
  <c r="AA260" i="7"/>
  <c r="AB260" i="7"/>
  <c r="AA261" i="7"/>
  <c r="AB261" i="7"/>
  <c r="AA262" i="7"/>
  <c r="AB262" i="7"/>
  <c r="AA263" i="7"/>
  <c r="AB263" i="7"/>
  <c r="AA264" i="7"/>
  <c r="AB264" i="7"/>
  <c r="AA265" i="7"/>
  <c r="AB265" i="7"/>
  <c r="AA266" i="7"/>
  <c r="AB266" i="7"/>
  <c r="AA267" i="7"/>
  <c r="AB267" i="7"/>
  <c r="AA268" i="7"/>
  <c r="AB268" i="7"/>
  <c r="AA269" i="7"/>
  <c r="AB269" i="7"/>
  <c r="AA270" i="7"/>
  <c r="AB270" i="7"/>
  <c r="AA271" i="7"/>
  <c r="AB271" i="7"/>
  <c r="AA272" i="7"/>
  <c r="AB272" i="7"/>
  <c r="AA273" i="7"/>
  <c r="AB273" i="7"/>
  <c r="AA274" i="7"/>
  <c r="AB274" i="7"/>
  <c r="AA275" i="7"/>
  <c r="AB275" i="7"/>
  <c r="AA276" i="7"/>
  <c r="AB276" i="7"/>
  <c r="AA277" i="7"/>
  <c r="AB277" i="7"/>
  <c r="AA278" i="7"/>
  <c r="AB278" i="7"/>
  <c r="AA279" i="7"/>
  <c r="AB279" i="7"/>
  <c r="AA280" i="7"/>
  <c r="AB280" i="7"/>
  <c r="AA281" i="7"/>
  <c r="AB281" i="7"/>
  <c r="AA282" i="7"/>
  <c r="AB282" i="7"/>
  <c r="AA283" i="7"/>
  <c r="AB283" i="7"/>
  <c r="AA284" i="7"/>
  <c r="AB284" i="7"/>
  <c r="AA285" i="7"/>
  <c r="AB285" i="7"/>
  <c r="AA286" i="7"/>
  <c r="AB286" i="7"/>
  <c r="AA287" i="7"/>
  <c r="AB287" i="7"/>
  <c r="AA288" i="7"/>
  <c r="AB288" i="7"/>
  <c r="AA289" i="7"/>
  <c r="AB289" i="7"/>
  <c r="AA290" i="7"/>
  <c r="AB290" i="7"/>
  <c r="AA291" i="7"/>
  <c r="AB291" i="7"/>
  <c r="AA292" i="7"/>
  <c r="AB292" i="7"/>
  <c r="AA293" i="7"/>
  <c r="AB293" i="7"/>
  <c r="AA294" i="7"/>
  <c r="AB294" i="7"/>
  <c r="AA295" i="7"/>
  <c r="AB295" i="7"/>
  <c r="AA296" i="7"/>
  <c r="AB296" i="7"/>
  <c r="AA297" i="7"/>
  <c r="AB297" i="7"/>
  <c r="AA298" i="7"/>
  <c r="AB298" i="7"/>
  <c r="AA299" i="7"/>
  <c r="AB299" i="7"/>
  <c r="AA300" i="7"/>
  <c r="AB300" i="7"/>
  <c r="AA301" i="7"/>
  <c r="AB301" i="7"/>
  <c r="AA302" i="7"/>
  <c r="AB302" i="7"/>
  <c r="AA303" i="7"/>
  <c r="AB303" i="7"/>
  <c r="AA304" i="7"/>
  <c r="AB304" i="7"/>
  <c r="AA305" i="7"/>
  <c r="AB305" i="7"/>
  <c r="AA306" i="7"/>
  <c r="AB306" i="7"/>
  <c r="AA307" i="7"/>
  <c r="AB307" i="7"/>
  <c r="AA308" i="7"/>
  <c r="AB308" i="7"/>
  <c r="AA309" i="7"/>
  <c r="AB309" i="7"/>
  <c r="AA310" i="7"/>
  <c r="AB310" i="7"/>
  <c r="AA311" i="7"/>
  <c r="AB311" i="7"/>
  <c r="AA312" i="7"/>
  <c r="AB312" i="7"/>
  <c r="AA313" i="7"/>
  <c r="AB313" i="7"/>
  <c r="AA314" i="7"/>
  <c r="AB314" i="7"/>
  <c r="AA315" i="7"/>
  <c r="AB315" i="7"/>
  <c r="AA316" i="7"/>
  <c r="AB316" i="7"/>
  <c r="AA317" i="7"/>
  <c r="AB317" i="7"/>
  <c r="AA318" i="7"/>
  <c r="AB318" i="7"/>
  <c r="AA319" i="7"/>
  <c r="AB319" i="7"/>
  <c r="AA320" i="7"/>
  <c r="AB320" i="7"/>
  <c r="AA321" i="7"/>
  <c r="AB321" i="7"/>
  <c r="AA322" i="7"/>
  <c r="AB322" i="7"/>
  <c r="AA323" i="7"/>
  <c r="AB323" i="7"/>
  <c r="AA324" i="7"/>
  <c r="AB324" i="7"/>
  <c r="AA325" i="7"/>
  <c r="AB325" i="7"/>
  <c r="AA326" i="7"/>
  <c r="AB326" i="7"/>
  <c r="AA327" i="7"/>
  <c r="AB327" i="7"/>
  <c r="AA328" i="7"/>
  <c r="AB328" i="7"/>
  <c r="AA329" i="7"/>
  <c r="AB329" i="7"/>
  <c r="AA330" i="7"/>
  <c r="AB330" i="7"/>
  <c r="AA331" i="7"/>
  <c r="AB331" i="7"/>
  <c r="AA332" i="7"/>
  <c r="AB332" i="7"/>
  <c r="AA333" i="7"/>
  <c r="AB333" i="7"/>
  <c r="AA334" i="7"/>
  <c r="AB334" i="7"/>
  <c r="AA335" i="7"/>
  <c r="AB335" i="7"/>
  <c r="AA336" i="7"/>
  <c r="AB336" i="7"/>
  <c r="AA337" i="7"/>
  <c r="AB337" i="7"/>
  <c r="AA338" i="7"/>
  <c r="AB338" i="7"/>
  <c r="AA339" i="7"/>
  <c r="AB339" i="7"/>
  <c r="AA340" i="7"/>
  <c r="AB340" i="7"/>
  <c r="AA341" i="7"/>
  <c r="AB341" i="7"/>
  <c r="AA342" i="7"/>
  <c r="AB342" i="7"/>
  <c r="AA343" i="7"/>
  <c r="AB343" i="7"/>
  <c r="AA344" i="7"/>
  <c r="AB344" i="7"/>
  <c r="AB2" i="7"/>
  <c r="AA2" i="7"/>
  <c r="AV2" i="7" l="1"/>
  <c r="AW2" i="7"/>
  <c r="AV3" i="7"/>
  <c r="AW3" i="7"/>
  <c r="AV4" i="7"/>
  <c r="AW4" i="7"/>
  <c r="AV5" i="7"/>
  <c r="AW5" i="7"/>
  <c r="AV6" i="7"/>
  <c r="AW6" i="7"/>
  <c r="AV7" i="7"/>
  <c r="AY7" i="7" s="1"/>
  <c r="AW7" i="7"/>
  <c r="AV8" i="7"/>
  <c r="AW8" i="7"/>
  <c r="AV9" i="7"/>
  <c r="AW9" i="7"/>
  <c r="AV10" i="7"/>
  <c r="AW10" i="7"/>
  <c r="AL2" i="7"/>
  <c r="AM2" i="7"/>
  <c r="AL3" i="7"/>
  <c r="AM3" i="7"/>
  <c r="AL4" i="7"/>
  <c r="AM4" i="7"/>
  <c r="AL5" i="7"/>
  <c r="AM5" i="7"/>
  <c r="AL6" i="7"/>
  <c r="AM6" i="7"/>
  <c r="AL7" i="7"/>
  <c r="AM7" i="7"/>
  <c r="AL8" i="7"/>
  <c r="AM8" i="7"/>
  <c r="AP8" i="7" s="1"/>
  <c r="AL9" i="7"/>
  <c r="AM9" i="7"/>
  <c r="AL10" i="7"/>
  <c r="AM10" i="7"/>
  <c r="AK10" i="7"/>
  <c r="AK9" i="7"/>
  <c r="AK8" i="7"/>
  <c r="AK7" i="7"/>
  <c r="AK6" i="7"/>
  <c r="AK5" i="7"/>
  <c r="AK4" i="7"/>
  <c r="AK3" i="7"/>
  <c r="AK2" i="7"/>
  <c r="U329" i="7"/>
  <c r="V329" i="7"/>
  <c r="W329" i="7"/>
  <c r="X329" i="7"/>
  <c r="Y329" i="7"/>
  <c r="Z329" i="7"/>
  <c r="T329" i="7"/>
  <c r="AU10" i="7"/>
  <c r="AT10" i="7"/>
  <c r="AZ10" i="7" s="1"/>
  <c r="AS10" i="7"/>
  <c r="AY10" i="7" s="1"/>
  <c r="AR10" i="7"/>
  <c r="AX10" i="7" s="1"/>
  <c r="BA10" i="7" s="1"/>
  <c r="AJ10" i="7"/>
  <c r="AI10" i="7"/>
  <c r="AH10" i="7"/>
  <c r="AN10" i="7" s="1"/>
  <c r="AU9" i="7"/>
  <c r="AT9" i="7"/>
  <c r="AS9" i="7"/>
  <c r="AR9" i="7"/>
  <c r="AJ9" i="7"/>
  <c r="AI9" i="7"/>
  <c r="AH9" i="7"/>
  <c r="AU8" i="7"/>
  <c r="AT8" i="7"/>
  <c r="AS8" i="7"/>
  <c r="AR8" i="7"/>
  <c r="BC8" i="7" s="1"/>
  <c r="AJ8" i="7"/>
  <c r="AI8" i="7"/>
  <c r="AH8" i="7"/>
  <c r="AU7" i="7"/>
  <c r="AX7" i="7" s="1"/>
  <c r="AT7" i="7"/>
  <c r="AZ7" i="7" s="1"/>
  <c r="AS7" i="7"/>
  <c r="AR7" i="7"/>
  <c r="AJ7" i="7"/>
  <c r="AI7" i="7"/>
  <c r="AH7" i="7"/>
  <c r="BB7" i="7" s="1"/>
  <c r="AU6" i="7"/>
  <c r="AT6" i="7"/>
  <c r="AS6" i="7"/>
  <c r="AY6" i="7" s="1"/>
  <c r="AR6" i="7"/>
  <c r="AX6" i="7" s="1"/>
  <c r="BA6" i="7" s="1"/>
  <c r="AO6" i="7"/>
  <c r="AJ6" i="7"/>
  <c r="AI6" i="7"/>
  <c r="AH6" i="7"/>
  <c r="AU5" i="7"/>
  <c r="AT5" i="7"/>
  <c r="AS5" i="7"/>
  <c r="AR5" i="7"/>
  <c r="AJ5" i="7"/>
  <c r="AI5" i="7"/>
  <c r="AH5" i="7"/>
  <c r="AU4" i="7"/>
  <c r="AT4" i="7"/>
  <c r="AS4" i="7"/>
  <c r="AR4" i="7"/>
  <c r="BC4" i="7" s="1"/>
  <c r="AJ4" i="7"/>
  <c r="AI4" i="7"/>
  <c r="AH4" i="7"/>
  <c r="AN4" i="7" s="1"/>
  <c r="AU3" i="7"/>
  <c r="AX3" i="7" s="1"/>
  <c r="AT3" i="7"/>
  <c r="AS3" i="7"/>
  <c r="AR3" i="7"/>
  <c r="AJ3" i="7"/>
  <c r="AI3" i="7"/>
  <c r="AH3" i="7"/>
  <c r="AU2" i="7"/>
  <c r="AT2" i="7"/>
  <c r="AS2" i="7"/>
  <c r="AR2" i="7"/>
  <c r="AJ2" i="7"/>
  <c r="AI2" i="7"/>
  <c r="AH2" i="7"/>
  <c r="AN2" i="7" s="1"/>
  <c r="AZ3" i="7" l="1"/>
  <c r="AP3" i="7"/>
  <c r="AP9" i="7"/>
  <c r="AO3" i="7"/>
  <c r="AN7" i="7"/>
  <c r="AW11" i="7"/>
  <c r="AO4" i="7"/>
  <c r="AQ4" i="7" s="1"/>
  <c r="AP7" i="7"/>
  <c r="AX8" i="7"/>
  <c r="AZ9" i="7"/>
  <c r="AO7" i="7"/>
  <c r="AM11" i="7"/>
  <c r="BB2" i="7"/>
  <c r="BC3" i="7"/>
  <c r="AP4" i="7"/>
  <c r="AX5" i="7"/>
  <c r="AP6" i="7"/>
  <c r="BC7" i="7"/>
  <c r="AY8" i="7"/>
  <c r="AX9" i="7"/>
  <c r="AH11" i="7"/>
  <c r="AZ4" i="7"/>
  <c r="AY5" i="7"/>
  <c r="BA5" i="7" s="1"/>
  <c r="AN6" i="7"/>
  <c r="AZ8" i="7"/>
  <c r="AU11" i="7"/>
  <c r="AV11" i="7"/>
  <c r="AN5" i="7"/>
  <c r="AZ5" i="7"/>
  <c r="AY9" i="7"/>
  <c r="BA9" i="7" s="1"/>
  <c r="AP10" i="7"/>
  <c r="AK11" i="7"/>
  <c r="AN11" i="7" s="1"/>
  <c r="AO5" i="7"/>
  <c r="AN8" i="7"/>
  <c r="AN9" i="7"/>
  <c r="AL11" i="7"/>
  <c r="AY4" i="7"/>
  <c r="AP5" i="7"/>
  <c r="AO8" i="7"/>
  <c r="AO9" i="7"/>
  <c r="AS11" i="7"/>
  <c r="BB6" i="7"/>
  <c r="AI11" i="7"/>
  <c r="AT11" i="7"/>
  <c r="AJ11" i="7"/>
  <c r="AO10" i="7"/>
  <c r="AR11" i="7"/>
  <c r="AX11" i="7" s="1"/>
  <c r="AX4" i="7"/>
  <c r="BB10" i="7"/>
  <c r="AN3" i="7"/>
  <c r="AQ3" i="7" s="1"/>
  <c r="BC6" i="7"/>
  <c r="BA7" i="7"/>
  <c r="BC2" i="7"/>
  <c r="AO2" i="7"/>
  <c r="AQ2" i="7" s="1"/>
  <c r="AY3" i="7"/>
  <c r="BA3" i="7" s="1"/>
  <c r="BC5" i="7"/>
  <c r="BC9" i="7"/>
  <c r="BC10" i="7"/>
  <c r="BB9" i="7"/>
  <c r="AP2" i="7"/>
  <c r="AX2" i="7"/>
  <c r="BB4" i="7"/>
  <c r="BB8" i="7"/>
  <c r="AY2" i="7"/>
  <c r="BB5" i="7"/>
  <c r="AZ2" i="7"/>
  <c r="BB3" i="7"/>
  <c r="AZ6" i="7"/>
  <c r="AQ6" i="7" l="1"/>
  <c r="AQ10" i="7"/>
  <c r="BA8" i="7"/>
  <c r="AQ8" i="7"/>
  <c r="BB11" i="7"/>
  <c r="AQ7" i="7"/>
  <c r="AZ11" i="7"/>
  <c r="AQ5" i="7"/>
  <c r="AO11" i="7"/>
  <c r="AQ9" i="7"/>
  <c r="BA4" i="7"/>
  <c r="AY11" i="7"/>
  <c r="BA11" i="7" s="1"/>
  <c r="BC11" i="7"/>
  <c r="AP11" i="7"/>
  <c r="BA2" i="7"/>
  <c r="AQ11" i="7" l="1"/>
</calcChain>
</file>

<file path=xl/sharedStrings.xml><?xml version="1.0" encoding="utf-8"?>
<sst xmlns="http://schemas.openxmlformats.org/spreadsheetml/2006/main" count="2171" uniqueCount="528">
  <si>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</si>
  <si>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</si>
  <si>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</si>
  <si>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</si>
  <si>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</si>
  <si>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</si>
  <si>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</si>
  <si>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</si>
  <si>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</si>
  <si>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</si>
  <si>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</si>
  <si>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</si>
  <si>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</si>
  <si>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</si>
  <si>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</si>
  <si>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</si>
  <si>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</si>
  <si>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</si>
  <si>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</si>
  <si>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</si>
  <si>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</si>
  <si>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</si>
  <si>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</si>
  <si>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</si>
  <si>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</si>
  <si>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</si>
  <si>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</si>
  <si>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</si>
  <si>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</si>
  <si>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</si>
  <si>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</si>
  <si>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</si>
  <si>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</si>
  <si>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</si>
  <si>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</si>
  <si>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</si>
  <si>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</si>
  <si>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</si>
  <si>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</si>
  <si>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</si>
  <si>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</si>
  <si>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</si>
  <si>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</si>
  <si>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</si>
  <si>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</si>
  <si>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</si>
  <si>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</si>
  <si>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</si>
  <si>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</si>
  <si>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</si>
  <si>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</si>
  <si>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</si>
  <si>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</si>
  <si>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</si>
  <si>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</si>
  <si>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</si>
  <si>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</si>
  <si>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</si>
  <si>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</si>
  <si>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</si>
  <si>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</si>
  <si>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</si>
  <si>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</si>
  <si>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</si>
  <si>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</si>
  <si>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</si>
  <si>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</si>
  <si>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</si>
  <si>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</si>
  <si>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</si>
  <si>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</si>
  <si>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</si>
  <si>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</si>
  <si>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</si>
  <si>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</si>
  <si>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</si>
  <si>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</si>
  <si>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</si>
  <si>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</si>
  <si>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</si>
  <si>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</si>
  <si>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</si>
  <si>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</si>
  <si>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</si>
  <si>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</si>
  <si>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</si>
  <si>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</si>
  <si>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</si>
  <si>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</si>
  <si>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</si>
  <si>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</si>
  <si>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</si>
  <si>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</si>
  <si>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</si>
  <si>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</si>
  <si>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</si>
  <si>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</si>
  <si>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</si>
  <si>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</si>
  <si>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</si>
  <si>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</si>
  <si>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</si>
  <si>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</si>
  <si>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</si>
  <si>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</si>
  <si>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</si>
  <si>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</si>
  <si>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</si>
  <si>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</si>
  <si>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</si>
  <si>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</si>
  <si>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</si>
  <si>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</si>
  <si>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</si>
  <si>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</si>
  <si>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</si>
  <si>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</si>
  <si>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</si>
  <si>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</si>
  <si>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</si>
  <si>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</si>
  <si>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</si>
  <si>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</si>
  <si>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</si>
  <si>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</si>
  <si>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</si>
  <si>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</si>
  <si>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</si>
  <si>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</si>
  <si>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</si>
  <si>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</si>
  <si>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</si>
  <si>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</si>
  <si>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</si>
  <si>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</si>
  <si>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</si>
  <si>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</si>
  <si>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</si>
  <si>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</si>
  <si>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</si>
  <si>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</si>
  <si>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</si>
  <si>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</si>
  <si>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</si>
  <si>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</si>
  <si>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</si>
  <si>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</si>
  <si>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</si>
  <si>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</si>
  <si>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</si>
  <si>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</si>
  <si>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</si>
  <si>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</si>
  <si>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</si>
  <si>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</si>
  <si>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</si>
  <si>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</si>
  <si>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</si>
  <si>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</si>
  <si>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</si>
  <si>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</si>
  <si>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</si>
  <si>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</si>
  <si>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</si>
  <si>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</si>
  <si>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</si>
  <si>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</si>
  <si>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</si>
  <si>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</si>
  <si>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</si>
  <si>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</si>
  <si>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</si>
  <si>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</si>
  <si>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</si>
  <si>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</si>
  <si>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</si>
  <si>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</si>
  <si>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</si>
  <si>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</si>
  <si>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</si>
  <si>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</si>
  <si>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</si>
  <si>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</si>
  <si>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</si>
  <si>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</si>
  <si>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</si>
  <si>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</si>
  <si>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</si>
  <si>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</si>
  <si>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</si>
  <si>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</si>
  <si>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</si>
  <si>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</si>
  <si>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</si>
  <si>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</si>
  <si>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</si>
  <si>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</si>
  <si>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</si>
  <si>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</si>
  <si>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</si>
  <si>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</si>
  <si>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</si>
  <si>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</si>
  <si>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</si>
  <si>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</si>
  <si>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</si>
  <si>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</si>
  <si>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</si>
  <si>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</si>
  <si>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</si>
  <si>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</si>
  <si>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</si>
  <si>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</si>
  <si>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</si>
  <si>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</si>
  <si>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</si>
  <si>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</si>
  <si>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</si>
  <si>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</si>
  <si>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</si>
  <si>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</si>
  <si>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</si>
  <si>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</si>
  <si>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</si>
  <si>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</si>
  <si>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</si>
  <si>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</si>
  <si>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</si>
  <si>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</si>
  <si>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</si>
  <si>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</si>
  <si>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</si>
  <si>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</si>
  <si>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</si>
  <si>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</si>
  <si>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</si>
  <si>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</si>
  <si>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</si>
  <si>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</si>
  <si>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</si>
  <si>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</si>
  <si>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</si>
  <si>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</si>
  <si>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</si>
  <si>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</si>
  <si>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</si>
  <si>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</si>
  <si>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</si>
  <si>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</si>
  <si>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</si>
  <si>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</si>
  <si>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</si>
  <si>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</si>
  <si>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</si>
  <si>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</si>
  <si>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</si>
  <si>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</si>
  <si>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</si>
  <si>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</si>
  <si>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</si>
  <si>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</si>
  <si>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</si>
  <si>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</si>
  <si>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</si>
  <si>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</si>
  <si>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</si>
  <si>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</si>
  <si>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</si>
  <si>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</si>
  <si>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</si>
  <si>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</si>
  <si>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</si>
  <si>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</si>
  <si>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</si>
  <si>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</si>
  <si>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</si>
  <si>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</si>
  <si>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</si>
  <si>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</si>
  <si>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</si>
  <si>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</si>
  <si>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</si>
  <si>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</si>
  <si>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</si>
  <si>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</si>
  <si>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</si>
  <si>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</si>
  <si>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</si>
  <si>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</si>
  <si>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</si>
  <si>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</si>
  <si>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</si>
  <si>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</si>
  <si>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</si>
  <si>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</si>
  <si>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</si>
  <si>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</si>
  <si>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</si>
  <si>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</si>
  <si>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</si>
  <si>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</si>
  <si>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</si>
  <si>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</si>
  <si>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</si>
  <si>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</si>
  <si>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</si>
  <si>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</si>
  <si>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</si>
  <si>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</si>
  <si>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</si>
  <si>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</si>
  <si>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</si>
  <si>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</si>
  <si>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</si>
  <si>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</si>
  <si>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</si>
  <si>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</si>
  <si>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</si>
  <si>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</si>
  <si>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</si>
  <si>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</si>
  <si>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</si>
  <si>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</si>
  <si>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</si>
  <si>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</si>
  <si>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</si>
  <si>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</si>
  <si>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</si>
  <si>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</si>
  <si>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</si>
  <si>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</si>
  <si>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</si>
  <si>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</si>
  <si>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</si>
  <si>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</si>
  <si>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</si>
  <si>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</si>
  <si>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</si>
  <si>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</si>
  <si>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</si>
  <si>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</si>
  <si>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</si>
  <si>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</si>
  <si>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</si>
  <si>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</si>
  <si>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</si>
  <si>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</si>
  <si>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</si>
  <si>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</si>
  <si>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</si>
  <si>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</si>
  <si>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</si>
  <si>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</si>
  <si>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</si>
  <si>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</si>
  <si>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</si>
  <si>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</si>
  <si>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</si>
  <si>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</si>
  <si>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</si>
  <si>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</si>
  <si>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</si>
  <si>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</si>
  <si>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</si>
  <si>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</si>
  <si>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</si>
  <si>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</si>
  <si>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</si>
  <si>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</si>
  <si>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</si>
  <si>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</si>
  <si>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</si>
  <si>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</si>
  <si>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</si>
  <si>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</si>
  <si>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</si>
  <si>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</si>
  <si>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</si>
  <si>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</si>
  <si>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</si>
  <si>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</si>
  <si>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</si>
  <si>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</si>
  <si>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</si>
  <si>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</si>
  <si>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</si>
  <si>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</si>
  <si>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</si>
  <si>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</si>
  <si>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</si>
  <si>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</si>
  <si>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</si>
  <si>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</si>
  <si>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</si>
  <si>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</si>
  <si>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</si>
  <si>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</si>
  <si>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</si>
  <si>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</si>
  <si>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</si>
  <si>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</si>
  <si>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</si>
  <si>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</si>
  <si>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</si>
  <si>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</si>
  <si>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</si>
  <si>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</si>
  <si>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</si>
  <si>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</si>
  <si>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</si>
  <si>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</si>
  <si>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</si>
  <si>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</si>
  <si>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</si>
  <si>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</si>
  <si>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</si>
  <si>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</si>
  <si>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</si>
  <si>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</si>
  <si>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</si>
  <si>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</si>
  <si>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</si>
  <si>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</si>
  <si>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</si>
  <si>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</si>
  <si>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</si>
  <si>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</si>
  <si>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</si>
  <si>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</si>
  <si>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</si>
  <si>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</si>
  <si>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</si>
  <si>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</si>
  <si>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</si>
  <si>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</si>
  <si>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</si>
  <si>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</si>
  <si>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</si>
  <si>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</si>
  <si>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</si>
  <si>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</si>
  <si>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</si>
  <si>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</si>
  <si>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</si>
  <si>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</si>
  <si>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</si>
  <si>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</si>
  <si>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</si>
  <si>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</si>
  <si>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</si>
  <si>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</si>
  <si>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</si>
  <si>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</si>
  <si>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</si>
  <si>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</si>
  <si>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</si>
  <si>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</si>
  <si>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</si>
  <si>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</si>
  <si>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</si>
  <si>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</si>
  <si>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</si>
  <si>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</si>
  <si>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</si>
  <si>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</si>
  <si>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</si>
  <si>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</si>
  <si>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</si>
  <si>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</si>
  <si>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</si>
  <si>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</si>
  <si>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</si>
  <si>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</si>
  <si>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</si>
  <si>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</si>
  <si>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</si>
  <si>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</si>
  <si>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</si>
  <si>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</si>
  <si>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</si>
  <si>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</si>
  <si>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</si>
  <si>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</si>
  <si>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</si>
  <si>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</si>
  <si>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</si>
  <si>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</si>
  <si>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</si>
  <si>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</si>
  <si>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</si>
  <si>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</si>
  <si>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</si>
  <si>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</si>
  <si>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</si>
  <si>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Potosi</t>
  </si>
  <si>
    <t>Bolivia</t>
  </si>
  <si>
    <t>2011 (NÚMERO DE DOCENTES PERTINENTES DEL NIVEL SECUNDARIO)</t>
  </si>
  <si>
    <t>2012 (NÚMERO DE DOCENTES PERTINENTES DEL NIVEL SECUNDARIO)</t>
  </si>
  <si>
    <t>2013 (NÚMERO DE DOCENTES PERTINENTES DEL NIVEL SECUNDARIO)</t>
  </si>
  <si>
    <t>2014 (NÚMERO DE DOCENTES PERTINENTES DEL NIVEL SECUNDARIO)</t>
  </si>
  <si>
    <t>2022 (NÚMERO DE DOCENTES PERTINENTES DEL NIVEL SECUNDARIO)</t>
  </si>
  <si>
    <t>2023 (NÚMERO DE DOCENTES PERTINENTES DEL NIVEL SECUNDARIO)</t>
  </si>
  <si>
    <t>2024 (NÚMERO DE DOCENTES PERTINENTES DEL NIVEL SECUNDARIO)</t>
  </si>
  <si>
    <t>2011 (NÚMERO DE DOCENTES DEL NIVEL SECUNDARIO)</t>
  </si>
  <si>
    <t>2012 (NÚMERO DE DOCENTES DEL NIVEL SECUNDARIO)</t>
  </si>
  <si>
    <t>2013 (NÚMERO DE DOCENTES DEL NIVEL SECUNDARIO)</t>
  </si>
  <si>
    <t>2014 (NÚMERO DE DOCENTES DEL NIVEL SECUNDARIO)</t>
  </si>
  <si>
    <t>2022 (NÚMERO DE DOCENTES DEL NIVEL SECUNDARIO)</t>
  </si>
  <si>
    <t>2023 (NÚMERO DE DOCENTES DEL NIVEL SECUNDARIO)</t>
  </si>
  <si>
    <t>2024 (NÚMERO DE DOCENTES DEL NIVEL SECUNDARIO)</t>
  </si>
  <si>
    <t>(PORCENTAJE DE DOCENTES PERTINENTES DEL NIVEL SECUNDARIO) 2011</t>
  </si>
  <si>
    <t>(PORCENTAJE DE DOCENTES PERTINENTES DEL NIVEL SECUNDARIO) 2012</t>
  </si>
  <si>
    <t>(PORCENTAJE DE DOCENTES PERTINENTES DEL NIVEL SECUNDARIO) 2013</t>
  </si>
  <si>
    <t>(PORCENTAJE DE DOCENTES PERTINENTES DEL NIVEL SECUNDARIO) 2014</t>
  </si>
  <si>
    <t>(PORCENTAJE DE DOCENTES PERTINENTES DEL NIVEL SECUNDARIO) 2022</t>
  </si>
  <si>
    <t>(PORCENTAJE DE DOCENTES PERTINENTES DEL NIVEL SECUNDARIO) 2023</t>
  </si>
  <si>
    <t>(PORCENTAJE DE DOCENTES PERTINENTES DEL NIVEL SECUNDARIO) 2024</t>
  </si>
  <si>
    <t>(Número promedio de profesores con pertinencia del Nivel Secundario) 2012 - 2014</t>
  </si>
  <si>
    <t>(Número promedio de profesores con pertinencia del Nivel Secundario) 2022 - 2024</t>
  </si>
  <si>
    <t>Codigo_MUN</t>
  </si>
  <si>
    <t>Profesores_calificados_secundaria_prom_2012_2014</t>
  </si>
  <si>
    <t>Profesores_calificados_secundaria_prom_2022_2024</t>
  </si>
  <si>
    <t>Número_promedio_de_profesores_calificados_secundaria_2012_2014</t>
  </si>
  <si>
    <t>Número_promedio_de_profesores_calificados_secundaria_2022_2024</t>
  </si>
  <si>
    <t>Profesores calificados en nivel secundario</t>
  </si>
  <si>
    <t>Profesores calificados (pertinencia) secundaria (Promedio 2012 - 2014)</t>
  </si>
  <si>
    <t>Profesores calificados (pertinencia) Secundaria (Promedio 2022 - 2024)</t>
  </si>
  <si>
    <t>Profesores calificados (pertinencia) secundaria (Promedio 2022 - 2024)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</si>
</sst>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164" fontId="0" fillId="0" borderId="0" xfId="0" applyNumberFormat="1"/>
    <xf numFmtId="0" fontId="7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1" xfId="0" applyFont="1" applyBorder="1" applyAlignment="1">
      <alignment vertical="top" wrapText="1"/>
    </xf>
    <xf numFmtId="3" fontId="0" fillId="0" borderId="1" xfId="0" applyNumberFormat="1" applyBorder="1"/>
    <xf numFmtId="0" fontId="7" fillId="0" borderId="1" xfId="0" applyFont="1" applyBorder="1"/>
    <xf numFmtId="165" fontId="0" fillId="0" borderId="1" xfId="0" applyNumberFormat="1" applyBorder="1"/>
    <xf numFmtId="0" fontId="5" fillId="0" borderId="1" xfId="0" applyFont="1" applyBorder="1"/>
    <xf numFmtId="3" fontId="9" fillId="0" borderId="1" xfId="0" applyNumberFormat="1" applyFont="1" applyBorder="1"/>
    <xf numFmtId="0" fontId="7" fillId="0" borderId="3" xfId="0" applyFont="1" applyBorder="1" applyAlignment="1">
      <alignment vertical="top" wrapText="1"/>
    </xf>
    <xf numFmtId="3" fontId="0" fillId="0" borderId="4" xfId="0" applyNumberFormat="1" applyBorder="1"/>
    <xf numFmtId="0" fontId="0" fillId="0" borderId="4" xfId="0" applyBorder="1"/>
    <xf numFmtId="0" fontId="8" fillId="0" borderId="5" xfId="0" applyFont="1" applyBorder="1" applyAlignment="1">
      <alignment vertical="center" wrapText="1"/>
    </xf>
    <xf numFmtId="164" fontId="0" fillId="0" borderId="5" xfId="0" applyNumberFormat="1" applyBorder="1"/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DE89-5EA2-4187-892B-4F2B77385448}">
  <dimension ref="A1:BC347"/>
  <sheetViews>
    <sheetView topLeftCell="AO1" zoomScale="115" zoomScaleNormal="115" workbookViewId="0">
      <selection activeCell="AB2" sqref="AB2"/>
    </sheetView>
  </sheetViews>
  <sheetFormatPr baseColWidth="10" defaultRowHeight="14.4" x14ac:dyDescent="0.3"/>
  <cols>
    <col min="9" max="9" width="12" customWidth="1"/>
    <col min="33" max="33" width="13.5546875" customWidth="1"/>
  </cols>
  <sheetData>
    <row r="1" spans="1:55" ht="12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519</v>
      </c>
      <c r="F1" s="13" t="s">
        <v>496</v>
      </c>
      <c r="G1" s="13" t="s">
        <v>497</v>
      </c>
      <c r="H1" s="13" t="s">
        <v>498</v>
      </c>
      <c r="I1" s="13" t="s">
        <v>499</v>
      </c>
      <c r="J1" s="13" t="s">
        <v>500</v>
      </c>
      <c r="K1" s="13" t="s">
        <v>501</v>
      </c>
      <c r="L1" s="13" t="s">
        <v>502</v>
      </c>
      <c r="M1" s="13" t="s">
        <v>503</v>
      </c>
      <c r="N1" s="13" t="s">
        <v>504</v>
      </c>
      <c r="O1" s="14" t="s">
        <v>505</v>
      </c>
      <c r="P1" s="13" t="s">
        <v>506</v>
      </c>
      <c r="Q1" s="13" t="s">
        <v>507</v>
      </c>
      <c r="R1" s="23" t="s">
        <v>508</v>
      </c>
      <c r="S1" s="17" t="s">
        <v>509</v>
      </c>
      <c r="T1" s="17" t="s">
        <v>510</v>
      </c>
      <c r="U1" s="17" t="s">
        <v>511</v>
      </c>
      <c r="V1" s="17" t="s">
        <v>512</v>
      </c>
      <c r="W1" s="17" t="s">
        <v>513</v>
      </c>
      <c r="X1" s="17" t="s">
        <v>514</v>
      </c>
      <c r="Y1" s="17" t="s">
        <v>515</v>
      </c>
      <c r="Z1" s="28" t="s">
        <v>516</v>
      </c>
      <c r="AA1" s="15" t="s">
        <v>525</v>
      </c>
      <c r="AB1" s="26" t="s">
        <v>527</v>
      </c>
      <c r="AC1" s="15" t="s">
        <v>517</v>
      </c>
      <c r="AD1" s="15" t="s">
        <v>518</v>
      </c>
      <c r="AE1" s="16"/>
      <c r="AF1" s="16"/>
      <c r="AG1" s="17" t="s">
        <v>483</v>
      </c>
      <c r="AH1" s="13" t="s">
        <v>497</v>
      </c>
      <c r="AI1" s="13" t="s">
        <v>498</v>
      </c>
      <c r="AJ1" s="13" t="s">
        <v>499</v>
      </c>
      <c r="AK1" s="13" t="s">
        <v>504</v>
      </c>
      <c r="AL1" s="14" t="s">
        <v>505</v>
      </c>
      <c r="AM1" s="13" t="s">
        <v>506</v>
      </c>
      <c r="AN1" s="13" t="s">
        <v>511</v>
      </c>
      <c r="AO1" s="13" t="s">
        <v>512</v>
      </c>
      <c r="AP1" s="13" t="s">
        <v>513</v>
      </c>
      <c r="AQ1" s="26" t="s">
        <v>525</v>
      </c>
      <c r="AR1" s="13" t="s">
        <v>500</v>
      </c>
      <c r="AS1" s="13" t="s">
        <v>501</v>
      </c>
      <c r="AT1" s="13" t="s">
        <v>502</v>
      </c>
      <c r="AU1" s="13" t="s">
        <v>507</v>
      </c>
      <c r="AV1" s="13" t="s">
        <v>508</v>
      </c>
      <c r="AW1" s="23" t="s">
        <v>509</v>
      </c>
      <c r="AX1" s="13" t="s">
        <v>514</v>
      </c>
      <c r="AY1" s="13" t="s">
        <v>515</v>
      </c>
      <c r="AZ1" s="14" t="s">
        <v>516</v>
      </c>
      <c r="BA1" s="15" t="s">
        <v>526</v>
      </c>
      <c r="BB1" s="15" t="s">
        <v>517</v>
      </c>
      <c r="BC1" s="15" t="s">
        <v>518</v>
      </c>
    </row>
    <row r="2" spans="1:55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18">
        <v>960</v>
      </c>
      <c r="G2" s="18">
        <v>952</v>
      </c>
      <c r="H2" s="18">
        <v>1127</v>
      </c>
      <c r="I2" s="18">
        <v>1220</v>
      </c>
      <c r="J2" s="18">
        <v>1470</v>
      </c>
      <c r="K2" s="18">
        <v>1480</v>
      </c>
      <c r="L2" s="11">
        <v>1500</v>
      </c>
      <c r="M2" s="11">
        <v>1099</v>
      </c>
      <c r="N2" s="11">
        <v>1084</v>
      </c>
      <c r="O2" s="11">
        <v>1365</v>
      </c>
      <c r="P2" s="18">
        <v>1475</v>
      </c>
      <c r="Q2" s="18">
        <v>1796</v>
      </c>
      <c r="R2" s="24">
        <v>1807</v>
      </c>
      <c r="S2" s="18">
        <v>1831</v>
      </c>
      <c r="T2" s="18">
        <v>87.352138307552323</v>
      </c>
      <c r="U2" s="18">
        <v>87.822878228782287</v>
      </c>
      <c r="V2" s="18">
        <v>82.564102564102555</v>
      </c>
      <c r="W2" s="11">
        <v>82.711864406779654</v>
      </c>
      <c r="X2" s="11">
        <v>81.84855233853007</v>
      </c>
      <c r="Y2" s="11">
        <v>81.903707802988379</v>
      </c>
      <c r="Z2" s="11">
        <v>81.92244675040962</v>
      </c>
      <c r="AA2" s="11">
        <f>AVERAGE(U2:W2)</f>
        <v>84.366281733221498</v>
      </c>
      <c r="AB2" s="27">
        <f>AVERAGE(X2:Z2)</f>
        <v>81.891568963976013</v>
      </c>
      <c r="AC2" s="2">
        <f>AVERAGE(G2:I2)</f>
        <v>1099.6666666666667</v>
      </c>
      <c r="AD2" s="2">
        <f>AVERAGE(J2:L2)</f>
        <v>1483.3333333333333</v>
      </c>
      <c r="AG2" s="19" t="s">
        <v>4</v>
      </c>
      <c r="AH2" s="18">
        <f>+SUM(G2:G30)</f>
        <v>1843</v>
      </c>
      <c r="AI2" s="18">
        <f>+SUM(H2:H30)</f>
        <v>2199</v>
      </c>
      <c r="AJ2" s="18">
        <f>+SUM(I2:I30)</f>
        <v>2368</v>
      </c>
      <c r="AK2" s="18">
        <f>+SUM(N2:N30)</f>
        <v>2177</v>
      </c>
      <c r="AL2" s="18">
        <f t="shared" ref="AL2:AM2" si="0">+SUM(O2:O30)</f>
        <v>2899</v>
      </c>
      <c r="AM2" s="18">
        <f t="shared" si="0"/>
        <v>3098</v>
      </c>
      <c r="AN2" s="11">
        <f>+(AH2/AK2)*100</f>
        <v>84.657785943959567</v>
      </c>
      <c r="AO2" s="11">
        <f>+(AI2/AL2)*100</f>
        <v>75.853742669886174</v>
      </c>
      <c r="AP2" s="11">
        <f>+(AJ2/AM2)*100</f>
        <v>76.436410587475791</v>
      </c>
      <c r="AQ2" s="11">
        <f>AVERAGE(AN2:AP2)</f>
        <v>78.982646400440515</v>
      </c>
      <c r="AR2" s="18">
        <f>+SUM(J2:J30)</f>
        <v>3115</v>
      </c>
      <c r="AS2" s="18">
        <f>+SUM(K2:K30)</f>
        <v>3151</v>
      </c>
      <c r="AT2" s="18">
        <f>+SUM(L2:L30)</f>
        <v>3198</v>
      </c>
      <c r="AU2" s="18">
        <f>+SUM(Q2:Q30)</f>
        <v>3880</v>
      </c>
      <c r="AV2" s="18">
        <f t="shared" ref="AV2:AW2" si="1">+SUM(R2:R30)</f>
        <v>3927</v>
      </c>
      <c r="AW2" s="18">
        <f t="shared" si="1"/>
        <v>3981</v>
      </c>
      <c r="AX2" s="20">
        <f>(AR2/AU2)*100</f>
        <v>80.283505154639172</v>
      </c>
      <c r="AY2" s="20">
        <f t="shared" ref="AY2:AZ11" si="2">(AS2/AV2)*100</f>
        <v>80.239368474662584</v>
      </c>
      <c r="AZ2" s="20">
        <f t="shared" si="2"/>
        <v>80.331574981160514</v>
      </c>
      <c r="BA2" s="20">
        <f>AVERAGE(AX2:AZ2)</f>
        <v>80.284816203487424</v>
      </c>
      <c r="BB2" s="18">
        <f>AVERAGE(AH2:AJ2)</f>
        <v>2136.6666666666665</v>
      </c>
      <c r="BC2" s="18">
        <f>AVERAGE(AR2:AT2)</f>
        <v>3154.6666666666665</v>
      </c>
    </row>
    <row r="3" spans="1:55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18">
        <v>63</v>
      </c>
      <c r="G3" s="18">
        <v>67</v>
      </c>
      <c r="H3" s="18">
        <v>79</v>
      </c>
      <c r="I3" s="18">
        <v>79</v>
      </c>
      <c r="J3" s="18">
        <v>89</v>
      </c>
      <c r="K3" s="18">
        <v>87</v>
      </c>
      <c r="L3" s="11">
        <v>87</v>
      </c>
      <c r="M3" s="11">
        <v>73</v>
      </c>
      <c r="N3" s="11">
        <v>77</v>
      </c>
      <c r="O3" s="11">
        <v>91</v>
      </c>
      <c r="P3" s="18">
        <v>93</v>
      </c>
      <c r="Q3" s="18">
        <v>109</v>
      </c>
      <c r="R3" s="24">
        <v>108</v>
      </c>
      <c r="S3" s="18">
        <v>108</v>
      </c>
      <c r="T3" s="18">
        <v>86.301369863013704</v>
      </c>
      <c r="U3" s="18">
        <v>87.012987012987011</v>
      </c>
      <c r="V3" s="18">
        <v>86.813186813186817</v>
      </c>
      <c r="W3" s="11">
        <v>84.946236559139791</v>
      </c>
      <c r="X3" s="11">
        <v>81.651376146788991</v>
      </c>
      <c r="Y3" s="11">
        <v>80.555555555555557</v>
      </c>
      <c r="Z3" s="11">
        <v>80.555555555555557</v>
      </c>
      <c r="AA3" s="11">
        <f t="shared" ref="AA3:AA66" si="3">AVERAGE(U3:W3)</f>
        <v>86.257470128437873</v>
      </c>
      <c r="AB3" s="27">
        <f t="shared" ref="AB3:AB66" si="4">AVERAGE(X3:Z3)</f>
        <v>80.920829085966702</v>
      </c>
      <c r="AC3" s="2">
        <f t="shared" ref="AC3:AC66" si="5">AVERAGE(G3:I3)</f>
        <v>75</v>
      </c>
      <c r="AD3" s="2">
        <f t="shared" ref="AD3:AD66" si="6">AVERAGE(J3:L3)</f>
        <v>87.666666666666671</v>
      </c>
      <c r="AG3" s="19" t="s">
        <v>50</v>
      </c>
      <c r="AH3" s="18">
        <f>+SUM(G31:G117)</f>
        <v>8484</v>
      </c>
      <c r="AI3" s="18">
        <f>+SUM(H31:H117)</f>
        <v>10135</v>
      </c>
      <c r="AJ3" s="18">
        <f>+SUM(I31:I117)</f>
        <v>10816</v>
      </c>
      <c r="AK3" s="18">
        <f>+SUM(N31:N117)</f>
        <v>10608</v>
      </c>
      <c r="AL3" s="18">
        <f t="shared" ref="AL3:AM3" si="7">+SUM(O31:O117)</f>
        <v>14184</v>
      </c>
      <c r="AM3" s="18">
        <f t="shared" si="7"/>
        <v>14847</v>
      </c>
      <c r="AN3" s="11">
        <f t="shared" ref="AN3:AP12" si="8">+(AH3/AK3)*100</f>
        <v>79.97737556561087</v>
      </c>
      <c r="AO3" s="11">
        <f t="shared" si="8"/>
        <v>71.453750705019729</v>
      </c>
      <c r="AP3" s="11">
        <f t="shared" si="8"/>
        <v>72.849733952987137</v>
      </c>
      <c r="AQ3" s="11">
        <f t="shared" ref="AQ3:AQ12" si="9">AVERAGE(AN3:AP3)</f>
        <v>74.760286741205917</v>
      </c>
      <c r="AR3" s="18">
        <f>+SUM(J31:J117)</f>
        <v>14108</v>
      </c>
      <c r="AS3" s="18">
        <f>+SUM(K31:K117)</f>
        <v>14415</v>
      </c>
      <c r="AT3" s="18">
        <f>+SUM(L31:L117)</f>
        <v>14606</v>
      </c>
      <c r="AU3" s="18">
        <f>+SUM(Q31:Q117)</f>
        <v>17859</v>
      </c>
      <c r="AV3" s="18">
        <f t="shared" ref="AV3:AW3" si="10">+SUM(R31:R117)</f>
        <v>18205</v>
      </c>
      <c r="AW3" s="18">
        <f t="shared" si="10"/>
        <v>18440</v>
      </c>
      <c r="AX3" s="20">
        <f t="shared" ref="AX3:AX11" si="11">(AR3/AU3)*100</f>
        <v>78.996584355227057</v>
      </c>
      <c r="AY3" s="20">
        <f t="shared" si="2"/>
        <v>79.181543531996695</v>
      </c>
      <c r="AZ3" s="20">
        <f t="shared" si="2"/>
        <v>79.20824295010847</v>
      </c>
      <c r="BA3" s="20">
        <f t="shared" ref="BA3:BA12" si="12">AVERAGE(AX3:AY3)</f>
        <v>79.089063943611876</v>
      </c>
      <c r="BB3" s="18">
        <f t="shared" ref="BB3:BB12" si="13">AVERAGE(AH3:AJ3)</f>
        <v>9811.6666666666661</v>
      </c>
      <c r="BC3" s="18">
        <f t="shared" ref="BC3:BC12" si="14">AVERAGE(AR3:AT3)</f>
        <v>14376.333333333334</v>
      </c>
    </row>
    <row r="4" spans="1:55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18">
        <v>30</v>
      </c>
      <c r="G4" s="18">
        <v>70</v>
      </c>
      <c r="H4" s="18">
        <v>81</v>
      </c>
      <c r="I4" s="18">
        <v>96</v>
      </c>
      <c r="J4" s="18">
        <v>70</v>
      </c>
      <c r="K4" s="18">
        <v>79</v>
      </c>
      <c r="L4" s="11">
        <v>79</v>
      </c>
      <c r="M4" s="11">
        <v>32</v>
      </c>
      <c r="N4" s="11">
        <v>87</v>
      </c>
      <c r="O4" s="11">
        <v>105</v>
      </c>
      <c r="P4" s="18">
        <v>120</v>
      </c>
      <c r="Q4" s="18">
        <v>91</v>
      </c>
      <c r="R4" s="24">
        <v>99</v>
      </c>
      <c r="S4" s="18">
        <v>99</v>
      </c>
      <c r="T4" s="18">
        <v>93.75</v>
      </c>
      <c r="U4" s="18">
        <v>80.459770114942529</v>
      </c>
      <c r="V4" s="18">
        <v>77.142857142857153</v>
      </c>
      <c r="W4" s="11">
        <v>80</v>
      </c>
      <c r="X4" s="11">
        <v>76.923076923076934</v>
      </c>
      <c r="Y4" s="11">
        <v>79.797979797979806</v>
      </c>
      <c r="Z4" s="11">
        <v>79.797979797979806</v>
      </c>
      <c r="AA4" s="11">
        <f t="shared" si="3"/>
        <v>79.200875752599885</v>
      </c>
      <c r="AB4" s="27">
        <f t="shared" si="4"/>
        <v>78.839678839678854</v>
      </c>
      <c r="AC4" s="2">
        <f t="shared" si="5"/>
        <v>82.333333333333329</v>
      </c>
      <c r="AD4" s="2">
        <f t="shared" si="6"/>
        <v>76</v>
      </c>
      <c r="AG4" s="19" t="s">
        <v>167</v>
      </c>
      <c r="AH4" s="18">
        <f>+SUM(G118:G165)</f>
        <v>4803</v>
      </c>
      <c r="AI4" s="18">
        <f>+SUM(H118:H165)</f>
        <v>5900</v>
      </c>
      <c r="AJ4" s="18">
        <f>+SUM(I118:I165)</f>
        <v>6366</v>
      </c>
      <c r="AK4" s="18">
        <f>+SUM(N118:N165)</f>
        <v>6107</v>
      </c>
      <c r="AL4" s="18">
        <f t="shared" ref="AL4:AM4" si="15">+SUM(O118:O165)</f>
        <v>8146</v>
      </c>
      <c r="AM4" s="18">
        <f t="shared" si="15"/>
        <v>8703</v>
      </c>
      <c r="AN4" s="11">
        <f t="shared" si="8"/>
        <v>78.64745374160799</v>
      </c>
      <c r="AO4" s="11">
        <f t="shared" si="8"/>
        <v>72.428185612570587</v>
      </c>
      <c r="AP4" s="11">
        <f t="shared" si="8"/>
        <v>73.147190623922782</v>
      </c>
      <c r="AQ4" s="11">
        <f t="shared" si="9"/>
        <v>74.740943326033786</v>
      </c>
      <c r="AR4" s="18">
        <f>+SUM(J118:J165)</f>
        <v>9008</v>
      </c>
      <c r="AS4" s="18">
        <f>+SUM(K118:K165)</f>
        <v>9261</v>
      </c>
      <c r="AT4" s="18">
        <f>+SUM(L118:L165)</f>
        <v>9434</v>
      </c>
      <c r="AU4" s="18">
        <f>+SUM(Q118:Q165)</f>
        <v>11239</v>
      </c>
      <c r="AV4" s="18">
        <f t="shared" ref="AV4:AW4" si="16">+SUM(R118:R165)</f>
        <v>11589</v>
      </c>
      <c r="AW4" s="18">
        <f t="shared" si="16"/>
        <v>11830</v>
      </c>
      <c r="AX4" s="20">
        <f t="shared" si="11"/>
        <v>80.149479491057917</v>
      </c>
      <c r="AY4" s="20">
        <f t="shared" si="2"/>
        <v>79.911985503494691</v>
      </c>
      <c r="AZ4" s="20">
        <f t="shared" si="2"/>
        <v>79.746407438715124</v>
      </c>
      <c r="BA4" s="20">
        <f t="shared" si="12"/>
        <v>80.030732497276304</v>
      </c>
      <c r="BB4" s="18">
        <f t="shared" si="13"/>
        <v>5689.666666666667</v>
      </c>
      <c r="BC4" s="18">
        <f t="shared" si="14"/>
        <v>9234.3333333333339</v>
      </c>
    </row>
    <row r="5" spans="1:55" x14ac:dyDescent="0.3">
      <c r="A5" s="1" t="s">
        <v>4</v>
      </c>
      <c r="B5" s="1" t="s">
        <v>9</v>
      </c>
      <c r="C5" s="1" t="s">
        <v>10</v>
      </c>
      <c r="D5" s="1" t="s">
        <v>10</v>
      </c>
      <c r="E5" s="2">
        <v>10201</v>
      </c>
      <c r="F5" s="18">
        <v>16</v>
      </c>
      <c r="G5" s="18">
        <v>29</v>
      </c>
      <c r="H5" s="18">
        <v>30</v>
      </c>
      <c r="I5" s="18">
        <v>33</v>
      </c>
      <c r="J5" s="18">
        <v>57</v>
      </c>
      <c r="K5" s="18">
        <v>59</v>
      </c>
      <c r="L5" s="11">
        <v>58</v>
      </c>
      <c r="M5" s="11">
        <v>18</v>
      </c>
      <c r="N5" s="11">
        <v>39</v>
      </c>
      <c r="O5" s="11">
        <v>43</v>
      </c>
      <c r="P5" s="18">
        <v>46</v>
      </c>
      <c r="Q5" s="18">
        <v>64</v>
      </c>
      <c r="R5" s="24">
        <v>65</v>
      </c>
      <c r="S5" s="18">
        <v>65</v>
      </c>
      <c r="T5" s="18">
        <v>88.888888888888886</v>
      </c>
      <c r="U5" s="18">
        <v>74.358974358974365</v>
      </c>
      <c r="V5" s="18">
        <v>69.767441860465112</v>
      </c>
      <c r="W5" s="11">
        <v>71.739130434782609</v>
      </c>
      <c r="X5" s="11">
        <v>89.0625</v>
      </c>
      <c r="Y5" s="11">
        <v>90.769230769230774</v>
      </c>
      <c r="Z5" s="11">
        <v>89.230769230769241</v>
      </c>
      <c r="AA5" s="11">
        <f t="shared" si="3"/>
        <v>71.955182218074029</v>
      </c>
      <c r="AB5" s="27">
        <f t="shared" si="4"/>
        <v>89.6875</v>
      </c>
      <c r="AC5" s="2">
        <f t="shared" si="5"/>
        <v>30.666666666666668</v>
      </c>
      <c r="AD5" s="2">
        <f t="shared" si="6"/>
        <v>58</v>
      </c>
      <c r="AG5" s="19" t="s">
        <v>230</v>
      </c>
      <c r="AH5" s="18">
        <f>+SUM(G166:G200)</f>
        <v>1562</v>
      </c>
      <c r="AI5" s="18">
        <f>+SUM(H166:H200)</f>
        <v>2026</v>
      </c>
      <c r="AJ5" s="18">
        <f>+SUM(I166:I200)</f>
        <v>2084</v>
      </c>
      <c r="AK5" s="18">
        <f>+SUM(N166:N200)</f>
        <v>2123</v>
      </c>
      <c r="AL5" s="18">
        <f t="shared" ref="AL5:AM5" si="17">+SUM(O166:O200)</f>
        <v>2916</v>
      </c>
      <c r="AM5" s="18">
        <f t="shared" si="17"/>
        <v>2989</v>
      </c>
      <c r="AN5" s="11">
        <f t="shared" si="8"/>
        <v>73.575129533678748</v>
      </c>
      <c r="AO5" s="11">
        <f t="shared" si="8"/>
        <v>69.478737997256516</v>
      </c>
      <c r="AP5" s="11">
        <f t="shared" si="8"/>
        <v>69.722315155570428</v>
      </c>
      <c r="AQ5" s="11">
        <f t="shared" si="9"/>
        <v>70.925394228835231</v>
      </c>
      <c r="AR5" s="18">
        <f>+SUM(J166:J200)</f>
        <v>2821</v>
      </c>
      <c r="AS5" s="18">
        <f>+SUM(K166:K200)</f>
        <v>2904</v>
      </c>
      <c r="AT5" s="18">
        <f>+SUM(L166:L200)</f>
        <v>2941</v>
      </c>
      <c r="AU5" s="18">
        <f>+SUM(Q166:Q200)</f>
        <v>3682</v>
      </c>
      <c r="AV5" s="18">
        <f t="shared" ref="AV5:AW5" si="18">+SUM(R166:R200)</f>
        <v>3770</v>
      </c>
      <c r="AW5" s="18">
        <f t="shared" si="18"/>
        <v>3810</v>
      </c>
      <c r="AX5" s="20">
        <f t="shared" si="11"/>
        <v>76.615969581749056</v>
      </c>
      <c r="AY5" s="20">
        <f t="shared" si="2"/>
        <v>77.029177718832884</v>
      </c>
      <c r="AZ5" s="20">
        <f t="shared" si="2"/>
        <v>77.191601049868765</v>
      </c>
      <c r="BA5" s="20">
        <f t="shared" si="12"/>
        <v>76.822573650290963</v>
      </c>
      <c r="BB5" s="18">
        <f t="shared" si="13"/>
        <v>1890.6666666666667</v>
      </c>
      <c r="BC5" s="18">
        <f t="shared" si="14"/>
        <v>2888.6666666666665</v>
      </c>
    </row>
    <row r="6" spans="1:55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18">
        <v>28</v>
      </c>
      <c r="G6" s="18">
        <v>37</v>
      </c>
      <c r="H6" s="18">
        <v>44</v>
      </c>
      <c r="I6" s="18">
        <v>49</v>
      </c>
      <c r="J6" s="18">
        <v>90</v>
      </c>
      <c r="K6" s="18">
        <v>88</v>
      </c>
      <c r="L6" s="11">
        <v>88</v>
      </c>
      <c r="M6" s="11">
        <v>30</v>
      </c>
      <c r="N6" s="11">
        <v>42</v>
      </c>
      <c r="O6" s="11">
        <v>68</v>
      </c>
      <c r="P6" s="18">
        <v>70</v>
      </c>
      <c r="Q6" s="18">
        <v>104</v>
      </c>
      <c r="R6" s="24">
        <v>104</v>
      </c>
      <c r="S6" s="18">
        <v>104</v>
      </c>
      <c r="T6" s="18">
        <v>93.333333333333329</v>
      </c>
      <c r="U6" s="18">
        <v>88.095238095238088</v>
      </c>
      <c r="V6" s="18">
        <v>64.705882352941174</v>
      </c>
      <c r="W6" s="11">
        <v>70</v>
      </c>
      <c r="X6" s="11">
        <v>86.538461538461547</v>
      </c>
      <c r="Y6" s="11">
        <v>84.615384615384613</v>
      </c>
      <c r="Z6" s="11">
        <v>84.615384615384613</v>
      </c>
      <c r="AA6" s="11">
        <f t="shared" si="3"/>
        <v>74.267040149393083</v>
      </c>
      <c r="AB6" s="27">
        <f t="shared" si="4"/>
        <v>85.256410256410263</v>
      </c>
      <c r="AC6" s="2">
        <f t="shared" si="5"/>
        <v>43.333333333333336</v>
      </c>
      <c r="AD6" s="2">
        <f t="shared" si="6"/>
        <v>88.666666666666671</v>
      </c>
      <c r="AG6" s="19" t="s">
        <v>494</v>
      </c>
      <c r="AH6" s="18">
        <f>+SUM(G201:G242)</f>
        <v>2321</v>
      </c>
      <c r="AI6" s="18">
        <f>+SUM(H201:H242)</f>
        <v>2816</v>
      </c>
      <c r="AJ6" s="18">
        <f>+SUM(I201:I242)</f>
        <v>3052</v>
      </c>
      <c r="AK6" s="18">
        <f>+SUM(N201:N242)</f>
        <v>3366</v>
      </c>
      <c r="AL6" s="18">
        <f t="shared" ref="AL6:AM6" si="19">+SUM(O201:O242)</f>
        <v>4805</v>
      </c>
      <c r="AM6" s="18">
        <f t="shared" si="19"/>
        <v>5130</v>
      </c>
      <c r="AN6" s="11">
        <f t="shared" si="8"/>
        <v>68.954248366013076</v>
      </c>
      <c r="AO6" s="11">
        <f t="shared" si="8"/>
        <v>58.605619146722162</v>
      </c>
      <c r="AP6" s="11">
        <f t="shared" si="8"/>
        <v>59.49317738791423</v>
      </c>
      <c r="AQ6" s="11">
        <f t="shared" si="9"/>
        <v>62.351014966883156</v>
      </c>
      <c r="AR6" s="18">
        <f>+SUM(J201:J242)</f>
        <v>4324</v>
      </c>
      <c r="AS6" s="18">
        <f>+SUM(K201:K242)</f>
        <v>4406</v>
      </c>
      <c r="AT6" s="18">
        <f>+SUM(L201:L242)</f>
        <v>4547</v>
      </c>
      <c r="AU6" s="18">
        <f>+SUM(Q201:Q242)</f>
        <v>6019</v>
      </c>
      <c r="AV6" s="18">
        <f t="shared" ref="AV6:AW6" si="20">+SUM(R201:R242)</f>
        <v>6128</v>
      </c>
      <c r="AW6" s="18">
        <f t="shared" si="20"/>
        <v>6280</v>
      </c>
      <c r="AX6" s="20">
        <f t="shared" si="11"/>
        <v>71.839175942847646</v>
      </c>
      <c r="AY6" s="20">
        <f t="shared" si="2"/>
        <v>71.899477806788511</v>
      </c>
      <c r="AZ6" s="20">
        <f t="shared" si="2"/>
        <v>72.404458598726123</v>
      </c>
      <c r="BA6" s="20">
        <f t="shared" si="12"/>
        <v>71.869326874818086</v>
      </c>
      <c r="BB6" s="18">
        <f t="shared" si="13"/>
        <v>2729.6666666666665</v>
      </c>
      <c r="BC6" s="18">
        <f t="shared" si="14"/>
        <v>4425.666666666667</v>
      </c>
    </row>
    <row r="7" spans="1:55" x14ac:dyDescent="0.3">
      <c r="A7" s="1" t="s">
        <v>4</v>
      </c>
      <c r="B7" s="1" t="s">
        <v>13</v>
      </c>
      <c r="C7" s="1" t="s">
        <v>14</v>
      </c>
      <c r="D7" s="1" t="s">
        <v>15</v>
      </c>
      <c r="E7" s="2">
        <v>10301</v>
      </c>
      <c r="F7" s="18">
        <v>20</v>
      </c>
      <c r="G7" s="18">
        <v>25</v>
      </c>
      <c r="H7" s="18">
        <v>28</v>
      </c>
      <c r="I7" s="18">
        <v>28</v>
      </c>
      <c r="J7" s="18">
        <v>33</v>
      </c>
      <c r="K7" s="18">
        <v>32</v>
      </c>
      <c r="L7" s="11">
        <v>32</v>
      </c>
      <c r="M7" s="11">
        <v>24</v>
      </c>
      <c r="N7" s="11">
        <v>32</v>
      </c>
      <c r="O7" s="11">
        <v>36</v>
      </c>
      <c r="P7" s="18">
        <v>37</v>
      </c>
      <c r="Q7" s="18">
        <v>38</v>
      </c>
      <c r="R7" s="24">
        <v>37</v>
      </c>
      <c r="S7" s="18">
        <v>37</v>
      </c>
      <c r="T7" s="18">
        <v>83.333333333333343</v>
      </c>
      <c r="U7" s="18">
        <v>78.125</v>
      </c>
      <c r="V7" s="18">
        <v>77.777777777777786</v>
      </c>
      <c r="W7" s="11">
        <v>75.675675675675677</v>
      </c>
      <c r="X7" s="11">
        <v>86.842105263157904</v>
      </c>
      <c r="Y7" s="11">
        <v>86.486486486486484</v>
      </c>
      <c r="Z7" s="11">
        <v>86.486486486486484</v>
      </c>
      <c r="AA7" s="11">
        <f t="shared" si="3"/>
        <v>77.192817817817811</v>
      </c>
      <c r="AB7" s="27">
        <f t="shared" si="4"/>
        <v>86.605026078710281</v>
      </c>
      <c r="AC7" s="2">
        <f t="shared" si="5"/>
        <v>27</v>
      </c>
      <c r="AD7" s="2">
        <f t="shared" si="6"/>
        <v>32.333333333333336</v>
      </c>
      <c r="AG7" s="19" t="s">
        <v>346</v>
      </c>
      <c r="AH7" s="18">
        <f>+SUM(G243:G253)</f>
        <v>1335</v>
      </c>
      <c r="AI7" s="18">
        <f>+SUM(H243:H253)</f>
        <v>1526</v>
      </c>
      <c r="AJ7" s="18">
        <f>+SUM(I243:I253)</f>
        <v>1627</v>
      </c>
      <c r="AK7" s="18">
        <f>+SUM(N243:N253)</f>
        <v>1860</v>
      </c>
      <c r="AL7" s="18">
        <f t="shared" ref="AL7:AM7" si="21">+SUM(O243:O253)</f>
        <v>2493</v>
      </c>
      <c r="AM7" s="18">
        <f t="shared" si="21"/>
        <v>2631</v>
      </c>
      <c r="AN7" s="11">
        <f t="shared" si="8"/>
        <v>71.774193548387103</v>
      </c>
      <c r="AO7" s="11">
        <f t="shared" si="8"/>
        <v>61.211391897312474</v>
      </c>
      <c r="AP7" s="11">
        <f t="shared" si="8"/>
        <v>61.839604713036863</v>
      </c>
      <c r="AQ7" s="11">
        <f t="shared" si="9"/>
        <v>64.941730052912149</v>
      </c>
      <c r="AR7" s="18">
        <f>+SUM(J243:J253)</f>
        <v>2226</v>
      </c>
      <c r="AS7" s="18">
        <f>+SUM(K243:K253)</f>
        <v>2288</v>
      </c>
      <c r="AT7" s="18">
        <f>+SUM(L243:L253)</f>
        <v>2316</v>
      </c>
      <c r="AU7" s="18">
        <f>+SUM(Q243:Q253)</f>
        <v>2937</v>
      </c>
      <c r="AV7" s="18">
        <f t="shared" ref="AV7:AW7" si="22">+SUM(R243:R253)</f>
        <v>2997</v>
      </c>
      <c r="AW7" s="18">
        <f t="shared" si="22"/>
        <v>3032</v>
      </c>
      <c r="AX7" s="20">
        <f t="shared" si="11"/>
        <v>75.791624106230842</v>
      </c>
      <c r="AY7" s="20">
        <f t="shared" si="2"/>
        <v>76.343009676343016</v>
      </c>
      <c r="AZ7" s="20">
        <f t="shared" si="2"/>
        <v>76.385224274406326</v>
      </c>
      <c r="BA7" s="20">
        <f t="shared" si="12"/>
        <v>76.067316891286936</v>
      </c>
      <c r="BB7" s="18">
        <f t="shared" si="13"/>
        <v>1496</v>
      </c>
      <c r="BC7" s="18">
        <f t="shared" si="14"/>
        <v>2276.6666666666665</v>
      </c>
    </row>
    <row r="8" spans="1:55" x14ac:dyDescent="0.3">
      <c r="A8" s="1" t="s">
        <v>4</v>
      </c>
      <c r="B8" s="1" t="s">
        <v>13</v>
      </c>
      <c r="C8" s="1" t="s">
        <v>16</v>
      </c>
      <c r="D8" s="1" t="s">
        <v>16</v>
      </c>
      <c r="E8" s="2">
        <v>10302</v>
      </c>
      <c r="F8" s="18">
        <v>19</v>
      </c>
      <c r="G8" s="18">
        <v>22</v>
      </c>
      <c r="H8" s="18">
        <v>26</v>
      </c>
      <c r="I8" s="18">
        <v>29</v>
      </c>
      <c r="J8" s="18">
        <v>37</v>
      </c>
      <c r="K8" s="18">
        <v>37</v>
      </c>
      <c r="L8" s="11">
        <v>37</v>
      </c>
      <c r="M8" s="11">
        <v>20</v>
      </c>
      <c r="N8" s="11">
        <v>25</v>
      </c>
      <c r="O8" s="11">
        <v>30</v>
      </c>
      <c r="P8" s="18">
        <v>33</v>
      </c>
      <c r="Q8" s="18">
        <v>45</v>
      </c>
      <c r="R8" s="24">
        <v>45</v>
      </c>
      <c r="S8" s="18">
        <v>45</v>
      </c>
      <c r="T8" s="18">
        <v>95</v>
      </c>
      <c r="U8" s="18">
        <v>88</v>
      </c>
      <c r="V8" s="18">
        <v>86.666666666666671</v>
      </c>
      <c r="W8" s="11">
        <v>87.878787878787875</v>
      </c>
      <c r="X8" s="11">
        <v>82.222222222222214</v>
      </c>
      <c r="Y8" s="11">
        <v>82.222222222222214</v>
      </c>
      <c r="Z8" s="11">
        <v>82.222222222222214</v>
      </c>
      <c r="AA8" s="11">
        <f t="shared" si="3"/>
        <v>87.515151515151516</v>
      </c>
      <c r="AB8" s="27">
        <f t="shared" si="4"/>
        <v>82.222222222222214</v>
      </c>
      <c r="AC8" s="2">
        <f t="shared" si="5"/>
        <v>25.666666666666668</v>
      </c>
      <c r="AD8" s="2">
        <f t="shared" si="6"/>
        <v>37</v>
      </c>
      <c r="AG8" s="19" t="s">
        <v>363</v>
      </c>
      <c r="AH8" s="18">
        <f>+SUM(G254:G309)</f>
        <v>4894</v>
      </c>
      <c r="AI8" s="18">
        <f>+SUM(H254:H309)</f>
        <v>5964</v>
      </c>
      <c r="AJ8" s="18">
        <f>+SUM(I254:I309)</f>
        <v>6530</v>
      </c>
      <c r="AK8" s="18">
        <f>+SUM(N254:N309)</f>
        <v>7032</v>
      </c>
      <c r="AL8" s="18">
        <f t="shared" ref="AL8:AM8" si="23">+SUM(O254:O309)</f>
        <v>9969</v>
      </c>
      <c r="AM8" s="18">
        <f t="shared" si="23"/>
        <v>10418</v>
      </c>
      <c r="AN8" s="11">
        <f t="shared" si="8"/>
        <v>69.596131968145627</v>
      </c>
      <c r="AO8" s="11">
        <f t="shared" si="8"/>
        <v>59.825458922660246</v>
      </c>
      <c r="AP8" s="11">
        <f t="shared" si="8"/>
        <v>62.67997696294875</v>
      </c>
      <c r="AQ8" s="11">
        <f t="shared" si="9"/>
        <v>64.033855951251539</v>
      </c>
      <c r="AR8" s="18">
        <f>+SUM(J254:J309)</f>
        <v>9928</v>
      </c>
      <c r="AS8" s="18">
        <f>+SUM(K254:K309)</f>
        <v>10104</v>
      </c>
      <c r="AT8" s="18">
        <f>+SUM(L254:L309)</f>
        <v>10275</v>
      </c>
      <c r="AU8" s="18">
        <f>+SUM(Q254:Q309)</f>
        <v>12976</v>
      </c>
      <c r="AV8" s="18">
        <f t="shared" ref="AV8:AW8" si="24">+SUM(R254:R309)</f>
        <v>13246</v>
      </c>
      <c r="AW8" s="18">
        <f t="shared" si="24"/>
        <v>13464</v>
      </c>
      <c r="AX8" s="20">
        <f t="shared" si="11"/>
        <v>76.510480887792852</v>
      </c>
      <c r="AY8" s="20">
        <f t="shared" si="2"/>
        <v>76.279631586894155</v>
      </c>
      <c r="AZ8" s="20">
        <f t="shared" si="2"/>
        <v>76.314616755793224</v>
      </c>
      <c r="BA8" s="20">
        <f t="shared" si="12"/>
        <v>76.39505623734351</v>
      </c>
      <c r="BB8" s="18">
        <f t="shared" si="13"/>
        <v>5796</v>
      </c>
      <c r="BC8" s="18">
        <f t="shared" si="14"/>
        <v>10102.333333333334</v>
      </c>
    </row>
    <row r="9" spans="1:55" x14ac:dyDescent="0.3">
      <c r="A9" s="1" t="s">
        <v>4</v>
      </c>
      <c r="B9" s="1" t="s">
        <v>13</v>
      </c>
      <c r="C9" s="1" t="s">
        <v>17</v>
      </c>
      <c r="D9" s="1" t="s">
        <v>18</v>
      </c>
      <c r="E9" s="2">
        <v>10303</v>
      </c>
      <c r="F9" s="18">
        <v>31</v>
      </c>
      <c r="G9" s="18">
        <v>33</v>
      </c>
      <c r="H9" s="18">
        <v>40</v>
      </c>
      <c r="I9" s="18">
        <v>39</v>
      </c>
      <c r="J9" s="18">
        <v>42</v>
      </c>
      <c r="K9" s="18">
        <v>41</v>
      </c>
      <c r="L9" s="11">
        <v>41</v>
      </c>
      <c r="M9" s="11">
        <v>33</v>
      </c>
      <c r="N9" s="11">
        <v>37</v>
      </c>
      <c r="O9" s="11">
        <v>49</v>
      </c>
      <c r="P9" s="18">
        <v>49</v>
      </c>
      <c r="Q9" s="18">
        <v>54</v>
      </c>
      <c r="R9" s="24">
        <v>54</v>
      </c>
      <c r="S9" s="18">
        <v>54</v>
      </c>
      <c r="T9" s="18">
        <v>93.939393939393938</v>
      </c>
      <c r="U9" s="18">
        <v>89.189189189189193</v>
      </c>
      <c r="V9" s="18">
        <v>81.632653061224488</v>
      </c>
      <c r="W9" s="11">
        <v>79.591836734693871</v>
      </c>
      <c r="X9" s="11">
        <v>77.777777777777786</v>
      </c>
      <c r="Y9" s="11">
        <v>75.925925925925924</v>
      </c>
      <c r="Z9" s="11">
        <v>75.925925925925924</v>
      </c>
      <c r="AA9" s="11">
        <f t="shared" si="3"/>
        <v>83.471226328369184</v>
      </c>
      <c r="AB9" s="27">
        <f t="shared" si="4"/>
        <v>76.543209876543202</v>
      </c>
      <c r="AC9" s="2">
        <f t="shared" si="5"/>
        <v>37.333333333333336</v>
      </c>
      <c r="AD9" s="2">
        <f t="shared" si="6"/>
        <v>41.333333333333336</v>
      </c>
      <c r="AG9" s="19" t="s">
        <v>437</v>
      </c>
      <c r="AH9" s="18">
        <f>+SUM(G310:G329)</f>
        <v>508.5</v>
      </c>
      <c r="AI9" s="18">
        <f>+SUM(H310:H329)</f>
        <v>601</v>
      </c>
      <c r="AJ9" s="18">
        <f>+SUM(I310:I329)</f>
        <v>696.5</v>
      </c>
      <c r="AK9" s="18">
        <f>+SUM(N310:N329)</f>
        <v>1449.5</v>
      </c>
      <c r="AL9" s="18">
        <f t="shared" ref="AL9:AM9" si="25">+SUM(O310:O329)</f>
        <v>1844.5</v>
      </c>
      <c r="AM9" s="18">
        <f t="shared" si="25"/>
        <v>1953.5</v>
      </c>
      <c r="AN9" s="11">
        <f t="shared" si="8"/>
        <v>35.081062435322522</v>
      </c>
      <c r="AO9" s="11">
        <f t="shared" si="8"/>
        <v>32.583355923014366</v>
      </c>
      <c r="AP9" s="11">
        <f t="shared" si="8"/>
        <v>35.653954440747377</v>
      </c>
      <c r="AQ9" s="11">
        <f t="shared" si="9"/>
        <v>34.439457599694755</v>
      </c>
      <c r="AR9" s="18">
        <f>+SUM(J310:J329)</f>
        <v>1824.5</v>
      </c>
      <c r="AS9" s="18">
        <f>+SUM(K310:K329)</f>
        <v>1891.5</v>
      </c>
      <c r="AT9" s="18">
        <f>+SUM(L310:L329)</f>
        <v>2002.5</v>
      </c>
      <c r="AU9" s="18">
        <f>+SUM(Q310:Q329)</f>
        <v>2694.5</v>
      </c>
      <c r="AV9" s="18">
        <f t="shared" ref="AV9:AW9" si="26">+SUM(R310:R329)</f>
        <v>2813.5</v>
      </c>
      <c r="AW9" s="18">
        <f t="shared" si="26"/>
        <v>2896.5</v>
      </c>
      <c r="AX9" s="20">
        <f t="shared" si="11"/>
        <v>67.712005938021903</v>
      </c>
      <c r="AY9" s="20">
        <f t="shared" si="2"/>
        <v>67.229429536164915</v>
      </c>
      <c r="AZ9" s="20">
        <f t="shared" si="2"/>
        <v>69.135163127913003</v>
      </c>
      <c r="BA9" s="20">
        <f t="shared" si="12"/>
        <v>67.470717737093409</v>
      </c>
      <c r="BB9" s="18">
        <f t="shared" si="13"/>
        <v>602</v>
      </c>
      <c r="BC9" s="18">
        <f t="shared" si="14"/>
        <v>1906.1666666666667</v>
      </c>
    </row>
    <row r="10" spans="1:55" x14ac:dyDescent="0.3">
      <c r="A10" s="1" t="s">
        <v>4</v>
      </c>
      <c r="B10" s="1" t="s">
        <v>13</v>
      </c>
      <c r="C10" s="1" t="s">
        <v>19</v>
      </c>
      <c r="D10" s="1" t="s">
        <v>19</v>
      </c>
      <c r="E10" s="2">
        <v>10304</v>
      </c>
      <c r="F10" s="18">
        <v>26</v>
      </c>
      <c r="G10" s="18">
        <v>33</v>
      </c>
      <c r="H10" s="18">
        <v>36</v>
      </c>
      <c r="I10" s="18">
        <v>38</v>
      </c>
      <c r="J10" s="18">
        <v>55</v>
      </c>
      <c r="K10" s="18">
        <v>52</v>
      </c>
      <c r="L10" s="11">
        <v>54</v>
      </c>
      <c r="M10" s="11">
        <v>30</v>
      </c>
      <c r="N10" s="11">
        <v>36</v>
      </c>
      <c r="O10" s="11">
        <v>49</v>
      </c>
      <c r="P10" s="18">
        <v>53</v>
      </c>
      <c r="Q10" s="18">
        <v>62</v>
      </c>
      <c r="R10" s="24">
        <v>57</v>
      </c>
      <c r="S10" s="18">
        <v>58</v>
      </c>
      <c r="T10" s="18">
        <v>86.666666666666671</v>
      </c>
      <c r="U10" s="18">
        <v>91.666666666666657</v>
      </c>
      <c r="V10" s="18">
        <v>73.469387755102048</v>
      </c>
      <c r="W10" s="11">
        <v>71.698113207547166</v>
      </c>
      <c r="X10" s="11">
        <v>88.709677419354833</v>
      </c>
      <c r="Y10" s="11">
        <v>91.228070175438589</v>
      </c>
      <c r="Z10" s="11">
        <v>93.103448275862064</v>
      </c>
      <c r="AA10" s="11">
        <f t="shared" si="3"/>
        <v>78.944722543105286</v>
      </c>
      <c r="AB10" s="27">
        <f t="shared" si="4"/>
        <v>91.013731956885167</v>
      </c>
      <c r="AC10" s="2">
        <f t="shared" si="5"/>
        <v>35.666666666666664</v>
      </c>
      <c r="AD10" s="2">
        <f t="shared" si="6"/>
        <v>53.666666666666664</v>
      </c>
      <c r="AG10" s="19" t="s">
        <v>463</v>
      </c>
      <c r="AH10" s="18">
        <f>+SUM(G330:G344)</f>
        <v>108</v>
      </c>
      <c r="AI10" s="18">
        <f>+SUM(H330:H344)</f>
        <v>162</v>
      </c>
      <c r="AJ10" s="18">
        <f>+SUM(I330:I344)</f>
        <v>190</v>
      </c>
      <c r="AK10" s="18">
        <f>+SUM(N330:N344)</f>
        <v>264</v>
      </c>
      <c r="AL10" s="18">
        <f t="shared" ref="AL10:AM10" si="27">+SUM(O330:O344)</f>
        <v>361</v>
      </c>
      <c r="AM10" s="18">
        <f t="shared" si="27"/>
        <v>404</v>
      </c>
      <c r="AN10" s="11">
        <f t="shared" si="8"/>
        <v>40.909090909090914</v>
      </c>
      <c r="AO10" s="11">
        <f t="shared" si="8"/>
        <v>44.875346260387808</v>
      </c>
      <c r="AP10" s="11">
        <f t="shared" si="8"/>
        <v>47.029702970297024</v>
      </c>
      <c r="AQ10" s="11">
        <f t="shared" si="9"/>
        <v>44.271380046591922</v>
      </c>
      <c r="AR10" s="18">
        <f>+SUM(J330:J344)</f>
        <v>711</v>
      </c>
      <c r="AS10" s="18">
        <f>+SUM(K330:K344)</f>
        <v>753</v>
      </c>
      <c r="AT10" s="18">
        <f>+SUM(L330:L344)</f>
        <v>794</v>
      </c>
      <c r="AU10" s="18">
        <f>+SUM(Q330:Q344)</f>
        <v>887</v>
      </c>
      <c r="AV10" s="18">
        <f t="shared" ref="AV10:AW10" si="28">+SUM(R330:R344)</f>
        <v>926</v>
      </c>
      <c r="AW10" s="18">
        <f t="shared" si="28"/>
        <v>963</v>
      </c>
      <c r="AX10" s="20">
        <f t="shared" si="11"/>
        <v>80.15783540022548</v>
      </c>
      <c r="AY10" s="20">
        <f t="shared" si="2"/>
        <v>81.317494600431957</v>
      </c>
      <c r="AZ10" s="20">
        <f t="shared" si="2"/>
        <v>82.450674974039458</v>
      </c>
      <c r="BA10" s="20">
        <f t="shared" si="12"/>
        <v>80.737665000328718</v>
      </c>
      <c r="BB10" s="18">
        <f t="shared" si="13"/>
        <v>153.33333333333334</v>
      </c>
      <c r="BC10" s="18">
        <f t="shared" si="14"/>
        <v>752.66666666666663</v>
      </c>
    </row>
    <row r="11" spans="1:55" x14ac:dyDescent="0.3">
      <c r="A11" s="1" t="s">
        <v>4</v>
      </c>
      <c r="B11" s="1" t="s">
        <v>20</v>
      </c>
      <c r="C11" s="1" t="s">
        <v>21</v>
      </c>
      <c r="D11" s="1" t="s">
        <v>21</v>
      </c>
      <c r="E11" s="2">
        <v>10401</v>
      </c>
      <c r="F11" s="18">
        <v>27</v>
      </c>
      <c r="G11" s="18">
        <v>28</v>
      </c>
      <c r="H11" s="18">
        <v>27</v>
      </c>
      <c r="I11" s="18">
        <v>27</v>
      </c>
      <c r="J11" s="18">
        <v>45</v>
      </c>
      <c r="K11" s="18">
        <v>47</v>
      </c>
      <c r="L11" s="11">
        <v>44</v>
      </c>
      <c r="M11" s="11">
        <v>31</v>
      </c>
      <c r="N11" s="11">
        <v>31</v>
      </c>
      <c r="O11" s="11">
        <v>41</v>
      </c>
      <c r="P11" s="18">
        <v>45</v>
      </c>
      <c r="Q11" s="18">
        <v>58</v>
      </c>
      <c r="R11" s="24">
        <v>59</v>
      </c>
      <c r="S11" s="18">
        <v>57</v>
      </c>
      <c r="T11" s="18">
        <v>87.096774193548384</v>
      </c>
      <c r="U11" s="18">
        <v>90.322580645161281</v>
      </c>
      <c r="V11" s="18">
        <v>65.853658536585371</v>
      </c>
      <c r="W11" s="11">
        <v>60</v>
      </c>
      <c r="X11" s="11">
        <v>77.58620689655173</v>
      </c>
      <c r="Y11" s="11">
        <v>79.66101694915254</v>
      </c>
      <c r="Z11" s="11">
        <v>77.192982456140342</v>
      </c>
      <c r="AA11" s="11">
        <f t="shared" si="3"/>
        <v>72.058746393915555</v>
      </c>
      <c r="AB11" s="27">
        <f t="shared" si="4"/>
        <v>78.146735433948209</v>
      </c>
      <c r="AC11" s="2">
        <f t="shared" si="5"/>
        <v>27.333333333333332</v>
      </c>
      <c r="AD11" s="2">
        <f t="shared" si="6"/>
        <v>45.333333333333336</v>
      </c>
      <c r="AG11" s="19" t="s">
        <v>495</v>
      </c>
      <c r="AH11" s="1">
        <f t="shared" ref="AH11:AM11" si="29">SUM(AH2:AH10)</f>
        <v>25858.5</v>
      </c>
      <c r="AI11" s="1">
        <f t="shared" si="29"/>
        <v>31329</v>
      </c>
      <c r="AJ11" s="1">
        <f t="shared" si="29"/>
        <v>33729.5</v>
      </c>
      <c r="AK11" s="1">
        <f t="shared" si="29"/>
        <v>34986.5</v>
      </c>
      <c r="AL11" s="1">
        <f t="shared" si="29"/>
        <v>47617.5</v>
      </c>
      <c r="AM11" s="1">
        <f t="shared" si="29"/>
        <v>50173.5</v>
      </c>
      <c r="AN11" s="11">
        <f t="shared" si="8"/>
        <v>73.9099366898661</v>
      </c>
      <c r="AO11" s="11">
        <f t="shared" si="8"/>
        <v>65.793038273743903</v>
      </c>
      <c r="AP11" s="11">
        <f t="shared" si="8"/>
        <v>67.225726728252965</v>
      </c>
      <c r="AQ11" s="11">
        <f t="shared" si="9"/>
        <v>68.976233897287656</v>
      </c>
      <c r="AR11" s="1">
        <f t="shared" ref="AR11:AW11" si="30">SUM(AR2:AR10)</f>
        <v>48065.5</v>
      </c>
      <c r="AS11" s="1">
        <f t="shared" si="30"/>
        <v>49173.5</v>
      </c>
      <c r="AT11" s="1">
        <f t="shared" si="30"/>
        <v>50113.5</v>
      </c>
      <c r="AU11" s="1">
        <f t="shared" si="30"/>
        <v>62173.5</v>
      </c>
      <c r="AV11" s="1">
        <f t="shared" si="30"/>
        <v>63601.5</v>
      </c>
      <c r="AW11" s="1">
        <f t="shared" si="30"/>
        <v>64696.5</v>
      </c>
      <c r="AX11" s="20">
        <f t="shared" si="11"/>
        <v>77.308660442149787</v>
      </c>
      <c r="AY11" s="20">
        <f t="shared" si="2"/>
        <v>77.315000432379748</v>
      </c>
      <c r="AZ11" s="20">
        <f t="shared" si="2"/>
        <v>77.459367971992293</v>
      </c>
      <c r="BA11" s="20">
        <f t="shared" si="12"/>
        <v>77.311830437264774</v>
      </c>
      <c r="BB11" s="18">
        <f t="shared" si="13"/>
        <v>30305.666666666668</v>
      </c>
      <c r="BC11" s="18">
        <f t="shared" si="14"/>
        <v>49117.5</v>
      </c>
    </row>
    <row r="12" spans="1:55" x14ac:dyDescent="0.3">
      <c r="A12" s="1" t="s">
        <v>4</v>
      </c>
      <c r="B12" s="1" t="s">
        <v>20</v>
      </c>
      <c r="C12" s="1" t="s">
        <v>20</v>
      </c>
      <c r="D12" s="1" t="s">
        <v>22</v>
      </c>
      <c r="E12" s="2">
        <v>10402</v>
      </c>
      <c r="F12" s="18">
        <v>20</v>
      </c>
      <c r="G12" s="18">
        <v>20</v>
      </c>
      <c r="H12" s="18">
        <v>27</v>
      </c>
      <c r="I12" s="18">
        <v>29</v>
      </c>
      <c r="J12" s="18">
        <v>36</v>
      </c>
      <c r="K12" s="18">
        <v>36</v>
      </c>
      <c r="L12" s="11">
        <v>37</v>
      </c>
      <c r="M12" s="11">
        <v>24</v>
      </c>
      <c r="N12" s="11">
        <v>25</v>
      </c>
      <c r="O12" s="11">
        <v>35</v>
      </c>
      <c r="P12" s="18">
        <v>36</v>
      </c>
      <c r="Q12" s="18">
        <v>49</v>
      </c>
      <c r="R12" s="24">
        <v>50</v>
      </c>
      <c r="S12" s="18">
        <v>50</v>
      </c>
      <c r="T12" s="18">
        <v>83.333333333333343</v>
      </c>
      <c r="U12" s="18">
        <v>80</v>
      </c>
      <c r="V12" s="18">
        <v>77.142857142857153</v>
      </c>
      <c r="W12" s="11">
        <v>80.555555555555557</v>
      </c>
      <c r="X12" s="11">
        <v>73.469387755102048</v>
      </c>
      <c r="Y12" s="11">
        <v>72</v>
      </c>
      <c r="Z12" s="11">
        <v>74</v>
      </c>
      <c r="AA12" s="11">
        <f t="shared" si="3"/>
        <v>79.232804232804241</v>
      </c>
      <c r="AB12" s="27">
        <f t="shared" si="4"/>
        <v>73.156462585034021</v>
      </c>
      <c r="AC12" s="2">
        <f t="shared" si="5"/>
        <v>25.333333333333332</v>
      </c>
      <c r="AD12" s="2">
        <f t="shared" si="6"/>
        <v>36.333333333333336</v>
      </c>
      <c r="AG12" s="19" t="s">
        <v>350</v>
      </c>
      <c r="AH12" s="18">
        <f>+SUM(G246:G248)</f>
        <v>399</v>
      </c>
      <c r="AI12" s="18">
        <f t="shared" ref="AI12:AJ12" si="31">+SUM(H246:H248)</f>
        <v>473</v>
      </c>
      <c r="AJ12" s="18">
        <f t="shared" si="31"/>
        <v>511</v>
      </c>
      <c r="AK12" s="18">
        <f>+SUM(N246:N248)</f>
        <v>540</v>
      </c>
      <c r="AL12" s="18">
        <f t="shared" ref="AL12:AM12" si="32">+SUM(O246:O248)</f>
        <v>757</v>
      </c>
      <c r="AM12" s="18">
        <f t="shared" si="32"/>
        <v>801</v>
      </c>
      <c r="AN12" s="11">
        <f t="shared" si="8"/>
        <v>73.888888888888886</v>
      </c>
      <c r="AO12" s="11">
        <f t="shared" si="8"/>
        <v>62.483487450462349</v>
      </c>
      <c r="AP12" s="11">
        <f t="shared" si="8"/>
        <v>63.795255930087393</v>
      </c>
      <c r="AQ12" s="11">
        <f t="shared" si="9"/>
        <v>66.722544089812871</v>
      </c>
      <c r="AR12" s="18">
        <f>+SUM(J246:J248)</f>
        <v>766</v>
      </c>
      <c r="AS12" s="18">
        <f t="shared" ref="AS12:AT12" si="33">+SUM(K246:K248)</f>
        <v>788</v>
      </c>
      <c r="AT12" s="18">
        <f t="shared" si="33"/>
        <v>793</v>
      </c>
      <c r="AU12" s="18">
        <f>+SUM(Q246:Q248)</f>
        <v>969</v>
      </c>
      <c r="AV12" s="18">
        <f t="shared" ref="AV12:AW12" si="34">+SUM(R246:R248)</f>
        <v>990</v>
      </c>
      <c r="AW12" s="18">
        <f t="shared" si="34"/>
        <v>1002</v>
      </c>
      <c r="AX12" s="20">
        <f t="shared" ref="AX12" si="35">(AR12/AU12)*100</f>
        <v>79.050567595459228</v>
      </c>
      <c r="AY12" s="20">
        <f t="shared" ref="AY12" si="36">(AS12/AV12)*100</f>
        <v>79.595959595959599</v>
      </c>
      <c r="AZ12" s="20">
        <f t="shared" ref="AZ12" si="37">(AT12/AW12)*100</f>
        <v>79.141716566866265</v>
      </c>
      <c r="BA12" s="20">
        <f t="shared" si="12"/>
        <v>79.32326359570942</v>
      </c>
      <c r="BB12" s="18">
        <f t="shared" si="13"/>
        <v>461</v>
      </c>
      <c r="BC12" s="18">
        <f t="shared" si="14"/>
        <v>782.33333333333337</v>
      </c>
    </row>
    <row r="13" spans="1:55" x14ac:dyDescent="0.3">
      <c r="A13" s="1" t="s">
        <v>4</v>
      </c>
      <c r="B13" s="1" t="s">
        <v>20</v>
      </c>
      <c r="C13" s="1" t="s">
        <v>23</v>
      </c>
      <c r="D13" s="1" t="s">
        <v>24</v>
      </c>
      <c r="E13" s="2">
        <v>10403</v>
      </c>
      <c r="F13" s="18">
        <v>16</v>
      </c>
      <c r="G13" s="18">
        <v>18</v>
      </c>
      <c r="H13" s="18">
        <v>21</v>
      </c>
      <c r="I13" s="18">
        <v>23</v>
      </c>
      <c r="J13" s="18">
        <v>26</v>
      </c>
      <c r="K13" s="18">
        <v>26</v>
      </c>
      <c r="L13" s="11">
        <v>26</v>
      </c>
      <c r="M13" s="11">
        <v>17</v>
      </c>
      <c r="N13" s="11">
        <v>18</v>
      </c>
      <c r="O13" s="11">
        <v>31</v>
      </c>
      <c r="P13" s="18">
        <v>33</v>
      </c>
      <c r="Q13" s="18">
        <v>36</v>
      </c>
      <c r="R13" s="24">
        <v>34</v>
      </c>
      <c r="S13" s="18">
        <v>34</v>
      </c>
      <c r="T13" s="18">
        <v>94.117647058823522</v>
      </c>
      <c r="U13" s="18">
        <v>100</v>
      </c>
      <c r="V13" s="18">
        <v>67.741935483870961</v>
      </c>
      <c r="W13" s="11">
        <v>69.696969696969703</v>
      </c>
      <c r="X13" s="11">
        <v>72.222222222222214</v>
      </c>
      <c r="Y13" s="11">
        <v>76.470588235294116</v>
      </c>
      <c r="Z13" s="11">
        <v>76.470588235294116</v>
      </c>
      <c r="AA13" s="11">
        <f t="shared" si="3"/>
        <v>79.146301726946888</v>
      </c>
      <c r="AB13" s="27">
        <f t="shared" si="4"/>
        <v>75.054466230936811</v>
      </c>
      <c r="AC13" s="2">
        <f t="shared" si="5"/>
        <v>20.666666666666668</v>
      </c>
      <c r="AD13" s="2">
        <f t="shared" si="6"/>
        <v>26</v>
      </c>
    </row>
    <row r="14" spans="1:55" x14ac:dyDescent="0.3">
      <c r="A14" s="1" t="s">
        <v>4</v>
      </c>
      <c r="B14" s="1" t="s">
        <v>20</v>
      </c>
      <c r="C14" s="1" t="s">
        <v>25</v>
      </c>
      <c r="D14" s="1" t="s">
        <v>26</v>
      </c>
      <c r="E14" s="2">
        <v>10404</v>
      </c>
      <c r="F14" s="18">
        <v>10</v>
      </c>
      <c r="G14" s="18">
        <v>10</v>
      </c>
      <c r="H14" s="18">
        <v>14</v>
      </c>
      <c r="I14" s="18">
        <v>16</v>
      </c>
      <c r="J14" s="18">
        <v>20</v>
      </c>
      <c r="K14" s="18">
        <v>21</v>
      </c>
      <c r="L14" s="11">
        <v>21</v>
      </c>
      <c r="M14" s="11">
        <v>15</v>
      </c>
      <c r="N14" s="11">
        <v>15</v>
      </c>
      <c r="O14" s="11">
        <v>23</v>
      </c>
      <c r="P14" s="18">
        <v>25</v>
      </c>
      <c r="Q14" s="18">
        <v>28</v>
      </c>
      <c r="R14" s="24">
        <v>28</v>
      </c>
      <c r="S14" s="18">
        <v>29</v>
      </c>
      <c r="T14" s="18">
        <v>66.666666666666657</v>
      </c>
      <c r="U14" s="18">
        <v>66.666666666666657</v>
      </c>
      <c r="V14" s="18">
        <v>60.869565217391312</v>
      </c>
      <c r="W14" s="11">
        <v>64</v>
      </c>
      <c r="X14" s="11">
        <v>71.428571428571431</v>
      </c>
      <c r="Y14" s="11">
        <v>75</v>
      </c>
      <c r="Z14" s="11">
        <v>72.41379310344827</v>
      </c>
      <c r="AA14" s="11">
        <f t="shared" si="3"/>
        <v>63.845410628019323</v>
      </c>
      <c r="AB14" s="27">
        <f t="shared" si="4"/>
        <v>72.947454844006572</v>
      </c>
      <c r="AC14" s="2">
        <f t="shared" si="5"/>
        <v>13.333333333333334</v>
      </c>
      <c r="AD14" s="2">
        <f t="shared" si="6"/>
        <v>20.666666666666668</v>
      </c>
    </row>
    <row r="15" spans="1:55" x14ac:dyDescent="0.3">
      <c r="A15" s="1" t="s">
        <v>4</v>
      </c>
      <c r="B15" s="1" t="s">
        <v>20</v>
      </c>
      <c r="C15" s="1" t="s">
        <v>27</v>
      </c>
      <c r="D15" s="1" t="s">
        <v>27</v>
      </c>
      <c r="E15" s="2">
        <v>10405</v>
      </c>
      <c r="F15" s="18">
        <v>9</v>
      </c>
      <c r="G15" s="18">
        <v>11</v>
      </c>
      <c r="H15" s="18">
        <v>13</v>
      </c>
      <c r="I15" s="18">
        <v>15</v>
      </c>
      <c r="J15" s="18">
        <v>26</v>
      </c>
      <c r="K15" s="18">
        <v>27</v>
      </c>
      <c r="L15" s="11">
        <v>26</v>
      </c>
      <c r="M15" s="11">
        <v>10</v>
      </c>
      <c r="N15" s="11">
        <v>13</v>
      </c>
      <c r="O15" s="11">
        <v>20</v>
      </c>
      <c r="P15" s="18">
        <v>22</v>
      </c>
      <c r="Q15" s="18">
        <v>32</v>
      </c>
      <c r="R15" s="24">
        <v>33</v>
      </c>
      <c r="S15" s="18">
        <v>33</v>
      </c>
      <c r="T15" s="18">
        <v>90</v>
      </c>
      <c r="U15" s="18">
        <v>84.615384615384613</v>
      </c>
      <c r="V15" s="18">
        <v>65</v>
      </c>
      <c r="W15" s="11">
        <v>68.181818181818173</v>
      </c>
      <c r="X15" s="11">
        <v>81.25</v>
      </c>
      <c r="Y15" s="11">
        <v>81.818181818181827</v>
      </c>
      <c r="Z15" s="11">
        <v>78.787878787878782</v>
      </c>
      <c r="AA15" s="11">
        <f t="shared" si="3"/>
        <v>72.599067599067595</v>
      </c>
      <c r="AB15" s="27">
        <f t="shared" si="4"/>
        <v>80.618686868686865</v>
      </c>
      <c r="AC15" s="2">
        <f t="shared" si="5"/>
        <v>13</v>
      </c>
      <c r="AD15" s="2">
        <f t="shared" si="6"/>
        <v>26.333333333333332</v>
      </c>
    </row>
    <row r="16" spans="1:55" x14ac:dyDescent="0.3">
      <c r="A16" s="1" t="s">
        <v>4</v>
      </c>
      <c r="B16" s="1" t="s">
        <v>28</v>
      </c>
      <c r="C16" s="1" t="s">
        <v>29</v>
      </c>
      <c r="D16" s="1" t="s">
        <v>29</v>
      </c>
      <c r="E16" s="2">
        <v>10501</v>
      </c>
      <c r="F16" s="18">
        <v>98</v>
      </c>
      <c r="G16" s="18">
        <v>100</v>
      </c>
      <c r="H16" s="18">
        <v>117</v>
      </c>
      <c r="I16" s="18">
        <v>115</v>
      </c>
      <c r="J16" s="18">
        <v>143</v>
      </c>
      <c r="K16" s="18">
        <v>143</v>
      </c>
      <c r="L16" s="11">
        <v>144</v>
      </c>
      <c r="M16" s="11">
        <v>118</v>
      </c>
      <c r="N16" s="11">
        <v>123</v>
      </c>
      <c r="O16" s="11">
        <v>167</v>
      </c>
      <c r="P16" s="18">
        <v>169</v>
      </c>
      <c r="Q16" s="18">
        <v>193</v>
      </c>
      <c r="R16" s="24">
        <v>194</v>
      </c>
      <c r="S16" s="18">
        <v>194</v>
      </c>
      <c r="T16" s="18">
        <v>83.050847457627114</v>
      </c>
      <c r="U16" s="18">
        <v>81.300813008130078</v>
      </c>
      <c r="V16" s="18">
        <v>70.05988023952095</v>
      </c>
      <c r="W16" s="11">
        <v>68.047337278106511</v>
      </c>
      <c r="X16" s="11">
        <v>74.093264248704656</v>
      </c>
      <c r="Y16" s="11">
        <v>73.711340206185568</v>
      </c>
      <c r="Z16" s="11">
        <v>74.226804123711347</v>
      </c>
      <c r="AA16" s="11">
        <f t="shared" si="3"/>
        <v>73.136010175252508</v>
      </c>
      <c r="AB16" s="27">
        <f t="shared" si="4"/>
        <v>74.010469526200538</v>
      </c>
      <c r="AC16" s="2">
        <f t="shared" si="5"/>
        <v>110.66666666666667</v>
      </c>
      <c r="AD16" s="2">
        <f t="shared" si="6"/>
        <v>143.33333333333334</v>
      </c>
    </row>
    <row r="17" spans="1:30" x14ac:dyDescent="0.3">
      <c r="A17" s="1" t="s">
        <v>4</v>
      </c>
      <c r="B17" s="1" t="s">
        <v>28</v>
      </c>
      <c r="C17" s="1" t="s">
        <v>30</v>
      </c>
      <c r="D17" s="1" t="s">
        <v>30</v>
      </c>
      <c r="E17" s="2">
        <v>10502</v>
      </c>
      <c r="F17" s="18">
        <v>15</v>
      </c>
      <c r="G17" s="18">
        <v>18</v>
      </c>
      <c r="H17" s="18">
        <v>28</v>
      </c>
      <c r="I17" s="18">
        <v>30</v>
      </c>
      <c r="J17" s="18">
        <v>54</v>
      </c>
      <c r="K17" s="18">
        <v>57</v>
      </c>
      <c r="L17" s="11">
        <v>61</v>
      </c>
      <c r="M17" s="11">
        <v>18</v>
      </c>
      <c r="N17" s="11">
        <v>23</v>
      </c>
      <c r="O17" s="11">
        <v>42</v>
      </c>
      <c r="P17" s="18">
        <v>44</v>
      </c>
      <c r="Q17" s="18">
        <v>71</v>
      </c>
      <c r="R17" s="24">
        <v>77</v>
      </c>
      <c r="S17" s="18">
        <v>80</v>
      </c>
      <c r="T17" s="18">
        <v>83.333333333333343</v>
      </c>
      <c r="U17" s="18">
        <v>78.260869565217391</v>
      </c>
      <c r="V17" s="18">
        <v>66.666666666666657</v>
      </c>
      <c r="W17" s="11">
        <v>68.181818181818173</v>
      </c>
      <c r="X17" s="11">
        <v>76.056338028169009</v>
      </c>
      <c r="Y17" s="11">
        <v>74.025974025974023</v>
      </c>
      <c r="Z17" s="11">
        <v>76.25</v>
      </c>
      <c r="AA17" s="11">
        <f t="shared" si="3"/>
        <v>71.036451471234088</v>
      </c>
      <c r="AB17" s="27">
        <f t="shared" si="4"/>
        <v>75.444104018047668</v>
      </c>
      <c r="AC17" s="2">
        <f t="shared" si="5"/>
        <v>25.333333333333332</v>
      </c>
      <c r="AD17" s="2">
        <f t="shared" si="6"/>
        <v>57.333333333333336</v>
      </c>
    </row>
    <row r="18" spans="1:30" x14ac:dyDescent="0.3">
      <c r="A18" s="1" t="s">
        <v>4</v>
      </c>
      <c r="B18" s="1" t="s">
        <v>31</v>
      </c>
      <c r="C18" s="1" t="s">
        <v>32</v>
      </c>
      <c r="D18" s="1" t="s">
        <v>32</v>
      </c>
      <c r="E18" s="2">
        <v>10601</v>
      </c>
      <c r="F18" s="18">
        <v>46</v>
      </c>
      <c r="G18" s="18">
        <v>53</v>
      </c>
      <c r="H18" s="18">
        <v>70</v>
      </c>
      <c r="I18" s="18">
        <v>76</v>
      </c>
      <c r="J18" s="18">
        <v>91</v>
      </c>
      <c r="K18" s="18">
        <v>95</v>
      </c>
      <c r="L18" s="11">
        <v>98</v>
      </c>
      <c r="M18" s="11">
        <v>58</v>
      </c>
      <c r="N18" s="11">
        <v>66</v>
      </c>
      <c r="O18" s="11">
        <v>91</v>
      </c>
      <c r="P18" s="18">
        <v>97</v>
      </c>
      <c r="Q18" s="18">
        <v>113</v>
      </c>
      <c r="R18" s="24">
        <v>114</v>
      </c>
      <c r="S18" s="18">
        <v>117</v>
      </c>
      <c r="T18" s="18">
        <v>79.310344827586206</v>
      </c>
      <c r="U18" s="18">
        <v>80.303030303030297</v>
      </c>
      <c r="V18" s="18">
        <v>76.923076923076934</v>
      </c>
      <c r="W18" s="11">
        <v>78.350515463917532</v>
      </c>
      <c r="X18" s="11">
        <v>80.530973451327441</v>
      </c>
      <c r="Y18" s="11">
        <v>83.333333333333343</v>
      </c>
      <c r="Z18" s="11">
        <v>83.760683760683762</v>
      </c>
      <c r="AA18" s="11">
        <f t="shared" si="3"/>
        <v>78.525540896674912</v>
      </c>
      <c r="AB18" s="27">
        <f t="shared" si="4"/>
        <v>82.541663515114848</v>
      </c>
      <c r="AC18" s="2">
        <f t="shared" si="5"/>
        <v>66.333333333333329</v>
      </c>
      <c r="AD18" s="2">
        <f t="shared" si="6"/>
        <v>94.666666666666671</v>
      </c>
    </row>
    <row r="19" spans="1:30" x14ac:dyDescent="0.3">
      <c r="A19" s="1" t="s">
        <v>4</v>
      </c>
      <c r="B19" s="1" t="s">
        <v>31</v>
      </c>
      <c r="C19" s="1" t="s">
        <v>31</v>
      </c>
      <c r="D19" s="1" t="s">
        <v>31</v>
      </c>
      <c r="E19" s="2">
        <v>10602</v>
      </c>
      <c r="F19" s="18">
        <v>33</v>
      </c>
      <c r="G19" s="18">
        <v>36</v>
      </c>
      <c r="H19" s="18">
        <v>37</v>
      </c>
      <c r="I19" s="18">
        <v>42</v>
      </c>
      <c r="J19" s="18">
        <v>68</v>
      </c>
      <c r="K19" s="18">
        <v>66</v>
      </c>
      <c r="L19" s="11">
        <v>68</v>
      </c>
      <c r="M19" s="11">
        <v>39</v>
      </c>
      <c r="N19" s="11">
        <v>39</v>
      </c>
      <c r="O19" s="11">
        <v>41</v>
      </c>
      <c r="P19" s="18">
        <v>49</v>
      </c>
      <c r="Q19" s="18">
        <v>83</v>
      </c>
      <c r="R19" s="24">
        <v>83</v>
      </c>
      <c r="S19" s="18">
        <v>83</v>
      </c>
      <c r="T19" s="18">
        <v>84.615384615384613</v>
      </c>
      <c r="U19" s="18">
        <v>92.307692307692307</v>
      </c>
      <c r="V19" s="18">
        <v>90.243902439024396</v>
      </c>
      <c r="W19" s="11">
        <v>85.714285714285708</v>
      </c>
      <c r="X19" s="11">
        <v>81.92771084337349</v>
      </c>
      <c r="Y19" s="11">
        <v>79.518072289156621</v>
      </c>
      <c r="Z19" s="11">
        <v>81.92771084337349</v>
      </c>
      <c r="AA19" s="11">
        <f t="shared" si="3"/>
        <v>89.421960153667484</v>
      </c>
      <c r="AB19" s="27">
        <f t="shared" si="4"/>
        <v>81.124497991967857</v>
      </c>
      <c r="AC19" s="2">
        <f t="shared" si="5"/>
        <v>38.333333333333336</v>
      </c>
      <c r="AD19" s="2">
        <f t="shared" si="6"/>
        <v>67.333333333333329</v>
      </c>
    </row>
    <row r="20" spans="1:30" x14ac:dyDescent="0.3">
      <c r="A20" s="1" t="s">
        <v>4</v>
      </c>
      <c r="B20" s="1" t="s">
        <v>33</v>
      </c>
      <c r="C20" s="1" t="s">
        <v>34</v>
      </c>
      <c r="D20" s="1" t="s">
        <v>34</v>
      </c>
      <c r="E20" s="2">
        <v>10701</v>
      </c>
      <c r="F20" s="18">
        <v>50</v>
      </c>
      <c r="G20" s="18">
        <v>49</v>
      </c>
      <c r="H20" s="18">
        <v>59</v>
      </c>
      <c r="I20" s="18">
        <v>61</v>
      </c>
      <c r="J20" s="18">
        <v>67</v>
      </c>
      <c r="K20" s="18">
        <v>68</v>
      </c>
      <c r="L20" s="11">
        <v>69</v>
      </c>
      <c r="M20" s="11">
        <v>55</v>
      </c>
      <c r="N20" s="11">
        <v>54</v>
      </c>
      <c r="O20" s="11">
        <v>88</v>
      </c>
      <c r="P20" s="18">
        <v>89</v>
      </c>
      <c r="Q20" s="18">
        <v>91</v>
      </c>
      <c r="R20" s="24">
        <v>93</v>
      </c>
      <c r="S20" s="18">
        <v>95</v>
      </c>
      <c r="T20" s="18">
        <v>90.909090909090907</v>
      </c>
      <c r="U20" s="18">
        <v>90.740740740740748</v>
      </c>
      <c r="V20" s="18">
        <v>67.045454545454547</v>
      </c>
      <c r="W20" s="11">
        <v>68.539325842696627</v>
      </c>
      <c r="X20" s="11">
        <v>73.626373626373635</v>
      </c>
      <c r="Y20" s="11">
        <v>73.118279569892479</v>
      </c>
      <c r="Z20" s="11">
        <v>72.631578947368425</v>
      </c>
      <c r="AA20" s="11">
        <f t="shared" si="3"/>
        <v>75.441840376297307</v>
      </c>
      <c r="AB20" s="27">
        <f t="shared" si="4"/>
        <v>73.125410714544842</v>
      </c>
      <c r="AC20" s="2">
        <f t="shared" si="5"/>
        <v>56.333333333333336</v>
      </c>
      <c r="AD20" s="2">
        <f t="shared" si="6"/>
        <v>68</v>
      </c>
    </row>
    <row r="21" spans="1:30" x14ac:dyDescent="0.3">
      <c r="A21" s="1" t="s">
        <v>4</v>
      </c>
      <c r="B21" s="1" t="s">
        <v>33</v>
      </c>
      <c r="C21" s="1" t="s">
        <v>35</v>
      </c>
      <c r="D21" s="1" t="s">
        <v>35</v>
      </c>
      <c r="E21" s="2">
        <v>10702</v>
      </c>
      <c r="F21" s="18">
        <v>48</v>
      </c>
      <c r="G21" s="18">
        <v>56</v>
      </c>
      <c r="H21" s="18">
        <v>68</v>
      </c>
      <c r="I21" s="18">
        <v>83</v>
      </c>
      <c r="J21" s="18">
        <v>177</v>
      </c>
      <c r="K21" s="18">
        <v>179</v>
      </c>
      <c r="L21" s="11">
        <v>183</v>
      </c>
      <c r="M21" s="11">
        <v>70</v>
      </c>
      <c r="N21" s="11">
        <v>77</v>
      </c>
      <c r="O21" s="11">
        <v>138</v>
      </c>
      <c r="P21" s="18">
        <v>152</v>
      </c>
      <c r="Q21" s="18">
        <v>248</v>
      </c>
      <c r="R21" s="24">
        <v>254</v>
      </c>
      <c r="S21" s="18">
        <v>256</v>
      </c>
      <c r="T21" s="18">
        <v>68.571428571428569</v>
      </c>
      <c r="U21" s="18">
        <v>72.727272727272734</v>
      </c>
      <c r="V21" s="18">
        <v>49.275362318840585</v>
      </c>
      <c r="W21" s="11">
        <v>54.605263157894733</v>
      </c>
      <c r="X21" s="11">
        <v>71.370967741935488</v>
      </c>
      <c r="Y21" s="11">
        <v>70.472440944881882</v>
      </c>
      <c r="Z21" s="11">
        <v>71.484375</v>
      </c>
      <c r="AA21" s="11">
        <f t="shared" si="3"/>
        <v>58.869299401336015</v>
      </c>
      <c r="AB21" s="27">
        <f t="shared" si="4"/>
        <v>71.109261228939133</v>
      </c>
      <c r="AC21" s="2">
        <f t="shared" si="5"/>
        <v>69</v>
      </c>
      <c r="AD21" s="2">
        <f t="shared" si="6"/>
        <v>179.66666666666666</v>
      </c>
    </row>
    <row r="22" spans="1:30" x14ac:dyDescent="0.3">
      <c r="A22" s="1" t="s">
        <v>4</v>
      </c>
      <c r="B22" s="1" t="s">
        <v>33</v>
      </c>
      <c r="C22" s="1" t="s">
        <v>36</v>
      </c>
      <c r="D22" s="1" t="s">
        <v>36</v>
      </c>
      <c r="E22" s="2">
        <v>10703</v>
      </c>
      <c r="F22" s="18">
        <v>28</v>
      </c>
      <c r="G22" s="18">
        <v>31</v>
      </c>
      <c r="H22" s="18">
        <v>51</v>
      </c>
      <c r="I22" s="18">
        <v>37</v>
      </c>
      <c r="J22" s="18">
        <v>68</v>
      </c>
      <c r="K22" s="18">
        <v>70</v>
      </c>
      <c r="L22" s="11">
        <v>75</v>
      </c>
      <c r="M22" s="11">
        <v>36</v>
      </c>
      <c r="N22" s="11">
        <v>42</v>
      </c>
      <c r="O22" s="11">
        <v>76</v>
      </c>
      <c r="P22" s="18">
        <v>48</v>
      </c>
      <c r="Q22" s="18">
        <v>82</v>
      </c>
      <c r="R22" s="24">
        <v>84</v>
      </c>
      <c r="S22" s="18">
        <v>86</v>
      </c>
      <c r="T22" s="18">
        <v>77.777777777777786</v>
      </c>
      <c r="U22" s="18">
        <v>73.80952380952381</v>
      </c>
      <c r="V22" s="18">
        <v>67.10526315789474</v>
      </c>
      <c r="W22" s="11">
        <v>77.083333333333343</v>
      </c>
      <c r="X22" s="11">
        <v>82.926829268292678</v>
      </c>
      <c r="Y22" s="11">
        <v>83.333333333333343</v>
      </c>
      <c r="Z22" s="11">
        <v>87.20930232558139</v>
      </c>
      <c r="AA22" s="11">
        <f t="shared" si="3"/>
        <v>72.666040100250626</v>
      </c>
      <c r="AB22" s="27">
        <f t="shared" si="4"/>
        <v>84.489821642402475</v>
      </c>
      <c r="AC22" s="2">
        <f t="shared" si="5"/>
        <v>39.666666666666664</v>
      </c>
      <c r="AD22" s="2">
        <f t="shared" si="6"/>
        <v>71</v>
      </c>
    </row>
    <row r="23" spans="1:30" x14ac:dyDescent="0.3">
      <c r="A23" s="1" t="s">
        <v>4</v>
      </c>
      <c r="B23" s="1" t="s">
        <v>33</v>
      </c>
      <c r="C23" s="1" t="s">
        <v>37</v>
      </c>
      <c r="D23" s="1" t="s">
        <v>37</v>
      </c>
      <c r="E23" s="2">
        <v>10704</v>
      </c>
      <c r="F23" s="18">
        <v>0</v>
      </c>
      <c r="G23" s="18">
        <v>0</v>
      </c>
      <c r="H23" s="18">
        <v>0</v>
      </c>
      <c r="I23" s="18">
        <v>24</v>
      </c>
      <c r="J23" s="18">
        <v>71</v>
      </c>
      <c r="K23" s="18">
        <v>71</v>
      </c>
      <c r="L23" s="11">
        <v>73</v>
      </c>
      <c r="M23" s="11">
        <v>0</v>
      </c>
      <c r="N23" s="11">
        <v>0</v>
      </c>
      <c r="O23" s="11">
        <v>0</v>
      </c>
      <c r="P23" s="18">
        <v>40</v>
      </c>
      <c r="Q23" s="18">
        <v>85</v>
      </c>
      <c r="R23" s="24">
        <v>91</v>
      </c>
      <c r="S23" s="18">
        <v>97</v>
      </c>
      <c r="T23" s="18"/>
      <c r="U23" s="18"/>
      <c r="V23" s="18"/>
      <c r="W23" s="11">
        <v>60</v>
      </c>
      <c r="X23" s="11">
        <v>83.529411764705884</v>
      </c>
      <c r="Y23" s="11">
        <v>78.021978021978029</v>
      </c>
      <c r="Z23" s="11">
        <v>75.257731958762889</v>
      </c>
      <c r="AA23" s="11">
        <f t="shared" si="3"/>
        <v>60</v>
      </c>
      <c r="AB23" s="27">
        <f t="shared" si="4"/>
        <v>78.936373915148934</v>
      </c>
      <c r="AC23" s="2">
        <f t="shared" si="5"/>
        <v>8</v>
      </c>
      <c r="AD23" s="2">
        <f t="shared" si="6"/>
        <v>71.666666666666671</v>
      </c>
    </row>
    <row r="24" spans="1:30" x14ac:dyDescent="0.3">
      <c r="A24" s="1" t="s">
        <v>4</v>
      </c>
      <c r="B24" s="1" t="s">
        <v>38</v>
      </c>
      <c r="C24" s="1" t="s">
        <v>39</v>
      </c>
      <c r="D24" s="1" t="s">
        <v>39</v>
      </c>
      <c r="E24" s="2">
        <v>10801</v>
      </c>
      <c r="F24" s="18">
        <v>30</v>
      </c>
      <c r="G24" s="18">
        <v>40</v>
      </c>
      <c r="H24" s="18">
        <v>46</v>
      </c>
      <c r="I24" s="18">
        <v>47</v>
      </c>
      <c r="J24" s="18">
        <v>55</v>
      </c>
      <c r="K24" s="18">
        <v>58</v>
      </c>
      <c r="L24" s="11">
        <v>63</v>
      </c>
      <c r="M24" s="11">
        <v>39</v>
      </c>
      <c r="N24" s="11">
        <v>52</v>
      </c>
      <c r="O24" s="11">
        <v>74</v>
      </c>
      <c r="P24" s="18">
        <v>74</v>
      </c>
      <c r="Q24" s="18">
        <v>80</v>
      </c>
      <c r="R24" s="24">
        <v>83</v>
      </c>
      <c r="S24" s="18">
        <v>86</v>
      </c>
      <c r="T24" s="18">
        <v>76.923076923076934</v>
      </c>
      <c r="U24" s="18">
        <v>76.923076923076934</v>
      </c>
      <c r="V24" s="18">
        <v>62.162162162162161</v>
      </c>
      <c r="W24" s="11">
        <v>63.513513513513509</v>
      </c>
      <c r="X24" s="11">
        <v>68.75</v>
      </c>
      <c r="Y24" s="11">
        <v>69.879518072289159</v>
      </c>
      <c r="Z24" s="11">
        <v>73.255813953488371</v>
      </c>
      <c r="AA24" s="11">
        <f t="shared" si="3"/>
        <v>67.532917532917537</v>
      </c>
      <c r="AB24" s="27">
        <f t="shared" si="4"/>
        <v>70.62844400859251</v>
      </c>
      <c r="AC24" s="2">
        <f t="shared" si="5"/>
        <v>44.333333333333336</v>
      </c>
      <c r="AD24" s="2">
        <f t="shared" si="6"/>
        <v>58.666666666666664</v>
      </c>
    </row>
    <row r="25" spans="1:30" x14ac:dyDescent="0.3">
      <c r="A25" s="1" t="s">
        <v>4</v>
      </c>
      <c r="B25" s="1" t="s">
        <v>40</v>
      </c>
      <c r="C25" s="1" t="s">
        <v>41</v>
      </c>
      <c r="D25" s="1" t="s">
        <v>41</v>
      </c>
      <c r="E25" s="2">
        <v>10901</v>
      </c>
      <c r="F25" s="18">
        <v>9</v>
      </c>
      <c r="G25" s="18">
        <v>9</v>
      </c>
      <c r="H25" s="18">
        <v>11</v>
      </c>
      <c r="I25" s="18">
        <v>11</v>
      </c>
      <c r="J25" s="18">
        <v>16</v>
      </c>
      <c r="K25" s="18">
        <v>15</v>
      </c>
      <c r="L25" s="11">
        <v>16</v>
      </c>
      <c r="M25" s="11">
        <v>13</v>
      </c>
      <c r="N25" s="11">
        <v>13</v>
      </c>
      <c r="O25" s="11">
        <v>19</v>
      </c>
      <c r="P25" s="18">
        <v>19</v>
      </c>
      <c r="Q25" s="18">
        <v>18</v>
      </c>
      <c r="R25" s="24">
        <v>17</v>
      </c>
      <c r="S25" s="18">
        <v>19</v>
      </c>
      <c r="T25" s="18">
        <v>69.230769230769226</v>
      </c>
      <c r="U25" s="18">
        <v>69.230769230769226</v>
      </c>
      <c r="V25" s="18">
        <v>57.894736842105267</v>
      </c>
      <c r="W25" s="11">
        <v>57.894736842105267</v>
      </c>
      <c r="X25" s="11">
        <v>88.888888888888886</v>
      </c>
      <c r="Y25" s="11">
        <v>88.235294117647058</v>
      </c>
      <c r="Z25" s="11">
        <v>84.210526315789465</v>
      </c>
      <c r="AA25" s="11">
        <f t="shared" si="3"/>
        <v>61.673414304993251</v>
      </c>
      <c r="AB25" s="27">
        <f t="shared" si="4"/>
        <v>87.111569774108474</v>
      </c>
      <c r="AC25" s="2">
        <f t="shared" si="5"/>
        <v>10.333333333333334</v>
      </c>
      <c r="AD25" s="2">
        <f t="shared" si="6"/>
        <v>15.666666666666666</v>
      </c>
    </row>
    <row r="26" spans="1:30" x14ac:dyDescent="0.3">
      <c r="A26" s="1" t="s">
        <v>4</v>
      </c>
      <c r="B26" s="1" t="s">
        <v>40</v>
      </c>
      <c r="C26" s="1" t="s">
        <v>42</v>
      </c>
      <c r="D26" s="1" t="s">
        <v>42</v>
      </c>
      <c r="E26" s="2">
        <v>10902</v>
      </c>
      <c r="F26" s="18">
        <v>23</v>
      </c>
      <c r="G26" s="18">
        <v>23</v>
      </c>
      <c r="H26" s="18">
        <v>35</v>
      </c>
      <c r="I26" s="18">
        <v>38</v>
      </c>
      <c r="J26" s="18">
        <v>75</v>
      </c>
      <c r="K26" s="18">
        <v>76</v>
      </c>
      <c r="L26" s="11">
        <v>75</v>
      </c>
      <c r="M26" s="11">
        <v>29</v>
      </c>
      <c r="N26" s="11">
        <v>30</v>
      </c>
      <c r="O26" s="11">
        <v>57</v>
      </c>
      <c r="P26" s="18">
        <v>58</v>
      </c>
      <c r="Q26" s="18">
        <v>87</v>
      </c>
      <c r="R26" s="24">
        <v>88</v>
      </c>
      <c r="S26" s="18">
        <v>88</v>
      </c>
      <c r="T26" s="18">
        <v>79.310344827586206</v>
      </c>
      <c r="U26" s="18">
        <v>76.666666666666671</v>
      </c>
      <c r="V26" s="18">
        <v>61.403508771929829</v>
      </c>
      <c r="W26" s="11">
        <v>65.517241379310349</v>
      </c>
      <c r="X26" s="11">
        <v>86.206896551724128</v>
      </c>
      <c r="Y26" s="11">
        <v>86.36363636363636</v>
      </c>
      <c r="Z26" s="11">
        <v>85.227272727272734</v>
      </c>
      <c r="AA26" s="11">
        <f t="shared" si="3"/>
        <v>67.862472272635614</v>
      </c>
      <c r="AB26" s="27">
        <f t="shared" si="4"/>
        <v>85.932601880877755</v>
      </c>
      <c r="AC26" s="2">
        <f t="shared" si="5"/>
        <v>32</v>
      </c>
      <c r="AD26" s="2">
        <f t="shared" si="6"/>
        <v>75.333333333333329</v>
      </c>
    </row>
    <row r="27" spans="1:30" x14ac:dyDescent="0.3">
      <c r="A27" s="1" t="s">
        <v>4</v>
      </c>
      <c r="B27" s="1" t="s">
        <v>40</v>
      </c>
      <c r="C27" s="1" t="s">
        <v>43</v>
      </c>
      <c r="D27" s="1" t="s">
        <v>43</v>
      </c>
      <c r="E27" s="2">
        <v>10903</v>
      </c>
      <c r="F27" s="18">
        <v>7</v>
      </c>
      <c r="G27" s="18">
        <v>7</v>
      </c>
      <c r="H27" s="18">
        <v>7</v>
      </c>
      <c r="I27" s="18">
        <v>7</v>
      </c>
      <c r="J27" s="18">
        <v>12</v>
      </c>
      <c r="K27" s="18">
        <v>12</v>
      </c>
      <c r="L27" s="11">
        <v>12</v>
      </c>
      <c r="M27" s="11">
        <v>10</v>
      </c>
      <c r="N27" s="11">
        <v>10</v>
      </c>
      <c r="O27" s="11">
        <v>9</v>
      </c>
      <c r="P27" s="18">
        <v>9</v>
      </c>
      <c r="Q27" s="18">
        <v>15</v>
      </c>
      <c r="R27" s="24">
        <v>15</v>
      </c>
      <c r="S27" s="18">
        <v>15</v>
      </c>
      <c r="T27" s="18">
        <v>70</v>
      </c>
      <c r="U27" s="18">
        <v>70</v>
      </c>
      <c r="V27" s="18">
        <v>77.777777777777786</v>
      </c>
      <c r="W27" s="11">
        <v>77.777777777777786</v>
      </c>
      <c r="X27" s="11">
        <v>80</v>
      </c>
      <c r="Y27" s="11">
        <v>80</v>
      </c>
      <c r="Z27" s="11">
        <v>80</v>
      </c>
      <c r="AA27" s="11">
        <f t="shared" si="3"/>
        <v>75.185185185185176</v>
      </c>
      <c r="AB27" s="27">
        <f t="shared" si="4"/>
        <v>80</v>
      </c>
      <c r="AC27" s="2">
        <f t="shared" si="5"/>
        <v>7</v>
      </c>
      <c r="AD27" s="2">
        <f t="shared" si="6"/>
        <v>12</v>
      </c>
    </row>
    <row r="28" spans="1:30" x14ac:dyDescent="0.3">
      <c r="A28" s="1" t="s">
        <v>4</v>
      </c>
      <c r="B28" s="1" t="s">
        <v>44</v>
      </c>
      <c r="C28" s="1" t="s">
        <v>45</v>
      </c>
      <c r="D28" s="1" t="s">
        <v>45</v>
      </c>
      <c r="E28" s="2">
        <v>11001</v>
      </c>
      <c r="F28" s="18">
        <v>28</v>
      </c>
      <c r="G28" s="18">
        <v>34</v>
      </c>
      <c r="H28" s="18">
        <v>43</v>
      </c>
      <c r="I28" s="18">
        <v>42</v>
      </c>
      <c r="J28" s="18">
        <v>65</v>
      </c>
      <c r="K28" s="18">
        <v>69</v>
      </c>
      <c r="L28" s="11">
        <v>69</v>
      </c>
      <c r="M28" s="11">
        <v>30</v>
      </c>
      <c r="N28" s="11">
        <v>43</v>
      </c>
      <c r="O28" s="11">
        <v>62</v>
      </c>
      <c r="P28" s="18">
        <v>64</v>
      </c>
      <c r="Q28" s="18">
        <v>81</v>
      </c>
      <c r="R28" s="24">
        <v>83</v>
      </c>
      <c r="S28" s="18">
        <v>83</v>
      </c>
      <c r="T28" s="18">
        <v>93.333333333333329</v>
      </c>
      <c r="U28" s="18">
        <v>79.069767441860463</v>
      </c>
      <c r="V28" s="18">
        <v>69.354838709677423</v>
      </c>
      <c r="W28" s="11">
        <v>65.625</v>
      </c>
      <c r="X28" s="11">
        <v>80.246913580246911</v>
      </c>
      <c r="Y28" s="11">
        <v>83.132530120481931</v>
      </c>
      <c r="Z28" s="11">
        <v>83.132530120481931</v>
      </c>
      <c r="AA28" s="11">
        <f t="shared" si="3"/>
        <v>71.349868717179291</v>
      </c>
      <c r="AB28" s="27">
        <f t="shared" si="4"/>
        <v>82.170657940403586</v>
      </c>
      <c r="AC28" s="2">
        <f t="shared" si="5"/>
        <v>39.666666666666664</v>
      </c>
      <c r="AD28" s="2">
        <f t="shared" si="6"/>
        <v>67.666666666666671</v>
      </c>
    </row>
    <row r="29" spans="1:30" x14ac:dyDescent="0.3">
      <c r="A29" s="1" t="s">
        <v>4</v>
      </c>
      <c r="B29" s="1" t="s">
        <v>44</v>
      </c>
      <c r="C29" s="1" t="s">
        <v>46</v>
      </c>
      <c r="D29" s="1" t="s">
        <v>47</v>
      </c>
      <c r="E29" s="2">
        <v>11002</v>
      </c>
      <c r="F29" s="18">
        <v>8</v>
      </c>
      <c r="G29" s="18">
        <v>11</v>
      </c>
      <c r="H29" s="18">
        <v>11</v>
      </c>
      <c r="I29" s="18">
        <v>11</v>
      </c>
      <c r="J29" s="18">
        <v>16</v>
      </c>
      <c r="K29" s="18">
        <v>15</v>
      </c>
      <c r="L29" s="11">
        <v>14</v>
      </c>
      <c r="M29" s="11">
        <v>9</v>
      </c>
      <c r="N29" s="11">
        <v>13</v>
      </c>
      <c r="O29" s="11">
        <v>14</v>
      </c>
      <c r="P29" s="18">
        <v>14</v>
      </c>
      <c r="Q29" s="18">
        <v>18</v>
      </c>
      <c r="R29" s="24">
        <v>18</v>
      </c>
      <c r="S29" s="18">
        <v>18</v>
      </c>
      <c r="T29" s="18">
        <v>88.888888888888886</v>
      </c>
      <c r="U29" s="18">
        <v>84.615384615384613</v>
      </c>
      <c r="V29" s="18">
        <v>78.571428571428569</v>
      </c>
      <c r="W29" s="11">
        <v>78.571428571428569</v>
      </c>
      <c r="X29" s="11">
        <v>88.888888888888886</v>
      </c>
      <c r="Y29" s="11">
        <v>83.333333333333343</v>
      </c>
      <c r="Z29" s="11">
        <v>77.777777777777786</v>
      </c>
      <c r="AA29" s="11">
        <f t="shared" si="3"/>
        <v>80.586080586080584</v>
      </c>
      <c r="AB29" s="27">
        <f t="shared" si="4"/>
        <v>83.333333333333329</v>
      </c>
      <c r="AC29" s="2">
        <f t="shared" si="5"/>
        <v>11</v>
      </c>
      <c r="AD29" s="2">
        <f t="shared" si="6"/>
        <v>15</v>
      </c>
    </row>
    <row r="30" spans="1:30" x14ac:dyDescent="0.3">
      <c r="A30" s="1" t="s">
        <v>4</v>
      </c>
      <c r="B30" s="1" t="s">
        <v>44</v>
      </c>
      <c r="C30" s="1" t="s">
        <v>48</v>
      </c>
      <c r="D30" s="1" t="s">
        <v>49</v>
      </c>
      <c r="E30" s="2">
        <v>11003</v>
      </c>
      <c r="F30" s="18">
        <v>19</v>
      </c>
      <c r="G30" s="18">
        <v>21</v>
      </c>
      <c r="H30" s="18">
        <v>23</v>
      </c>
      <c r="I30" s="18">
        <v>23</v>
      </c>
      <c r="J30" s="18">
        <v>41</v>
      </c>
      <c r="K30" s="18">
        <v>45</v>
      </c>
      <c r="L30" s="11">
        <v>48</v>
      </c>
      <c r="M30" s="11">
        <v>27</v>
      </c>
      <c r="N30" s="11">
        <v>31</v>
      </c>
      <c r="O30" s="11">
        <v>35</v>
      </c>
      <c r="P30" s="18">
        <v>35</v>
      </c>
      <c r="Q30" s="18">
        <v>49</v>
      </c>
      <c r="R30" s="24">
        <v>53</v>
      </c>
      <c r="S30" s="18">
        <v>60</v>
      </c>
      <c r="T30" s="18">
        <v>70.370370370370367</v>
      </c>
      <c r="U30" s="18">
        <v>67.741935483870961</v>
      </c>
      <c r="V30" s="18">
        <v>65.714285714285708</v>
      </c>
      <c r="W30" s="11">
        <v>65.714285714285708</v>
      </c>
      <c r="X30" s="11">
        <v>83.673469387755105</v>
      </c>
      <c r="Y30" s="11">
        <v>84.905660377358487</v>
      </c>
      <c r="Z30" s="11">
        <v>80</v>
      </c>
      <c r="AA30" s="11">
        <f t="shared" si="3"/>
        <v>66.390168970814116</v>
      </c>
      <c r="AB30" s="27">
        <f t="shared" si="4"/>
        <v>82.859709921704521</v>
      </c>
      <c r="AC30" s="2">
        <f t="shared" si="5"/>
        <v>22.333333333333332</v>
      </c>
      <c r="AD30" s="2">
        <f t="shared" si="6"/>
        <v>44.666666666666664</v>
      </c>
    </row>
    <row r="31" spans="1:30" x14ac:dyDescent="0.3">
      <c r="A31" s="1" t="s">
        <v>50</v>
      </c>
      <c r="B31" s="1" t="s">
        <v>51</v>
      </c>
      <c r="C31" s="1" t="s">
        <v>52</v>
      </c>
      <c r="D31" s="1" t="s">
        <v>52</v>
      </c>
      <c r="E31" s="2">
        <v>20101</v>
      </c>
      <c r="F31" s="18">
        <v>2212</v>
      </c>
      <c r="G31" s="18">
        <v>2271</v>
      </c>
      <c r="H31" s="18">
        <v>2624</v>
      </c>
      <c r="I31" s="18">
        <v>2688</v>
      </c>
      <c r="J31" s="18">
        <v>2856</v>
      </c>
      <c r="K31" s="18">
        <v>2860</v>
      </c>
      <c r="L31" s="11">
        <v>2862</v>
      </c>
      <c r="M31" s="11">
        <v>2427</v>
      </c>
      <c r="N31" s="11">
        <v>2466</v>
      </c>
      <c r="O31" s="11">
        <v>2926</v>
      </c>
      <c r="P31" s="18">
        <v>3012</v>
      </c>
      <c r="Q31" s="18">
        <v>3291</v>
      </c>
      <c r="R31" s="24">
        <v>3306</v>
      </c>
      <c r="S31" s="18">
        <v>3314</v>
      </c>
      <c r="T31" s="18">
        <v>91.141326740832312</v>
      </c>
      <c r="U31" s="18">
        <v>92.092457420924575</v>
      </c>
      <c r="V31" s="18">
        <v>89.678742310321255</v>
      </c>
      <c r="W31" s="11">
        <v>89.243027888446207</v>
      </c>
      <c r="X31" s="11">
        <v>86.782133090246134</v>
      </c>
      <c r="Y31" s="11">
        <v>86.509376890502125</v>
      </c>
      <c r="Z31" s="11">
        <v>86.360893180446581</v>
      </c>
      <c r="AA31" s="11">
        <f t="shared" si="3"/>
        <v>90.338075873230665</v>
      </c>
      <c r="AB31" s="27">
        <f t="shared" si="4"/>
        <v>86.550801053731618</v>
      </c>
      <c r="AC31" s="2">
        <f t="shared" si="5"/>
        <v>2527.6666666666665</v>
      </c>
      <c r="AD31" s="2">
        <f t="shared" si="6"/>
        <v>2859.3333333333335</v>
      </c>
    </row>
    <row r="32" spans="1:30" x14ac:dyDescent="0.3">
      <c r="A32" s="1" t="s">
        <v>50</v>
      </c>
      <c r="B32" s="1" t="s">
        <v>51</v>
      </c>
      <c r="C32" s="1" t="s">
        <v>53</v>
      </c>
      <c r="D32" s="1" t="s">
        <v>53</v>
      </c>
      <c r="E32" s="2">
        <v>20102</v>
      </c>
      <c r="F32" s="18">
        <v>34</v>
      </c>
      <c r="G32" s="18">
        <v>43</v>
      </c>
      <c r="H32" s="18">
        <v>51</v>
      </c>
      <c r="I32" s="18">
        <v>58</v>
      </c>
      <c r="J32" s="18">
        <v>94</v>
      </c>
      <c r="K32" s="18">
        <v>101</v>
      </c>
      <c r="L32" s="11">
        <v>106</v>
      </c>
      <c r="M32" s="11">
        <v>53</v>
      </c>
      <c r="N32" s="11">
        <v>62</v>
      </c>
      <c r="O32" s="11">
        <v>92</v>
      </c>
      <c r="P32" s="18">
        <v>97</v>
      </c>
      <c r="Q32" s="18">
        <v>121</v>
      </c>
      <c r="R32" s="24">
        <v>132</v>
      </c>
      <c r="S32" s="18">
        <v>136</v>
      </c>
      <c r="T32" s="18">
        <v>64.15094339622641</v>
      </c>
      <c r="U32" s="18">
        <v>69.354838709677423</v>
      </c>
      <c r="V32" s="18">
        <v>55.434782608695656</v>
      </c>
      <c r="W32" s="11">
        <v>59.793814432989691</v>
      </c>
      <c r="X32" s="11">
        <v>77.685950413223139</v>
      </c>
      <c r="Y32" s="11">
        <v>76.515151515151516</v>
      </c>
      <c r="Z32" s="11">
        <v>77.941176470588232</v>
      </c>
      <c r="AA32" s="11">
        <f t="shared" si="3"/>
        <v>61.527811917120921</v>
      </c>
      <c r="AB32" s="27">
        <f t="shared" si="4"/>
        <v>77.380759466320967</v>
      </c>
      <c r="AC32" s="2">
        <f t="shared" si="5"/>
        <v>50.666666666666664</v>
      </c>
      <c r="AD32" s="2">
        <f t="shared" si="6"/>
        <v>100.33333333333333</v>
      </c>
    </row>
    <row r="33" spans="1:30" x14ac:dyDescent="0.3">
      <c r="A33" s="1" t="s">
        <v>50</v>
      </c>
      <c r="B33" s="1" t="s">
        <v>51</v>
      </c>
      <c r="C33" s="1" t="s">
        <v>54</v>
      </c>
      <c r="D33" s="1" t="s">
        <v>54</v>
      </c>
      <c r="E33" s="2">
        <v>20103</v>
      </c>
      <c r="F33" s="18">
        <v>56</v>
      </c>
      <c r="G33" s="18">
        <v>58</v>
      </c>
      <c r="H33" s="18">
        <v>71</v>
      </c>
      <c r="I33" s="18">
        <v>73</v>
      </c>
      <c r="J33" s="18">
        <v>86</v>
      </c>
      <c r="K33" s="18">
        <v>91</v>
      </c>
      <c r="L33" s="11">
        <v>94</v>
      </c>
      <c r="M33" s="11">
        <v>74</v>
      </c>
      <c r="N33" s="11">
        <v>76</v>
      </c>
      <c r="O33" s="11">
        <v>109</v>
      </c>
      <c r="P33" s="18">
        <v>110</v>
      </c>
      <c r="Q33" s="18">
        <v>113</v>
      </c>
      <c r="R33" s="24">
        <v>117</v>
      </c>
      <c r="S33" s="18">
        <v>126</v>
      </c>
      <c r="T33" s="18">
        <v>75.675675675675677</v>
      </c>
      <c r="U33" s="18">
        <v>76.31578947368422</v>
      </c>
      <c r="V33" s="18">
        <v>65.137614678899084</v>
      </c>
      <c r="W33" s="11">
        <v>66.363636363636374</v>
      </c>
      <c r="X33" s="11">
        <v>76.106194690265482</v>
      </c>
      <c r="Y33" s="11">
        <v>77.777777777777786</v>
      </c>
      <c r="Z33" s="11">
        <v>74.603174603174608</v>
      </c>
      <c r="AA33" s="11">
        <f t="shared" si="3"/>
        <v>69.272346838739892</v>
      </c>
      <c r="AB33" s="27">
        <f t="shared" si="4"/>
        <v>76.16238235707263</v>
      </c>
      <c r="AC33" s="2">
        <f t="shared" si="5"/>
        <v>67.333333333333329</v>
      </c>
      <c r="AD33" s="2">
        <f t="shared" si="6"/>
        <v>90.333333333333329</v>
      </c>
    </row>
    <row r="34" spans="1:30" x14ac:dyDescent="0.3">
      <c r="A34" s="1" t="s">
        <v>50</v>
      </c>
      <c r="B34" s="1" t="s">
        <v>51</v>
      </c>
      <c r="C34" s="1" t="s">
        <v>55</v>
      </c>
      <c r="D34" s="1" t="s">
        <v>55</v>
      </c>
      <c r="E34" s="2">
        <v>20104</v>
      </c>
      <c r="F34" s="18">
        <v>57</v>
      </c>
      <c r="G34" s="18">
        <v>64</v>
      </c>
      <c r="H34" s="18">
        <v>80</v>
      </c>
      <c r="I34" s="18">
        <v>79</v>
      </c>
      <c r="J34" s="18">
        <v>132</v>
      </c>
      <c r="K34" s="18">
        <v>141</v>
      </c>
      <c r="L34" s="11">
        <v>145</v>
      </c>
      <c r="M34" s="11">
        <v>69</v>
      </c>
      <c r="N34" s="11">
        <v>77</v>
      </c>
      <c r="O34" s="11">
        <v>123</v>
      </c>
      <c r="P34" s="18">
        <v>125</v>
      </c>
      <c r="Q34" s="18">
        <v>190</v>
      </c>
      <c r="R34" s="24">
        <v>200</v>
      </c>
      <c r="S34" s="18">
        <v>205</v>
      </c>
      <c r="T34" s="18">
        <v>82.608695652173907</v>
      </c>
      <c r="U34" s="18">
        <v>83.116883116883116</v>
      </c>
      <c r="V34" s="18">
        <v>65.040650406504056</v>
      </c>
      <c r="W34" s="11">
        <v>63.2</v>
      </c>
      <c r="X34" s="11">
        <v>69.473684210526315</v>
      </c>
      <c r="Y34" s="11">
        <v>70.5</v>
      </c>
      <c r="Z34" s="11">
        <v>70.731707317073173</v>
      </c>
      <c r="AA34" s="11">
        <f t="shared" si="3"/>
        <v>70.452511174462401</v>
      </c>
      <c r="AB34" s="27">
        <f t="shared" si="4"/>
        <v>70.235130509199834</v>
      </c>
      <c r="AC34" s="2">
        <f t="shared" si="5"/>
        <v>74.333333333333329</v>
      </c>
      <c r="AD34" s="2">
        <f t="shared" si="6"/>
        <v>139.33333333333334</v>
      </c>
    </row>
    <row r="35" spans="1:30" x14ac:dyDescent="0.3">
      <c r="A35" s="1" t="s">
        <v>50</v>
      </c>
      <c r="B35" s="1" t="s">
        <v>51</v>
      </c>
      <c r="C35" s="1" t="s">
        <v>56</v>
      </c>
      <c r="D35" s="1" t="s">
        <v>56</v>
      </c>
      <c r="E35" s="2">
        <v>20105</v>
      </c>
      <c r="F35" s="18">
        <v>2797</v>
      </c>
      <c r="G35" s="18">
        <v>3114</v>
      </c>
      <c r="H35" s="18">
        <v>3658</v>
      </c>
      <c r="I35" s="18">
        <v>3914</v>
      </c>
      <c r="J35" s="18">
        <v>4857</v>
      </c>
      <c r="K35" s="18">
        <v>4953</v>
      </c>
      <c r="L35" s="11">
        <v>4997</v>
      </c>
      <c r="M35" s="11">
        <v>3384</v>
      </c>
      <c r="N35" s="11">
        <v>3726</v>
      </c>
      <c r="O35" s="11">
        <v>4818</v>
      </c>
      <c r="P35" s="18">
        <v>5137</v>
      </c>
      <c r="Q35" s="18">
        <v>6214</v>
      </c>
      <c r="R35" s="24">
        <v>6320</v>
      </c>
      <c r="S35" s="18">
        <v>6376</v>
      </c>
      <c r="T35" s="18">
        <v>82.653664302600475</v>
      </c>
      <c r="U35" s="18">
        <v>83.574879227053145</v>
      </c>
      <c r="V35" s="18">
        <v>75.923619759236189</v>
      </c>
      <c r="W35" s="11">
        <v>76.192330153786259</v>
      </c>
      <c r="X35" s="11">
        <v>78.162214354682973</v>
      </c>
      <c r="Y35" s="11">
        <v>78.370253164556956</v>
      </c>
      <c r="Z35" s="11">
        <v>78.372020075282308</v>
      </c>
      <c r="AA35" s="11">
        <f t="shared" si="3"/>
        <v>78.563609713358531</v>
      </c>
      <c r="AB35" s="27">
        <f t="shared" si="4"/>
        <v>78.301495864840746</v>
      </c>
      <c r="AC35" s="2">
        <f t="shared" si="5"/>
        <v>3562</v>
      </c>
      <c r="AD35" s="2">
        <f t="shared" si="6"/>
        <v>4935.666666666667</v>
      </c>
    </row>
    <row r="36" spans="1:30" x14ac:dyDescent="0.3">
      <c r="A36" s="1" t="s">
        <v>50</v>
      </c>
      <c r="B36" s="1" t="s">
        <v>57</v>
      </c>
      <c r="C36" s="1" t="s">
        <v>58</v>
      </c>
      <c r="D36" s="1" t="s">
        <v>58</v>
      </c>
      <c r="E36" s="2">
        <v>20201</v>
      </c>
      <c r="F36" s="18">
        <v>290</v>
      </c>
      <c r="G36" s="18">
        <v>298</v>
      </c>
      <c r="H36" s="18">
        <v>361</v>
      </c>
      <c r="I36" s="18">
        <v>289</v>
      </c>
      <c r="J36" s="18">
        <v>361</v>
      </c>
      <c r="K36" s="18">
        <v>361</v>
      </c>
      <c r="L36" s="11">
        <v>372</v>
      </c>
      <c r="M36" s="11">
        <v>377</v>
      </c>
      <c r="N36" s="11">
        <v>384</v>
      </c>
      <c r="O36" s="11">
        <v>511</v>
      </c>
      <c r="P36" s="18">
        <v>379</v>
      </c>
      <c r="Q36" s="18">
        <v>418</v>
      </c>
      <c r="R36" s="24">
        <v>419</v>
      </c>
      <c r="S36" s="18">
        <v>428</v>
      </c>
      <c r="T36" s="18">
        <v>76.923076923076934</v>
      </c>
      <c r="U36" s="18">
        <v>77.604166666666657</v>
      </c>
      <c r="V36" s="18">
        <v>70.645792563600779</v>
      </c>
      <c r="W36" s="11">
        <v>76.253298153034294</v>
      </c>
      <c r="X36" s="11">
        <v>86.36363636363636</v>
      </c>
      <c r="Y36" s="11">
        <v>86.157517899761331</v>
      </c>
      <c r="Z36" s="11">
        <v>86.915887850467286</v>
      </c>
      <c r="AA36" s="11">
        <f t="shared" si="3"/>
        <v>74.834419127767248</v>
      </c>
      <c r="AB36" s="27">
        <f t="shared" si="4"/>
        <v>86.479014037954997</v>
      </c>
      <c r="AC36" s="2">
        <f t="shared" si="5"/>
        <v>316</v>
      </c>
      <c r="AD36" s="2">
        <f t="shared" si="6"/>
        <v>364.66666666666669</v>
      </c>
    </row>
    <row r="37" spans="1:30" x14ac:dyDescent="0.3">
      <c r="A37" s="1" t="s">
        <v>50</v>
      </c>
      <c r="B37" s="1" t="s">
        <v>57</v>
      </c>
      <c r="C37" s="1" t="s">
        <v>59</v>
      </c>
      <c r="D37" s="1" t="s">
        <v>60</v>
      </c>
      <c r="E37" s="2">
        <v>20202</v>
      </c>
      <c r="F37" s="18">
        <v>52</v>
      </c>
      <c r="G37" s="18">
        <v>54</v>
      </c>
      <c r="H37" s="18">
        <v>69</v>
      </c>
      <c r="I37" s="18">
        <v>68</v>
      </c>
      <c r="J37" s="18">
        <v>88</v>
      </c>
      <c r="K37" s="18">
        <v>88</v>
      </c>
      <c r="L37" s="11">
        <v>84</v>
      </c>
      <c r="M37" s="11">
        <v>80</v>
      </c>
      <c r="N37" s="11">
        <v>80</v>
      </c>
      <c r="O37" s="11">
        <v>111</v>
      </c>
      <c r="P37" s="18">
        <v>108</v>
      </c>
      <c r="Q37" s="18">
        <v>114</v>
      </c>
      <c r="R37" s="24">
        <v>115</v>
      </c>
      <c r="S37" s="18">
        <v>116</v>
      </c>
      <c r="T37" s="18">
        <v>65</v>
      </c>
      <c r="U37" s="18">
        <v>67.5</v>
      </c>
      <c r="V37" s="18">
        <v>62.162162162162161</v>
      </c>
      <c r="W37" s="11">
        <v>62.962962962962962</v>
      </c>
      <c r="X37" s="11">
        <v>77.192982456140342</v>
      </c>
      <c r="Y37" s="11">
        <v>76.521739130434781</v>
      </c>
      <c r="Z37" s="11">
        <v>72.41379310344827</v>
      </c>
      <c r="AA37" s="11">
        <f t="shared" si="3"/>
        <v>64.208375041708379</v>
      </c>
      <c r="AB37" s="27">
        <f t="shared" si="4"/>
        <v>75.376171563341131</v>
      </c>
      <c r="AC37" s="2">
        <f t="shared" si="5"/>
        <v>63.666666666666664</v>
      </c>
      <c r="AD37" s="2">
        <f t="shared" si="6"/>
        <v>86.666666666666671</v>
      </c>
    </row>
    <row r="38" spans="1:30" x14ac:dyDescent="0.3">
      <c r="A38" s="1" t="s">
        <v>50</v>
      </c>
      <c r="B38" s="1" t="s">
        <v>57</v>
      </c>
      <c r="C38" s="1" t="s">
        <v>61</v>
      </c>
      <c r="D38" s="1" t="s">
        <v>61</v>
      </c>
      <c r="E38" s="2">
        <v>20203</v>
      </c>
      <c r="F38" s="18">
        <v>0</v>
      </c>
      <c r="G38" s="18">
        <v>0</v>
      </c>
      <c r="H38" s="18">
        <v>0</v>
      </c>
      <c r="I38" s="18">
        <v>25</v>
      </c>
      <c r="J38" s="18">
        <v>26</v>
      </c>
      <c r="K38" s="18">
        <v>26</v>
      </c>
      <c r="L38" s="11">
        <v>26</v>
      </c>
      <c r="M38" s="11">
        <v>0</v>
      </c>
      <c r="N38" s="11">
        <v>0</v>
      </c>
      <c r="O38" s="11">
        <v>0</v>
      </c>
      <c r="P38" s="18">
        <v>34</v>
      </c>
      <c r="Q38" s="18">
        <v>29</v>
      </c>
      <c r="R38" s="24">
        <v>31</v>
      </c>
      <c r="S38" s="18">
        <v>31</v>
      </c>
      <c r="T38" s="18"/>
      <c r="U38" s="18"/>
      <c r="V38" s="18"/>
      <c r="W38" s="11">
        <v>73.529411764705884</v>
      </c>
      <c r="X38" s="11">
        <v>89.65517241379311</v>
      </c>
      <c r="Y38" s="11">
        <v>83.870967741935488</v>
      </c>
      <c r="Z38" s="11">
        <v>83.870967741935488</v>
      </c>
      <c r="AA38" s="11">
        <f t="shared" si="3"/>
        <v>73.529411764705884</v>
      </c>
      <c r="AB38" s="27">
        <f t="shared" si="4"/>
        <v>85.799035965888038</v>
      </c>
      <c r="AC38" s="2">
        <f t="shared" si="5"/>
        <v>8.3333333333333339</v>
      </c>
      <c r="AD38" s="2">
        <f t="shared" si="6"/>
        <v>26</v>
      </c>
    </row>
    <row r="39" spans="1:30" x14ac:dyDescent="0.3">
      <c r="A39" s="1" t="s">
        <v>50</v>
      </c>
      <c r="B39" s="1" t="s">
        <v>57</v>
      </c>
      <c r="C39" s="1" t="s">
        <v>62</v>
      </c>
      <c r="D39" s="1" t="s">
        <v>62</v>
      </c>
      <c r="E39" s="2">
        <v>20204</v>
      </c>
      <c r="F39" s="18">
        <v>0</v>
      </c>
      <c r="G39" s="18">
        <v>0</v>
      </c>
      <c r="H39" s="18">
        <v>0</v>
      </c>
      <c r="I39" s="18">
        <v>42</v>
      </c>
      <c r="J39" s="18">
        <v>51</v>
      </c>
      <c r="K39" s="18">
        <v>48</v>
      </c>
      <c r="L39" s="11">
        <v>48</v>
      </c>
      <c r="M39" s="11">
        <v>0</v>
      </c>
      <c r="N39" s="11">
        <v>0</v>
      </c>
      <c r="O39" s="11">
        <v>0</v>
      </c>
      <c r="P39" s="18">
        <v>55</v>
      </c>
      <c r="Q39" s="18">
        <v>59</v>
      </c>
      <c r="R39" s="24">
        <v>59</v>
      </c>
      <c r="S39" s="18">
        <v>59</v>
      </c>
      <c r="T39" s="18"/>
      <c r="U39" s="18"/>
      <c r="V39" s="18"/>
      <c r="W39" s="11">
        <v>76.363636363636374</v>
      </c>
      <c r="X39" s="11">
        <v>86.440677966101703</v>
      </c>
      <c r="Y39" s="11">
        <v>81.355932203389841</v>
      </c>
      <c r="Z39" s="11">
        <v>81.355932203389841</v>
      </c>
      <c r="AA39" s="11">
        <f t="shared" si="3"/>
        <v>76.363636363636374</v>
      </c>
      <c r="AB39" s="27">
        <f t="shared" si="4"/>
        <v>83.050847457627128</v>
      </c>
      <c r="AC39" s="2">
        <f t="shared" si="5"/>
        <v>14</v>
      </c>
      <c r="AD39" s="2">
        <f t="shared" si="6"/>
        <v>49</v>
      </c>
    </row>
    <row r="40" spans="1:30" x14ac:dyDescent="0.3">
      <c r="A40" s="1" t="s">
        <v>50</v>
      </c>
      <c r="B40" s="1" t="s">
        <v>57</v>
      </c>
      <c r="C40" s="1" t="s">
        <v>63</v>
      </c>
      <c r="D40" s="1" t="s">
        <v>63</v>
      </c>
      <c r="E40" s="2">
        <v>20205</v>
      </c>
      <c r="F40" s="18">
        <v>0</v>
      </c>
      <c r="G40" s="18">
        <v>5</v>
      </c>
      <c r="H40" s="18">
        <v>6</v>
      </c>
      <c r="I40" s="18">
        <v>47</v>
      </c>
      <c r="J40" s="18">
        <v>48</v>
      </c>
      <c r="K40" s="18">
        <v>50</v>
      </c>
      <c r="L40" s="11">
        <v>54</v>
      </c>
      <c r="M40" s="11">
        <v>0</v>
      </c>
      <c r="N40" s="11">
        <v>6</v>
      </c>
      <c r="O40" s="11">
        <v>7</v>
      </c>
      <c r="P40" s="18">
        <v>63</v>
      </c>
      <c r="Q40" s="18">
        <v>61</v>
      </c>
      <c r="R40" s="24">
        <v>61</v>
      </c>
      <c r="S40" s="18">
        <v>62</v>
      </c>
      <c r="T40" s="18"/>
      <c r="U40" s="18">
        <v>83.333333333333343</v>
      </c>
      <c r="V40" s="18">
        <v>85.714285714285708</v>
      </c>
      <c r="W40" s="11">
        <v>74.603174603174608</v>
      </c>
      <c r="X40" s="11">
        <v>78.688524590163937</v>
      </c>
      <c r="Y40" s="11">
        <v>81.967213114754102</v>
      </c>
      <c r="Z40" s="11">
        <v>87.096774193548384</v>
      </c>
      <c r="AA40" s="11">
        <f t="shared" si="3"/>
        <v>81.216931216931215</v>
      </c>
      <c r="AB40" s="27">
        <f t="shared" si="4"/>
        <v>82.584170632822136</v>
      </c>
      <c r="AC40" s="2">
        <f t="shared" si="5"/>
        <v>19.333333333333332</v>
      </c>
      <c r="AD40" s="2">
        <f t="shared" si="6"/>
        <v>50.666666666666664</v>
      </c>
    </row>
    <row r="41" spans="1:30" x14ac:dyDescent="0.3">
      <c r="A41" s="1" t="s">
        <v>50</v>
      </c>
      <c r="B41" s="1" t="s">
        <v>57</v>
      </c>
      <c r="C41" s="1" t="s">
        <v>64</v>
      </c>
      <c r="D41" s="1" t="s">
        <v>64</v>
      </c>
      <c r="E41" s="2">
        <v>20206</v>
      </c>
      <c r="F41" s="18">
        <v>0</v>
      </c>
      <c r="G41" s="18">
        <v>0</v>
      </c>
      <c r="H41" s="18">
        <v>0</v>
      </c>
      <c r="I41" s="18">
        <v>16</v>
      </c>
      <c r="J41" s="18">
        <v>12</v>
      </c>
      <c r="K41" s="18">
        <v>12</v>
      </c>
      <c r="L41" s="11">
        <v>12</v>
      </c>
      <c r="M41" s="11">
        <v>0</v>
      </c>
      <c r="N41" s="11">
        <v>0</v>
      </c>
      <c r="O41" s="11">
        <v>0</v>
      </c>
      <c r="P41" s="18">
        <v>17</v>
      </c>
      <c r="Q41" s="18">
        <v>14</v>
      </c>
      <c r="R41" s="24">
        <v>14</v>
      </c>
      <c r="S41" s="18">
        <v>14</v>
      </c>
      <c r="T41" s="18"/>
      <c r="U41" s="18"/>
      <c r="V41" s="18"/>
      <c r="W41" s="11">
        <v>94.117647058823522</v>
      </c>
      <c r="X41" s="11">
        <v>85.714285714285708</v>
      </c>
      <c r="Y41" s="11">
        <v>85.714285714285708</v>
      </c>
      <c r="Z41" s="11">
        <v>85.714285714285708</v>
      </c>
      <c r="AA41" s="11">
        <f t="shared" si="3"/>
        <v>94.117647058823522</v>
      </c>
      <c r="AB41" s="27">
        <f t="shared" si="4"/>
        <v>85.714285714285708</v>
      </c>
      <c r="AC41" s="2">
        <f t="shared" si="5"/>
        <v>5.333333333333333</v>
      </c>
      <c r="AD41" s="2">
        <f t="shared" si="6"/>
        <v>12</v>
      </c>
    </row>
    <row r="42" spans="1:30" x14ac:dyDescent="0.3">
      <c r="A42" s="1" t="s">
        <v>50</v>
      </c>
      <c r="B42" s="1" t="s">
        <v>65</v>
      </c>
      <c r="C42" s="1" t="s">
        <v>66</v>
      </c>
      <c r="D42" s="1" t="s">
        <v>67</v>
      </c>
      <c r="E42" s="2">
        <v>20301</v>
      </c>
      <c r="F42" s="18">
        <v>47</v>
      </c>
      <c r="G42" s="18">
        <v>46</v>
      </c>
      <c r="H42" s="18">
        <v>55</v>
      </c>
      <c r="I42" s="18">
        <v>57</v>
      </c>
      <c r="J42" s="18">
        <v>68</v>
      </c>
      <c r="K42" s="18">
        <v>76</v>
      </c>
      <c r="L42" s="11">
        <v>76</v>
      </c>
      <c r="M42" s="11">
        <v>67</v>
      </c>
      <c r="N42" s="11">
        <v>66</v>
      </c>
      <c r="O42" s="11">
        <v>87</v>
      </c>
      <c r="P42" s="18">
        <v>95</v>
      </c>
      <c r="Q42" s="18">
        <v>107</v>
      </c>
      <c r="R42" s="24">
        <v>113</v>
      </c>
      <c r="S42" s="18">
        <v>112</v>
      </c>
      <c r="T42" s="18">
        <v>70.149253731343293</v>
      </c>
      <c r="U42" s="18">
        <v>69.696969696969703</v>
      </c>
      <c r="V42" s="18">
        <v>63.218390804597703</v>
      </c>
      <c r="W42" s="11">
        <v>60</v>
      </c>
      <c r="X42" s="11">
        <v>63.551401869158873</v>
      </c>
      <c r="Y42" s="11">
        <v>67.256637168141594</v>
      </c>
      <c r="Z42" s="11">
        <v>67.857142857142861</v>
      </c>
      <c r="AA42" s="11">
        <f t="shared" si="3"/>
        <v>64.305120167189145</v>
      </c>
      <c r="AB42" s="27">
        <f t="shared" si="4"/>
        <v>66.221727298147769</v>
      </c>
      <c r="AC42" s="2">
        <f t="shared" si="5"/>
        <v>52.666666666666664</v>
      </c>
      <c r="AD42" s="2">
        <f t="shared" si="6"/>
        <v>73.333333333333329</v>
      </c>
    </row>
    <row r="43" spans="1:30" x14ac:dyDescent="0.3">
      <c r="A43" s="1" t="s">
        <v>50</v>
      </c>
      <c r="B43" s="1" t="s">
        <v>65</v>
      </c>
      <c r="C43" s="1" t="s">
        <v>68</v>
      </c>
      <c r="D43" s="1" t="s">
        <v>68</v>
      </c>
      <c r="E43" s="2">
        <v>20302</v>
      </c>
      <c r="F43" s="18">
        <v>40</v>
      </c>
      <c r="G43" s="18">
        <v>40</v>
      </c>
      <c r="H43" s="18">
        <v>52</v>
      </c>
      <c r="I43" s="18">
        <v>54</v>
      </c>
      <c r="J43" s="18">
        <v>61</v>
      </c>
      <c r="K43" s="18">
        <v>63</v>
      </c>
      <c r="L43" s="11">
        <v>63</v>
      </c>
      <c r="M43" s="11">
        <v>60</v>
      </c>
      <c r="N43" s="11">
        <v>61</v>
      </c>
      <c r="O43" s="11">
        <v>84</v>
      </c>
      <c r="P43" s="18">
        <v>84</v>
      </c>
      <c r="Q43" s="18">
        <v>84</v>
      </c>
      <c r="R43" s="24">
        <v>84</v>
      </c>
      <c r="S43" s="18">
        <v>84</v>
      </c>
      <c r="T43" s="18">
        <v>66.666666666666657</v>
      </c>
      <c r="U43" s="18">
        <v>65.573770491803273</v>
      </c>
      <c r="V43" s="18">
        <v>61.904761904761905</v>
      </c>
      <c r="W43" s="11">
        <v>64.285714285714292</v>
      </c>
      <c r="X43" s="11">
        <v>72.61904761904762</v>
      </c>
      <c r="Y43" s="11">
        <v>75</v>
      </c>
      <c r="Z43" s="11">
        <v>75</v>
      </c>
      <c r="AA43" s="11">
        <f t="shared" si="3"/>
        <v>63.921415560759819</v>
      </c>
      <c r="AB43" s="27">
        <f t="shared" si="4"/>
        <v>74.206349206349202</v>
      </c>
      <c r="AC43" s="2">
        <f t="shared" si="5"/>
        <v>48.666666666666664</v>
      </c>
      <c r="AD43" s="2">
        <f t="shared" si="6"/>
        <v>62.333333333333336</v>
      </c>
    </row>
    <row r="44" spans="1:30" x14ac:dyDescent="0.3">
      <c r="A44" s="1" t="s">
        <v>50</v>
      </c>
      <c r="B44" s="1" t="s">
        <v>65</v>
      </c>
      <c r="C44" s="1" t="s">
        <v>69</v>
      </c>
      <c r="D44" s="1" t="s">
        <v>69</v>
      </c>
      <c r="E44" s="2">
        <v>20303</v>
      </c>
      <c r="F44" s="18">
        <v>34</v>
      </c>
      <c r="G44" s="18">
        <v>35</v>
      </c>
      <c r="H44" s="18">
        <v>38</v>
      </c>
      <c r="I44" s="18">
        <v>43</v>
      </c>
      <c r="J44" s="18">
        <v>71</v>
      </c>
      <c r="K44" s="18">
        <v>71</v>
      </c>
      <c r="L44" s="11">
        <v>74</v>
      </c>
      <c r="M44" s="11">
        <v>68</v>
      </c>
      <c r="N44" s="11">
        <v>68</v>
      </c>
      <c r="O44" s="11">
        <v>90</v>
      </c>
      <c r="P44" s="18">
        <v>94</v>
      </c>
      <c r="Q44" s="18">
        <v>101</v>
      </c>
      <c r="R44" s="24">
        <v>102</v>
      </c>
      <c r="S44" s="18">
        <v>102</v>
      </c>
      <c r="T44" s="18">
        <v>50</v>
      </c>
      <c r="U44" s="18">
        <v>51.470588235294116</v>
      </c>
      <c r="V44" s="18">
        <v>42.222222222222221</v>
      </c>
      <c r="W44" s="11">
        <v>45.744680851063826</v>
      </c>
      <c r="X44" s="11">
        <v>70.297029702970292</v>
      </c>
      <c r="Y44" s="11">
        <v>69.607843137254903</v>
      </c>
      <c r="Z44" s="11">
        <v>72.549019607843135</v>
      </c>
      <c r="AA44" s="11">
        <f t="shared" si="3"/>
        <v>46.479163769526728</v>
      </c>
      <c r="AB44" s="27">
        <f t="shared" si="4"/>
        <v>70.817964149356115</v>
      </c>
      <c r="AC44" s="2">
        <f t="shared" si="5"/>
        <v>38.666666666666664</v>
      </c>
      <c r="AD44" s="2">
        <f t="shared" si="6"/>
        <v>72</v>
      </c>
    </row>
    <row r="45" spans="1:30" x14ac:dyDescent="0.3">
      <c r="A45" s="1" t="s">
        <v>50</v>
      </c>
      <c r="B45" s="1" t="s">
        <v>65</v>
      </c>
      <c r="C45" s="1" t="s">
        <v>70</v>
      </c>
      <c r="D45" s="1" t="s">
        <v>70</v>
      </c>
      <c r="E45" s="2">
        <v>20304</v>
      </c>
      <c r="F45" s="18">
        <v>18</v>
      </c>
      <c r="G45" s="18">
        <v>19</v>
      </c>
      <c r="H45" s="18">
        <v>22</v>
      </c>
      <c r="I45" s="18">
        <v>22</v>
      </c>
      <c r="J45" s="18">
        <v>33</v>
      </c>
      <c r="K45" s="18">
        <v>33</v>
      </c>
      <c r="L45" s="11">
        <v>32</v>
      </c>
      <c r="M45" s="11">
        <v>27</v>
      </c>
      <c r="N45" s="11">
        <v>28</v>
      </c>
      <c r="O45" s="11">
        <v>37</v>
      </c>
      <c r="P45" s="18">
        <v>37</v>
      </c>
      <c r="Q45" s="18">
        <v>43</v>
      </c>
      <c r="R45" s="24">
        <v>45</v>
      </c>
      <c r="S45" s="18">
        <v>46</v>
      </c>
      <c r="T45" s="18">
        <v>66.666666666666657</v>
      </c>
      <c r="U45" s="18">
        <v>67.857142857142861</v>
      </c>
      <c r="V45" s="18">
        <v>59.45945945945946</v>
      </c>
      <c r="W45" s="11">
        <v>59.45945945945946</v>
      </c>
      <c r="X45" s="11">
        <v>76.744186046511629</v>
      </c>
      <c r="Y45" s="11">
        <v>73.333333333333329</v>
      </c>
      <c r="Z45" s="11">
        <v>69.565217391304344</v>
      </c>
      <c r="AA45" s="11">
        <f t="shared" si="3"/>
        <v>62.258687258687253</v>
      </c>
      <c r="AB45" s="27">
        <f t="shared" si="4"/>
        <v>73.214245590383101</v>
      </c>
      <c r="AC45" s="2">
        <f t="shared" si="5"/>
        <v>21</v>
      </c>
      <c r="AD45" s="2">
        <f t="shared" si="6"/>
        <v>32.666666666666664</v>
      </c>
    </row>
    <row r="46" spans="1:30" x14ac:dyDescent="0.3">
      <c r="A46" s="1" t="s">
        <v>50</v>
      </c>
      <c r="B46" s="1" t="s">
        <v>65</v>
      </c>
      <c r="C46" s="1" t="s">
        <v>71</v>
      </c>
      <c r="D46" s="1" t="s">
        <v>71</v>
      </c>
      <c r="E46" s="2">
        <v>20305</v>
      </c>
      <c r="F46" s="18">
        <v>9</v>
      </c>
      <c r="G46" s="18">
        <v>9</v>
      </c>
      <c r="H46" s="18">
        <v>12</v>
      </c>
      <c r="I46" s="18">
        <v>13</v>
      </c>
      <c r="J46" s="18">
        <v>21</v>
      </c>
      <c r="K46" s="18">
        <v>22</v>
      </c>
      <c r="L46" s="11">
        <v>23</v>
      </c>
      <c r="M46" s="11">
        <v>10</v>
      </c>
      <c r="N46" s="11">
        <v>10</v>
      </c>
      <c r="O46" s="11">
        <v>16</v>
      </c>
      <c r="P46" s="18">
        <v>17</v>
      </c>
      <c r="Q46" s="18">
        <v>26</v>
      </c>
      <c r="R46" s="24">
        <v>26</v>
      </c>
      <c r="S46" s="18">
        <v>27</v>
      </c>
      <c r="T46" s="18">
        <v>90</v>
      </c>
      <c r="U46" s="18">
        <v>90</v>
      </c>
      <c r="V46" s="18">
        <v>75</v>
      </c>
      <c r="W46" s="11">
        <v>76.470588235294116</v>
      </c>
      <c r="X46" s="11">
        <v>80.769230769230774</v>
      </c>
      <c r="Y46" s="11">
        <v>84.615384615384613</v>
      </c>
      <c r="Z46" s="11">
        <v>85.18518518518519</v>
      </c>
      <c r="AA46" s="11">
        <f t="shared" si="3"/>
        <v>80.490196078431367</v>
      </c>
      <c r="AB46" s="27">
        <f t="shared" si="4"/>
        <v>83.523266856600188</v>
      </c>
      <c r="AC46" s="2">
        <f t="shared" si="5"/>
        <v>11.333333333333334</v>
      </c>
      <c r="AD46" s="2">
        <f t="shared" si="6"/>
        <v>22</v>
      </c>
    </row>
    <row r="47" spans="1:30" x14ac:dyDescent="0.3">
      <c r="A47" s="1" t="s">
        <v>50</v>
      </c>
      <c r="B47" s="1" t="s">
        <v>65</v>
      </c>
      <c r="C47" s="1" t="s">
        <v>72</v>
      </c>
      <c r="D47" s="1" t="s">
        <v>72</v>
      </c>
      <c r="E47" s="2">
        <v>20306</v>
      </c>
      <c r="F47" s="18">
        <v>10</v>
      </c>
      <c r="G47" s="18">
        <v>11</v>
      </c>
      <c r="H47" s="18">
        <v>11</v>
      </c>
      <c r="I47" s="18">
        <v>11</v>
      </c>
      <c r="J47" s="18">
        <v>13</v>
      </c>
      <c r="K47" s="18">
        <v>13</v>
      </c>
      <c r="L47" s="11">
        <v>13</v>
      </c>
      <c r="M47" s="11">
        <v>12</v>
      </c>
      <c r="N47" s="11">
        <v>12</v>
      </c>
      <c r="O47" s="11">
        <v>16</v>
      </c>
      <c r="P47" s="18">
        <v>16</v>
      </c>
      <c r="Q47" s="18">
        <v>17</v>
      </c>
      <c r="R47" s="24">
        <v>17</v>
      </c>
      <c r="S47" s="18">
        <v>18</v>
      </c>
      <c r="T47" s="18">
        <v>83.333333333333343</v>
      </c>
      <c r="U47" s="18">
        <v>91.666666666666657</v>
      </c>
      <c r="V47" s="18">
        <v>68.75</v>
      </c>
      <c r="W47" s="11">
        <v>68.75</v>
      </c>
      <c r="X47" s="11">
        <v>76.470588235294116</v>
      </c>
      <c r="Y47" s="11">
        <v>76.470588235294116</v>
      </c>
      <c r="Z47" s="11">
        <v>72.222222222222214</v>
      </c>
      <c r="AA47" s="11">
        <f t="shared" si="3"/>
        <v>76.388888888888886</v>
      </c>
      <c r="AB47" s="27">
        <f t="shared" si="4"/>
        <v>75.054466230936825</v>
      </c>
      <c r="AC47" s="2">
        <f t="shared" si="5"/>
        <v>11</v>
      </c>
      <c r="AD47" s="2">
        <f t="shared" si="6"/>
        <v>13</v>
      </c>
    </row>
    <row r="48" spans="1:30" x14ac:dyDescent="0.3">
      <c r="A48" s="1" t="s">
        <v>50</v>
      </c>
      <c r="B48" s="1" t="s">
        <v>65</v>
      </c>
      <c r="C48" s="1" t="s">
        <v>73</v>
      </c>
      <c r="D48" s="1" t="s">
        <v>73</v>
      </c>
      <c r="E48" s="2">
        <v>20307</v>
      </c>
      <c r="F48" s="18">
        <v>3</v>
      </c>
      <c r="G48" s="18">
        <v>3</v>
      </c>
      <c r="H48" s="18">
        <v>3</v>
      </c>
      <c r="I48" s="18">
        <v>4</v>
      </c>
      <c r="J48" s="18">
        <v>4</v>
      </c>
      <c r="K48" s="18">
        <v>4</v>
      </c>
      <c r="L48" s="11">
        <v>4</v>
      </c>
      <c r="M48" s="11">
        <v>5</v>
      </c>
      <c r="N48" s="11">
        <v>5</v>
      </c>
      <c r="O48" s="11">
        <v>5</v>
      </c>
      <c r="P48" s="18">
        <v>5</v>
      </c>
      <c r="Q48" s="18">
        <v>9</v>
      </c>
      <c r="R48" s="24">
        <v>9</v>
      </c>
      <c r="S48" s="18">
        <v>9</v>
      </c>
      <c r="T48" s="18">
        <v>60</v>
      </c>
      <c r="U48" s="18">
        <v>60</v>
      </c>
      <c r="V48" s="18">
        <v>60</v>
      </c>
      <c r="W48" s="11">
        <v>80</v>
      </c>
      <c r="X48" s="11">
        <v>44.444444444444443</v>
      </c>
      <c r="Y48" s="11">
        <v>44.444444444444443</v>
      </c>
      <c r="Z48" s="11">
        <v>44.444444444444443</v>
      </c>
      <c r="AA48" s="11">
        <f t="shared" si="3"/>
        <v>66.666666666666671</v>
      </c>
      <c r="AB48" s="27">
        <f t="shared" si="4"/>
        <v>44.444444444444436</v>
      </c>
      <c r="AC48" s="2">
        <f t="shared" si="5"/>
        <v>3.3333333333333335</v>
      </c>
      <c r="AD48" s="2">
        <f t="shared" si="6"/>
        <v>4</v>
      </c>
    </row>
    <row r="49" spans="1:30" x14ac:dyDescent="0.3">
      <c r="A49" s="1" t="s">
        <v>50</v>
      </c>
      <c r="B49" s="1" t="s">
        <v>65</v>
      </c>
      <c r="C49" s="1" t="s">
        <v>74</v>
      </c>
      <c r="D49" s="1" t="s">
        <v>74</v>
      </c>
      <c r="E49" s="2">
        <v>20308</v>
      </c>
      <c r="F49" s="18">
        <v>20</v>
      </c>
      <c r="G49" s="18">
        <v>21</v>
      </c>
      <c r="H49" s="18">
        <v>20</v>
      </c>
      <c r="I49" s="18">
        <v>23</v>
      </c>
      <c r="J49" s="18">
        <v>42</v>
      </c>
      <c r="K49" s="18">
        <v>40</v>
      </c>
      <c r="L49" s="11">
        <v>42</v>
      </c>
      <c r="M49" s="11">
        <v>33</v>
      </c>
      <c r="N49" s="11">
        <v>33</v>
      </c>
      <c r="O49" s="11">
        <v>47</v>
      </c>
      <c r="P49" s="18">
        <v>49</v>
      </c>
      <c r="Q49" s="18">
        <v>58</v>
      </c>
      <c r="R49" s="24">
        <v>58</v>
      </c>
      <c r="S49" s="18">
        <v>58</v>
      </c>
      <c r="T49" s="18">
        <v>60.606060606060609</v>
      </c>
      <c r="U49" s="18">
        <v>63.636363636363633</v>
      </c>
      <c r="V49" s="18">
        <v>42.553191489361701</v>
      </c>
      <c r="W49" s="11">
        <v>46.938775510204081</v>
      </c>
      <c r="X49" s="11">
        <v>72.41379310344827</v>
      </c>
      <c r="Y49" s="11">
        <v>68.965517241379317</v>
      </c>
      <c r="Z49" s="11">
        <v>72.41379310344827</v>
      </c>
      <c r="AA49" s="11">
        <f t="shared" si="3"/>
        <v>51.042776878643139</v>
      </c>
      <c r="AB49" s="27">
        <f t="shared" si="4"/>
        <v>71.264367816091962</v>
      </c>
      <c r="AC49" s="2">
        <f t="shared" si="5"/>
        <v>21.333333333333332</v>
      </c>
      <c r="AD49" s="2">
        <f t="shared" si="6"/>
        <v>41.333333333333336</v>
      </c>
    </row>
    <row r="50" spans="1:30" x14ac:dyDescent="0.3">
      <c r="A50" s="1" t="s">
        <v>50</v>
      </c>
      <c r="B50" s="1" t="s">
        <v>75</v>
      </c>
      <c r="C50" s="1" t="s">
        <v>76</v>
      </c>
      <c r="D50" s="1" t="s">
        <v>76</v>
      </c>
      <c r="E50" s="2">
        <v>20401</v>
      </c>
      <c r="F50" s="18">
        <v>74</v>
      </c>
      <c r="G50" s="18">
        <v>76</v>
      </c>
      <c r="H50" s="18">
        <v>100</v>
      </c>
      <c r="I50" s="18">
        <v>57</v>
      </c>
      <c r="J50" s="18">
        <v>75</v>
      </c>
      <c r="K50" s="18">
        <v>78</v>
      </c>
      <c r="L50" s="11">
        <v>81</v>
      </c>
      <c r="M50" s="11">
        <v>115</v>
      </c>
      <c r="N50" s="11">
        <v>115</v>
      </c>
      <c r="O50" s="11">
        <v>169</v>
      </c>
      <c r="P50" s="18">
        <v>86</v>
      </c>
      <c r="Q50" s="18">
        <v>95</v>
      </c>
      <c r="R50" s="24">
        <v>100</v>
      </c>
      <c r="S50" s="18">
        <v>102</v>
      </c>
      <c r="T50" s="18">
        <v>64.347826086956516</v>
      </c>
      <c r="U50" s="18">
        <v>66.086956521739125</v>
      </c>
      <c r="V50" s="18">
        <v>59.171597633136095</v>
      </c>
      <c r="W50" s="11">
        <v>66.279069767441854</v>
      </c>
      <c r="X50" s="11">
        <v>78.94736842105263</v>
      </c>
      <c r="Y50" s="11">
        <v>78</v>
      </c>
      <c r="Z50" s="11">
        <v>79.411764705882348</v>
      </c>
      <c r="AA50" s="11">
        <f t="shared" si="3"/>
        <v>63.845874640772358</v>
      </c>
      <c r="AB50" s="27">
        <f t="shared" si="4"/>
        <v>78.786377708978321</v>
      </c>
      <c r="AC50" s="2">
        <f t="shared" si="5"/>
        <v>77.666666666666671</v>
      </c>
      <c r="AD50" s="2">
        <f t="shared" si="6"/>
        <v>78</v>
      </c>
    </row>
    <row r="51" spans="1:30" x14ac:dyDescent="0.3">
      <c r="A51" s="1" t="s">
        <v>50</v>
      </c>
      <c r="B51" s="1" t="s">
        <v>75</v>
      </c>
      <c r="C51" s="1" t="s">
        <v>77</v>
      </c>
      <c r="D51" s="1" t="s">
        <v>77</v>
      </c>
      <c r="E51" s="2">
        <v>20402</v>
      </c>
      <c r="F51" s="18">
        <v>49</v>
      </c>
      <c r="G51" s="18">
        <v>54</v>
      </c>
      <c r="H51" s="18">
        <v>55</v>
      </c>
      <c r="I51" s="18">
        <v>64</v>
      </c>
      <c r="J51" s="18">
        <v>97</v>
      </c>
      <c r="K51" s="18">
        <v>104</v>
      </c>
      <c r="L51" s="11">
        <v>106</v>
      </c>
      <c r="M51" s="11">
        <v>76</v>
      </c>
      <c r="N51" s="11">
        <v>82</v>
      </c>
      <c r="O51" s="11">
        <v>117</v>
      </c>
      <c r="P51" s="18">
        <v>117</v>
      </c>
      <c r="Q51" s="18">
        <v>124</v>
      </c>
      <c r="R51" s="24">
        <v>131</v>
      </c>
      <c r="S51" s="18">
        <v>135</v>
      </c>
      <c r="T51" s="18">
        <v>64.473684210526315</v>
      </c>
      <c r="U51" s="18">
        <v>65.853658536585371</v>
      </c>
      <c r="V51" s="18">
        <v>47.008547008547005</v>
      </c>
      <c r="W51" s="11">
        <v>54.700854700854705</v>
      </c>
      <c r="X51" s="11">
        <v>78.225806451612897</v>
      </c>
      <c r="Y51" s="11">
        <v>79.389312977099237</v>
      </c>
      <c r="Z51" s="11">
        <v>78.518518518518519</v>
      </c>
      <c r="AA51" s="11">
        <f t="shared" si="3"/>
        <v>55.85435341532903</v>
      </c>
      <c r="AB51" s="27">
        <f t="shared" si="4"/>
        <v>78.711212649076899</v>
      </c>
      <c r="AC51" s="2">
        <f t="shared" si="5"/>
        <v>57.666666666666664</v>
      </c>
      <c r="AD51" s="2">
        <f t="shared" si="6"/>
        <v>102.33333333333333</v>
      </c>
    </row>
    <row r="52" spans="1:30" x14ac:dyDescent="0.3">
      <c r="A52" s="1" t="s">
        <v>50</v>
      </c>
      <c r="B52" s="1" t="s">
        <v>75</v>
      </c>
      <c r="C52" s="1" t="s">
        <v>78</v>
      </c>
      <c r="D52" s="1" t="s">
        <v>79</v>
      </c>
      <c r="E52" s="2">
        <v>20403</v>
      </c>
      <c r="F52" s="18">
        <v>38</v>
      </c>
      <c r="G52" s="18">
        <v>42</v>
      </c>
      <c r="H52" s="18">
        <v>51</v>
      </c>
      <c r="I52" s="18">
        <v>52</v>
      </c>
      <c r="J52" s="18">
        <v>85</v>
      </c>
      <c r="K52" s="18">
        <v>88</v>
      </c>
      <c r="L52" s="11">
        <v>90</v>
      </c>
      <c r="M52" s="11">
        <v>73</v>
      </c>
      <c r="N52" s="11">
        <v>81</v>
      </c>
      <c r="O52" s="11">
        <v>105</v>
      </c>
      <c r="P52" s="18">
        <v>105</v>
      </c>
      <c r="Q52" s="18">
        <v>120</v>
      </c>
      <c r="R52" s="24">
        <v>121</v>
      </c>
      <c r="S52" s="18">
        <v>121</v>
      </c>
      <c r="T52" s="18">
        <v>52.054794520547944</v>
      </c>
      <c r="U52" s="18">
        <v>51.851851851851848</v>
      </c>
      <c r="V52" s="18">
        <v>48.571428571428569</v>
      </c>
      <c r="W52" s="11">
        <v>49.523809523809526</v>
      </c>
      <c r="X52" s="11">
        <v>70.833333333333343</v>
      </c>
      <c r="Y52" s="11">
        <v>72.727272727272734</v>
      </c>
      <c r="Z52" s="11">
        <v>74.380165289256198</v>
      </c>
      <c r="AA52" s="11">
        <f t="shared" si="3"/>
        <v>49.982363315696652</v>
      </c>
      <c r="AB52" s="27">
        <f t="shared" si="4"/>
        <v>72.64692378328742</v>
      </c>
      <c r="AC52" s="2">
        <f t="shared" si="5"/>
        <v>48.333333333333336</v>
      </c>
      <c r="AD52" s="2">
        <f t="shared" si="6"/>
        <v>87.666666666666671</v>
      </c>
    </row>
    <row r="53" spans="1:30" x14ac:dyDescent="0.3">
      <c r="A53" s="1" t="s">
        <v>50</v>
      </c>
      <c r="B53" s="1" t="s">
        <v>75</v>
      </c>
      <c r="C53" s="1" t="s">
        <v>80</v>
      </c>
      <c r="D53" s="1" t="s">
        <v>80</v>
      </c>
      <c r="E53" s="2">
        <v>20404</v>
      </c>
      <c r="F53" s="18">
        <v>0</v>
      </c>
      <c r="G53" s="18">
        <v>0</v>
      </c>
      <c r="H53" s="18">
        <v>0</v>
      </c>
      <c r="I53" s="18">
        <v>20</v>
      </c>
      <c r="J53" s="18">
        <v>37</v>
      </c>
      <c r="K53" s="18">
        <v>38</v>
      </c>
      <c r="L53" s="11">
        <v>38</v>
      </c>
      <c r="M53" s="11">
        <v>0</v>
      </c>
      <c r="N53" s="11">
        <v>0</v>
      </c>
      <c r="O53" s="11">
        <v>0</v>
      </c>
      <c r="P53" s="18">
        <v>33</v>
      </c>
      <c r="Q53" s="18">
        <v>43</v>
      </c>
      <c r="R53" s="24">
        <v>43</v>
      </c>
      <c r="S53" s="18">
        <v>45</v>
      </c>
      <c r="T53" s="18"/>
      <c r="U53" s="18"/>
      <c r="V53" s="18"/>
      <c r="W53" s="11">
        <v>60.606060606060609</v>
      </c>
      <c r="X53" s="11">
        <v>86.04651162790698</v>
      </c>
      <c r="Y53" s="11">
        <v>88.372093023255815</v>
      </c>
      <c r="Z53" s="11">
        <v>84.444444444444443</v>
      </c>
      <c r="AA53" s="11">
        <f t="shared" si="3"/>
        <v>60.606060606060609</v>
      </c>
      <c r="AB53" s="27">
        <f t="shared" si="4"/>
        <v>86.287683031869093</v>
      </c>
      <c r="AC53" s="2">
        <f t="shared" si="5"/>
        <v>6.666666666666667</v>
      </c>
      <c r="AD53" s="2">
        <f t="shared" si="6"/>
        <v>37.666666666666664</v>
      </c>
    </row>
    <row r="54" spans="1:30" x14ac:dyDescent="0.3">
      <c r="A54" s="1" t="s">
        <v>50</v>
      </c>
      <c r="B54" s="1" t="s">
        <v>75</v>
      </c>
      <c r="C54" s="1" t="s">
        <v>81</v>
      </c>
      <c r="D54" s="1" t="s">
        <v>81</v>
      </c>
      <c r="E54" s="2">
        <v>20405</v>
      </c>
      <c r="F54" s="18">
        <v>0</v>
      </c>
      <c r="G54" s="18">
        <v>0</v>
      </c>
      <c r="H54" s="18">
        <v>0</v>
      </c>
      <c r="I54" s="18">
        <v>37</v>
      </c>
      <c r="J54" s="18">
        <v>49</v>
      </c>
      <c r="K54" s="18">
        <v>49</v>
      </c>
      <c r="L54" s="11">
        <v>51</v>
      </c>
      <c r="M54" s="11">
        <v>0</v>
      </c>
      <c r="N54" s="11">
        <v>0</v>
      </c>
      <c r="O54" s="11">
        <v>0</v>
      </c>
      <c r="P54" s="18">
        <v>54</v>
      </c>
      <c r="Q54" s="18">
        <v>66</v>
      </c>
      <c r="R54" s="24">
        <v>67</v>
      </c>
      <c r="S54" s="18">
        <v>68</v>
      </c>
      <c r="T54" s="18"/>
      <c r="U54" s="18"/>
      <c r="V54" s="18"/>
      <c r="W54" s="11">
        <v>68.518518518518519</v>
      </c>
      <c r="X54" s="11">
        <v>74.242424242424249</v>
      </c>
      <c r="Y54" s="11">
        <v>73.134328358208961</v>
      </c>
      <c r="Z54" s="11">
        <v>75</v>
      </c>
      <c r="AA54" s="11">
        <f t="shared" si="3"/>
        <v>68.518518518518519</v>
      </c>
      <c r="AB54" s="27">
        <f t="shared" si="4"/>
        <v>74.125584200211065</v>
      </c>
      <c r="AC54" s="2">
        <f t="shared" si="5"/>
        <v>12.333333333333334</v>
      </c>
      <c r="AD54" s="2">
        <f t="shared" si="6"/>
        <v>49.666666666666664</v>
      </c>
    </row>
    <row r="55" spans="1:30" x14ac:dyDescent="0.3">
      <c r="A55" s="1" t="s">
        <v>50</v>
      </c>
      <c r="B55" s="1" t="s">
        <v>82</v>
      </c>
      <c r="C55" s="1" t="s">
        <v>83</v>
      </c>
      <c r="D55" s="1" t="s">
        <v>83</v>
      </c>
      <c r="E55" s="2">
        <v>20501</v>
      </c>
      <c r="F55" s="18">
        <v>32</v>
      </c>
      <c r="G55" s="18">
        <v>35</v>
      </c>
      <c r="H55" s="18">
        <v>41</v>
      </c>
      <c r="I55" s="18">
        <v>47</v>
      </c>
      <c r="J55" s="18">
        <v>69</v>
      </c>
      <c r="K55" s="18">
        <v>73</v>
      </c>
      <c r="L55" s="11">
        <v>70</v>
      </c>
      <c r="M55" s="11">
        <v>39</v>
      </c>
      <c r="N55" s="11">
        <v>42</v>
      </c>
      <c r="O55" s="11">
        <v>70</v>
      </c>
      <c r="P55" s="18">
        <v>72</v>
      </c>
      <c r="Q55" s="18">
        <v>88</v>
      </c>
      <c r="R55" s="24">
        <v>88</v>
      </c>
      <c r="S55" s="18">
        <v>88</v>
      </c>
      <c r="T55" s="18">
        <v>82.051282051282044</v>
      </c>
      <c r="U55" s="18">
        <v>83.333333333333343</v>
      </c>
      <c r="V55" s="18">
        <v>58.571428571428577</v>
      </c>
      <c r="W55" s="11">
        <v>65.277777777777786</v>
      </c>
      <c r="X55" s="11">
        <v>78.409090909090907</v>
      </c>
      <c r="Y55" s="11">
        <v>82.954545454545453</v>
      </c>
      <c r="Z55" s="11">
        <v>79.545454545454547</v>
      </c>
      <c r="AA55" s="11">
        <f t="shared" si="3"/>
        <v>69.060846560846571</v>
      </c>
      <c r="AB55" s="27">
        <f t="shared" si="4"/>
        <v>80.303030303030312</v>
      </c>
      <c r="AC55" s="2">
        <f t="shared" si="5"/>
        <v>41</v>
      </c>
      <c r="AD55" s="2">
        <f t="shared" si="6"/>
        <v>70.666666666666671</v>
      </c>
    </row>
    <row r="56" spans="1:30" x14ac:dyDescent="0.3">
      <c r="A56" s="1" t="s">
        <v>50</v>
      </c>
      <c r="B56" s="1" t="s">
        <v>82</v>
      </c>
      <c r="C56" s="1" t="s">
        <v>84</v>
      </c>
      <c r="D56" s="1" t="s">
        <v>84</v>
      </c>
      <c r="E56" s="2">
        <v>20502</v>
      </c>
      <c r="F56" s="18">
        <v>16</v>
      </c>
      <c r="G56" s="18">
        <v>24</v>
      </c>
      <c r="H56" s="18">
        <v>35</v>
      </c>
      <c r="I56" s="18">
        <v>44</v>
      </c>
      <c r="J56" s="18">
        <v>62</v>
      </c>
      <c r="K56" s="18">
        <v>62</v>
      </c>
      <c r="L56" s="11">
        <v>63</v>
      </c>
      <c r="M56" s="11">
        <v>31</v>
      </c>
      <c r="N56" s="11">
        <v>32</v>
      </c>
      <c r="O56" s="11">
        <v>52</v>
      </c>
      <c r="P56" s="18">
        <v>57</v>
      </c>
      <c r="Q56" s="18">
        <v>76</v>
      </c>
      <c r="R56" s="24">
        <v>77</v>
      </c>
      <c r="S56" s="18">
        <v>78</v>
      </c>
      <c r="T56" s="18">
        <v>51.612903225806448</v>
      </c>
      <c r="U56" s="18">
        <v>75</v>
      </c>
      <c r="V56" s="18">
        <v>67.307692307692307</v>
      </c>
      <c r="W56" s="11">
        <v>77.192982456140342</v>
      </c>
      <c r="X56" s="11">
        <v>81.578947368421055</v>
      </c>
      <c r="Y56" s="11">
        <v>80.519480519480524</v>
      </c>
      <c r="Z56" s="11">
        <v>80.769230769230774</v>
      </c>
      <c r="AA56" s="11">
        <f t="shared" si="3"/>
        <v>73.166891587944221</v>
      </c>
      <c r="AB56" s="27">
        <f t="shared" si="4"/>
        <v>80.955886219044118</v>
      </c>
      <c r="AC56" s="2">
        <f t="shared" si="5"/>
        <v>34.333333333333336</v>
      </c>
      <c r="AD56" s="2">
        <f t="shared" si="6"/>
        <v>62.333333333333336</v>
      </c>
    </row>
    <row r="57" spans="1:30" x14ac:dyDescent="0.3">
      <c r="A57" s="1" t="s">
        <v>50</v>
      </c>
      <c r="B57" s="1" t="s">
        <v>82</v>
      </c>
      <c r="C57" s="1" t="s">
        <v>85</v>
      </c>
      <c r="D57" s="1" t="s">
        <v>85</v>
      </c>
      <c r="E57" s="2">
        <v>20503</v>
      </c>
      <c r="F57" s="18">
        <v>8</v>
      </c>
      <c r="G57" s="18">
        <v>7</v>
      </c>
      <c r="H57" s="18">
        <v>12</v>
      </c>
      <c r="I57" s="18">
        <v>13</v>
      </c>
      <c r="J57" s="18">
        <v>42</v>
      </c>
      <c r="K57" s="18">
        <v>46</v>
      </c>
      <c r="L57" s="11">
        <v>46</v>
      </c>
      <c r="M57" s="11">
        <v>21</v>
      </c>
      <c r="N57" s="11">
        <v>22</v>
      </c>
      <c r="O57" s="11">
        <v>34</v>
      </c>
      <c r="P57" s="18">
        <v>34</v>
      </c>
      <c r="Q57" s="18">
        <v>52</v>
      </c>
      <c r="R57" s="24">
        <v>53</v>
      </c>
      <c r="S57" s="18">
        <v>54</v>
      </c>
      <c r="T57" s="18">
        <v>38.095238095238095</v>
      </c>
      <c r="U57" s="18">
        <v>31.818181818181817</v>
      </c>
      <c r="V57" s="18">
        <v>35.294117647058826</v>
      </c>
      <c r="W57" s="11">
        <v>38.235294117647058</v>
      </c>
      <c r="X57" s="11">
        <v>80.769230769230774</v>
      </c>
      <c r="Y57" s="11">
        <v>86.79245283018868</v>
      </c>
      <c r="Z57" s="11">
        <v>85.18518518518519</v>
      </c>
      <c r="AA57" s="11">
        <f t="shared" si="3"/>
        <v>35.115864527629235</v>
      </c>
      <c r="AB57" s="27">
        <f t="shared" si="4"/>
        <v>84.248956261534872</v>
      </c>
      <c r="AC57" s="2">
        <f t="shared" si="5"/>
        <v>10.666666666666666</v>
      </c>
      <c r="AD57" s="2">
        <f t="shared" si="6"/>
        <v>44.666666666666664</v>
      </c>
    </row>
    <row r="58" spans="1:30" x14ac:dyDescent="0.3">
      <c r="A58" s="1" t="s">
        <v>50</v>
      </c>
      <c r="B58" s="1" t="s">
        <v>86</v>
      </c>
      <c r="C58" s="1" t="s">
        <v>87</v>
      </c>
      <c r="D58" s="1" t="s">
        <v>87</v>
      </c>
      <c r="E58" s="2">
        <v>20601</v>
      </c>
      <c r="F58" s="18">
        <v>30</v>
      </c>
      <c r="G58" s="18">
        <v>35</v>
      </c>
      <c r="H58" s="18">
        <v>55</v>
      </c>
      <c r="I58" s="18">
        <v>59</v>
      </c>
      <c r="J58" s="18">
        <v>101</v>
      </c>
      <c r="K58" s="18">
        <v>98</v>
      </c>
      <c r="L58" s="11">
        <v>100</v>
      </c>
      <c r="M58" s="11">
        <v>58</v>
      </c>
      <c r="N58" s="11">
        <v>59</v>
      </c>
      <c r="O58" s="11">
        <v>96</v>
      </c>
      <c r="P58" s="18">
        <v>103</v>
      </c>
      <c r="Q58" s="18">
        <v>136</v>
      </c>
      <c r="R58" s="24">
        <v>134</v>
      </c>
      <c r="S58" s="18">
        <v>137</v>
      </c>
      <c r="T58" s="18">
        <v>51.724137931034484</v>
      </c>
      <c r="U58" s="18">
        <v>59.322033898305079</v>
      </c>
      <c r="V58" s="18">
        <v>57.291666666666664</v>
      </c>
      <c r="W58" s="11">
        <v>57.28155339805825</v>
      </c>
      <c r="X58" s="11">
        <v>74.264705882352942</v>
      </c>
      <c r="Y58" s="11">
        <v>73.134328358208961</v>
      </c>
      <c r="Z58" s="11">
        <v>72.992700729927009</v>
      </c>
      <c r="AA58" s="11">
        <f t="shared" si="3"/>
        <v>57.965084654343322</v>
      </c>
      <c r="AB58" s="27">
        <f t="shared" si="4"/>
        <v>73.463911656829637</v>
      </c>
      <c r="AC58" s="2">
        <f t="shared" si="5"/>
        <v>49.666666666666664</v>
      </c>
      <c r="AD58" s="2">
        <f t="shared" si="6"/>
        <v>99.666666666666671</v>
      </c>
    </row>
    <row r="59" spans="1:30" x14ac:dyDescent="0.3">
      <c r="A59" s="1" t="s">
        <v>50</v>
      </c>
      <c r="B59" s="1" t="s">
        <v>86</v>
      </c>
      <c r="C59" s="1" t="s">
        <v>88</v>
      </c>
      <c r="D59" s="1" t="s">
        <v>88</v>
      </c>
      <c r="E59" s="2">
        <v>20602</v>
      </c>
      <c r="F59" s="18">
        <v>29</v>
      </c>
      <c r="G59" s="18">
        <v>30</v>
      </c>
      <c r="H59" s="18">
        <v>43</v>
      </c>
      <c r="I59" s="18">
        <v>45</v>
      </c>
      <c r="J59" s="18">
        <v>84</v>
      </c>
      <c r="K59" s="18">
        <v>89</v>
      </c>
      <c r="L59" s="11">
        <v>96</v>
      </c>
      <c r="M59" s="11">
        <v>45</v>
      </c>
      <c r="N59" s="11">
        <v>44</v>
      </c>
      <c r="O59" s="11">
        <v>74</v>
      </c>
      <c r="P59" s="18">
        <v>78</v>
      </c>
      <c r="Q59" s="18">
        <v>106</v>
      </c>
      <c r="R59" s="24">
        <v>109</v>
      </c>
      <c r="S59" s="18">
        <v>117</v>
      </c>
      <c r="T59" s="18">
        <v>64.444444444444443</v>
      </c>
      <c r="U59" s="18">
        <v>68.181818181818173</v>
      </c>
      <c r="V59" s="18">
        <v>58.108108108108105</v>
      </c>
      <c r="W59" s="11">
        <v>57.692307692307686</v>
      </c>
      <c r="X59" s="11">
        <v>79.245283018867923</v>
      </c>
      <c r="Y59" s="11">
        <v>81.651376146788991</v>
      </c>
      <c r="Z59" s="11">
        <v>82.051282051282044</v>
      </c>
      <c r="AA59" s="11">
        <f t="shared" si="3"/>
        <v>61.327411327411319</v>
      </c>
      <c r="AB59" s="27">
        <f t="shared" si="4"/>
        <v>80.982647072312986</v>
      </c>
      <c r="AC59" s="2">
        <f t="shared" si="5"/>
        <v>39.333333333333336</v>
      </c>
      <c r="AD59" s="2">
        <f t="shared" si="6"/>
        <v>89.666666666666671</v>
      </c>
    </row>
    <row r="60" spans="1:30" x14ac:dyDescent="0.3">
      <c r="A60" s="1" t="s">
        <v>50</v>
      </c>
      <c r="B60" s="1" t="s">
        <v>86</v>
      </c>
      <c r="C60" s="1" t="s">
        <v>89</v>
      </c>
      <c r="D60" s="1" t="s">
        <v>89</v>
      </c>
      <c r="E60" s="2">
        <v>20603</v>
      </c>
      <c r="F60" s="18">
        <v>15</v>
      </c>
      <c r="G60" s="18">
        <v>17</v>
      </c>
      <c r="H60" s="18">
        <v>18</v>
      </c>
      <c r="I60" s="18">
        <v>20</v>
      </c>
      <c r="J60" s="18">
        <v>35</v>
      </c>
      <c r="K60" s="18">
        <v>37</v>
      </c>
      <c r="L60" s="11">
        <v>39</v>
      </c>
      <c r="M60" s="11">
        <v>27</v>
      </c>
      <c r="N60" s="11">
        <v>26</v>
      </c>
      <c r="O60" s="11">
        <v>39</v>
      </c>
      <c r="P60" s="18">
        <v>43</v>
      </c>
      <c r="Q60" s="18">
        <v>50</v>
      </c>
      <c r="R60" s="24">
        <v>55</v>
      </c>
      <c r="S60" s="18">
        <v>55</v>
      </c>
      <c r="T60" s="18">
        <v>55.555555555555557</v>
      </c>
      <c r="U60" s="18">
        <v>65.384615384615387</v>
      </c>
      <c r="V60" s="18">
        <v>46.153846153846153</v>
      </c>
      <c r="W60" s="11">
        <v>46.511627906976742</v>
      </c>
      <c r="X60" s="11">
        <v>70</v>
      </c>
      <c r="Y60" s="11">
        <v>67.272727272727266</v>
      </c>
      <c r="Z60" s="11">
        <v>70.909090909090907</v>
      </c>
      <c r="AA60" s="11">
        <f t="shared" si="3"/>
        <v>52.68336314847943</v>
      </c>
      <c r="AB60" s="27">
        <f t="shared" si="4"/>
        <v>69.393939393939391</v>
      </c>
      <c r="AC60" s="2">
        <f t="shared" si="5"/>
        <v>18.333333333333332</v>
      </c>
      <c r="AD60" s="2">
        <f t="shared" si="6"/>
        <v>37</v>
      </c>
    </row>
    <row r="61" spans="1:30" x14ac:dyDescent="0.3">
      <c r="A61" s="1" t="s">
        <v>50</v>
      </c>
      <c r="B61" s="1" t="s">
        <v>86</v>
      </c>
      <c r="C61" s="1" t="s">
        <v>90</v>
      </c>
      <c r="D61" s="1" t="s">
        <v>90</v>
      </c>
      <c r="E61" s="2">
        <v>20604</v>
      </c>
      <c r="F61" s="18">
        <v>10</v>
      </c>
      <c r="G61" s="18">
        <v>9</v>
      </c>
      <c r="H61" s="18">
        <v>10</v>
      </c>
      <c r="I61" s="18">
        <v>11</v>
      </c>
      <c r="J61" s="18">
        <v>20</v>
      </c>
      <c r="K61" s="18">
        <v>19</v>
      </c>
      <c r="L61" s="11">
        <v>21</v>
      </c>
      <c r="M61" s="11">
        <v>11</v>
      </c>
      <c r="N61" s="11">
        <v>12</v>
      </c>
      <c r="O61" s="11">
        <v>18</v>
      </c>
      <c r="P61" s="18">
        <v>18</v>
      </c>
      <c r="Q61" s="18">
        <v>24</v>
      </c>
      <c r="R61" s="24">
        <v>25</v>
      </c>
      <c r="S61" s="18">
        <v>25</v>
      </c>
      <c r="T61" s="18">
        <v>90.909090909090907</v>
      </c>
      <c r="U61" s="18">
        <v>75</v>
      </c>
      <c r="V61" s="18">
        <v>55.555555555555557</v>
      </c>
      <c r="W61" s="11">
        <v>61.111111111111114</v>
      </c>
      <c r="X61" s="11">
        <v>83.333333333333343</v>
      </c>
      <c r="Y61" s="11">
        <v>76</v>
      </c>
      <c r="Z61" s="11">
        <v>84</v>
      </c>
      <c r="AA61" s="11">
        <f t="shared" si="3"/>
        <v>63.888888888888886</v>
      </c>
      <c r="AB61" s="27">
        <f t="shared" si="4"/>
        <v>81.111111111111114</v>
      </c>
      <c r="AC61" s="2">
        <f t="shared" si="5"/>
        <v>10</v>
      </c>
      <c r="AD61" s="2">
        <f t="shared" si="6"/>
        <v>20</v>
      </c>
    </row>
    <row r="62" spans="1:30" x14ac:dyDescent="0.3">
      <c r="A62" s="1" t="s">
        <v>50</v>
      </c>
      <c r="B62" s="1" t="s">
        <v>86</v>
      </c>
      <c r="C62" s="1" t="s">
        <v>91</v>
      </c>
      <c r="D62" s="1" t="s">
        <v>91</v>
      </c>
      <c r="E62" s="2">
        <v>20605</v>
      </c>
      <c r="F62" s="18">
        <v>9</v>
      </c>
      <c r="G62" s="18">
        <v>14</v>
      </c>
      <c r="H62" s="18">
        <v>16</v>
      </c>
      <c r="I62" s="18">
        <v>17</v>
      </c>
      <c r="J62" s="18">
        <v>23</v>
      </c>
      <c r="K62" s="18">
        <v>25</v>
      </c>
      <c r="L62" s="11">
        <v>23</v>
      </c>
      <c r="M62" s="11">
        <v>17</v>
      </c>
      <c r="N62" s="11">
        <v>22</v>
      </c>
      <c r="O62" s="11">
        <v>27</v>
      </c>
      <c r="P62" s="18">
        <v>30</v>
      </c>
      <c r="Q62" s="18">
        <v>29</v>
      </c>
      <c r="R62" s="24">
        <v>30</v>
      </c>
      <c r="S62" s="18">
        <v>30</v>
      </c>
      <c r="T62" s="18">
        <v>52.941176470588239</v>
      </c>
      <c r="U62" s="18">
        <v>63.636363636363633</v>
      </c>
      <c r="V62" s="18">
        <v>59.259259259259252</v>
      </c>
      <c r="W62" s="11">
        <v>56.666666666666664</v>
      </c>
      <c r="X62" s="11">
        <v>79.310344827586206</v>
      </c>
      <c r="Y62" s="11">
        <v>83.333333333333343</v>
      </c>
      <c r="Z62" s="11">
        <v>76.666666666666671</v>
      </c>
      <c r="AA62" s="11">
        <f t="shared" si="3"/>
        <v>59.854096520763186</v>
      </c>
      <c r="AB62" s="27">
        <f t="shared" si="4"/>
        <v>79.770114942528735</v>
      </c>
      <c r="AC62" s="2">
        <f t="shared" si="5"/>
        <v>15.666666666666666</v>
      </c>
      <c r="AD62" s="2">
        <f t="shared" si="6"/>
        <v>23.666666666666668</v>
      </c>
    </row>
    <row r="63" spans="1:30" x14ac:dyDescent="0.3">
      <c r="A63" s="1" t="s">
        <v>50</v>
      </c>
      <c r="B63" s="1" t="s">
        <v>86</v>
      </c>
      <c r="C63" s="1" t="s">
        <v>92</v>
      </c>
      <c r="D63" s="1" t="s">
        <v>92</v>
      </c>
      <c r="E63" s="2">
        <v>20606</v>
      </c>
      <c r="F63" s="18">
        <v>28</v>
      </c>
      <c r="G63" s="18">
        <v>32</v>
      </c>
      <c r="H63" s="18">
        <v>46</v>
      </c>
      <c r="I63" s="18">
        <v>48</v>
      </c>
      <c r="J63" s="18">
        <v>54</v>
      </c>
      <c r="K63" s="18">
        <v>56</v>
      </c>
      <c r="L63" s="11">
        <v>56</v>
      </c>
      <c r="M63" s="11">
        <v>36</v>
      </c>
      <c r="N63" s="11">
        <v>39</v>
      </c>
      <c r="O63" s="11">
        <v>55</v>
      </c>
      <c r="P63" s="18">
        <v>57</v>
      </c>
      <c r="Q63" s="18">
        <v>61</v>
      </c>
      <c r="R63" s="24">
        <v>61</v>
      </c>
      <c r="S63" s="18">
        <v>60</v>
      </c>
      <c r="T63" s="18">
        <v>77.777777777777786</v>
      </c>
      <c r="U63" s="18">
        <v>82.051282051282044</v>
      </c>
      <c r="V63" s="18">
        <v>83.636363636363626</v>
      </c>
      <c r="W63" s="11">
        <v>84.210526315789465</v>
      </c>
      <c r="X63" s="11">
        <v>88.52459016393442</v>
      </c>
      <c r="Y63" s="11">
        <v>91.803278688524586</v>
      </c>
      <c r="Z63" s="11">
        <v>93.333333333333329</v>
      </c>
      <c r="AA63" s="11">
        <f t="shared" si="3"/>
        <v>83.299390667811721</v>
      </c>
      <c r="AB63" s="27">
        <f t="shared" si="4"/>
        <v>91.22040072859744</v>
      </c>
      <c r="AC63" s="2">
        <f t="shared" si="5"/>
        <v>42</v>
      </c>
      <c r="AD63" s="2">
        <f t="shared" si="6"/>
        <v>55.333333333333336</v>
      </c>
    </row>
    <row r="64" spans="1:30" x14ac:dyDescent="0.3">
      <c r="A64" s="1" t="s">
        <v>50</v>
      </c>
      <c r="B64" s="1" t="s">
        <v>86</v>
      </c>
      <c r="C64" s="1" t="s">
        <v>93</v>
      </c>
      <c r="D64" s="1" t="s">
        <v>93</v>
      </c>
      <c r="E64" s="2">
        <v>20607</v>
      </c>
      <c r="F64" s="18">
        <v>30</v>
      </c>
      <c r="G64" s="18">
        <v>38</v>
      </c>
      <c r="H64" s="18">
        <v>48</v>
      </c>
      <c r="I64" s="18">
        <v>57</v>
      </c>
      <c r="J64" s="18">
        <v>89</v>
      </c>
      <c r="K64" s="18">
        <v>93</v>
      </c>
      <c r="L64" s="11">
        <v>92</v>
      </c>
      <c r="M64" s="11">
        <v>42</v>
      </c>
      <c r="N64" s="11">
        <v>47</v>
      </c>
      <c r="O64" s="11">
        <v>75</v>
      </c>
      <c r="P64" s="18">
        <v>79</v>
      </c>
      <c r="Q64" s="18">
        <v>104</v>
      </c>
      <c r="R64" s="24">
        <v>107</v>
      </c>
      <c r="S64" s="18">
        <v>107</v>
      </c>
      <c r="T64" s="18">
        <v>71.428571428571431</v>
      </c>
      <c r="U64" s="18">
        <v>80.851063829787222</v>
      </c>
      <c r="V64" s="18">
        <v>64</v>
      </c>
      <c r="W64" s="11">
        <v>72.151898734177209</v>
      </c>
      <c r="X64" s="11">
        <v>85.576923076923066</v>
      </c>
      <c r="Y64" s="11">
        <v>86.915887850467286</v>
      </c>
      <c r="Z64" s="11">
        <v>85.981308411214954</v>
      </c>
      <c r="AA64" s="11">
        <f t="shared" si="3"/>
        <v>72.33432085465482</v>
      </c>
      <c r="AB64" s="27">
        <f t="shared" si="4"/>
        <v>86.158039779535102</v>
      </c>
      <c r="AC64" s="2">
        <f t="shared" si="5"/>
        <v>47.666666666666664</v>
      </c>
      <c r="AD64" s="2">
        <f t="shared" si="6"/>
        <v>91.333333333333329</v>
      </c>
    </row>
    <row r="65" spans="1:30" x14ac:dyDescent="0.3">
      <c r="A65" s="1" t="s">
        <v>50</v>
      </c>
      <c r="B65" s="1" t="s">
        <v>86</v>
      </c>
      <c r="C65" s="1" t="s">
        <v>94</v>
      </c>
      <c r="D65" s="1" t="s">
        <v>94</v>
      </c>
      <c r="E65" s="2">
        <v>20608</v>
      </c>
      <c r="F65" s="18">
        <v>14</v>
      </c>
      <c r="G65" s="18">
        <v>15</v>
      </c>
      <c r="H65" s="18">
        <v>20</v>
      </c>
      <c r="I65" s="18">
        <v>26</v>
      </c>
      <c r="J65" s="18">
        <v>54</v>
      </c>
      <c r="K65" s="18">
        <v>58</v>
      </c>
      <c r="L65" s="11">
        <v>61</v>
      </c>
      <c r="M65" s="11">
        <v>29</v>
      </c>
      <c r="N65" s="11">
        <v>29</v>
      </c>
      <c r="O65" s="11">
        <v>45</v>
      </c>
      <c r="P65" s="18">
        <v>50</v>
      </c>
      <c r="Q65" s="18">
        <v>70</v>
      </c>
      <c r="R65" s="24">
        <v>71</v>
      </c>
      <c r="S65" s="18">
        <v>74</v>
      </c>
      <c r="T65" s="18">
        <v>48.275862068965516</v>
      </c>
      <c r="U65" s="18">
        <v>51.724137931034484</v>
      </c>
      <c r="V65" s="18">
        <v>44.444444444444443</v>
      </c>
      <c r="W65" s="11">
        <v>52</v>
      </c>
      <c r="X65" s="11">
        <v>77.142857142857153</v>
      </c>
      <c r="Y65" s="11">
        <v>81.690140845070431</v>
      </c>
      <c r="Z65" s="11">
        <v>82.432432432432435</v>
      </c>
      <c r="AA65" s="11">
        <f t="shared" si="3"/>
        <v>49.389527458492978</v>
      </c>
      <c r="AB65" s="27">
        <f t="shared" si="4"/>
        <v>80.421810140120002</v>
      </c>
      <c r="AC65" s="2">
        <f t="shared" si="5"/>
        <v>20.333333333333332</v>
      </c>
      <c r="AD65" s="2">
        <f t="shared" si="6"/>
        <v>57.666666666666664</v>
      </c>
    </row>
    <row r="66" spans="1:30" x14ac:dyDescent="0.3">
      <c r="A66" s="1" t="s">
        <v>50</v>
      </c>
      <c r="B66" s="1" t="s">
        <v>95</v>
      </c>
      <c r="C66" s="1" t="s">
        <v>96</v>
      </c>
      <c r="D66" s="1" t="s">
        <v>96</v>
      </c>
      <c r="E66" s="2">
        <v>20701</v>
      </c>
      <c r="F66" s="18">
        <v>21</v>
      </c>
      <c r="G66" s="18">
        <v>26</v>
      </c>
      <c r="H66" s="18">
        <v>38</v>
      </c>
      <c r="I66" s="18">
        <v>47</v>
      </c>
      <c r="J66" s="18">
        <v>114</v>
      </c>
      <c r="K66" s="18">
        <v>126</v>
      </c>
      <c r="L66" s="11">
        <v>143</v>
      </c>
      <c r="M66" s="11">
        <v>44</v>
      </c>
      <c r="N66" s="11">
        <v>45</v>
      </c>
      <c r="O66" s="11">
        <v>89</v>
      </c>
      <c r="P66" s="18">
        <v>92</v>
      </c>
      <c r="Q66" s="18">
        <v>143</v>
      </c>
      <c r="R66" s="24">
        <v>154</v>
      </c>
      <c r="S66" s="18">
        <v>170</v>
      </c>
      <c r="T66" s="18">
        <v>47.727272727272727</v>
      </c>
      <c r="U66" s="18">
        <v>57.777777777777771</v>
      </c>
      <c r="V66" s="18">
        <v>42.696629213483142</v>
      </c>
      <c r="W66" s="11">
        <v>51.086956521739133</v>
      </c>
      <c r="X66" s="11">
        <v>79.72027972027972</v>
      </c>
      <c r="Y66" s="11">
        <v>81.818181818181827</v>
      </c>
      <c r="Z66" s="11">
        <v>84.117647058823536</v>
      </c>
      <c r="AA66" s="11">
        <f t="shared" si="3"/>
        <v>50.520454504333344</v>
      </c>
      <c r="AB66" s="27">
        <f t="shared" si="4"/>
        <v>81.885369532428356</v>
      </c>
      <c r="AC66" s="2">
        <f t="shared" si="5"/>
        <v>37</v>
      </c>
      <c r="AD66" s="2">
        <f t="shared" si="6"/>
        <v>127.66666666666667</v>
      </c>
    </row>
    <row r="67" spans="1:30" x14ac:dyDescent="0.3">
      <c r="A67" s="1" t="s">
        <v>50</v>
      </c>
      <c r="B67" s="1" t="s">
        <v>95</v>
      </c>
      <c r="C67" s="1" t="s">
        <v>97</v>
      </c>
      <c r="D67" s="1" t="s">
        <v>97</v>
      </c>
      <c r="E67" s="2">
        <v>20702</v>
      </c>
      <c r="F67" s="18">
        <v>9</v>
      </c>
      <c r="G67" s="18">
        <v>12</v>
      </c>
      <c r="H67" s="18">
        <v>18</v>
      </c>
      <c r="I67" s="18">
        <v>23</v>
      </c>
      <c r="J67" s="18">
        <v>53</v>
      </c>
      <c r="K67" s="18">
        <v>56</v>
      </c>
      <c r="L67" s="11">
        <v>61</v>
      </c>
      <c r="M67" s="11">
        <v>21</v>
      </c>
      <c r="N67" s="11">
        <v>21</v>
      </c>
      <c r="O67" s="11">
        <v>40</v>
      </c>
      <c r="P67" s="18">
        <v>41</v>
      </c>
      <c r="Q67" s="18">
        <v>72</v>
      </c>
      <c r="R67" s="24">
        <v>74</v>
      </c>
      <c r="S67" s="18">
        <v>77</v>
      </c>
      <c r="T67" s="18">
        <v>42.857142857142854</v>
      </c>
      <c r="U67" s="18">
        <v>57.142857142857139</v>
      </c>
      <c r="V67" s="18">
        <v>45</v>
      </c>
      <c r="W67" s="11">
        <v>56.09756097560976</v>
      </c>
      <c r="X67" s="11">
        <v>73.611111111111114</v>
      </c>
      <c r="Y67" s="11">
        <v>75.675675675675677</v>
      </c>
      <c r="Z67" s="11">
        <v>79.220779220779221</v>
      </c>
      <c r="AA67" s="11">
        <f t="shared" ref="AA67:AA130" si="38">AVERAGE(U67:W67)</f>
        <v>52.746806039488966</v>
      </c>
      <c r="AB67" s="27">
        <f t="shared" ref="AB67:AB130" si="39">AVERAGE(X67:Z67)</f>
        <v>76.169188669188671</v>
      </c>
      <c r="AC67" s="2">
        <f t="shared" ref="AC67:AC130" si="40">AVERAGE(G67:I67)</f>
        <v>17.666666666666668</v>
      </c>
      <c r="AD67" s="2">
        <f t="shared" ref="AD67:AD130" si="41">AVERAGE(J67:L67)</f>
        <v>56.666666666666664</v>
      </c>
    </row>
    <row r="68" spans="1:30" x14ac:dyDescent="0.3">
      <c r="A68" s="1" t="s">
        <v>50</v>
      </c>
      <c r="B68" s="1" t="s">
        <v>98</v>
      </c>
      <c r="C68" s="1" t="s">
        <v>99</v>
      </c>
      <c r="D68" s="1" t="s">
        <v>99</v>
      </c>
      <c r="E68" s="2">
        <v>20801</v>
      </c>
      <c r="F68" s="18">
        <v>184</v>
      </c>
      <c r="G68" s="18">
        <v>189</v>
      </c>
      <c r="H68" s="18">
        <v>240</v>
      </c>
      <c r="I68" s="18">
        <v>259</v>
      </c>
      <c r="J68" s="18">
        <v>395</v>
      </c>
      <c r="K68" s="18">
        <v>411</v>
      </c>
      <c r="L68" s="11">
        <v>421</v>
      </c>
      <c r="M68" s="11">
        <v>232</v>
      </c>
      <c r="N68" s="11">
        <v>236</v>
      </c>
      <c r="O68" s="11">
        <v>347</v>
      </c>
      <c r="P68" s="18">
        <v>369</v>
      </c>
      <c r="Q68" s="18">
        <v>515</v>
      </c>
      <c r="R68" s="24">
        <v>539</v>
      </c>
      <c r="S68" s="18">
        <v>551</v>
      </c>
      <c r="T68" s="18">
        <v>79.310344827586206</v>
      </c>
      <c r="U68" s="18">
        <v>80.084745762711862</v>
      </c>
      <c r="V68" s="18">
        <v>69.164265129683002</v>
      </c>
      <c r="W68" s="11">
        <v>70.189701897018978</v>
      </c>
      <c r="X68" s="11">
        <v>76.699029126213588</v>
      </c>
      <c r="Y68" s="11">
        <v>76.252319109461965</v>
      </c>
      <c r="Z68" s="11">
        <v>76.40653357531761</v>
      </c>
      <c r="AA68" s="11">
        <f t="shared" si="38"/>
        <v>73.146237596471281</v>
      </c>
      <c r="AB68" s="27">
        <f t="shared" si="39"/>
        <v>76.45262727033105</v>
      </c>
      <c r="AC68" s="2">
        <f t="shared" si="40"/>
        <v>229.33333333333334</v>
      </c>
      <c r="AD68" s="2">
        <f t="shared" si="41"/>
        <v>409</v>
      </c>
    </row>
    <row r="69" spans="1:30" x14ac:dyDescent="0.3">
      <c r="A69" s="1" t="s">
        <v>50</v>
      </c>
      <c r="B69" s="1" t="s">
        <v>98</v>
      </c>
      <c r="C69" s="1" t="s">
        <v>100</v>
      </c>
      <c r="D69" s="1" t="s">
        <v>101</v>
      </c>
      <c r="E69" s="2">
        <v>20802</v>
      </c>
      <c r="F69" s="18">
        <v>35</v>
      </c>
      <c r="G69" s="18">
        <v>36</v>
      </c>
      <c r="H69" s="18">
        <v>42</v>
      </c>
      <c r="I69" s="18">
        <v>41</v>
      </c>
      <c r="J69" s="18">
        <v>46</v>
      </c>
      <c r="K69" s="18">
        <v>47</v>
      </c>
      <c r="L69" s="11">
        <v>48</v>
      </c>
      <c r="M69" s="11">
        <v>42</v>
      </c>
      <c r="N69" s="11">
        <v>42</v>
      </c>
      <c r="O69" s="11">
        <v>55</v>
      </c>
      <c r="P69" s="18">
        <v>57</v>
      </c>
      <c r="Q69" s="18">
        <v>62</v>
      </c>
      <c r="R69" s="24">
        <v>65</v>
      </c>
      <c r="S69" s="18">
        <v>65</v>
      </c>
      <c r="T69" s="18">
        <v>83.333333333333343</v>
      </c>
      <c r="U69" s="18">
        <v>85.714285714285708</v>
      </c>
      <c r="V69" s="18">
        <v>76.363636363636374</v>
      </c>
      <c r="W69" s="11">
        <v>71.929824561403507</v>
      </c>
      <c r="X69" s="11">
        <v>74.193548387096769</v>
      </c>
      <c r="Y69" s="11">
        <v>72.307692307692307</v>
      </c>
      <c r="Z69" s="11">
        <v>73.846153846153854</v>
      </c>
      <c r="AA69" s="11">
        <f t="shared" si="38"/>
        <v>78.002582213108539</v>
      </c>
      <c r="AB69" s="27">
        <f t="shared" si="39"/>
        <v>73.449131513647657</v>
      </c>
      <c r="AC69" s="2">
        <f t="shared" si="40"/>
        <v>39.666666666666664</v>
      </c>
      <c r="AD69" s="2">
        <f t="shared" si="41"/>
        <v>47</v>
      </c>
    </row>
    <row r="70" spans="1:30" x14ac:dyDescent="0.3">
      <c r="A70" s="1" t="s">
        <v>50</v>
      </c>
      <c r="B70" s="1" t="s">
        <v>98</v>
      </c>
      <c r="C70" s="1" t="s">
        <v>102</v>
      </c>
      <c r="D70" s="1" t="s">
        <v>102</v>
      </c>
      <c r="E70" s="2">
        <v>20803</v>
      </c>
      <c r="F70" s="18">
        <v>39</v>
      </c>
      <c r="G70" s="18">
        <v>42</v>
      </c>
      <c r="H70" s="18">
        <v>56</v>
      </c>
      <c r="I70" s="18">
        <v>57</v>
      </c>
      <c r="J70" s="18">
        <v>69</v>
      </c>
      <c r="K70" s="18">
        <v>74</v>
      </c>
      <c r="L70" s="11">
        <v>76</v>
      </c>
      <c r="M70" s="11">
        <v>61</v>
      </c>
      <c r="N70" s="11">
        <v>60</v>
      </c>
      <c r="O70" s="11">
        <v>86</v>
      </c>
      <c r="P70" s="18">
        <v>87</v>
      </c>
      <c r="Q70" s="18">
        <v>100</v>
      </c>
      <c r="R70" s="24">
        <v>104</v>
      </c>
      <c r="S70" s="18">
        <v>106</v>
      </c>
      <c r="T70" s="18">
        <v>63.934426229508205</v>
      </c>
      <c r="U70" s="18">
        <v>70</v>
      </c>
      <c r="V70" s="18">
        <v>65.116279069767444</v>
      </c>
      <c r="W70" s="11">
        <v>65.517241379310349</v>
      </c>
      <c r="X70" s="11">
        <v>69</v>
      </c>
      <c r="Y70" s="11">
        <v>71.15384615384616</v>
      </c>
      <c r="Z70" s="11">
        <v>71.698113207547166</v>
      </c>
      <c r="AA70" s="11">
        <f t="shared" si="38"/>
        <v>66.877840149692602</v>
      </c>
      <c r="AB70" s="27">
        <f t="shared" si="39"/>
        <v>70.617319787131109</v>
      </c>
      <c r="AC70" s="2">
        <f t="shared" si="40"/>
        <v>51.666666666666664</v>
      </c>
      <c r="AD70" s="2">
        <f t="shared" si="41"/>
        <v>73</v>
      </c>
    </row>
    <row r="71" spans="1:30" x14ac:dyDescent="0.3">
      <c r="A71" s="1" t="s">
        <v>50</v>
      </c>
      <c r="B71" s="1" t="s">
        <v>98</v>
      </c>
      <c r="C71" s="1" t="s">
        <v>103</v>
      </c>
      <c r="D71" s="1" t="s">
        <v>103</v>
      </c>
      <c r="E71" s="2">
        <v>20804</v>
      </c>
      <c r="F71" s="18">
        <v>17</v>
      </c>
      <c r="G71" s="18">
        <v>21</v>
      </c>
      <c r="H71" s="18">
        <v>28</v>
      </c>
      <c r="I71" s="18">
        <v>30</v>
      </c>
      <c r="J71" s="18">
        <v>43</v>
      </c>
      <c r="K71" s="18">
        <v>43</v>
      </c>
      <c r="L71" s="11">
        <v>43</v>
      </c>
      <c r="M71" s="11">
        <v>26</v>
      </c>
      <c r="N71" s="11">
        <v>28</v>
      </c>
      <c r="O71" s="11">
        <v>45</v>
      </c>
      <c r="P71" s="18">
        <v>49</v>
      </c>
      <c r="Q71" s="18">
        <v>54</v>
      </c>
      <c r="R71" s="24">
        <v>54</v>
      </c>
      <c r="S71" s="18">
        <v>57</v>
      </c>
      <c r="T71" s="18">
        <v>65.384615384615387</v>
      </c>
      <c r="U71" s="18">
        <v>75</v>
      </c>
      <c r="V71" s="18">
        <v>62.222222222222221</v>
      </c>
      <c r="W71" s="11">
        <v>61.224489795918366</v>
      </c>
      <c r="X71" s="11">
        <v>79.629629629629633</v>
      </c>
      <c r="Y71" s="11">
        <v>79.629629629629633</v>
      </c>
      <c r="Z71" s="11">
        <v>75.438596491228068</v>
      </c>
      <c r="AA71" s="11">
        <f t="shared" si="38"/>
        <v>66.148904006046862</v>
      </c>
      <c r="AB71" s="27">
        <f t="shared" si="39"/>
        <v>78.232618583495778</v>
      </c>
      <c r="AC71" s="2">
        <f t="shared" si="40"/>
        <v>26.333333333333332</v>
      </c>
      <c r="AD71" s="2">
        <f t="shared" si="41"/>
        <v>43</v>
      </c>
    </row>
    <row r="72" spans="1:30" x14ac:dyDescent="0.3">
      <c r="A72" s="1" t="s">
        <v>50</v>
      </c>
      <c r="B72" s="1" t="s">
        <v>98</v>
      </c>
      <c r="C72" s="1" t="s">
        <v>104</v>
      </c>
      <c r="D72" s="1" t="s">
        <v>105</v>
      </c>
      <c r="E72" s="2">
        <v>20805</v>
      </c>
      <c r="F72" s="18">
        <v>21</v>
      </c>
      <c r="G72" s="18">
        <v>23</v>
      </c>
      <c r="H72" s="18">
        <v>28</v>
      </c>
      <c r="I72" s="18">
        <v>31</v>
      </c>
      <c r="J72" s="18">
        <v>55</v>
      </c>
      <c r="K72" s="18">
        <v>56</v>
      </c>
      <c r="L72" s="11">
        <v>55</v>
      </c>
      <c r="M72" s="11">
        <v>50</v>
      </c>
      <c r="N72" s="11">
        <v>50</v>
      </c>
      <c r="O72" s="11">
        <v>67</v>
      </c>
      <c r="P72" s="18">
        <v>68</v>
      </c>
      <c r="Q72" s="18">
        <v>73</v>
      </c>
      <c r="R72" s="24">
        <v>73</v>
      </c>
      <c r="S72" s="18">
        <v>73</v>
      </c>
      <c r="T72" s="18">
        <v>42</v>
      </c>
      <c r="U72" s="18">
        <v>46</v>
      </c>
      <c r="V72" s="18">
        <v>41.791044776119399</v>
      </c>
      <c r="W72" s="11">
        <v>45.588235294117645</v>
      </c>
      <c r="X72" s="11">
        <v>75.342465753424662</v>
      </c>
      <c r="Y72" s="11">
        <v>76.712328767123282</v>
      </c>
      <c r="Z72" s="11">
        <v>75.342465753424662</v>
      </c>
      <c r="AA72" s="11">
        <f t="shared" si="38"/>
        <v>44.45976002341235</v>
      </c>
      <c r="AB72" s="27">
        <f t="shared" si="39"/>
        <v>75.799086757990878</v>
      </c>
      <c r="AC72" s="2">
        <f t="shared" si="40"/>
        <v>27.333333333333332</v>
      </c>
      <c r="AD72" s="2">
        <f t="shared" si="41"/>
        <v>55.333333333333336</v>
      </c>
    </row>
    <row r="73" spans="1:30" x14ac:dyDescent="0.3">
      <c r="A73" s="1" t="s">
        <v>50</v>
      </c>
      <c r="B73" s="1" t="s">
        <v>98</v>
      </c>
      <c r="C73" s="1" t="s">
        <v>106</v>
      </c>
      <c r="D73" s="1" t="s">
        <v>107</v>
      </c>
      <c r="E73" s="2">
        <v>20806</v>
      </c>
      <c r="F73" s="18">
        <v>72</v>
      </c>
      <c r="G73" s="18">
        <v>73</v>
      </c>
      <c r="H73" s="18">
        <v>85</v>
      </c>
      <c r="I73" s="18">
        <v>88</v>
      </c>
      <c r="J73" s="18">
        <v>114</v>
      </c>
      <c r="K73" s="18">
        <v>115</v>
      </c>
      <c r="L73" s="11">
        <v>114</v>
      </c>
      <c r="M73" s="11">
        <v>101</v>
      </c>
      <c r="N73" s="11">
        <v>100</v>
      </c>
      <c r="O73" s="11">
        <v>126</v>
      </c>
      <c r="P73" s="18">
        <v>126</v>
      </c>
      <c r="Q73" s="18">
        <v>143</v>
      </c>
      <c r="R73" s="24">
        <v>145</v>
      </c>
      <c r="S73" s="18">
        <v>146</v>
      </c>
      <c r="T73" s="18">
        <v>71.287128712871279</v>
      </c>
      <c r="U73" s="18">
        <v>73</v>
      </c>
      <c r="V73" s="18">
        <v>67.460317460317469</v>
      </c>
      <c r="W73" s="11">
        <v>69.841269841269835</v>
      </c>
      <c r="X73" s="11">
        <v>79.72027972027972</v>
      </c>
      <c r="Y73" s="11">
        <v>79.310344827586206</v>
      </c>
      <c r="Z73" s="11">
        <v>78.082191780821915</v>
      </c>
      <c r="AA73" s="11">
        <f t="shared" si="38"/>
        <v>70.100529100529101</v>
      </c>
      <c r="AB73" s="27">
        <f t="shared" si="39"/>
        <v>79.037605442895952</v>
      </c>
      <c r="AC73" s="2">
        <f t="shared" si="40"/>
        <v>82</v>
      </c>
      <c r="AD73" s="2">
        <f t="shared" si="41"/>
        <v>114.33333333333333</v>
      </c>
    </row>
    <row r="74" spans="1:30" x14ac:dyDescent="0.3">
      <c r="A74" s="1" t="s">
        <v>50</v>
      </c>
      <c r="B74" s="1" t="s">
        <v>98</v>
      </c>
      <c r="C74" s="1" t="s">
        <v>108</v>
      </c>
      <c r="D74" s="1" t="s">
        <v>108</v>
      </c>
      <c r="E74" s="2">
        <v>20807</v>
      </c>
      <c r="F74" s="18">
        <v>17</v>
      </c>
      <c r="G74" s="18">
        <v>17</v>
      </c>
      <c r="H74" s="18">
        <v>22</v>
      </c>
      <c r="I74" s="18">
        <v>24</v>
      </c>
      <c r="J74" s="18">
        <v>36</v>
      </c>
      <c r="K74" s="18">
        <v>35</v>
      </c>
      <c r="L74" s="11">
        <v>33</v>
      </c>
      <c r="M74" s="11">
        <v>27</v>
      </c>
      <c r="N74" s="11">
        <v>26</v>
      </c>
      <c r="O74" s="11">
        <v>37</v>
      </c>
      <c r="P74" s="18">
        <v>38</v>
      </c>
      <c r="Q74" s="18">
        <v>48</v>
      </c>
      <c r="R74" s="24">
        <v>48</v>
      </c>
      <c r="S74" s="18">
        <v>48</v>
      </c>
      <c r="T74" s="18">
        <v>62.962962962962962</v>
      </c>
      <c r="U74" s="18">
        <v>65.384615384615387</v>
      </c>
      <c r="V74" s="18">
        <v>59.45945945945946</v>
      </c>
      <c r="W74" s="11">
        <v>63.157894736842103</v>
      </c>
      <c r="X74" s="11">
        <v>75</v>
      </c>
      <c r="Y74" s="11">
        <v>72.916666666666657</v>
      </c>
      <c r="Z74" s="11">
        <v>68.75</v>
      </c>
      <c r="AA74" s="11">
        <f t="shared" si="38"/>
        <v>62.667323193638985</v>
      </c>
      <c r="AB74" s="27">
        <f t="shared" si="39"/>
        <v>72.222222222222214</v>
      </c>
      <c r="AC74" s="2">
        <f t="shared" si="40"/>
        <v>21</v>
      </c>
      <c r="AD74" s="2">
        <f t="shared" si="41"/>
        <v>34.666666666666664</v>
      </c>
    </row>
    <row r="75" spans="1:30" x14ac:dyDescent="0.3">
      <c r="A75" s="1" t="s">
        <v>50</v>
      </c>
      <c r="B75" s="1" t="s">
        <v>109</v>
      </c>
      <c r="C75" s="1" t="s">
        <v>110</v>
      </c>
      <c r="D75" s="1" t="s">
        <v>110</v>
      </c>
      <c r="E75" s="2">
        <v>20901</v>
      </c>
      <c r="F75" s="18">
        <v>42</v>
      </c>
      <c r="G75" s="18">
        <v>45</v>
      </c>
      <c r="H75" s="18">
        <v>51</v>
      </c>
      <c r="I75" s="18">
        <v>53</v>
      </c>
      <c r="J75" s="18">
        <v>69</v>
      </c>
      <c r="K75" s="18">
        <v>73</v>
      </c>
      <c r="L75" s="11">
        <v>73</v>
      </c>
      <c r="M75" s="11">
        <v>49</v>
      </c>
      <c r="N75" s="11">
        <v>51</v>
      </c>
      <c r="O75" s="11">
        <v>72</v>
      </c>
      <c r="P75" s="18">
        <v>72</v>
      </c>
      <c r="Q75" s="18">
        <v>96</v>
      </c>
      <c r="R75" s="24">
        <v>97</v>
      </c>
      <c r="S75" s="18">
        <v>96</v>
      </c>
      <c r="T75" s="18">
        <v>85.714285714285708</v>
      </c>
      <c r="U75" s="18">
        <v>88.235294117647058</v>
      </c>
      <c r="V75" s="18">
        <v>70.833333333333343</v>
      </c>
      <c r="W75" s="11">
        <v>73.611111111111114</v>
      </c>
      <c r="X75" s="11">
        <v>71.875</v>
      </c>
      <c r="Y75" s="11">
        <v>75.257731958762889</v>
      </c>
      <c r="Z75" s="11">
        <v>76.041666666666657</v>
      </c>
      <c r="AA75" s="11">
        <f t="shared" si="38"/>
        <v>77.5599128540305</v>
      </c>
      <c r="AB75" s="27">
        <f t="shared" si="39"/>
        <v>74.391466208476515</v>
      </c>
      <c r="AC75" s="2">
        <f t="shared" si="40"/>
        <v>49.666666666666664</v>
      </c>
      <c r="AD75" s="2">
        <f t="shared" si="41"/>
        <v>71.666666666666671</v>
      </c>
    </row>
    <row r="76" spans="1:30" x14ac:dyDescent="0.3">
      <c r="A76" s="1" t="s">
        <v>50</v>
      </c>
      <c r="B76" s="1" t="s">
        <v>109</v>
      </c>
      <c r="C76" s="1" t="s">
        <v>111</v>
      </c>
      <c r="D76" s="1" t="s">
        <v>111</v>
      </c>
      <c r="E76" s="2">
        <v>20902</v>
      </c>
      <c r="F76" s="18">
        <v>20</v>
      </c>
      <c r="G76" s="18">
        <v>25</v>
      </c>
      <c r="H76" s="18">
        <v>35</v>
      </c>
      <c r="I76" s="18">
        <v>37</v>
      </c>
      <c r="J76" s="18">
        <v>60</v>
      </c>
      <c r="K76" s="18">
        <v>61</v>
      </c>
      <c r="L76" s="11">
        <v>67</v>
      </c>
      <c r="M76" s="11">
        <v>36</v>
      </c>
      <c r="N76" s="11">
        <v>40</v>
      </c>
      <c r="O76" s="11">
        <v>59</v>
      </c>
      <c r="P76" s="18">
        <v>61</v>
      </c>
      <c r="Q76" s="18">
        <v>75</v>
      </c>
      <c r="R76" s="24">
        <v>76</v>
      </c>
      <c r="S76" s="18">
        <v>81</v>
      </c>
      <c r="T76" s="18">
        <v>55.555555555555557</v>
      </c>
      <c r="U76" s="18">
        <v>62.5</v>
      </c>
      <c r="V76" s="18">
        <v>59.322033898305079</v>
      </c>
      <c r="W76" s="11">
        <v>60.655737704918032</v>
      </c>
      <c r="X76" s="11">
        <v>80</v>
      </c>
      <c r="Y76" s="11">
        <v>80.26315789473685</v>
      </c>
      <c r="Z76" s="11">
        <v>82.716049382716051</v>
      </c>
      <c r="AA76" s="11">
        <f t="shared" si="38"/>
        <v>60.825923867741039</v>
      </c>
      <c r="AB76" s="27">
        <f t="shared" si="39"/>
        <v>80.993069092484305</v>
      </c>
      <c r="AC76" s="2">
        <f t="shared" si="40"/>
        <v>32.333333333333336</v>
      </c>
      <c r="AD76" s="2">
        <f t="shared" si="41"/>
        <v>62.666666666666664</v>
      </c>
    </row>
    <row r="77" spans="1:30" x14ac:dyDescent="0.3">
      <c r="A77" s="1" t="s">
        <v>50</v>
      </c>
      <c r="B77" s="1" t="s">
        <v>109</v>
      </c>
      <c r="C77" s="1" t="s">
        <v>112</v>
      </c>
      <c r="D77" s="1" t="s">
        <v>112</v>
      </c>
      <c r="E77" s="2">
        <v>20903</v>
      </c>
      <c r="F77" s="18">
        <v>17</v>
      </c>
      <c r="G77" s="18">
        <v>17</v>
      </c>
      <c r="H77" s="18">
        <v>23</v>
      </c>
      <c r="I77" s="18">
        <v>23</v>
      </c>
      <c r="J77" s="18">
        <v>44</v>
      </c>
      <c r="K77" s="18">
        <v>44</v>
      </c>
      <c r="L77" s="11">
        <v>45</v>
      </c>
      <c r="M77" s="11">
        <v>33</v>
      </c>
      <c r="N77" s="11">
        <v>34</v>
      </c>
      <c r="O77" s="11">
        <v>50</v>
      </c>
      <c r="P77" s="18">
        <v>51</v>
      </c>
      <c r="Q77" s="18">
        <v>61</v>
      </c>
      <c r="R77" s="24">
        <v>61</v>
      </c>
      <c r="S77" s="18">
        <v>62</v>
      </c>
      <c r="T77" s="18">
        <v>51.515151515151516</v>
      </c>
      <c r="U77" s="18">
        <v>50</v>
      </c>
      <c r="V77" s="18">
        <v>46</v>
      </c>
      <c r="W77" s="11">
        <v>45.098039215686278</v>
      </c>
      <c r="X77" s="11">
        <v>72.131147540983605</v>
      </c>
      <c r="Y77" s="11">
        <v>72.131147540983605</v>
      </c>
      <c r="Z77" s="11">
        <v>72.58064516129032</v>
      </c>
      <c r="AA77" s="11">
        <f t="shared" si="38"/>
        <v>47.032679738562088</v>
      </c>
      <c r="AB77" s="27">
        <f t="shared" si="39"/>
        <v>72.280980081085843</v>
      </c>
      <c r="AC77" s="2">
        <f t="shared" si="40"/>
        <v>21</v>
      </c>
      <c r="AD77" s="2">
        <f t="shared" si="41"/>
        <v>44.333333333333336</v>
      </c>
    </row>
    <row r="78" spans="1:30" x14ac:dyDescent="0.3">
      <c r="A78" s="1" t="s">
        <v>50</v>
      </c>
      <c r="B78" s="1" t="s">
        <v>109</v>
      </c>
      <c r="C78" s="1" t="s">
        <v>113</v>
      </c>
      <c r="D78" s="1" t="s">
        <v>113</v>
      </c>
      <c r="E78" s="2">
        <v>20904</v>
      </c>
      <c r="F78" s="18">
        <v>8</v>
      </c>
      <c r="G78" s="18">
        <v>8</v>
      </c>
      <c r="H78" s="18">
        <v>8</v>
      </c>
      <c r="I78" s="18">
        <v>9</v>
      </c>
      <c r="J78" s="18">
        <v>13</v>
      </c>
      <c r="K78" s="18">
        <v>13</v>
      </c>
      <c r="L78" s="11">
        <v>14</v>
      </c>
      <c r="M78" s="11">
        <v>10</v>
      </c>
      <c r="N78" s="11">
        <v>10</v>
      </c>
      <c r="O78" s="11">
        <v>15</v>
      </c>
      <c r="P78" s="18">
        <v>15</v>
      </c>
      <c r="Q78" s="18">
        <v>16</v>
      </c>
      <c r="R78" s="24">
        <v>16</v>
      </c>
      <c r="S78" s="18">
        <v>16</v>
      </c>
      <c r="T78" s="18">
        <v>80</v>
      </c>
      <c r="U78" s="18">
        <v>80</v>
      </c>
      <c r="V78" s="18">
        <v>53.333333333333336</v>
      </c>
      <c r="W78" s="11">
        <v>60</v>
      </c>
      <c r="X78" s="11">
        <v>81.25</v>
      </c>
      <c r="Y78" s="11">
        <v>81.25</v>
      </c>
      <c r="Z78" s="11">
        <v>87.5</v>
      </c>
      <c r="AA78" s="11">
        <f t="shared" si="38"/>
        <v>64.444444444444443</v>
      </c>
      <c r="AB78" s="27">
        <f t="shared" si="39"/>
        <v>83.333333333333329</v>
      </c>
      <c r="AC78" s="2">
        <f t="shared" si="40"/>
        <v>8.3333333333333339</v>
      </c>
      <c r="AD78" s="2">
        <f t="shared" si="41"/>
        <v>13.333333333333334</v>
      </c>
    </row>
    <row r="79" spans="1:30" x14ac:dyDescent="0.3">
      <c r="A79" s="1" t="s">
        <v>50</v>
      </c>
      <c r="B79" s="1" t="s">
        <v>109</v>
      </c>
      <c r="C79" s="1" t="s">
        <v>114</v>
      </c>
      <c r="D79" s="1" t="s">
        <v>114</v>
      </c>
      <c r="E79" s="2">
        <v>20905</v>
      </c>
      <c r="F79" s="18">
        <v>28</v>
      </c>
      <c r="G79" s="18">
        <v>31</v>
      </c>
      <c r="H79" s="18">
        <v>38</v>
      </c>
      <c r="I79" s="18">
        <v>49</v>
      </c>
      <c r="J79" s="18">
        <v>72</v>
      </c>
      <c r="K79" s="18">
        <v>74</v>
      </c>
      <c r="L79" s="11">
        <v>73</v>
      </c>
      <c r="M79" s="11">
        <v>55</v>
      </c>
      <c r="N79" s="11">
        <v>56</v>
      </c>
      <c r="O79" s="11">
        <v>80</v>
      </c>
      <c r="P79" s="18">
        <v>82</v>
      </c>
      <c r="Q79" s="18">
        <v>92</v>
      </c>
      <c r="R79" s="24">
        <v>94</v>
      </c>
      <c r="S79" s="18">
        <v>96</v>
      </c>
      <c r="T79" s="18">
        <v>50.909090909090907</v>
      </c>
      <c r="U79" s="18">
        <v>55.357142857142861</v>
      </c>
      <c r="V79" s="18">
        <v>47.5</v>
      </c>
      <c r="W79" s="11">
        <v>59.756097560975604</v>
      </c>
      <c r="X79" s="11">
        <v>78.260869565217391</v>
      </c>
      <c r="Y79" s="11">
        <v>78.723404255319153</v>
      </c>
      <c r="Z79" s="11">
        <v>76.041666666666657</v>
      </c>
      <c r="AA79" s="11">
        <f t="shared" si="38"/>
        <v>54.204413472706158</v>
      </c>
      <c r="AB79" s="27">
        <f t="shared" si="39"/>
        <v>77.6753134957344</v>
      </c>
      <c r="AC79" s="2">
        <f t="shared" si="40"/>
        <v>39.333333333333336</v>
      </c>
      <c r="AD79" s="2">
        <f t="shared" si="41"/>
        <v>73</v>
      </c>
    </row>
    <row r="80" spans="1:30" x14ac:dyDescent="0.3">
      <c r="A80" s="1" t="s">
        <v>50</v>
      </c>
      <c r="B80" s="1" t="s">
        <v>115</v>
      </c>
      <c r="C80" s="1" t="s">
        <v>115</v>
      </c>
      <c r="D80" s="1" t="s">
        <v>115</v>
      </c>
      <c r="E80" s="2">
        <v>21001</v>
      </c>
      <c r="F80" s="18">
        <v>35</v>
      </c>
      <c r="G80" s="18">
        <v>38</v>
      </c>
      <c r="H80" s="18">
        <v>48</v>
      </c>
      <c r="I80" s="18">
        <v>66</v>
      </c>
      <c r="J80" s="18">
        <v>97</v>
      </c>
      <c r="K80" s="18">
        <v>100</v>
      </c>
      <c r="L80" s="11">
        <v>98</v>
      </c>
      <c r="M80" s="11">
        <v>57</v>
      </c>
      <c r="N80" s="11">
        <v>57</v>
      </c>
      <c r="O80" s="11">
        <v>102</v>
      </c>
      <c r="P80" s="18">
        <v>107</v>
      </c>
      <c r="Q80" s="18">
        <v>129</v>
      </c>
      <c r="R80" s="24">
        <v>134</v>
      </c>
      <c r="S80" s="18">
        <v>134</v>
      </c>
      <c r="T80" s="18">
        <v>61.403508771929829</v>
      </c>
      <c r="U80" s="18">
        <v>66.666666666666657</v>
      </c>
      <c r="V80" s="18">
        <v>47.058823529411761</v>
      </c>
      <c r="W80" s="11">
        <v>61.682242990654203</v>
      </c>
      <c r="X80" s="11">
        <v>75.193798449612402</v>
      </c>
      <c r="Y80" s="11">
        <v>74.626865671641795</v>
      </c>
      <c r="Z80" s="11">
        <v>73.134328358208961</v>
      </c>
      <c r="AA80" s="11">
        <f t="shared" si="38"/>
        <v>58.46924439557754</v>
      </c>
      <c r="AB80" s="27">
        <f t="shared" si="39"/>
        <v>74.318330826487724</v>
      </c>
      <c r="AC80" s="2">
        <f t="shared" si="40"/>
        <v>50.666666666666664</v>
      </c>
      <c r="AD80" s="2">
        <f t="shared" si="41"/>
        <v>98.333333333333329</v>
      </c>
    </row>
    <row r="81" spans="1:30" x14ac:dyDescent="0.3">
      <c r="A81" s="1" t="s">
        <v>50</v>
      </c>
      <c r="B81" s="1" t="s">
        <v>115</v>
      </c>
      <c r="C81" s="1" t="s">
        <v>116</v>
      </c>
      <c r="D81" s="1" t="s">
        <v>116</v>
      </c>
      <c r="E81" s="2">
        <v>21002</v>
      </c>
      <c r="F81" s="18">
        <v>15</v>
      </c>
      <c r="G81" s="18">
        <v>15</v>
      </c>
      <c r="H81" s="18">
        <v>19</v>
      </c>
      <c r="I81" s="18">
        <v>19</v>
      </c>
      <c r="J81" s="18">
        <v>43</v>
      </c>
      <c r="K81" s="18">
        <v>45</v>
      </c>
      <c r="L81" s="11">
        <v>44</v>
      </c>
      <c r="M81" s="11">
        <v>23</v>
      </c>
      <c r="N81" s="11">
        <v>23</v>
      </c>
      <c r="O81" s="11">
        <v>37</v>
      </c>
      <c r="P81" s="18">
        <v>37</v>
      </c>
      <c r="Q81" s="18">
        <v>49</v>
      </c>
      <c r="R81" s="24">
        <v>52</v>
      </c>
      <c r="S81" s="18">
        <v>51</v>
      </c>
      <c r="T81" s="18">
        <v>65.217391304347828</v>
      </c>
      <c r="U81" s="18">
        <v>65.217391304347828</v>
      </c>
      <c r="V81" s="18">
        <v>51.351351351351347</v>
      </c>
      <c r="W81" s="11">
        <v>51.351351351351347</v>
      </c>
      <c r="X81" s="11">
        <v>87.755102040816325</v>
      </c>
      <c r="Y81" s="11">
        <v>86.538461538461547</v>
      </c>
      <c r="Z81" s="11">
        <v>86.274509803921575</v>
      </c>
      <c r="AA81" s="11">
        <f t="shared" si="38"/>
        <v>55.973364669016838</v>
      </c>
      <c r="AB81" s="27">
        <f t="shared" si="39"/>
        <v>86.856024461066497</v>
      </c>
      <c r="AC81" s="2">
        <f t="shared" si="40"/>
        <v>17.666666666666668</v>
      </c>
      <c r="AD81" s="2">
        <f t="shared" si="41"/>
        <v>44</v>
      </c>
    </row>
    <row r="82" spans="1:30" x14ac:dyDescent="0.3">
      <c r="A82" s="1" t="s">
        <v>50</v>
      </c>
      <c r="B82" s="1" t="s">
        <v>115</v>
      </c>
      <c r="C82" s="1" t="s">
        <v>117</v>
      </c>
      <c r="D82" s="1" t="s">
        <v>117</v>
      </c>
      <c r="E82" s="2">
        <v>21003</v>
      </c>
      <c r="F82" s="18">
        <v>21</v>
      </c>
      <c r="G82" s="18">
        <v>23</v>
      </c>
      <c r="H82" s="18">
        <v>31</v>
      </c>
      <c r="I82" s="18">
        <v>37</v>
      </c>
      <c r="J82" s="18">
        <v>73</v>
      </c>
      <c r="K82" s="18">
        <v>77</v>
      </c>
      <c r="L82" s="11">
        <v>76</v>
      </c>
      <c r="M82" s="11">
        <v>30</v>
      </c>
      <c r="N82" s="11">
        <v>33</v>
      </c>
      <c r="O82" s="11">
        <v>54</v>
      </c>
      <c r="P82" s="18">
        <v>61</v>
      </c>
      <c r="Q82" s="18">
        <v>93</v>
      </c>
      <c r="R82" s="24">
        <v>95</v>
      </c>
      <c r="S82" s="18">
        <v>97</v>
      </c>
      <c r="T82" s="18">
        <v>70</v>
      </c>
      <c r="U82" s="18">
        <v>69.696969696969703</v>
      </c>
      <c r="V82" s="18">
        <v>57.407407407407405</v>
      </c>
      <c r="W82" s="11">
        <v>60.655737704918032</v>
      </c>
      <c r="X82" s="11">
        <v>78.494623655913969</v>
      </c>
      <c r="Y82" s="11">
        <v>81.05263157894737</v>
      </c>
      <c r="Z82" s="11">
        <v>78.350515463917532</v>
      </c>
      <c r="AA82" s="11">
        <f t="shared" si="38"/>
        <v>62.586704936431715</v>
      </c>
      <c r="AB82" s="27">
        <f t="shared" si="39"/>
        <v>79.299256899592947</v>
      </c>
      <c r="AC82" s="2">
        <f t="shared" si="40"/>
        <v>30.333333333333332</v>
      </c>
      <c r="AD82" s="2">
        <f t="shared" si="41"/>
        <v>75.333333333333329</v>
      </c>
    </row>
    <row r="83" spans="1:30" x14ac:dyDescent="0.3">
      <c r="A83" s="1" t="s">
        <v>50</v>
      </c>
      <c r="B83" s="1" t="s">
        <v>115</v>
      </c>
      <c r="C83" s="1" t="s">
        <v>118</v>
      </c>
      <c r="D83" s="1" t="s">
        <v>118</v>
      </c>
      <c r="E83" s="2">
        <v>21004</v>
      </c>
      <c r="F83" s="18">
        <v>46</v>
      </c>
      <c r="G83" s="18">
        <v>47</v>
      </c>
      <c r="H83" s="18">
        <v>46</v>
      </c>
      <c r="I83" s="18">
        <v>49</v>
      </c>
      <c r="J83" s="18">
        <v>95</v>
      </c>
      <c r="K83" s="18">
        <v>101</v>
      </c>
      <c r="L83" s="11">
        <v>102</v>
      </c>
      <c r="M83" s="11">
        <v>81</v>
      </c>
      <c r="N83" s="11">
        <v>81</v>
      </c>
      <c r="O83" s="11">
        <v>122</v>
      </c>
      <c r="P83" s="18">
        <v>125</v>
      </c>
      <c r="Q83" s="18">
        <v>151</v>
      </c>
      <c r="R83" s="24">
        <v>154</v>
      </c>
      <c r="S83" s="18">
        <v>159</v>
      </c>
      <c r="T83" s="18">
        <v>56.79012345679012</v>
      </c>
      <c r="U83" s="18">
        <v>58.024691358024697</v>
      </c>
      <c r="V83" s="18">
        <v>37.704918032786885</v>
      </c>
      <c r="W83" s="11">
        <v>39.200000000000003</v>
      </c>
      <c r="X83" s="11">
        <v>62.913907284768214</v>
      </c>
      <c r="Y83" s="11">
        <v>65.584415584415595</v>
      </c>
      <c r="Z83" s="11">
        <v>64.15094339622641</v>
      </c>
      <c r="AA83" s="11">
        <f t="shared" si="38"/>
        <v>44.976536463603871</v>
      </c>
      <c r="AB83" s="27">
        <f t="shared" si="39"/>
        <v>64.216422088470082</v>
      </c>
      <c r="AC83" s="2">
        <f t="shared" si="40"/>
        <v>47.333333333333336</v>
      </c>
      <c r="AD83" s="2">
        <f t="shared" si="41"/>
        <v>99.333333333333329</v>
      </c>
    </row>
    <row r="84" spans="1:30" x14ac:dyDescent="0.3">
      <c r="A84" s="1" t="s">
        <v>50</v>
      </c>
      <c r="B84" s="1" t="s">
        <v>115</v>
      </c>
      <c r="C84" s="1" t="s">
        <v>119</v>
      </c>
      <c r="D84" s="1" t="s">
        <v>119</v>
      </c>
      <c r="E84" s="2">
        <v>21005</v>
      </c>
      <c r="F84" s="18">
        <v>19</v>
      </c>
      <c r="G84" s="18">
        <v>22</v>
      </c>
      <c r="H84" s="18">
        <v>27</v>
      </c>
      <c r="I84" s="18">
        <v>25</v>
      </c>
      <c r="J84" s="18">
        <v>44</v>
      </c>
      <c r="K84" s="18">
        <v>45</v>
      </c>
      <c r="L84" s="11">
        <v>45</v>
      </c>
      <c r="M84" s="11">
        <v>24</v>
      </c>
      <c r="N84" s="11">
        <v>26</v>
      </c>
      <c r="O84" s="11">
        <v>43</v>
      </c>
      <c r="P84" s="18">
        <v>47</v>
      </c>
      <c r="Q84" s="18">
        <v>58</v>
      </c>
      <c r="R84" s="24">
        <v>59</v>
      </c>
      <c r="S84" s="18">
        <v>59</v>
      </c>
      <c r="T84" s="18">
        <v>79.166666666666657</v>
      </c>
      <c r="U84" s="18">
        <v>84.615384615384613</v>
      </c>
      <c r="V84" s="18">
        <v>62.790697674418603</v>
      </c>
      <c r="W84" s="11">
        <v>53.191489361702125</v>
      </c>
      <c r="X84" s="11">
        <v>75.862068965517238</v>
      </c>
      <c r="Y84" s="11">
        <v>76.271186440677965</v>
      </c>
      <c r="Z84" s="11">
        <v>76.271186440677965</v>
      </c>
      <c r="AA84" s="11">
        <f t="shared" si="38"/>
        <v>66.865857217168454</v>
      </c>
      <c r="AB84" s="27">
        <f t="shared" si="39"/>
        <v>76.134813948957728</v>
      </c>
      <c r="AC84" s="2">
        <f t="shared" si="40"/>
        <v>24.666666666666668</v>
      </c>
      <c r="AD84" s="2">
        <f t="shared" si="41"/>
        <v>44.666666666666664</v>
      </c>
    </row>
    <row r="85" spans="1:30" x14ac:dyDescent="0.3">
      <c r="A85" s="1" t="s">
        <v>50</v>
      </c>
      <c r="B85" s="1" t="s">
        <v>115</v>
      </c>
      <c r="C85" s="1" t="s">
        <v>120</v>
      </c>
      <c r="D85" s="1" t="s">
        <v>120</v>
      </c>
      <c r="E85" s="2">
        <v>21006</v>
      </c>
      <c r="F85" s="18">
        <v>4</v>
      </c>
      <c r="G85" s="18">
        <v>6</v>
      </c>
      <c r="H85" s="18">
        <v>8</v>
      </c>
      <c r="I85" s="18">
        <v>8</v>
      </c>
      <c r="J85" s="18">
        <v>10</v>
      </c>
      <c r="K85" s="18">
        <v>11</v>
      </c>
      <c r="L85" s="11">
        <v>11</v>
      </c>
      <c r="M85" s="11">
        <v>7</v>
      </c>
      <c r="N85" s="11">
        <v>7</v>
      </c>
      <c r="O85" s="11">
        <v>11</v>
      </c>
      <c r="P85" s="18">
        <v>11</v>
      </c>
      <c r="Q85" s="18">
        <v>13</v>
      </c>
      <c r="R85" s="24">
        <v>16</v>
      </c>
      <c r="S85" s="18">
        <v>16</v>
      </c>
      <c r="T85" s="18">
        <v>57.142857142857139</v>
      </c>
      <c r="U85" s="18">
        <v>85.714285714285708</v>
      </c>
      <c r="V85" s="18">
        <v>72.727272727272734</v>
      </c>
      <c r="W85" s="11">
        <v>72.727272727272734</v>
      </c>
      <c r="X85" s="11">
        <v>76.923076923076934</v>
      </c>
      <c r="Y85" s="11">
        <v>68.75</v>
      </c>
      <c r="Z85" s="11">
        <v>68.75</v>
      </c>
      <c r="AA85" s="11">
        <f t="shared" si="38"/>
        <v>77.056277056277054</v>
      </c>
      <c r="AB85" s="27">
        <f t="shared" si="39"/>
        <v>71.474358974358978</v>
      </c>
      <c r="AC85" s="2">
        <f t="shared" si="40"/>
        <v>7.333333333333333</v>
      </c>
      <c r="AD85" s="2">
        <f t="shared" si="41"/>
        <v>10.666666666666666</v>
      </c>
    </row>
    <row r="86" spans="1:30" x14ac:dyDescent="0.3">
      <c r="A86" s="1" t="s">
        <v>50</v>
      </c>
      <c r="B86" s="1" t="s">
        <v>121</v>
      </c>
      <c r="C86" s="1" t="s">
        <v>122</v>
      </c>
      <c r="D86" s="1" t="s">
        <v>123</v>
      </c>
      <c r="E86" s="2">
        <v>21101</v>
      </c>
      <c r="F86" s="18">
        <v>39</v>
      </c>
      <c r="G86" s="18">
        <v>46</v>
      </c>
      <c r="H86" s="18">
        <v>64</v>
      </c>
      <c r="I86" s="18">
        <v>64</v>
      </c>
      <c r="J86" s="18">
        <v>101</v>
      </c>
      <c r="K86" s="18">
        <v>101</v>
      </c>
      <c r="L86" s="11">
        <v>102</v>
      </c>
      <c r="M86" s="11">
        <v>51</v>
      </c>
      <c r="N86" s="11">
        <v>56</v>
      </c>
      <c r="O86" s="11">
        <v>85</v>
      </c>
      <c r="P86" s="18">
        <v>88</v>
      </c>
      <c r="Q86" s="18">
        <v>122</v>
      </c>
      <c r="R86" s="24">
        <v>124</v>
      </c>
      <c r="S86" s="18">
        <v>129</v>
      </c>
      <c r="T86" s="18">
        <v>76.470588235294116</v>
      </c>
      <c r="U86" s="18">
        <v>82.142857142857139</v>
      </c>
      <c r="V86" s="18">
        <v>75.294117647058826</v>
      </c>
      <c r="W86" s="11">
        <v>72.727272727272734</v>
      </c>
      <c r="X86" s="11">
        <v>82.786885245901644</v>
      </c>
      <c r="Y86" s="11">
        <v>81.451612903225808</v>
      </c>
      <c r="Z86" s="11">
        <v>79.069767441860463</v>
      </c>
      <c r="AA86" s="11">
        <f t="shared" si="38"/>
        <v>76.7214158390629</v>
      </c>
      <c r="AB86" s="27">
        <f t="shared" si="39"/>
        <v>81.102755196995972</v>
      </c>
      <c r="AC86" s="2">
        <f t="shared" si="40"/>
        <v>58</v>
      </c>
      <c r="AD86" s="2">
        <f t="shared" si="41"/>
        <v>101.33333333333333</v>
      </c>
    </row>
    <row r="87" spans="1:30" x14ac:dyDescent="0.3">
      <c r="A87" s="1" t="s">
        <v>50</v>
      </c>
      <c r="B87" s="1" t="s">
        <v>121</v>
      </c>
      <c r="C87" s="1" t="s">
        <v>124</v>
      </c>
      <c r="D87" s="1" t="s">
        <v>125</v>
      </c>
      <c r="E87" s="2">
        <v>21102</v>
      </c>
      <c r="F87" s="18">
        <v>26</v>
      </c>
      <c r="G87" s="18">
        <v>27</v>
      </c>
      <c r="H87" s="18">
        <v>34</v>
      </c>
      <c r="I87" s="18">
        <v>38</v>
      </c>
      <c r="J87" s="18">
        <v>81</v>
      </c>
      <c r="K87" s="18">
        <v>83</v>
      </c>
      <c r="L87" s="11">
        <v>85</v>
      </c>
      <c r="M87" s="11">
        <v>37</v>
      </c>
      <c r="N87" s="11">
        <v>38</v>
      </c>
      <c r="O87" s="11">
        <v>74</v>
      </c>
      <c r="P87" s="18">
        <v>79</v>
      </c>
      <c r="Q87" s="18">
        <v>109</v>
      </c>
      <c r="R87" s="24">
        <v>111</v>
      </c>
      <c r="S87" s="18">
        <v>118</v>
      </c>
      <c r="T87" s="18">
        <v>70.270270270270274</v>
      </c>
      <c r="U87" s="18">
        <v>71.05263157894737</v>
      </c>
      <c r="V87" s="18">
        <v>45.945945945945951</v>
      </c>
      <c r="W87" s="11">
        <v>48.101265822784811</v>
      </c>
      <c r="X87" s="11">
        <v>74.311926605504581</v>
      </c>
      <c r="Y87" s="11">
        <v>74.774774774774784</v>
      </c>
      <c r="Z87" s="11">
        <v>72.033898305084747</v>
      </c>
      <c r="AA87" s="11">
        <f t="shared" si="38"/>
        <v>55.033281115892713</v>
      </c>
      <c r="AB87" s="27">
        <f t="shared" si="39"/>
        <v>73.706866561788033</v>
      </c>
      <c r="AC87" s="2">
        <f t="shared" si="40"/>
        <v>33</v>
      </c>
      <c r="AD87" s="2">
        <f t="shared" si="41"/>
        <v>83</v>
      </c>
    </row>
    <row r="88" spans="1:30" x14ac:dyDescent="0.3">
      <c r="A88" s="1" t="s">
        <v>50</v>
      </c>
      <c r="B88" s="1" t="s">
        <v>121</v>
      </c>
      <c r="C88" s="1" t="s">
        <v>126</v>
      </c>
      <c r="D88" s="1" t="s">
        <v>126</v>
      </c>
      <c r="E88" s="2">
        <v>21103</v>
      </c>
      <c r="F88" s="18">
        <v>23</v>
      </c>
      <c r="G88" s="18">
        <v>21</v>
      </c>
      <c r="H88" s="18">
        <v>23</v>
      </c>
      <c r="I88" s="18">
        <v>25</v>
      </c>
      <c r="J88" s="18">
        <v>39</v>
      </c>
      <c r="K88" s="18">
        <v>41</v>
      </c>
      <c r="L88" s="11">
        <v>42</v>
      </c>
      <c r="M88" s="11">
        <v>30</v>
      </c>
      <c r="N88" s="11">
        <v>29</v>
      </c>
      <c r="O88" s="11">
        <v>34</v>
      </c>
      <c r="P88" s="18">
        <v>34</v>
      </c>
      <c r="Q88" s="18">
        <v>47</v>
      </c>
      <c r="R88" s="24">
        <v>49</v>
      </c>
      <c r="S88" s="18">
        <v>50</v>
      </c>
      <c r="T88" s="18">
        <v>76.666666666666671</v>
      </c>
      <c r="U88" s="18">
        <v>72.41379310344827</v>
      </c>
      <c r="V88" s="18">
        <v>67.64705882352942</v>
      </c>
      <c r="W88" s="11">
        <v>73.529411764705884</v>
      </c>
      <c r="X88" s="11">
        <v>82.978723404255319</v>
      </c>
      <c r="Y88" s="11">
        <v>83.673469387755105</v>
      </c>
      <c r="Z88" s="11">
        <v>84</v>
      </c>
      <c r="AA88" s="11">
        <f t="shared" si="38"/>
        <v>71.19675456389453</v>
      </c>
      <c r="AB88" s="27">
        <f t="shared" si="39"/>
        <v>83.550730930670142</v>
      </c>
      <c r="AC88" s="2">
        <f t="shared" si="40"/>
        <v>23</v>
      </c>
      <c r="AD88" s="2">
        <f t="shared" si="41"/>
        <v>40.666666666666664</v>
      </c>
    </row>
    <row r="89" spans="1:30" x14ac:dyDescent="0.3">
      <c r="A89" s="1" t="s">
        <v>50</v>
      </c>
      <c r="B89" s="1" t="s">
        <v>121</v>
      </c>
      <c r="C89" s="1" t="s">
        <v>127</v>
      </c>
      <c r="D89" s="1" t="s">
        <v>127</v>
      </c>
      <c r="E89" s="2">
        <v>21104</v>
      </c>
      <c r="F89" s="18">
        <v>41</v>
      </c>
      <c r="G89" s="18">
        <v>46</v>
      </c>
      <c r="H89" s="18">
        <v>68</v>
      </c>
      <c r="I89" s="18">
        <v>77</v>
      </c>
      <c r="J89" s="18">
        <v>165</v>
      </c>
      <c r="K89" s="18">
        <v>176</v>
      </c>
      <c r="L89" s="11">
        <v>179</v>
      </c>
      <c r="M89" s="11">
        <v>82</v>
      </c>
      <c r="N89" s="11">
        <v>86</v>
      </c>
      <c r="O89" s="11">
        <v>141</v>
      </c>
      <c r="P89" s="18">
        <v>149</v>
      </c>
      <c r="Q89" s="18">
        <v>224</v>
      </c>
      <c r="R89" s="24">
        <v>234</v>
      </c>
      <c r="S89" s="18">
        <v>235</v>
      </c>
      <c r="T89" s="18">
        <v>50</v>
      </c>
      <c r="U89" s="18">
        <v>53.488372093023251</v>
      </c>
      <c r="V89" s="18">
        <v>48.226950354609926</v>
      </c>
      <c r="W89" s="11">
        <v>51.677852348993291</v>
      </c>
      <c r="X89" s="11">
        <v>73.660714285714292</v>
      </c>
      <c r="Y89" s="11">
        <v>75.213675213675216</v>
      </c>
      <c r="Z89" s="11">
        <v>76.170212765957444</v>
      </c>
      <c r="AA89" s="11">
        <f t="shared" si="38"/>
        <v>51.131058265542158</v>
      </c>
      <c r="AB89" s="27">
        <f t="shared" si="39"/>
        <v>75.014867421782313</v>
      </c>
      <c r="AC89" s="2">
        <f t="shared" si="40"/>
        <v>63.666666666666664</v>
      </c>
      <c r="AD89" s="2">
        <f t="shared" si="41"/>
        <v>173.33333333333334</v>
      </c>
    </row>
    <row r="90" spans="1:30" x14ac:dyDescent="0.3">
      <c r="A90" s="1" t="s">
        <v>50</v>
      </c>
      <c r="B90" s="1" t="s">
        <v>121</v>
      </c>
      <c r="C90" s="1" t="s">
        <v>128</v>
      </c>
      <c r="D90" s="1" t="s">
        <v>128</v>
      </c>
      <c r="E90" s="2">
        <v>21105</v>
      </c>
      <c r="F90" s="18">
        <v>51</v>
      </c>
      <c r="G90" s="18">
        <v>61</v>
      </c>
      <c r="H90" s="18">
        <v>87</v>
      </c>
      <c r="I90" s="18">
        <v>106</v>
      </c>
      <c r="J90" s="18">
        <v>234</v>
      </c>
      <c r="K90" s="18">
        <v>252</v>
      </c>
      <c r="L90" s="11">
        <v>266</v>
      </c>
      <c r="M90" s="11">
        <v>82</v>
      </c>
      <c r="N90" s="11">
        <v>91</v>
      </c>
      <c r="O90" s="11">
        <v>165</v>
      </c>
      <c r="P90" s="18">
        <v>182</v>
      </c>
      <c r="Q90" s="18">
        <v>292</v>
      </c>
      <c r="R90" s="24">
        <v>313</v>
      </c>
      <c r="S90" s="18">
        <v>326</v>
      </c>
      <c r="T90" s="18">
        <v>62.195121951219512</v>
      </c>
      <c r="U90" s="18">
        <v>67.032967032967022</v>
      </c>
      <c r="V90" s="18">
        <v>52.72727272727272</v>
      </c>
      <c r="W90" s="11">
        <v>58.241758241758248</v>
      </c>
      <c r="X90" s="11">
        <v>80.136986301369859</v>
      </c>
      <c r="Y90" s="11">
        <v>80.511182108626201</v>
      </c>
      <c r="Z90" s="11">
        <v>81.595092024539866</v>
      </c>
      <c r="AA90" s="11">
        <f t="shared" si="38"/>
        <v>59.333999333999337</v>
      </c>
      <c r="AB90" s="27">
        <f t="shared" si="39"/>
        <v>80.747753478178637</v>
      </c>
      <c r="AC90" s="2">
        <f t="shared" si="40"/>
        <v>84.666666666666671</v>
      </c>
      <c r="AD90" s="2">
        <f t="shared" si="41"/>
        <v>250.66666666666666</v>
      </c>
    </row>
    <row r="91" spans="1:30" x14ac:dyDescent="0.3">
      <c r="A91" s="1" t="s">
        <v>50</v>
      </c>
      <c r="B91" s="1" t="s">
        <v>129</v>
      </c>
      <c r="C91" s="1" t="s">
        <v>130</v>
      </c>
      <c r="D91" s="1" t="s">
        <v>130</v>
      </c>
      <c r="E91" s="2">
        <v>21201</v>
      </c>
      <c r="F91" s="18">
        <v>114</v>
      </c>
      <c r="G91" s="18">
        <v>119</v>
      </c>
      <c r="H91" s="18">
        <v>157</v>
      </c>
      <c r="I91" s="18">
        <v>168</v>
      </c>
      <c r="J91" s="18">
        <v>189</v>
      </c>
      <c r="K91" s="18">
        <v>188</v>
      </c>
      <c r="L91" s="11">
        <v>195</v>
      </c>
      <c r="M91" s="11">
        <v>159</v>
      </c>
      <c r="N91" s="11">
        <v>164</v>
      </c>
      <c r="O91" s="11">
        <v>229</v>
      </c>
      <c r="P91" s="18">
        <v>236</v>
      </c>
      <c r="Q91" s="18">
        <v>262</v>
      </c>
      <c r="R91" s="24">
        <v>264</v>
      </c>
      <c r="S91" s="18">
        <v>264</v>
      </c>
      <c r="T91" s="18">
        <v>71.698113207547166</v>
      </c>
      <c r="U91" s="18">
        <v>72.560975609756099</v>
      </c>
      <c r="V91" s="18">
        <v>68.558951965065503</v>
      </c>
      <c r="W91" s="11">
        <v>71.186440677966104</v>
      </c>
      <c r="X91" s="11">
        <v>72.137404580152676</v>
      </c>
      <c r="Y91" s="11">
        <v>71.212121212121218</v>
      </c>
      <c r="Z91" s="11">
        <v>73.86363636363636</v>
      </c>
      <c r="AA91" s="11">
        <f t="shared" si="38"/>
        <v>70.768789417595897</v>
      </c>
      <c r="AB91" s="27">
        <f t="shared" si="39"/>
        <v>72.404387385303423</v>
      </c>
      <c r="AC91" s="2">
        <f t="shared" si="40"/>
        <v>148</v>
      </c>
      <c r="AD91" s="2">
        <f t="shared" si="41"/>
        <v>190.66666666666666</v>
      </c>
    </row>
    <row r="92" spans="1:30" x14ac:dyDescent="0.3">
      <c r="A92" s="1" t="s">
        <v>50</v>
      </c>
      <c r="B92" s="1" t="s">
        <v>129</v>
      </c>
      <c r="C92" s="1" t="s">
        <v>131</v>
      </c>
      <c r="D92" s="1" t="s">
        <v>131</v>
      </c>
      <c r="E92" s="2">
        <v>21202</v>
      </c>
      <c r="F92" s="18">
        <v>72</v>
      </c>
      <c r="G92" s="18">
        <v>72</v>
      </c>
      <c r="H92" s="18">
        <v>89</v>
      </c>
      <c r="I92" s="18">
        <v>97</v>
      </c>
      <c r="J92" s="18">
        <v>138</v>
      </c>
      <c r="K92" s="18">
        <v>143</v>
      </c>
      <c r="L92" s="11">
        <v>146</v>
      </c>
      <c r="M92" s="11">
        <v>104</v>
      </c>
      <c r="N92" s="11">
        <v>104</v>
      </c>
      <c r="O92" s="11">
        <v>123</v>
      </c>
      <c r="P92" s="18">
        <v>129</v>
      </c>
      <c r="Q92" s="18">
        <v>182</v>
      </c>
      <c r="R92" s="24">
        <v>189</v>
      </c>
      <c r="S92" s="18">
        <v>195</v>
      </c>
      <c r="T92" s="18">
        <v>69.230769230769226</v>
      </c>
      <c r="U92" s="18">
        <v>69.230769230769226</v>
      </c>
      <c r="V92" s="18">
        <v>72.357723577235774</v>
      </c>
      <c r="W92" s="11">
        <v>75.193798449612402</v>
      </c>
      <c r="X92" s="11">
        <v>75.824175824175825</v>
      </c>
      <c r="Y92" s="11">
        <v>75.661375661375658</v>
      </c>
      <c r="Z92" s="11">
        <v>74.871794871794876</v>
      </c>
      <c r="AA92" s="11">
        <f t="shared" si="38"/>
        <v>72.260763752539148</v>
      </c>
      <c r="AB92" s="27">
        <f t="shared" si="39"/>
        <v>75.45244878578211</v>
      </c>
      <c r="AC92" s="2">
        <f t="shared" si="40"/>
        <v>86</v>
      </c>
      <c r="AD92" s="2">
        <f t="shared" si="41"/>
        <v>142.33333333333334</v>
      </c>
    </row>
    <row r="93" spans="1:30" x14ac:dyDescent="0.3">
      <c r="A93" s="1" t="s">
        <v>50</v>
      </c>
      <c r="B93" s="1" t="s">
        <v>129</v>
      </c>
      <c r="C93" s="1" t="s">
        <v>132</v>
      </c>
      <c r="D93" s="1" t="s">
        <v>132</v>
      </c>
      <c r="E93" s="2">
        <v>21203</v>
      </c>
      <c r="F93" s="18">
        <v>95</v>
      </c>
      <c r="G93" s="18">
        <v>97</v>
      </c>
      <c r="H93" s="18">
        <v>127</v>
      </c>
      <c r="I93" s="18">
        <v>126</v>
      </c>
      <c r="J93" s="18">
        <v>125</v>
      </c>
      <c r="K93" s="18">
        <v>124</v>
      </c>
      <c r="L93" s="11">
        <v>127</v>
      </c>
      <c r="M93" s="11">
        <v>117</v>
      </c>
      <c r="N93" s="11">
        <v>117</v>
      </c>
      <c r="O93" s="11">
        <v>162</v>
      </c>
      <c r="P93" s="18">
        <v>164</v>
      </c>
      <c r="Q93" s="18">
        <v>162</v>
      </c>
      <c r="R93" s="24">
        <v>162</v>
      </c>
      <c r="S93" s="18">
        <v>164</v>
      </c>
      <c r="T93" s="18">
        <v>81.196581196581192</v>
      </c>
      <c r="U93" s="18">
        <v>82.90598290598291</v>
      </c>
      <c r="V93" s="18">
        <v>78.395061728395063</v>
      </c>
      <c r="W93" s="11">
        <v>76.829268292682926</v>
      </c>
      <c r="X93" s="11">
        <v>77.160493827160494</v>
      </c>
      <c r="Y93" s="11">
        <v>76.543209876543202</v>
      </c>
      <c r="Z93" s="11">
        <v>77.439024390243901</v>
      </c>
      <c r="AA93" s="11">
        <f t="shared" si="38"/>
        <v>79.376770975686966</v>
      </c>
      <c r="AB93" s="27">
        <f t="shared" si="39"/>
        <v>77.04757603131587</v>
      </c>
      <c r="AC93" s="2">
        <f t="shared" si="40"/>
        <v>116.66666666666667</v>
      </c>
      <c r="AD93" s="2">
        <f t="shared" si="41"/>
        <v>125.33333333333333</v>
      </c>
    </row>
    <row r="94" spans="1:30" x14ac:dyDescent="0.3">
      <c r="A94" s="1" t="s">
        <v>50</v>
      </c>
      <c r="B94" s="1" t="s">
        <v>129</v>
      </c>
      <c r="C94" s="1" t="s">
        <v>133</v>
      </c>
      <c r="D94" s="1" t="s">
        <v>133</v>
      </c>
      <c r="E94" s="2">
        <v>21204</v>
      </c>
      <c r="F94" s="18">
        <v>23</v>
      </c>
      <c r="G94" s="18">
        <v>23</v>
      </c>
      <c r="H94" s="18">
        <v>30</v>
      </c>
      <c r="I94" s="18">
        <v>38</v>
      </c>
      <c r="J94" s="18">
        <v>47</v>
      </c>
      <c r="K94" s="18">
        <v>48</v>
      </c>
      <c r="L94" s="11">
        <v>52</v>
      </c>
      <c r="M94" s="11">
        <v>35</v>
      </c>
      <c r="N94" s="11">
        <v>35</v>
      </c>
      <c r="O94" s="11">
        <v>54</v>
      </c>
      <c r="P94" s="18">
        <v>57</v>
      </c>
      <c r="Q94" s="18">
        <v>64</v>
      </c>
      <c r="R94" s="24">
        <v>65</v>
      </c>
      <c r="S94" s="18">
        <v>67</v>
      </c>
      <c r="T94" s="18">
        <v>65.714285714285708</v>
      </c>
      <c r="U94" s="18">
        <v>65.714285714285708</v>
      </c>
      <c r="V94" s="18">
        <v>55.555555555555557</v>
      </c>
      <c r="W94" s="11">
        <v>66.666666666666657</v>
      </c>
      <c r="X94" s="11">
        <v>73.4375</v>
      </c>
      <c r="Y94" s="11">
        <v>73.846153846153854</v>
      </c>
      <c r="Z94" s="11">
        <v>77.611940298507463</v>
      </c>
      <c r="AA94" s="11">
        <f t="shared" si="38"/>
        <v>62.645502645502638</v>
      </c>
      <c r="AB94" s="27">
        <f t="shared" si="39"/>
        <v>74.965198048220444</v>
      </c>
      <c r="AC94" s="2">
        <f t="shared" si="40"/>
        <v>30.333333333333332</v>
      </c>
      <c r="AD94" s="2">
        <f t="shared" si="41"/>
        <v>49</v>
      </c>
    </row>
    <row r="95" spans="1:30" x14ac:dyDescent="0.3">
      <c r="A95" s="1" t="s">
        <v>50</v>
      </c>
      <c r="B95" s="1" t="s">
        <v>134</v>
      </c>
      <c r="C95" s="1" t="s">
        <v>135</v>
      </c>
      <c r="D95" s="1" t="s">
        <v>136</v>
      </c>
      <c r="E95" s="2">
        <v>21301</v>
      </c>
      <c r="F95" s="18">
        <v>75</v>
      </c>
      <c r="G95" s="18">
        <v>73</v>
      </c>
      <c r="H95" s="18">
        <v>83</v>
      </c>
      <c r="I95" s="18">
        <v>96</v>
      </c>
      <c r="J95" s="18">
        <v>126</v>
      </c>
      <c r="K95" s="18">
        <v>131</v>
      </c>
      <c r="L95" s="11">
        <v>137</v>
      </c>
      <c r="M95" s="11">
        <v>120</v>
      </c>
      <c r="N95" s="11">
        <v>120</v>
      </c>
      <c r="O95" s="11">
        <v>155</v>
      </c>
      <c r="P95" s="18">
        <v>156</v>
      </c>
      <c r="Q95" s="18">
        <v>173</v>
      </c>
      <c r="R95" s="24">
        <v>177</v>
      </c>
      <c r="S95" s="18">
        <v>180</v>
      </c>
      <c r="T95" s="18">
        <v>62.5</v>
      </c>
      <c r="U95" s="18">
        <v>60.833333333333329</v>
      </c>
      <c r="V95" s="18">
        <v>53.548387096774199</v>
      </c>
      <c r="W95" s="11">
        <v>61.53846153846154</v>
      </c>
      <c r="X95" s="11">
        <v>72.832369942196522</v>
      </c>
      <c r="Y95" s="11">
        <v>74.011299435028249</v>
      </c>
      <c r="Z95" s="11">
        <v>76.111111111111114</v>
      </c>
      <c r="AA95" s="11">
        <f t="shared" si="38"/>
        <v>58.640060656189689</v>
      </c>
      <c r="AB95" s="27">
        <f t="shared" si="39"/>
        <v>74.318260162778628</v>
      </c>
      <c r="AC95" s="2">
        <f t="shared" si="40"/>
        <v>84</v>
      </c>
      <c r="AD95" s="2">
        <f t="shared" si="41"/>
        <v>131.33333333333334</v>
      </c>
    </row>
    <row r="96" spans="1:30" x14ac:dyDescent="0.3">
      <c r="A96" s="1" t="s">
        <v>50</v>
      </c>
      <c r="B96" s="1" t="s">
        <v>134</v>
      </c>
      <c r="C96" s="1" t="s">
        <v>137</v>
      </c>
      <c r="D96" s="1" t="s">
        <v>137</v>
      </c>
      <c r="E96" s="2">
        <v>21302</v>
      </c>
      <c r="F96" s="18">
        <v>16</v>
      </c>
      <c r="G96" s="18">
        <v>23</v>
      </c>
      <c r="H96" s="18">
        <v>26</v>
      </c>
      <c r="I96" s="18">
        <v>29</v>
      </c>
      <c r="J96" s="18">
        <v>45</v>
      </c>
      <c r="K96" s="18">
        <v>46</v>
      </c>
      <c r="L96" s="11">
        <v>44</v>
      </c>
      <c r="M96" s="11">
        <v>34</v>
      </c>
      <c r="N96" s="11">
        <v>34</v>
      </c>
      <c r="O96" s="11">
        <v>52</v>
      </c>
      <c r="P96" s="18">
        <v>54</v>
      </c>
      <c r="Q96" s="18">
        <v>64</v>
      </c>
      <c r="R96" s="24">
        <v>66</v>
      </c>
      <c r="S96" s="18">
        <v>67</v>
      </c>
      <c r="T96" s="18">
        <v>47.058823529411761</v>
      </c>
      <c r="U96" s="18">
        <v>67.64705882352942</v>
      </c>
      <c r="V96" s="18">
        <v>50</v>
      </c>
      <c r="W96" s="11">
        <v>53.703703703703709</v>
      </c>
      <c r="X96" s="11">
        <v>70.3125</v>
      </c>
      <c r="Y96" s="11">
        <v>69.696969696969703</v>
      </c>
      <c r="Z96" s="11">
        <v>65.671641791044777</v>
      </c>
      <c r="AA96" s="11">
        <f t="shared" si="38"/>
        <v>57.116920842411048</v>
      </c>
      <c r="AB96" s="27">
        <f t="shared" si="39"/>
        <v>68.560370496004822</v>
      </c>
      <c r="AC96" s="2">
        <f t="shared" si="40"/>
        <v>26</v>
      </c>
      <c r="AD96" s="2">
        <f t="shared" si="41"/>
        <v>45</v>
      </c>
    </row>
    <row r="97" spans="1:30" x14ac:dyDescent="0.3">
      <c r="A97" s="1" t="s">
        <v>50</v>
      </c>
      <c r="B97" s="1" t="s">
        <v>134</v>
      </c>
      <c r="C97" s="1" t="s">
        <v>138</v>
      </c>
      <c r="D97" s="1" t="s">
        <v>138</v>
      </c>
      <c r="E97" s="2">
        <v>21303</v>
      </c>
      <c r="F97" s="18">
        <v>29</v>
      </c>
      <c r="G97" s="18">
        <v>32</v>
      </c>
      <c r="H97" s="18">
        <v>43</v>
      </c>
      <c r="I97" s="18">
        <v>43</v>
      </c>
      <c r="J97" s="18">
        <v>55</v>
      </c>
      <c r="K97" s="18">
        <v>60</v>
      </c>
      <c r="L97" s="11">
        <v>59</v>
      </c>
      <c r="M97" s="11">
        <v>43</v>
      </c>
      <c r="N97" s="11">
        <v>46</v>
      </c>
      <c r="O97" s="11">
        <v>60</v>
      </c>
      <c r="P97" s="18">
        <v>63</v>
      </c>
      <c r="Q97" s="18">
        <v>69</v>
      </c>
      <c r="R97" s="24">
        <v>71</v>
      </c>
      <c r="S97" s="18">
        <v>72</v>
      </c>
      <c r="T97" s="18">
        <v>67.441860465116278</v>
      </c>
      <c r="U97" s="18">
        <v>69.565217391304344</v>
      </c>
      <c r="V97" s="18">
        <v>71.666666666666671</v>
      </c>
      <c r="W97" s="11">
        <v>68.253968253968253</v>
      </c>
      <c r="X97" s="11">
        <v>79.710144927536234</v>
      </c>
      <c r="Y97" s="11">
        <v>84.507042253521121</v>
      </c>
      <c r="Z97" s="11">
        <v>81.944444444444443</v>
      </c>
      <c r="AA97" s="11">
        <f t="shared" si="38"/>
        <v>69.828617437313085</v>
      </c>
      <c r="AB97" s="27">
        <f t="shared" si="39"/>
        <v>82.053877208500595</v>
      </c>
      <c r="AC97" s="2">
        <f t="shared" si="40"/>
        <v>39.333333333333336</v>
      </c>
      <c r="AD97" s="2">
        <f t="shared" si="41"/>
        <v>58</v>
      </c>
    </row>
    <row r="98" spans="1:30" x14ac:dyDescent="0.3">
      <c r="A98" s="1" t="s">
        <v>50</v>
      </c>
      <c r="B98" s="1" t="s">
        <v>134</v>
      </c>
      <c r="C98" s="1" t="s">
        <v>139</v>
      </c>
      <c r="D98" s="1" t="s">
        <v>139</v>
      </c>
      <c r="E98" s="2">
        <v>21304</v>
      </c>
      <c r="F98" s="18">
        <v>47</v>
      </c>
      <c r="G98" s="18">
        <v>48</v>
      </c>
      <c r="H98" s="18">
        <v>58</v>
      </c>
      <c r="I98" s="18">
        <v>65</v>
      </c>
      <c r="J98" s="18">
        <v>84</v>
      </c>
      <c r="K98" s="18">
        <v>86</v>
      </c>
      <c r="L98" s="11">
        <v>87</v>
      </c>
      <c r="M98" s="11">
        <v>64</v>
      </c>
      <c r="N98" s="11">
        <v>65</v>
      </c>
      <c r="O98" s="11">
        <v>95</v>
      </c>
      <c r="P98" s="18">
        <v>99</v>
      </c>
      <c r="Q98" s="18">
        <v>112</v>
      </c>
      <c r="R98" s="24">
        <v>113</v>
      </c>
      <c r="S98" s="18">
        <v>117</v>
      </c>
      <c r="T98" s="18">
        <v>73.4375</v>
      </c>
      <c r="U98" s="18">
        <v>73.846153846153854</v>
      </c>
      <c r="V98" s="18">
        <v>61.05263157894737</v>
      </c>
      <c r="W98" s="11">
        <v>65.656565656565661</v>
      </c>
      <c r="X98" s="11">
        <v>75</v>
      </c>
      <c r="Y98" s="11">
        <v>76.106194690265482</v>
      </c>
      <c r="Z98" s="11">
        <v>74.358974358974365</v>
      </c>
      <c r="AA98" s="11">
        <f t="shared" si="38"/>
        <v>66.851783693888947</v>
      </c>
      <c r="AB98" s="27">
        <f t="shared" si="39"/>
        <v>75.155056349746616</v>
      </c>
      <c r="AC98" s="2">
        <f t="shared" si="40"/>
        <v>57</v>
      </c>
      <c r="AD98" s="2">
        <f t="shared" si="41"/>
        <v>85.666666666666671</v>
      </c>
    </row>
    <row r="99" spans="1:30" x14ac:dyDescent="0.3">
      <c r="A99" s="1" t="s">
        <v>50</v>
      </c>
      <c r="B99" s="1" t="s">
        <v>134</v>
      </c>
      <c r="C99" s="1" t="s">
        <v>140</v>
      </c>
      <c r="D99" s="1" t="s">
        <v>140</v>
      </c>
      <c r="E99" s="2">
        <v>21305</v>
      </c>
      <c r="F99" s="18">
        <v>89</v>
      </c>
      <c r="G99" s="18">
        <v>90</v>
      </c>
      <c r="H99" s="18">
        <v>111</v>
      </c>
      <c r="I99" s="18">
        <v>116</v>
      </c>
      <c r="J99" s="18">
        <v>152</v>
      </c>
      <c r="K99" s="18">
        <v>153</v>
      </c>
      <c r="L99" s="11">
        <v>160</v>
      </c>
      <c r="M99" s="11">
        <v>104</v>
      </c>
      <c r="N99" s="11">
        <v>106</v>
      </c>
      <c r="O99" s="11">
        <v>159</v>
      </c>
      <c r="P99" s="18">
        <v>165</v>
      </c>
      <c r="Q99" s="18">
        <v>213</v>
      </c>
      <c r="R99" s="24">
        <v>217</v>
      </c>
      <c r="S99" s="18">
        <v>222</v>
      </c>
      <c r="T99" s="18">
        <v>85.576923076923066</v>
      </c>
      <c r="U99" s="18">
        <v>84.905660377358487</v>
      </c>
      <c r="V99" s="18">
        <v>69.811320754716974</v>
      </c>
      <c r="W99" s="11">
        <v>70.303030303030297</v>
      </c>
      <c r="X99" s="11">
        <v>71.36150234741784</v>
      </c>
      <c r="Y99" s="11">
        <v>70.506912442396313</v>
      </c>
      <c r="Z99" s="11">
        <v>72.072072072072075</v>
      </c>
      <c r="AA99" s="11">
        <f t="shared" si="38"/>
        <v>75.006670478368576</v>
      </c>
      <c r="AB99" s="27">
        <f t="shared" si="39"/>
        <v>71.313495620628743</v>
      </c>
      <c r="AC99" s="2">
        <f t="shared" si="40"/>
        <v>105.66666666666667</v>
      </c>
      <c r="AD99" s="2">
        <f t="shared" si="41"/>
        <v>155</v>
      </c>
    </row>
    <row r="100" spans="1:30" x14ac:dyDescent="0.3">
      <c r="A100" s="1" t="s">
        <v>50</v>
      </c>
      <c r="B100" s="1" t="s">
        <v>134</v>
      </c>
      <c r="C100" s="1" t="s">
        <v>141</v>
      </c>
      <c r="D100" s="1" t="s">
        <v>141</v>
      </c>
      <c r="E100" s="2">
        <v>21306</v>
      </c>
      <c r="F100" s="18">
        <v>37</v>
      </c>
      <c r="G100" s="18">
        <v>37</v>
      </c>
      <c r="H100" s="18">
        <v>42</v>
      </c>
      <c r="I100" s="18">
        <v>43</v>
      </c>
      <c r="J100" s="18">
        <v>53</v>
      </c>
      <c r="K100" s="18">
        <v>54</v>
      </c>
      <c r="L100" s="11">
        <v>54</v>
      </c>
      <c r="M100" s="11">
        <v>43</v>
      </c>
      <c r="N100" s="11">
        <v>43</v>
      </c>
      <c r="O100" s="11">
        <v>54</v>
      </c>
      <c r="P100" s="18">
        <v>55</v>
      </c>
      <c r="Q100" s="18">
        <v>64</v>
      </c>
      <c r="R100" s="24">
        <v>67</v>
      </c>
      <c r="S100" s="18">
        <v>68</v>
      </c>
      <c r="T100" s="18">
        <v>86.04651162790698</v>
      </c>
      <c r="U100" s="18">
        <v>86.04651162790698</v>
      </c>
      <c r="V100" s="18">
        <v>77.777777777777786</v>
      </c>
      <c r="W100" s="11">
        <v>78.181818181818187</v>
      </c>
      <c r="X100" s="11">
        <v>82.8125</v>
      </c>
      <c r="Y100" s="11">
        <v>80.597014925373131</v>
      </c>
      <c r="Z100" s="11">
        <v>79.411764705882348</v>
      </c>
      <c r="AA100" s="11">
        <f t="shared" si="38"/>
        <v>80.668702529167646</v>
      </c>
      <c r="AB100" s="27">
        <f t="shared" si="39"/>
        <v>80.940426543751826</v>
      </c>
      <c r="AC100" s="2">
        <f t="shared" si="40"/>
        <v>40.666666666666664</v>
      </c>
      <c r="AD100" s="2">
        <f t="shared" si="41"/>
        <v>53.666666666666664</v>
      </c>
    </row>
    <row r="101" spans="1:30" x14ac:dyDescent="0.3">
      <c r="A101" s="1" t="s">
        <v>50</v>
      </c>
      <c r="B101" s="1" t="s">
        <v>134</v>
      </c>
      <c r="C101" s="1" t="s">
        <v>142</v>
      </c>
      <c r="D101" s="1" t="s">
        <v>142</v>
      </c>
      <c r="E101" s="2">
        <v>21307</v>
      </c>
      <c r="F101" s="18">
        <v>8</v>
      </c>
      <c r="G101" s="18">
        <v>8</v>
      </c>
      <c r="H101" s="18">
        <v>9</v>
      </c>
      <c r="I101" s="18">
        <v>8</v>
      </c>
      <c r="J101" s="18">
        <v>6</v>
      </c>
      <c r="K101" s="18">
        <v>7</v>
      </c>
      <c r="L101" s="11">
        <v>7</v>
      </c>
      <c r="M101" s="11">
        <v>9</v>
      </c>
      <c r="N101" s="11">
        <v>9</v>
      </c>
      <c r="O101" s="11">
        <v>11</v>
      </c>
      <c r="P101" s="18">
        <v>11</v>
      </c>
      <c r="Q101" s="18">
        <v>11</v>
      </c>
      <c r="R101" s="24">
        <v>11</v>
      </c>
      <c r="S101" s="18">
        <v>11</v>
      </c>
      <c r="T101" s="18">
        <v>88.888888888888886</v>
      </c>
      <c r="U101" s="18">
        <v>88.888888888888886</v>
      </c>
      <c r="V101" s="18">
        <v>81.818181818181827</v>
      </c>
      <c r="W101" s="11">
        <v>72.727272727272734</v>
      </c>
      <c r="X101" s="11">
        <v>54.54545454545454</v>
      </c>
      <c r="Y101" s="11">
        <v>63.636363636363633</v>
      </c>
      <c r="Z101" s="11">
        <v>63.636363636363633</v>
      </c>
      <c r="AA101" s="11">
        <f t="shared" si="38"/>
        <v>81.144781144781163</v>
      </c>
      <c r="AB101" s="27">
        <f t="shared" si="39"/>
        <v>60.606060606060602</v>
      </c>
      <c r="AC101" s="2">
        <f t="shared" si="40"/>
        <v>8.3333333333333339</v>
      </c>
      <c r="AD101" s="2">
        <f t="shared" si="41"/>
        <v>6.666666666666667</v>
      </c>
    </row>
    <row r="102" spans="1:30" x14ac:dyDescent="0.3">
      <c r="A102" s="1" t="s">
        <v>50</v>
      </c>
      <c r="B102" s="1" t="s">
        <v>143</v>
      </c>
      <c r="C102" s="1" t="s">
        <v>144</v>
      </c>
      <c r="D102" s="1" t="s">
        <v>144</v>
      </c>
      <c r="E102" s="2">
        <v>21401</v>
      </c>
      <c r="F102" s="18">
        <v>31</v>
      </c>
      <c r="G102" s="18">
        <v>34</v>
      </c>
      <c r="H102" s="18">
        <v>42</v>
      </c>
      <c r="I102" s="18">
        <v>50</v>
      </c>
      <c r="J102" s="18">
        <v>86</v>
      </c>
      <c r="K102" s="18">
        <v>87</v>
      </c>
      <c r="L102" s="11">
        <v>90</v>
      </c>
      <c r="M102" s="11">
        <v>52</v>
      </c>
      <c r="N102" s="11">
        <v>57</v>
      </c>
      <c r="O102" s="11">
        <v>85</v>
      </c>
      <c r="P102" s="18">
        <v>89</v>
      </c>
      <c r="Q102" s="18">
        <v>117</v>
      </c>
      <c r="R102" s="24">
        <v>117</v>
      </c>
      <c r="S102" s="18">
        <v>119</v>
      </c>
      <c r="T102" s="18">
        <v>59.615384615384613</v>
      </c>
      <c r="U102" s="18">
        <v>59.649122807017541</v>
      </c>
      <c r="V102" s="18">
        <v>49.411764705882355</v>
      </c>
      <c r="W102" s="11">
        <v>56.17977528089888</v>
      </c>
      <c r="X102" s="11">
        <v>73.504273504273513</v>
      </c>
      <c r="Y102" s="11">
        <v>74.358974358974365</v>
      </c>
      <c r="Z102" s="11">
        <v>75.630252100840337</v>
      </c>
      <c r="AA102" s="11">
        <f t="shared" si="38"/>
        <v>55.080220931266261</v>
      </c>
      <c r="AB102" s="27">
        <f t="shared" si="39"/>
        <v>74.497833321362734</v>
      </c>
      <c r="AC102" s="2">
        <f t="shared" si="40"/>
        <v>42</v>
      </c>
      <c r="AD102" s="2">
        <f t="shared" si="41"/>
        <v>87.666666666666671</v>
      </c>
    </row>
    <row r="103" spans="1:30" x14ac:dyDescent="0.3">
      <c r="A103" s="1" t="s">
        <v>50</v>
      </c>
      <c r="B103" s="1" t="s">
        <v>143</v>
      </c>
      <c r="C103" s="1" t="s">
        <v>145</v>
      </c>
      <c r="D103" s="1" t="s">
        <v>145</v>
      </c>
      <c r="E103" s="2">
        <v>21402</v>
      </c>
      <c r="F103" s="18">
        <v>35</v>
      </c>
      <c r="G103" s="18">
        <v>37</v>
      </c>
      <c r="H103" s="18">
        <v>46</v>
      </c>
      <c r="I103" s="18">
        <v>46</v>
      </c>
      <c r="J103" s="18">
        <v>77</v>
      </c>
      <c r="K103" s="18">
        <v>79</v>
      </c>
      <c r="L103" s="11">
        <v>77</v>
      </c>
      <c r="M103" s="11">
        <v>44</v>
      </c>
      <c r="N103" s="11">
        <v>47</v>
      </c>
      <c r="O103" s="11">
        <v>68</v>
      </c>
      <c r="P103" s="18">
        <v>69</v>
      </c>
      <c r="Q103" s="18">
        <v>93</v>
      </c>
      <c r="R103" s="24">
        <v>94</v>
      </c>
      <c r="S103" s="18">
        <v>92</v>
      </c>
      <c r="T103" s="18">
        <v>79.545454545454547</v>
      </c>
      <c r="U103" s="18">
        <v>78.723404255319153</v>
      </c>
      <c r="V103" s="18">
        <v>67.64705882352942</v>
      </c>
      <c r="W103" s="11">
        <v>66.666666666666657</v>
      </c>
      <c r="X103" s="11">
        <v>82.795698924731184</v>
      </c>
      <c r="Y103" s="11">
        <v>84.042553191489361</v>
      </c>
      <c r="Z103" s="11">
        <v>83.695652173913047</v>
      </c>
      <c r="AA103" s="11">
        <f t="shared" si="38"/>
        <v>71.01237658183841</v>
      </c>
      <c r="AB103" s="27">
        <f t="shared" si="39"/>
        <v>83.511301430044526</v>
      </c>
      <c r="AC103" s="2">
        <f t="shared" si="40"/>
        <v>43</v>
      </c>
      <c r="AD103" s="2">
        <f t="shared" si="41"/>
        <v>77.666666666666671</v>
      </c>
    </row>
    <row r="104" spans="1:30" x14ac:dyDescent="0.3">
      <c r="A104" s="1" t="s">
        <v>50</v>
      </c>
      <c r="B104" s="1" t="s">
        <v>146</v>
      </c>
      <c r="C104" s="1" t="s">
        <v>147</v>
      </c>
      <c r="D104" s="1" t="s">
        <v>147</v>
      </c>
      <c r="E104" s="2">
        <v>21501</v>
      </c>
      <c r="F104" s="18">
        <v>15</v>
      </c>
      <c r="G104" s="18">
        <v>21</v>
      </c>
      <c r="H104" s="18">
        <v>24</v>
      </c>
      <c r="I104" s="18">
        <v>34</v>
      </c>
      <c r="J104" s="18">
        <v>99</v>
      </c>
      <c r="K104" s="18">
        <v>98</v>
      </c>
      <c r="L104" s="11">
        <v>99</v>
      </c>
      <c r="M104" s="11">
        <v>25</v>
      </c>
      <c r="N104" s="11">
        <v>30</v>
      </c>
      <c r="O104" s="11">
        <v>42</v>
      </c>
      <c r="P104" s="18">
        <v>50</v>
      </c>
      <c r="Q104" s="18">
        <v>117</v>
      </c>
      <c r="R104" s="24">
        <v>119</v>
      </c>
      <c r="S104" s="18">
        <v>119</v>
      </c>
      <c r="T104" s="18">
        <v>60</v>
      </c>
      <c r="U104" s="18">
        <v>70</v>
      </c>
      <c r="V104" s="18">
        <v>57.142857142857139</v>
      </c>
      <c r="W104" s="11">
        <v>68</v>
      </c>
      <c r="X104" s="11">
        <v>84.615384615384613</v>
      </c>
      <c r="Y104" s="11">
        <v>82.35294117647058</v>
      </c>
      <c r="Z104" s="11">
        <v>83.193277310924373</v>
      </c>
      <c r="AA104" s="11">
        <f t="shared" si="38"/>
        <v>65.047619047619051</v>
      </c>
      <c r="AB104" s="27">
        <f t="shared" si="39"/>
        <v>83.38720103425986</v>
      </c>
      <c r="AC104" s="2">
        <f t="shared" si="40"/>
        <v>26.333333333333332</v>
      </c>
      <c r="AD104" s="2">
        <f t="shared" si="41"/>
        <v>98.666666666666671</v>
      </c>
    </row>
    <row r="105" spans="1:30" x14ac:dyDescent="0.3">
      <c r="A105" s="1" t="s">
        <v>50</v>
      </c>
      <c r="B105" s="1" t="s">
        <v>146</v>
      </c>
      <c r="C105" s="1" t="s">
        <v>148</v>
      </c>
      <c r="D105" s="1" t="s">
        <v>148</v>
      </c>
      <c r="E105" s="2">
        <v>21502</v>
      </c>
      <c r="F105" s="18">
        <v>15</v>
      </c>
      <c r="G105" s="18">
        <v>16</v>
      </c>
      <c r="H105" s="18">
        <v>17</v>
      </c>
      <c r="I105" s="18">
        <v>20</v>
      </c>
      <c r="J105" s="18">
        <v>73</v>
      </c>
      <c r="K105" s="18">
        <v>74</v>
      </c>
      <c r="L105" s="11">
        <v>74</v>
      </c>
      <c r="M105" s="11">
        <v>27</v>
      </c>
      <c r="N105" s="11">
        <v>28</v>
      </c>
      <c r="O105" s="11">
        <v>48</v>
      </c>
      <c r="P105" s="18">
        <v>52</v>
      </c>
      <c r="Q105" s="18">
        <v>90</v>
      </c>
      <c r="R105" s="24">
        <v>93</v>
      </c>
      <c r="S105" s="18">
        <v>93</v>
      </c>
      <c r="T105" s="18">
        <v>55.555555555555557</v>
      </c>
      <c r="U105" s="18">
        <v>57.142857142857139</v>
      </c>
      <c r="V105" s="18">
        <v>35.416666666666671</v>
      </c>
      <c r="W105" s="11">
        <v>38.461538461538467</v>
      </c>
      <c r="X105" s="11">
        <v>81.111111111111114</v>
      </c>
      <c r="Y105" s="11">
        <v>79.569892473118273</v>
      </c>
      <c r="Z105" s="11">
        <v>79.569892473118273</v>
      </c>
      <c r="AA105" s="11">
        <f t="shared" si="38"/>
        <v>43.673687423687426</v>
      </c>
      <c r="AB105" s="27">
        <f t="shared" si="39"/>
        <v>80.083632019115882</v>
      </c>
      <c r="AC105" s="2">
        <f t="shared" si="40"/>
        <v>17.666666666666668</v>
      </c>
      <c r="AD105" s="2">
        <f t="shared" si="41"/>
        <v>73.666666666666671</v>
      </c>
    </row>
    <row r="106" spans="1:30" x14ac:dyDescent="0.3">
      <c r="A106" s="1" t="s">
        <v>50</v>
      </c>
      <c r="B106" s="1" t="s">
        <v>149</v>
      </c>
      <c r="C106" s="1" t="s">
        <v>150</v>
      </c>
      <c r="D106" s="1" t="s">
        <v>151</v>
      </c>
      <c r="E106" s="2">
        <v>21601</v>
      </c>
      <c r="F106" s="18">
        <v>15</v>
      </c>
      <c r="G106" s="18">
        <v>19</v>
      </c>
      <c r="H106" s="18">
        <v>22</v>
      </c>
      <c r="I106" s="18">
        <v>29</v>
      </c>
      <c r="J106" s="18">
        <v>69</v>
      </c>
      <c r="K106" s="18">
        <v>77</v>
      </c>
      <c r="L106" s="11">
        <v>80</v>
      </c>
      <c r="M106" s="11">
        <v>33</v>
      </c>
      <c r="N106" s="11">
        <v>37</v>
      </c>
      <c r="O106" s="11">
        <v>61</v>
      </c>
      <c r="P106" s="18">
        <v>64</v>
      </c>
      <c r="Q106" s="18">
        <v>89</v>
      </c>
      <c r="R106" s="24">
        <v>94</v>
      </c>
      <c r="S106" s="18">
        <v>97</v>
      </c>
      <c r="T106" s="18">
        <v>45.454545454545453</v>
      </c>
      <c r="U106" s="18">
        <v>51.351351351351347</v>
      </c>
      <c r="V106" s="18">
        <v>36.065573770491802</v>
      </c>
      <c r="W106" s="11">
        <v>45.3125</v>
      </c>
      <c r="X106" s="11">
        <v>77.528089887640448</v>
      </c>
      <c r="Y106" s="11">
        <v>81.914893617021278</v>
      </c>
      <c r="Z106" s="11">
        <v>82.474226804123703</v>
      </c>
      <c r="AA106" s="11">
        <f t="shared" si="38"/>
        <v>44.243141707281048</v>
      </c>
      <c r="AB106" s="27">
        <f t="shared" si="39"/>
        <v>80.639070102928471</v>
      </c>
      <c r="AC106" s="2">
        <f t="shared" si="40"/>
        <v>23.333333333333332</v>
      </c>
      <c r="AD106" s="2">
        <f t="shared" si="41"/>
        <v>75.333333333333329</v>
      </c>
    </row>
    <row r="107" spans="1:30" x14ac:dyDescent="0.3">
      <c r="A107" s="1" t="s">
        <v>50</v>
      </c>
      <c r="B107" s="1" t="s">
        <v>149</v>
      </c>
      <c r="C107" s="1" t="s">
        <v>152</v>
      </c>
      <c r="D107" s="1" t="s">
        <v>152</v>
      </c>
      <c r="E107" s="2">
        <v>21602</v>
      </c>
      <c r="F107" s="18">
        <v>3</v>
      </c>
      <c r="G107" s="18">
        <v>2</v>
      </c>
      <c r="H107" s="18">
        <v>2</v>
      </c>
      <c r="I107" s="18">
        <v>4</v>
      </c>
      <c r="J107" s="18">
        <v>16</v>
      </c>
      <c r="K107" s="18">
        <v>15</v>
      </c>
      <c r="L107" s="11">
        <v>17</v>
      </c>
      <c r="M107" s="11">
        <v>4</v>
      </c>
      <c r="N107" s="11">
        <v>4</v>
      </c>
      <c r="O107" s="11">
        <v>9</v>
      </c>
      <c r="P107" s="18">
        <v>10</v>
      </c>
      <c r="Q107" s="18">
        <v>20</v>
      </c>
      <c r="R107" s="24">
        <v>20</v>
      </c>
      <c r="S107" s="18">
        <v>21</v>
      </c>
      <c r="T107" s="18">
        <v>75</v>
      </c>
      <c r="U107" s="18">
        <v>50</v>
      </c>
      <c r="V107" s="18">
        <v>22.222222222222221</v>
      </c>
      <c r="W107" s="11">
        <v>40</v>
      </c>
      <c r="X107" s="11">
        <v>80</v>
      </c>
      <c r="Y107" s="11">
        <v>75</v>
      </c>
      <c r="Z107" s="11">
        <v>80.952380952380949</v>
      </c>
      <c r="AA107" s="11">
        <f t="shared" si="38"/>
        <v>37.407407407407412</v>
      </c>
      <c r="AB107" s="27">
        <f t="shared" si="39"/>
        <v>78.650793650793659</v>
      </c>
      <c r="AC107" s="2">
        <f t="shared" si="40"/>
        <v>2.6666666666666665</v>
      </c>
      <c r="AD107" s="2">
        <f t="shared" si="41"/>
        <v>16</v>
      </c>
    </row>
    <row r="108" spans="1:30" x14ac:dyDescent="0.3">
      <c r="A108" s="1" t="s">
        <v>50</v>
      </c>
      <c r="B108" s="1" t="s">
        <v>153</v>
      </c>
      <c r="C108" s="1" t="s">
        <v>154</v>
      </c>
      <c r="D108" s="1" t="s">
        <v>154</v>
      </c>
      <c r="E108" s="2">
        <v>21701</v>
      </c>
      <c r="F108" s="18">
        <v>43</v>
      </c>
      <c r="G108" s="18">
        <v>48</v>
      </c>
      <c r="H108" s="18">
        <v>64</v>
      </c>
      <c r="I108" s="18">
        <v>71</v>
      </c>
      <c r="J108" s="18">
        <v>102</v>
      </c>
      <c r="K108" s="18">
        <v>101</v>
      </c>
      <c r="L108" s="11">
        <v>100</v>
      </c>
      <c r="M108" s="11">
        <v>66</v>
      </c>
      <c r="N108" s="11">
        <v>71</v>
      </c>
      <c r="O108" s="11">
        <v>102</v>
      </c>
      <c r="P108" s="18">
        <v>110</v>
      </c>
      <c r="Q108" s="18">
        <v>131</v>
      </c>
      <c r="R108" s="24">
        <v>133</v>
      </c>
      <c r="S108" s="18">
        <v>134</v>
      </c>
      <c r="T108" s="18">
        <v>65.151515151515156</v>
      </c>
      <c r="U108" s="18">
        <v>67.605633802816897</v>
      </c>
      <c r="V108" s="18">
        <v>62.745098039215684</v>
      </c>
      <c r="W108" s="11">
        <v>64.545454545454547</v>
      </c>
      <c r="X108" s="11">
        <v>77.862595419847324</v>
      </c>
      <c r="Y108" s="11">
        <v>75.939849624060145</v>
      </c>
      <c r="Z108" s="11">
        <v>74.626865671641795</v>
      </c>
      <c r="AA108" s="11">
        <f t="shared" si="38"/>
        <v>64.965395462495721</v>
      </c>
      <c r="AB108" s="27">
        <f t="shared" si="39"/>
        <v>76.14310357184975</v>
      </c>
      <c r="AC108" s="2">
        <f t="shared" si="40"/>
        <v>61</v>
      </c>
      <c r="AD108" s="2">
        <f t="shared" si="41"/>
        <v>101</v>
      </c>
    </row>
    <row r="109" spans="1:30" x14ac:dyDescent="0.3">
      <c r="A109" s="1" t="s">
        <v>50</v>
      </c>
      <c r="B109" s="1" t="s">
        <v>153</v>
      </c>
      <c r="C109" s="1" t="s">
        <v>155</v>
      </c>
      <c r="D109" s="1" t="s">
        <v>155</v>
      </c>
      <c r="E109" s="2">
        <v>21702</v>
      </c>
      <c r="F109" s="18">
        <v>27</v>
      </c>
      <c r="G109" s="18">
        <v>27</v>
      </c>
      <c r="H109" s="18">
        <v>35</v>
      </c>
      <c r="I109" s="18">
        <v>35</v>
      </c>
      <c r="J109" s="18">
        <v>42</v>
      </c>
      <c r="K109" s="18">
        <v>44</v>
      </c>
      <c r="L109" s="11">
        <v>47</v>
      </c>
      <c r="M109" s="11">
        <v>30</v>
      </c>
      <c r="N109" s="11">
        <v>30</v>
      </c>
      <c r="O109" s="11">
        <v>45</v>
      </c>
      <c r="P109" s="18">
        <v>45</v>
      </c>
      <c r="Q109" s="18">
        <v>55</v>
      </c>
      <c r="R109" s="24">
        <v>57</v>
      </c>
      <c r="S109" s="18">
        <v>59</v>
      </c>
      <c r="T109" s="18">
        <v>90</v>
      </c>
      <c r="U109" s="18">
        <v>90</v>
      </c>
      <c r="V109" s="18">
        <v>77.777777777777786</v>
      </c>
      <c r="W109" s="11">
        <v>77.777777777777786</v>
      </c>
      <c r="X109" s="11">
        <v>76.363636363636374</v>
      </c>
      <c r="Y109" s="11">
        <v>77.192982456140342</v>
      </c>
      <c r="Z109" s="11">
        <v>79.66101694915254</v>
      </c>
      <c r="AA109" s="11">
        <f t="shared" si="38"/>
        <v>81.851851851851848</v>
      </c>
      <c r="AB109" s="27">
        <f t="shared" si="39"/>
        <v>77.739211922976423</v>
      </c>
      <c r="AC109" s="2">
        <f t="shared" si="40"/>
        <v>32.333333333333336</v>
      </c>
      <c r="AD109" s="2">
        <f t="shared" si="41"/>
        <v>44.333333333333336</v>
      </c>
    </row>
    <row r="110" spans="1:30" x14ac:dyDescent="0.3">
      <c r="A110" s="1" t="s">
        <v>50</v>
      </c>
      <c r="B110" s="1" t="s">
        <v>153</v>
      </c>
      <c r="C110" s="1" t="s">
        <v>156</v>
      </c>
      <c r="D110" s="1" t="s">
        <v>156</v>
      </c>
      <c r="E110" s="2">
        <v>21703</v>
      </c>
      <c r="F110" s="18">
        <v>5</v>
      </c>
      <c r="G110" s="18">
        <v>6</v>
      </c>
      <c r="H110" s="18">
        <v>7</v>
      </c>
      <c r="I110" s="18">
        <v>8</v>
      </c>
      <c r="J110" s="18">
        <v>10</v>
      </c>
      <c r="K110" s="18">
        <v>10</v>
      </c>
      <c r="L110" s="11">
        <v>10</v>
      </c>
      <c r="M110" s="11">
        <v>8</v>
      </c>
      <c r="N110" s="11">
        <v>8</v>
      </c>
      <c r="O110" s="11">
        <v>11</v>
      </c>
      <c r="P110" s="18">
        <v>12</v>
      </c>
      <c r="Q110" s="18">
        <v>10</v>
      </c>
      <c r="R110" s="24">
        <v>10</v>
      </c>
      <c r="S110" s="18">
        <v>10</v>
      </c>
      <c r="T110" s="18">
        <v>62.5</v>
      </c>
      <c r="U110" s="18">
        <v>75</v>
      </c>
      <c r="V110" s="18">
        <v>63.636363636363633</v>
      </c>
      <c r="W110" s="11">
        <v>66.666666666666657</v>
      </c>
      <c r="X110" s="11">
        <v>100</v>
      </c>
      <c r="Y110" s="11">
        <v>100</v>
      </c>
      <c r="Z110" s="11">
        <v>100</v>
      </c>
      <c r="AA110" s="11">
        <f t="shared" si="38"/>
        <v>68.434343434343432</v>
      </c>
      <c r="AB110" s="27">
        <f t="shared" si="39"/>
        <v>100</v>
      </c>
      <c r="AC110" s="2">
        <f t="shared" si="40"/>
        <v>7</v>
      </c>
      <c r="AD110" s="2">
        <f t="shared" si="41"/>
        <v>10</v>
      </c>
    </row>
    <row r="111" spans="1:30" x14ac:dyDescent="0.3">
      <c r="A111" s="1" t="s">
        <v>50</v>
      </c>
      <c r="B111" s="1" t="s">
        <v>157</v>
      </c>
      <c r="C111" s="1" t="s">
        <v>158</v>
      </c>
      <c r="D111" s="1" t="s">
        <v>158</v>
      </c>
      <c r="E111" s="2">
        <v>21801</v>
      </c>
      <c r="F111" s="18">
        <v>33</v>
      </c>
      <c r="G111" s="18">
        <v>31</v>
      </c>
      <c r="H111" s="18">
        <v>34</v>
      </c>
      <c r="I111" s="18">
        <v>34</v>
      </c>
      <c r="J111" s="18">
        <v>50</v>
      </c>
      <c r="K111" s="18">
        <v>52</v>
      </c>
      <c r="L111" s="11">
        <v>52</v>
      </c>
      <c r="M111" s="11">
        <v>45</v>
      </c>
      <c r="N111" s="11">
        <v>44</v>
      </c>
      <c r="O111" s="11">
        <v>60</v>
      </c>
      <c r="P111" s="18">
        <v>58</v>
      </c>
      <c r="Q111" s="18">
        <v>69</v>
      </c>
      <c r="R111" s="24">
        <v>69</v>
      </c>
      <c r="S111" s="18">
        <v>68</v>
      </c>
      <c r="T111" s="18">
        <v>73.333333333333329</v>
      </c>
      <c r="U111" s="18">
        <v>70.454545454545453</v>
      </c>
      <c r="V111" s="18">
        <v>56.666666666666664</v>
      </c>
      <c r="W111" s="11">
        <v>58.620689655172406</v>
      </c>
      <c r="X111" s="11">
        <v>72.463768115942031</v>
      </c>
      <c r="Y111" s="11">
        <v>75.362318840579718</v>
      </c>
      <c r="Z111" s="11">
        <v>76.470588235294116</v>
      </c>
      <c r="AA111" s="11">
        <f t="shared" si="38"/>
        <v>61.913967258794848</v>
      </c>
      <c r="AB111" s="27">
        <f t="shared" si="39"/>
        <v>74.76555839727196</v>
      </c>
      <c r="AC111" s="2">
        <f t="shared" si="40"/>
        <v>33</v>
      </c>
      <c r="AD111" s="2">
        <f t="shared" si="41"/>
        <v>51.333333333333336</v>
      </c>
    </row>
    <row r="112" spans="1:30" x14ac:dyDescent="0.3">
      <c r="A112" s="1" t="s">
        <v>50</v>
      </c>
      <c r="B112" s="1" t="s">
        <v>159</v>
      </c>
      <c r="C112" s="1" t="s">
        <v>160</v>
      </c>
      <c r="D112" s="1" t="s">
        <v>160</v>
      </c>
      <c r="E112" s="2">
        <v>21802</v>
      </c>
      <c r="F112" s="18">
        <v>14</v>
      </c>
      <c r="G112" s="18">
        <v>15</v>
      </c>
      <c r="H112" s="18">
        <v>18</v>
      </c>
      <c r="I112" s="18">
        <v>22</v>
      </c>
      <c r="J112" s="18">
        <v>27</v>
      </c>
      <c r="K112" s="18">
        <v>26</v>
      </c>
      <c r="L112" s="11">
        <v>25</v>
      </c>
      <c r="M112" s="11">
        <v>31</v>
      </c>
      <c r="N112" s="11">
        <v>30</v>
      </c>
      <c r="O112" s="11">
        <v>44</v>
      </c>
      <c r="P112" s="18">
        <v>46</v>
      </c>
      <c r="Q112" s="18">
        <v>44</v>
      </c>
      <c r="R112" s="24">
        <v>45</v>
      </c>
      <c r="S112" s="18">
        <v>45</v>
      </c>
      <c r="T112" s="18">
        <v>45.161290322580641</v>
      </c>
      <c r="U112" s="18">
        <v>50</v>
      </c>
      <c r="V112" s="18">
        <v>40.909090909090914</v>
      </c>
      <c r="W112" s="11">
        <v>47.826086956521742</v>
      </c>
      <c r="X112" s="11">
        <v>61.363636363636367</v>
      </c>
      <c r="Y112" s="11">
        <v>57.777777777777771</v>
      </c>
      <c r="Z112" s="11">
        <v>55.555555555555557</v>
      </c>
      <c r="AA112" s="11">
        <f t="shared" si="38"/>
        <v>46.245059288537554</v>
      </c>
      <c r="AB112" s="27">
        <f t="shared" si="39"/>
        <v>58.232323232323232</v>
      </c>
      <c r="AC112" s="2">
        <f t="shared" si="40"/>
        <v>18.333333333333332</v>
      </c>
      <c r="AD112" s="2">
        <f t="shared" si="41"/>
        <v>26</v>
      </c>
    </row>
    <row r="113" spans="1:30" x14ac:dyDescent="0.3">
      <c r="A113" s="1" t="s">
        <v>50</v>
      </c>
      <c r="B113" s="1" t="s">
        <v>159</v>
      </c>
      <c r="C113" s="1" t="s">
        <v>161</v>
      </c>
      <c r="D113" s="1" t="s">
        <v>161</v>
      </c>
      <c r="E113" s="2">
        <v>21803</v>
      </c>
      <c r="F113" s="18">
        <v>5</v>
      </c>
      <c r="G113" s="18">
        <v>5</v>
      </c>
      <c r="H113" s="18">
        <v>5</v>
      </c>
      <c r="I113" s="18">
        <v>5</v>
      </c>
      <c r="J113" s="18">
        <v>12</v>
      </c>
      <c r="K113" s="18">
        <v>12</v>
      </c>
      <c r="L113" s="11">
        <v>13</v>
      </c>
      <c r="M113" s="11">
        <v>5</v>
      </c>
      <c r="N113" s="11">
        <v>5</v>
      </c>
      <c r="O113" s="11">
        <v>8</v>
      </c>
      <c r="P113" s="18">
        <v>8</v>
      </c>
      <c r="Q113" s="18">
        <v>15</v>
      </c>
      <c r="R113" s="24">
        <v>16</v>
      </c>
      <c r="S113" s="18">
        <v>16</v>
      </c>
      <c r="T113" s="18">
        <v>100</v>
      </c>
      <c r="U113" s="18">
        <v>100</v>
      </c>
      <c r="V113" s="18">
        <v>62.5</v>
      </c>
      <c r="W113" s="11">
        <v>62.5</v>
      </c>
      <c r="X113" s="11">
        <v>80</v>
      </c>
      <c r="Y113" s="11">
        <v>75</v>
      </c>
      <c r="Z113" s="11">
        <v>81.25</v>
      </c>
      <c r="AA113" s="11">
        <f t="shared" si="38"/>
        <v>75</v>
      </c>
      <c r="AB113" s="27">
        <f t="shared" si="39"/>
        <v>78.75</v>
      </c>
      <c r="AC113" s="2">
        <f t="shared" si="40"/>
        <v>5</v>
      </c>
      <c r="AD113" s="2">
        <f t="shared" si="41"/>
        <v>12.333333333333334</v>
      </c>
    </row>
    <row r="114" spans="1:30" x14ac:dyDescent="0.3">
      <c r="A114" s="1" t="s">
        <v>50</v>
      </c>
      <c r="B114" s="1" t="s">
        <v>162</v>
      </c>
      <c r="C114" s="1" t="s">
        <v>163</v>
      </c>
      <c r="D114" s="1" t="s">
        <v>163</v>
      </c>
      <c r="E114" s="2">
        <v>21901</v>
      </c>
      <c r="F114" s="18">
        <v>10</v>
      </c>
      <c r="G114" s="18">
        <v>12</v>
      </c>
      <c r="H114" s="18">
        <v>15</v>
      </c>
      <c r="I114" s="18">
        <v>15</v>
      </c>
      <c r="J114" s="18">
        <v>27</v>
      </c>
      <c r="K114" s="18">
        <v>27</v>
      </c>
      <c r="L114" s="11">
        <v>29</v>
      </c>
      <c r="M114" s="11">
        <v>25</v>
      </c>
      <c r="N114" s="11">
        <v>25</v>
      </c>
      <c r="O114" s="11">
        <v>36</v>
      </c>
      <c r="P114" s="18">
        <v>36</v>
      </c>
      <c r="Q114" s="18">
        <v>41</v>
      </c>
      <c r="R114" s="24">
        <v>41</v>
      </c>
      <c r="S114" s="18">
        <v>42</v>
      </c>
      <c r="T114" s="18">
        <v>40</v>
      </c>
      <c r="U114" s="18">
        <v>48</v>
      </c>
      <c r="V114" s="18">
        <v>41.666666666666671</v>
      </c>
      <c r="W114" s="11">
        <v>41.666666666666671</v>
      </c>
      <c r="X114" s="11">
        <v>65.853658536585371</v>
      </c>
      <c r="Y114" s="11">
        <v>65.853658536585371</v>
      </c>
      <c r="Z114" s="11">
        <v>69.047619047619051</v>
      </c>
      <c r="AA114" s="11">
        <f t="shared" si="38"/>
        <v>43.777777777777779</v>
      </c>
      <c r="AB114" s="27">
        <f t="shared" si="39"/>
        <v>66.918312040263274</v>
      </c>
      <c r="AC114" s="2">
        <f t="shared" si="40"/>
        <v>14</v>
      </c>
      <c r="AD114" s="2">
        <f t="shared" si="41"/>
        <v>27.666666666666668</v>
      </c>
    </row>
    <row r="115" spans="1:30" x14ac:dyDescent="0.3">
      <c r="A115" s="1" t="s">
        <v>50</v>
      </c>
      <c r="B115" s="1" t="s">
        <v>162</v>
      </c>
      <c r="C115" s="1" t="s">
        <v>164</v>
      </c>
      <c r="D115" s="1" t="s">
        <v>164</v>
      </c>
      <c r="E115" s="2">
        <v>21902</v>
      </c>
      <c r="F115" s="18">
        <v>4</v>
      </c>
      <c r="G115" s="18">
        <v>6</v>
      </c>
      <c r="H115" s="18">
        <v>10</v>
      </c>
      <c r="I115" s="18">
        <v>11</v>
      </c>
      <c r="J115" s="18">
        <v>12</v>
      </c>
      <c r="K115" s="18">
        <v>10</v>
      </c>
      <c r="L115" s="11">
        <v>12</v>
      </c>
      <c r="M115" s="11">
        <v>9</v>
      </c>
      <c r="N115" s="11">
        <v>9</v>
      </c>
      <c r="O115" s="11">
        <v>15</v>
      </c>
      <c r="P115" s="18">
        <v>15</v>
      </c>
      <c r="Q115" s="18">
        <v>16</v>
      </c>
      <c r="R115" s="24">
        <v>16</v>
      </c>
      <c r="S115" s="18">
        <v>17</v>
      </c>
      <c r="T115" s="18">
        <v>44.444444444444443</v>
      </c>
      <c r="U115" s="18">
        <v>66.666666666666657</v>
      </c>
      <c r="V115" s="18">
        <v>66.666666666666657</v>
      </c>
      <c r="W115" s="11">
        <v>73.333333333333329</v>
      </c>
      <c r="X115" s="11">
        <v>75</v>
      </c>
      <c r="Y115" s="11">
        <v>62.5</v>
      </c>
      <c r="Z115" s="11">
        <v>70.588235294117652</v>
      </c>
      <c r="AA115" s="11">
        <f t="shared" si="38"/>
        <v>68.888888888888872</v>
      </c>
      <c r="AB115" s="27">
        <f t="shared" si="39"/>
        <v>69.362745098039213</v>
      </c>
      <c r="AC115" s="2">
        <f t="shared" si="40"/>
        <v>9</v>
      </c>
      <c r="AD115" s="2">
        <f t="shared" si="41"/>
        <v>11.333333333333334</v>
      </c>
    </row>
    <row r="116" spans="1:30" x14ac:dyDescent="0.3">
      <c r="A116" s="1" t="s">
        <v>50</v>
      </c>
      <c r="B116" s="1" t="s">
        <v>165</v>
      </c>
      <c r="C116" s="1" t="s">
        <v>165</v>
      </c>
      <c r="D116" s="1" t="s">
        <v>165</v>
      </c>
      <c r="E116" s="2">
        <v>22001</v>
      </c>
      <c r="F116" s="18">
        <v>128</v>
      </c>
      <c r="G116" s="18">
        <v>146</v>
      </c>
      <c r="H116" s="18">
        <v>168</v>
      </c>
      <c r="I116" s="18">
        <v>140</v>
      </c>
      <c r="J116" s="18">
        <v>260</v>
      </c>
      <c r="K116" s="18">
        <v>273</v>
      </c>
      <c r="L116" s="11">
        <v>273</v>
      </c>
      <c r="M116" s="11">
        <v>187</v>
      </c>
      <c r="N116" s="11">
        <v>200</v>
      </c>
      <c r="O116" s="11">
        <v>303</v>
      </c>
      <c r="P116" s="18">
        <v>260</v>
      </c>
      <c r="Q116" s="18">
        <v>344</v>
      </c>
      <c r="R116" s="24">
        <v>350</v>
      </c>
      <c r="S116" s="18">
        <v>356</v>
      </c>
      <c r="T116" s="18">
        <v>68.449197860962556</v>
      </c>
      <c r="U116" s="18">
        <v>73</v>
      </c>
      <c r="V116" s="18">
        <v>55.445544554455452</v>
      </c>
      <c r="W116" s="11">
        <v>53.846153846153847</v>
      </c>
      <c r="X116" s="11">
        <v>75.581395348837205</v>
      </c>
      <c r="Y116" s="11">
        <v>78</v>
      </c>
      <c r="Z116" s="11">
        <v>76.68539325842697</v>
      </c>
      <c r="AA116" s="11">
        <f t="shared" si="38"/>
        <v>60.763899466869766</v>
      </c>
      <c r="AB116" s="27">
        <f t="shared" si="39"/>
        <v>76.755596202421387</v>
      </c>
      <c r="AC116" s="2">
        <f t="shared" si="40"/>
        <v>151.33333333333334</v>
      </c>
      <c r="AD116" s="2">
        <f t="shared" si="41"/>
        <v>268.66666666666669</v>
      </c>
    </row>
    <row r="117" spans="1:30" x14ac:dyDescent="0.3">
      <c r="A117" s="1" t="s">
        <v>50</v>
      </c>
      <c r="B117" s="1" t="s">
        <v>165</v>
      </c>
      <c r="C117" s="1" t="s">
        <v>166</v>
      </c>
      <c r="D117" s="1" t="s">
        <v>166</v>
      </c>
      <c r="E117" s="2">
        <v>22002</v>
      </c>
      <c r="F117" s="18">
        <v>1</v>
      </c>
      <c r="G117" s="18">
        <v>1</v>
      </c>
      <c r="H117" s="18">
        <v>1</v>
      </c>
      <c r="I117" s="18">
        <v>35</v>
      </c>
      <c r="J117" s="18">
        <v>61</v>
      </c>
      <c r="K117" s="18">
        <v>64</v>
      </c>
      <c r="L117" s="11">
        <v>64</v>
      </c>
      <c r="M117" s="11">
        <v>2</v>
      </c>
      <c r="N117" s="11">
        <v>2</v>
      </c>
      <c r="O117" s="11">
        <v>2</v>
      </c>
      <c r="P117" s="18">
        <v>56</v>
      </c>
      <c r="Q117" s="18">
        <v>82</v>
      </c>
      <c r="R117" s="24">
        <v>88</v>
      </c>
      <c r="S117" s="18">
        <v>88</v>
      </c>
      <c r="T117" s="18">
        <v>50</v>
      </c>
      <c r="U117" s="18">
        <v>50</v>
      </c>
      <c r="V117" s="18">
        <v>50</v>
      </c>
      <c r="W117" s="11">
        <v>62.5</v>
      </c>
      <c r="X117" s="11">
        <v>74.390243902439025</v>
      </c>
      <c r="Y117" s="11">
        <v>72.727272727272734</v>
      </c>
      <c r="Z117" s="11">
        <v>72.727272727272734</v>
      </c>
      <c r="AA117" s="11">
        <f t="shared" si="38"/>
        <v>54.166666666666664</v>
      </c>
      <c r="AB117" s="27">
        <f t="shared" si="39"/>
        <v>73.281596452328174</v>
      </c>
      <c r="AC117" s="2">
        <f t="shared" si="40"/>
        <v>12.333333333333334</v>
      </c>
      <c r="AD117" s="2">
        <f t="shared" si="41"/>
        <v>63</v>
      </c>
    </row>
    <row r="118" spans="1:30" x14ac:dyDescent="0.3">
      <c r="A118" s="1" t="s">
        <v>167</v>
      </c>
      <c r="B118" s="1" t="s">
        <v>168</v>
      </c>
      <c r="C118" s="1" t="s">
        <v>167</v>
      </c>
      <c r="D118" s="1" t="s">
        <v>167</v>
      </c>
      <c r="E118" s="2">
        <v>30101</v>
      </c>
      <c r="F118" s="18">
        <v>1666</v>
      </c>
      <c r="G118" s="18">
        <v>1826</v>
      </c>
      <c r="H118" s="18">
        <v>2196</v>
      </c>
      <c r="I118" s="18">
        <v>2323</v>
      </c>
      <c r="J118" s="18">
        <v>2709</v>
      </c>
      <c r="K118" s="18">
        <v>2752</v>
      </c>
      <c r="L118" s="11">
        <v>2785</v>
      </c>
      <c r="M118" s="11">
        <v>2092</v>
      </c>
      <c r="N118" s="11">
        <v>2274</v>
      </c>
      <c r="O118" s="11">
        <v>2767</v>
      </c>
      <c r="P118" s="18">
        <v>2934</v>
      </c>
      <c r="Q118" s="18">
        <v>3266</v>
      </c>
      <c r="R118" s="24">
        <v>3323</v>
      </c>
      <c r="S118" s="18">
        <v>3344</v>
      </c>
      <c r="T118" s="18">
        <v>79.636711281070745</v>
      </c>
      <c r="U118" s="18">
        <v>80.299032541776612</v>
      </c>
      <c r="V118" s="18">
        <v>79.363932056378744</v>
      </c>
      <c r="W118" s="11">
        <v>79.175187457396049</v>
      </c>
      <c r="X118" s="11">
        <v>82.945499081445192</v>
      </c>
      <c r="Y118" s="11">
        <v>82.816731868793255</v>
      </c>
      <c r="Z118" s="11">
        <v>83.283492822966508</v>
      </c>
      <c r="AA118" s="11">
        <f t="shared" si="38"/>
        <v>79.612717351850463</v>
      </c>
      <c r="AB118" s="27">
        <f t="shared" si="39"/>
        <v>83.015241257734985</v>
      </c>
      <c r="AC118" s="2">
        <f t="shared" si="40"/>
        <v>2115</v>
      </c>
      <c r="AD118" s="2">
        <f t="shared" si="41"/>
        <v>2748.6666666666665</v>
      </c>
    </row>
    <row r="119" spans="1:30" x14ac:dyDescent="0.3">
      <c r="A119" s="1" t="s">
        <v>167</v>
      </c>
      <c r="B119" s="1" t="s">
        <v>169</v>
      </c>
      <c r="C119" s="1" t="s">
        <v>170</v>
      </c>
      <c r="D119" s="1" t="s">
        <v>170</v>
      </c>
      <c r="E119" s="2">
        <v>30201</v>
      </c>
      <c r="F119" s="18">
        <v>62</v>
      </c>
      <c r="G119" s="18">
        <v>65</v>
      </c>
      <c r="H119" s="18">
        <v>82</v>
      </c>
      <c r="I119" s="18">
        <v>97</v>
      </c>
      <c r="J119" s="18">
        <v>165</v>
      </c>
      <c r="K119" s="18">
        <v>169</v>
      </c>
      <c r="L119" s="11">
        <v>172</v>
      </c>
      <c r="M119" s="11">
        <v>75</v>
      </c>
      <c r="N119" s="11">
        <v>81</v>
      </c>
      <c r="O119" s="11">
        <v>127</v>
      </c>
      <c r="P119" s="18">
        <v>144</v>
      </c>
      <c r="Q119" s="18">
        <v>207</v>
      </c>
      <c r="R119" s="24">
        <v>212</v>
      </c>
      <c r="S119" s="18">
        <v>214</v>
      </c>
      <c r="T119" s="18">
        <v>82.666666666666671</v>
      </c>
      <c r="U119" s="18">
        <v>80.246913580246911</v>
      </c>
      <c r="V119" s="18">
        <v>64.566929133858267</v>
      </c>
      <c r="W119" s="11">
        <v>67.361111111111114</v>
      </c>
      <c r="X119" s="11">
        <v>79.710144927536234</v>
      </c>
      <c r="Y119" s="11">
        <v>79.716981132075475</v>
      </c>
      <c r="Z119" s="11">
        <v>80.373831775700936</v>
      </c>
      <c r="AA119" s="11">
        <f t="shared" si="38"/>
        <v>70.724984608405435</v>
      </c>
      <c r="AB119" s="27">
        <f t="shared" si="39"/>
        <v>79.933652611770881</v>
      </c>
      <c r="AC119" s="2">
        <f t="shared" si="40"/>
        <v>81.333333333333329</v>
      </c>
      <c r="AD119" s="2">
        <f t="shared" si="41"/>
        <v>168.66666666666666</v>
      </c>
    </row>
    <row r="120" spans="1:30" x14ac:dyDescent="0.3">
      <c r="A120" s="1" t="s">
        <v>167</v>
      </c>
      <c r="B120" s="1" t="s">
        <v>169</v>
      </c>
      <c r="C120" s="1" t="s">
        <v>171</v>
      </c>
      <c r="D120" s="1" t="s">
        <v>171</v>
      </c>
      <c r="E120" s="2">
        <v>30202</v>
      </c>
      <c r="F120" s="18">
        <v>5</v>
      </c>
      <c r="G120" s="18">
        <v>7</v>
      </c>
      <c r="H120" s="18">
        <v>12</v>
      </c>
      <c r="I120" s="18">
        <v>12</v>
      </c>
      <c r="J120" s="18">
        <v>21</v>
      </c>
      <c r="K120" s="18">
        <v>19</v>
      </c>
      <c r="L120" s="11">
        <v>18</v>
      </c>
      <c r="M120" s="11">
        <v>11</v>
      </c>
      <c r="N120" s="11">
        <v>13</v>
      </c>
      <c r="O120" s="11">
        <v>26</v>
      </c>
      <c r="P120" s="18">
        <v>26</v>
      </c>
      <c r="Q120" s="18">
        <v>29</v>
      </c>
      <c r="R120" s="24">
        <v>28</v>
      </c>
      <c r="S120" s="18">
        <v>27</v>
      </c>
      <c r="T120" s="18">
        <v>45.454545454545453</v>
      </c>
      <c r="U120" s="18">
        <v>53.846153846153847</v>
      </c>
      <c r="V120" s="18">
        <v>46.153846153846153</v>
      </c>
      <c r="W120" s="11">
        <v>46.153846153846153</v>
      </c>
      <c r="X120" s="11">
        <v>72.41379310344827</v>
      </c>
      <c r="Y120" s="11">
        <v>67.857142857142861</v>
      </c>
      <c r="Z120" s="11">
        <v>66.666666666666657</v>
      </c>
      <c r="AA120" s="11">
        <f t="shared" si="38"/>
        <v>48.717948717948723</v>
      </c>
      <c r="AB120" s="27">
        <f t="shared" si="39"/>
        <v>68.979200875752596</v>
      </c>
      <c r="AC120" s="2">
        <f t="shared" si="40"/>
        <v>10.333333333333334</v>
      </c>
      <c r="AD120" s="2">
        <f t="shared" si="41"/>
        <v>19.333333333333332</v>
      </c>
    </row>
    <row r="121" spans="1:30" x14ac:dyDescent="0.3">
      <c r="A121" s="1" t="s">
        <v>167</v>
      </c>
      <c r="B121" s="1" t="s">
        <v>169</v>
      </c>
      <c r="C121" s="1" t="s">
        <v>172</v>
      </c>
      <c r="D121" s="1" t="s">
        <v>172</v>
      </c>
      <c r="E121" s="2">
        <v>30203</v>
      </c>
      <c r="F121" s="18">
        <v>7</v>
      </c>
      <c r="G121" s="18">
        <v>7</v>
      </c>
      <c r="H121" s="18">
        <v>12</v>
      </c>
      <c r="I121" s="18">
        <v>12</v>
      </c>
      <c r="J121" s="18">
        <v>38</v>
      </c>
      <c r="K121" s="18">
        <v>41</v>
      </c>
      <c r="L121" s="11">
        <v>39</v>
      </c>
      <c r="M121" s="11">
        <v>8</v>
      </c>
      <c r="N121" s="11">
        <v>9</v>
      </c>
      <c r="O121" s="11">
        <v>18</v>
      </c>
      <c r="P121" s="18">
        <v>18</v>
      </c>
      <c r="Q121" s="18">
        <v>47</v>
      </c>
      <c r="R121" s="24">
        <v>48</v>
      </c>
      <c r="S121" s="18">
        <v>46</v>
      </c>
      <c r="T121" s="18">
        <v>87.5</v>
      </c>
      <c r="U121" s="18">
        <v>77.777777777777786</v>
      </c>
      <c r="V121" s="18">
        <v>66.666666666666657</v>
      </c>
      <c r="W121" s="11">
        <v>66.666666666666657</v>
      </c>
      <c r="X121" s="11">
        <v>80.851063829787222</v>
      </c>
      <c r="Y121" s="11">
        <v>85.416666666666657</v>
      </c>
      <c r="Z121" s="11">
        <v>84.782608695652172</v>
      </c>
      <c r="AA121" s="11">
        <f t="shared" si="38"/>
        <v>70.370370370370367</v>
      </c>
      <c r="AB121" s="27">
        <f t="shared" si="39"/>
        <v>83.683446397368684</v>
      </c>
      <c r="AC121" s="2">
        <f t="shared" si="40"/>
        <v>10.333333333333334</v>
      </c>
      <c r="AD121" s="2">
        <f t="shared" si="41"/>
        <v>39.333333333333336</v>
      </c>
    </row>
    <row r="122" spans="1:30" x14ac:dyDescent="0.3">
      <c r="A122" s="1" t="s">
        <v>167</v>
      </c>
      <c r="B122" s="1" t="s">
        <v>173</v>
      </c>
      <c r="C122" s="1" t="s">
        <v>174</v>
      </c>
      <c r="D122" s="1" t="s">
        <v>175</v>
      </c>
      <c r="E122" s="2">
        <v>30301</v>
      </c>
      <c r="F122" s="18">
        <v>56</v>
      </c>
      <c r="G122" s="18">
        <v>63</v>
      </c>
      <c r="H122" s="18">
        <v>82</v>
      </c>
      <c r="I122" s="18">
        <v>83</v>
      </c>
      <c r="J122" s="18">
        <v>147</v>
      </c>
      <c r="K122" s="18">
        <v>160</v>
      </c>
      <c r="L122" s="11">
        <v>164</v>
      </c>
      <c r="M122" s="11">
        <v>76</v>
      </c>
      <c r="N122" s="11">
        <v>83</v>
      </c>
      <c r="O122" s="11">
        <v>128</v>
      </c>
      <c r="P122" s="18">
        <v>129</v>
      </c>
      <c r="Q122" s="18">
        <v>176</v>
      </c>
      <c r="R122" s="24">
        <v>197</v>
      </c>
      <c r="S122" s="18">
        <v>201</v>
      </c>
      <c r="T122" s="18">
        <v>73.68421052631578</v>
      </c>
      <c r="U122" s="18">
        <v>75.903614457831324</v>
      </c>
      <c r="V122" s="18">
        <v>64.0625</v>
      </c>
      <c r="W122" s="11">
        <v>64.341085271317837</v>
      </c>
      <c r="X122" s="11">
        <v>83.522727272727266</v>
      </c>
      <c r="Y122" s="11">
        <v>81.218274111675129</v>
      </c>
      <c r="Z122" s="11">
        <v>81.592039800995025</v>
      </c>
      <c r="AA122" s="11">
        <f t="shared" si="38"/>
        <v>68.102399909716397</v>
      </c>
      <c r="AB122" s="27">
        <f t="shared" si="39"/>
        <v>82.111013728465807</v>
      </c>
      <c r="AC122" s="2">
        <f t="shared" si="40"/>
        <v>76</v>
      </c>
      <c r="AD122" s="2">
        <f t="shared" si="41"/>
        <v>157</v>
      </c>
    </row>
    <row r="123" spans="1:30" x14ac:dyDescent="0.3">
      <c r="A123" s="1" t="s">
        <v>167</v>
      </c>
      <c r="B123" s="1" t="s">
        <v>173</v>
      </c>
      <c r="C123" s="1" t="s">
        <v>176</v>
      </c>
      <c r="D123" s="1" t="s">
        <v>176</v>
      </c>
      <c r="E123" s="2">
        <v>30302</v>
      </c>
      <c r="F123" s="18">
        <v>38</v>
      </c>
      <c r="G123" s="18">
        <v>43</v>
      </c>
      <c r="H123" s="18">
        <v>50</v>
      </c>
      <c r="I123" s="18">
        <v>31</v>
      </c>
      <c r="J123" s="18">
        <v>50</v>
      </c>
      <c r="K123" s="18">
        <v>56</v>
      </c>
      <c r="L123" s="11">
        <v>53</v>
      </c>
      <c r="M123" s="11">
        <v>53</v>
      </c>
      <c r="N123" s="11">
        <v>61</v>
      </c>
      <c r="O123" s="11">
        <v>105</v>
      </c>
      <c r="P123" s="18">
        <v>50</v>
      </c>
      <c r="Q123" s="18">
        <v>66</v>
      </c>
      <c r="R123" s="24">
        <v>68</v>
      </c>
      <c r="S123" s="18">
        <v>67</v>
      </c>
      <c r="T123" s="18">
        <v>71.698113207547166</v>
      </c>
      <c r="U123" s="18">
        <v>70.491803278688522</v>
      </c>
      <c r="V123" s="18">
        <v>47.619047619047613</v>
      </c>
      <c r="W123" s="11">
        <v>62</v>
      </c>
      <c r="X123" s="11">
        <v>75.757575757575751</v>
      </c>
      <c r="Y123" s="11">
        <v>82.35294117647058</v>
      </c>
      <c r="Z123" s="11">
        <v>79.104477611940297</v>
      </c>
      <c r="AA123" s="11">
        <f t="shared" si="38"/>
        <v>60.036950299245376</v>
      </c>
      <c r="AB123" s="27">
        <f t="shared" si="39"/>
        <v>79.071664848662209</v>
      </c>
      <c r="AC123" s="2">
        <f t="shared" si="40"/>
        <v>41.333333333333336</v>
      </c>
      <c r="AD123" s="2">
        <f t="shared" si="41"/>
        <v>53</v>
      </c>
    </row>
    <row r="124" spans="1:30" x14ac:dyDescent="0.3">
      <c r="A124" s="1" t="s">
        <v>167</v>
      </c>
      <c r="B124" s="1" t="s">
        <v>173</v>
      </c>
      <c r="C124" s="1" t="s">
        <v>177</v>
      </c>
      <c r="D124" s="1" t="s">
        <v>177</v>
      </c>
      <c r="E124" s="2">
        <v>30303</v>
      </c>
      <c r="F124" s="18">
        <v>0</v>
      </c>
      <c r="G124" s="18">
        <v>0</v>
      </c>
      <c r="H124" s="18">
        <v>0</v>
      </c>
      <c r="I124" s="18">
        <v>27</v>
      </c>
      <c r="J124" s="18">
        <v>71</v>
      </c>
      <c r="K124" s="18">
        <v>76</v>
      </c>
      <c r="L124" s="11">
        <v>80</v>
      </c>
      <c r="M124" s="11">
        <v>0</v>
      </c>
      <c r="N124" s="11">
        <v>0</v>
      </c>
      <c r="O124" s="11">
        <v>0</v>
      </c>
      <c r="P124" s="18">
        <v>55</v>
      </c>
      <c r="Q124" s="18">
        <v>91</v>
      </c>
      <c r="R124" s="24">
        <v>96</v>
      </c>
      <c r="S124" s="18">
        <v>99</v>
      </c>
      <c r="T124" s="18"/>
      <c r="U124" s="18"/>
      <c r="V124" s="18"/>
      <c r="W124" s="11">
        <v>49.090909090909093</v>
      </c>
      <c r="X124" s="11">
        <v>78.021978021978029</v>
      </c>
      <c r="Y124" s="11">
        <v>79.166666666666657</v>
      </c>
      <c r="Z124" s="11">
        <v>80.808080808080803</v>
      </c>
      <c r="AA124" s="11">
        <f t="shared" si="38"/>
        <v>49.090909090909093</v>
      </c>
      <c r="AB124" s="27">
        <f t="shared" si="39"/>
        <v>79.33224183224182</v>
      </c>
      <c r="AC124" s="2">
        <f t="shared" si="40"/>
        <v>9</v>
      </c>
      <c r="AD124" s="2">
        <f t="shared" si="41"/>
        <v>75.666666666666671</v>
      </c>
    </row>
    <row r="125" spans="1:30" x14ac:dyDescent="0.3">
      <c r="A125" s="1" t="s">
        <v>167</v>
      </c>
      <c r="B125" s="1" t="s">
        <v>178</v>
      </c>
      <c r="C125" s="1" t="s">
        <v>179</v>
      </c>
      <c r="D125" s="1" t="s">
        <v>179</v>
      </c>
      <c r="E125" s="2">
        <v>30401</v>
      </c>
      <c r="F125" s="18">
        <v>44</v>
      </c>
      <c r="G125" s="18">
        <v>47</v>
      </c>
      <c r="H125" s="18">
        <v>56</v>
      </c>
      <c r="I125" s="18">
        <v>60</v>
      </c>
      <c r="J125" s="18">
        <v>72</v>
      </c>
      <c r="K125" s="18">
        <v>70</v>
      </c>
      <c r="L125" s="11">
        <v>74</v>
      </c>
      <c r="M125" s="11">
        <v>55</v>
      </c>
      <c r="N125" s="11">
        <v>60</v>
      </c>
      <c r="O125" s="11">
        <v>83</v>
      </c>
      <c r="P125" s="18">
        <v>85</v>
      </c>
      <c r="Q125" s="18">
        <v>89</v>
      </c>
      <c r="R125" s="24">
        <v>91</v>
      </c>
      <c r="S125" s="18">
        <v>96</v>
      </c>
      <c r="T125" s="18">
        <v>80</v>
      </c>
      <c r="U125" s="18">
        <v>78.333333333333329</v>
      </c>
      <c r="V125" s="18">
        <v>67.46987951807229</v>
      </c>
      <c r="W125" s="11">
        <v>70.588235294117652</v>
      </c>
      <c r="X125" s="11">
        <v>80.898876404494374</v>
      </c>
      <c r="Y125" s="11">
        <v>76.923076923076934</v>
      </c>
      <c r="Z125" s="11">
        <v>77.083333333333343</v>
      </c>
      <c r="AA125" s="11">
        <f t="shared" si="38"/>
        <v>72.130482715174423</v>
      </c>
      <c r="AB125" s="27">
        <f t="shared" si="39"/>
        <v>78.301762220301541</v>
      </c>
      <c r="AC125" s="2">
        <f t="shared" si="40"/>
        <v>54.333333333333336</v>
      </c>
      <c r="AD125" s="2">
        <f t="shared" si="41"/>
        <v>72</v>
      </c>
    </row>
    <row r="126" spans="1:30" x14ac:dyDescent="0.3">
      <c r="A126" s="1" t="s">
        <v>167</v>
      </c>
      <c r="B126" s="1" t="s">
        <v>178</v>
      </c>
      <c r="C126" s="1" t="s">
        <v>180</v>
      </c>
      <c r="D126" s="1" t="s">
        <v>181</v>
      </c>
      <c r="E126" s="2">
        <v>30402</v>
      </c>
      <c r="F126" s="18">
        <v>11</v>
      </c>
      <c r="G126" s="18">
        <v>11</v>
      </c>
      <c r="H126" s="18">
        <v>17</v>
      </c>
      <c r="I126" s="18">
        <v>20</v>
      </c>
      <c r="J126" s="18">
        <v>41</v>
      </c>
      <c r="K126" s="18">
        <v>43</v>
      </c>
      <c r="L126" s="11">
        <v>43</v>
      </c>
      <c r="M126" s="11">
        <v>18</v>
      </c>
      <c r="N126" s="11">
        <v>18</v>
      </c>
      <c r="O126" s="11">
        <v>32</v>
      </c>
      <c r="P126" s="18">
        <v>33</v>
      </c>
      <c r="Q126" s="18">
        <v>50</v>
      </c>
      <c r="R126" s="24">
        <v>55</v>
      </c>
      <c r="S126" s="18">
        <v>57</v>
      </c>
      <c r="T126" s="18">
        <v>61.111111111111114</v>
      </c>
      <c r="U126" s="18">
        <v>61.111111111111114</v>
      </c>
      <c r="V126" s="18">
        <v>53.125</v>
      </c>
      <c r="W126" s="11">
        <v>60.606060606060609</v>
      </c>
      <c r="X126" s="11">
        <v>82</v>
      </c>
      <c r="Y126" s="11">
        <v>78.181818181818187</v>
      </c>
      <c r="Z126" s="11">
        <v>75.438596491228068</v>
      </c>
      <c r="AA126" s="11">
        <f t="shared" si="38"/>
        <v>58.280723905723903</v>
      </c>
      <c r="AB126" s="27">
        <f t="shared" si="39"/>
        <v>78.540138224348752</v>
      </c>
      <c r="AC126" s="2">
        <f t="shared" si="40"/>
        <v>16</v>
      </c>
      <c r="AD126" s="2">
        <f t="shared" si="41"/>
        <v>42.333333333333336</v>
      </c>
    </row>
    <row r="127" spans="1:30" x14ac:dyDescent="0.3">
      <c r="A127" s="1" t="s">
        <v>167</v>
      </c>
      <c r="B127" s="1" t="s">
        <v>178</v>
      </c>
      <c r="C127" s="1" t="s">
        <v>182</v>
      </c>
      <c r="D127" s="1" t="s">
        <v>182</v>
      </c>
      <c r="E127" s="2">
        <v>30403</v>
      </c>
      <c r="F127" s="18">
        <v>19</v>
      </c>
      <c r="G127" s="18">
        <v>22</v>
      </c>
      <c r="H127" s="18">
        <v>36</v>
      </c>
      <c r="I127" s="18">
        <v>46</v>
      </c>
      <c r="J127" s="18">
        <v>71</v>
      </c>
      <c r="K127" s="18">
        <v>75</v>
      </c>
      <c r="L127" s="11">
        <v>77</v>
      </c>
      <c r="M127" s="11">
        <v>26</v>
      </c>
      <c r="N127" s="11">
        <v>30</v>
      </c>
      <c r="O127" s="11">
        <v>51</v>
      </c>
      <c r="P127" s="18">
        <v>65</v>
      </c>
      <c r="Q127" s="18">
        <v>94</v>
      </c>
      <c r="R127" s="24">
        <v>99</v>
      </c>
      <c r="S127" s="18">
        <v>103</v>
      </c>
      <c r="T127" s="18">
        <v>73.076923076923066</v>
      </c>
      <c r="U127" s="18">
        <v>73.333333333333329</v>
      </c>
      <c r="V127" s="18">
        <v>70.588235294117652</v>
      </c>
      <c r="W127" s="11">
        <v>70.769230769230774</v>
      </c>
      <c r="X127" s="11">
        <v>75.531914893617028</v>
      </c>
      <c r="Y127" s="11">
        <v>75.757575757575751</v>
      </c>
      <c r="Z127" s="11">
        <v>74.757281553398059</v>
      </c>
      <c r="AA127" s="11">
        <f t="shared" si="38"/>
        <v>71.563599798893918</v>
      </c>
      <c r="AB127" s="27">
        <f t="shared" si="39"/>
        <v>75.348924068196951</v>
      </c>
      <c r="AC127" s="2">
        <f t="shared" si="40"/>
        <v>34.666666666666664</v>
      </c>
      <c r="AD127" s="2">
        <f t="shared" si="41"/>
        <v>74.333333333333329</v>
      </c>
    </row>
    <row r="128" spans="1:30" x14ac:dyDescent="0.3">
      <c r="A128" s="1" t="s">
        <v>167</v>
      </c>
      <c r="B128" s="1" t="s">
        <v>178</v>
      </c>
      <c r="C128" s="1" t="s">
        <v>183</v>
      </c>
      <c r="D128" s="1" t="s">
        <v>183</v>
      </c>
      <c r="E128" s="2">
        <v>30404</v>
      </c>
      <c r="F128" s="18">
        <v>21</v>
      </c>
      <c r="G128" s="18">
        <v>19</v>
      </c>
      <c r="H128" s="18">
        <v>19</v>
      </c>
      <c r="I128" s="18">
        <v>18</v>
      </c>
      <c r="J128" s="18">
        <v>29</v>
      </c>
      <c r="K128" s="18">
        <v>27</v>
      </c>
      <c r="L128" s="11">
        <v>26</v>
      </c>
      <c r="M128" s="11">
        <v>38</v>
      </c>
      <c r="N128" s="11">
        <v>38</v>
      </c>
      <c r="O128" s="11">
        <v>39</v>
      </c>
      <c r="P128" s="18">
        <v>39</v>
      </c>
      <c r="Q128" s="18">
        <v>37</v>
      </c>
      <c r="R128" s="24">
        <v>36</v>
      </c>
      <c r="S128" s="18">
        <v>36</v>
      </c>
      <c r="T128" s="18">
        <v>55.26315789473685</v>
      </c>
      <c r="U128" s="18">
        <v>50</v>
      </c>
      <c r="V128" s="18">
        <v>48.717948717948715</v>
      </c>
      <c r="W128" s="11">
        <v>46.153846153846153</v>
      </c>
      <c r="X128" s="11">
        <v>78.378378378378372</v>
      </c>
      <c r="Y128" s="11">
        <v>75</v>
      </c>
      <c r="Z128" s="11">
        <v>72.222222222222214</v>
      </c>
      <c r="AA128" s="11">
        <f t="shared" si="38"/>
        <v>48.29059829059829</v>
      </c>
      <c r="AB128" s="27">
        <f t="shared" si="39"/>
        <v>75.2002002002002</v>
      </c>
      <c r="AC128" s="2">
        <f t="shared" si="40"/>
        <v>18.666666666666668</v>
      </c>
      <c r="AD128" s="2">
        <f t="shared" si="41"/>
        <v>27.333333333333332</v>
      </c>
    </row>
    <row r="129" spans="1:30" x14ac:dyDescent="0.3">
      <c r="A129" s="1" t="s">
        <v>167</v>
      </c>
      <c r="B129" s="1" t="s">
        <v>184</v>
      </c>
      <c r="C129" s="1" t="s">
        <v>184</v>
      </c>
      <c r="D129" s="1" t="s">
        <v>184</v>
      </c>
      <c r="E129" s="2">
        <v>30501</v>
      </c>
      <c r="F129" s="18">
        <v>41</v>
      </c>
      <c r="G129" s="18">
        <v>42</v>
      </c>
      <c r="H129" s="18">
        <v>63</v>
      </c>
      <c r="I129" s="18">
        <v>60</v>
      </c>
      <c r="J129" s="18">
        <v>71</v>
      </c>
      <c r="K129" s="18">
        <v>74</v>
      </c>
      <c r="L129" s="11">
        <v>73</v>
      </c>
      <c r="M129" s="11">
        <v>52</v>
      </c>
      <c r="N129" s="11">
        <v>52</v>
      </c>
      <c r="O129" s="11">
        <v>78</v>
      </c>
      <c r="P129" s="18">
        <v>75</v>
      </c>
      <c r="Q129" s="18">
        <v>85</v>
      </c>
      <c r="R129" s="24">
        <v>89</v>
      </c>
      <c r="S129" s="18">
        <v>88</v>
      </c>
      <c r="T129" s="18">
        <v>78.84615384615384</v>
      </c>
      <c r="U129" s="18">
        <v>80.769230769230774</v>
      </c>
      <c r="V129" s="18">
        <v>80.769230769230774</v>
      </c>
      <c r="W129" s="11">
        <v>80</v>
      </c>
      <c r="X129" s="11">
        <v>83.529411764705884</v>
      </c>
      <c r="Y129" s="11">
        <v>83.146067415730343</v>
      </c>
      <c r="Z129" s="11">
        <v>82.954545454545453</v>
      </c>
      <c r="AA129" s="11">
        <f t="shared" si="38"/>
        <v>80.512820512820511</v>
      </c>
      <c r="AB129" s="27">
        <f t="shared" si="39"/>
        <v>83.210008211660565</v>
      </c>
      <c r="AC129" s="2">
        <f t="shared" si="40"/>
        <v>55</v>
      </c>
      <c r="AD129" s="2">
        <f t="shared" si="41"/>
        <v>72.666666666666671</v>
      </c>
    </row>
    <row r="130" spans="1:30" x14ac:dyDescent="0.3">
      <c r="A130" s="1" t="s">
        <v>167</v>
      </c>
      <c r="B130" s="1" t="s">
        <v>184</v>
      </c>
      <c r="C130" s="1" t="s">
        <v>185</v>
      </c>
      <c r="D130" s="1" t="s">
        <v>185</v>
      </c>
      <c r="E130" s="2">
        <v>30502</v>
      </c>
      <c r="F130" s="18">
        <v>30</v>
      </c>
      <c r="G130" s="18">
        <v>32</v>
      </c>
      <c r="H130" s="18">
        <v>34</v>
      </c>
      <c r="I130" s="18">
        <v>38</v>
      </c>
      <c r="J130" s="18">
        <v>54</v>
      </c>
      <c r="K130" s="18">
        <v>57</v>
      </c>
      <c r="L130" s="11">
        <v>56</v>
      </c>
      <c r="M130" s="11">
        <v>42</v>
      </c>
      <c r="N130" s="11">
        <v>44</v>
      </c>
      <c r="O130" s="11">
        <v>49</v>
      </c>
      <c r="P130" s="18">
        <v>52</v>
      </c>
      <c r="Q130" s="18">
        <v>74</v>
      </c>
      <c r="R130" s="24">
        <v>76</v>
      </c>
      <c r="S130" s="18">
        <v>77</v>
      </c>
      <c r="T130" s="18">
        <v>71.428571428571431</v>
      </c>
      <c r="U130" s="18">
        <v>72.727272727272734</v>
      </c>
      <c r="V130" s="18">
        <v>69.387755102040813</v>
      </c>
      <c r="W130" s="11">
        <v>73.076923076923066</v>
      </c>
      <c r="X130" s="11">
        <v>72.972972972972968</v>
      </c>
      <c r="Y130" s="11">
        <v>75</v>
      </c>
      <c r="Z130" s="11">
        <v>72.727272727272734</v>
      </c>
      <c r="AA130" s="11">
        <f t="shared" si="38"/>
        <v>71.730650302078871</v>
      </c>
      <c r="AB130" s="27">
        <f t="shared" si="39"/>
        <v>73.566748566748572</v>
      </c>
      <c r="AC130" s="2">
        <f t="shared" si="40"/>
        <v>34.666666666666664</v>
      </c>
      <c r="AD130" s="2">
        <f t="shared" si="41"/>
        <v>55.666666666666664</v>
      </c>
    </row>
    <row r="131" spans="1:30" x14ac:dyDescent="0.3">
      <c r="A131" s="1" t="s">
        <v>167</v>
      </c>
      <c r="B131" s="1" t="s">
        <v>186</v>
      </c>
      <c r="C131" s="1" t="s">
        <v>186</v>
      </c>
      <c r="D131" s="1" t="s">
        <v>187</v>
      </c>
      <c r="E131" s="2">
        <v>30601</v>
      </c>
      <c r="F131" s="18">
        <v>14</v>
      </c>
      <c r="G131" s="18">
        <v>15</v>
      </c>
      <c r="H131" s="18">
        <v>21</v>
      </c>
      <c r="I131" s="18">
        <v>22</v>
      </c>
      <c r="J131" s="18">
        <v>46</v>
      </c>
      <c r="K131" s="18">
        <v>45</v>
      </c>
      <c r="L131" s="11">
        <v>47</v>
      </c>
      <c r="M131" s="11">
        <v>24</v>
      </c>
      <c r="N131" s="11">
        <v>26</v>
      </c>
      <c r="O131" s="11">
        <v>51</v>
      </c>
      <c r="P131" s="18">
        <v>52</v>
      </c>
      <c r="Q131" s="18">
        <v>65</v>
      </c>
      <c r="R131" s="24">
        <v>65</v>
      </c>
      <c r="S131" s="18">
        <v>66</v>
      </c>
      <c r="T131" s="18">
        <v>58.333333333333336</v>
      </c>
      <c r="U131" s="18">
        <v>57.692307692307686</v>
      </c>
      <c r="V131" s="18">
        <v>41.17647058823529</v>
      </c>
      <c r="W131" s="11">
        <v>42.307692307692307</v>
      </c>
      <c r="X131" s="11">
        <v>70.769230769230774</v>
      </c>
      <c r="Y131" s="11">
        <v>69.230769230769226</v>
      </c>
      <c r="Z131" s="11">
        <v>71.212121212121218</v>
      </c>
      <c r="AA131" s="11">
        <f t="shared" ref="AA131:AA194" si="42">AVERAGE(U131:W131)</f>
        <v>47.058823529411768</v>
      </c>
      <c r="AB131" s="27">
        <f t="shared" ref="AB131:AB194" si="43">AVERAGE(X131:Z131)</f>
        <v>70.404040404040401</v>
      </c>
      <c r="AC131" s="2">
        <f t="shared" ref="AC131:AC194" si="44">AVERAGE(G131:I131)</f>
        <v>19.333333333333332</v>
      </c>
      <c r="AD131" s="2">
        <f t="shared" ref="AD131:AD194" si="45">AVERAGE(J131:L131)</f>
        <v>46</v>
      </c>
    </row>
    <row r="132" spans="1:30" x14ac:dyDescent="0.3">
      <c r="A132" s="1" t="s">
        <v>167</v>
      </c>
      <c r="B132" s="1" t="s">
        <v>186</v>
      </c>
      <c r="C132" s="1" t="s">
        <v>188</v>
      </c>
      <c r="D132" s="1" t="s">
        <v>188</v>
      </c>
      <c r="E132" s="2">
        <v>30602</v>
      </c>
      <c r="F132" s="18">
        <v>10</v>
      </c>
      <c r="G132" s="18">
        <v>19</v>
      </c>
      <c r="H132" s="18">
        <v>24</v>
      </c>
      <c r="I132" s="18">
        <v>24</v>
      </c>
      <c r="J132" s="18">
        <v>38</v>
      </c>
      <c r="K132" s="18">
        <v>40</v>
      </c>
      <c r="L132" s="11">
        <v>42</v>
      </c>
      <c r="M132" s="11">
        <v>11</v>
      </c>
      <c r="N132" s="11">
        <v>22</v>
      </c>
      <c r="O132" s="11">
        <v>43</v>
      </c>
      <c r="P132" s="18">
        <v>45</v>
      </c>
      <c r="Q132" s="18">
        <v>55</v>
      </c>
      <c r="R132" s="24">
        <v>55</v>
      </c>
      <c r="S132" s="18">
        <v>57</v>
      </c>
      <c r="T132" s="18">
        <v>90.909090909090907</v>
      </c>
      <c r="U132" s="18">
        <v>86.36363636363636</v>
      </c>
      <c r="V132" s="18">
        <v>55.813953488372093</v>
      </c>
      <c r="W132" s="11">
        <v>53.333333333333336</v>
      </c>
      <c r="X132" s="11">
        <v>69.090909090909093</v>
      </c>
      <c r="Y132" s="11">
        <v>72.727272727272734</v>
      </c>
      <c r="Z132" s="11">
        <v>73.68421052631578</v>
      </c>
      <c r="AA132" s="11">
        <f t="shared" si="42"/>
        <v>65.17030772844727</v>
      </c>
      <c r="AB132" s="27">
        <f t="shared" si="43"/>
        <v>71.834130781499198</v>
      </c>
      <c r="AC132" s="2">
        <f t="shared" si="44"/>
        <v>22.333333333333332</v>
      </c>
      <c r="AD132" s="2">
        <f t="shared" si="45"/>
        <v>40</v>
      </c>
    </row>
    <row r="133" spans="1:30" x14ac:dyDescent="0.3">
      <c r="A133" s="1" t="s">
        <v>167</v>
      </c>
      <c r="B133" s="1" t="s">
        <v>189</v>
      </c>
      <c r="C133" s="1" t="s">
        <v>189</v>
      </c>
      <c r="D133" s="1" t="s">
        <v>189</v>
      </c>
      <c r="E133" s="2">
        <v>30701</v>
      </c>
      <c r="F133" s="18">
        <v>60</v>
      </c>
      <c r="G133" s="18">
        <v>69</v>
      </c>
      <c r="H133" s="18">
        <v>80</v>
      </c>
      <c r="I133" s="18">
        <v>85</v>
      </c>
      <c r="J133" s="18">
        <v>131</v>
      </c>
      <c r="K133" s="18">
        <v>127</v>
      </c>
      <c r="L133" s="11">
        <v>124</v>
      </c>
      <c r="M133" s="11">
        <v>93</v>
      </c>
      <c r="N133" s="11">
        <v>94</v>
      </c>
      <c r="O133" s="11">
        <v>126</v>
      </c>
      <c r="P133" s="18">
        <v>128</v>
      </c>
      <c r="Q133" s="18">
        <v>165</v>
      </c>
      <c r="R133" s="24">
        <v>162</v>
      </c>
      <c r="S133" s="18">
        <v>161</v>
      </c>
      <c r="T133" s="18">
        <v>64.516129032258064</v>
      </c>
      <c r="U133" s="18">
        <v>73.40425531914893</v>
      </c>
      <c r="V133" s="18">
        <v>63.492063492063487</v>
      </c>
      <c r="W133" s="11">
        <v>66.40625</v>
      </c>
      <c r="X133" s="11">
        <v>79.393939393939391</v>
      </c>
      <c r="Y133" s="11">
        <v>78.395061728395063</v>
      </c>
      <c r="Z133" s="11">
        <v>77.018633540372676</v>
      </c>
      <c r="AA133" s="11">
        <f t="shared" si="42"/>
        <v>67.767522937070808</v>
      </c>
      <c r="AB133" s="27">
        <f t="shared" si="43"/>
        <v>78.26921155423571</v>
      </c>
      <c r="AC133" s="2">
        <f t="shared" si="44"/>
        <v>78</v>
      </c>
      <c r="AD133" s="2">
        <f t="shared" si="45"/>
        <v>127.33333333333333</v>
      </c>
    </row>
    <row r="134" spans="1:30" x14ac:dyDescent="0.3">
      <c r="A134" s="1" t="s">
        <v>167</v>
      </c>
      <c r="B134" s="1" t="s">
        <v>189</v>
      </c>
      <c r="C134" s="1" t="s">
        <v>190</v>
      </c>
      <c r="D134" s="1" t="s">
        <v>191</v>
      </c>
      <c r="E134" s="2">
        <v>30702</v>
      </c>
      <c r="F134" s="18">
        <v>23</v>
      </c>
      <c r="G134" s="18">
        <v>22</v>
      </c>
      <c r="H134" s="18">
        <v>28</v>
      </c>
      <c r="I134" s="18">
        <v>29</v>
      </c>
      <c r="J134" s="18">
        <v>34</v>
      </c>
      <c r="K134" s="18">
        <v>36</v>
      </c>
      <c r="L134" s="11">
        <v>39</v>
      </c>
      <c r="M134" s="11">
        <v>34</v>
      </c>
      <c r="N134" s="11">
        <v>32</v>
      </c>
      <c r="O134" s="11">
        <v>42</v>
      </c>
      <c r="P134" s="18">
        <v>41</v>
      </c>
      <c r="Q134" s="18">
        <v>45</v>
      </c>
      <c r="R134" s="24">
        <v>46</v>
      </c>
      <c r="S134" s="18">
        <v>51</v>
      </c>
      <c r="T134" s="18">
        <v>67.64705882352942</v>
      </c>
      <c r="U134" s="18">
        <v>68.75</v>
      </c>
      <c r="V134" s="18">
        <v>66.666666666666657</v>
      </c>
      <c r="W134" s="11">
        <v>70.731707317073173</v>
      </c>
      <c r="X134" s="11">
        <v>75.555555555555557</v>
      </c>
      <c r="Y134" s="11">
        <v>78.260869565217391</v>
      </c>
      <c r="Z134" s="11">
        <v>76.470588235294116</v>
      </c>
      <c r="AA134" s="11">
        <f t="shared" si="42"/>
        <v>68.71612466124661</v>
      </c>
      <c r="AB134" s="27">
        <f t="shared" si="43"/>
        <v>76.762337785355683</v>
      </c>
      <c r="AC134" s="2">
        <f t="shared" si="44"/>
        <v>26.333333333333332</v>
      </c>
      <c r="AD134" s="2">
        <f t="shared" si="45"/>
        <v>36.333333333333336</v>
      </c>
    </row>
    <row r="135" spans="1:30" x14ac:dyDescent="0.3">
      <c r="A135" s="1" t="s">
        <v>167</v>
      </c>
      <c r="B135" s="1" t="s">
        <v>189</v>
      </c>
      <c r="C135" s="1" t="s">
        <v>192</v>
      </c>
      <c r="D135" s="1" t="s">
        <v>192</v>
      </c>
      <c r="E135" s="2">
        <v>30703</v>
      </c>
      <c r="F135" s="18">
        <v>7</v>
      </c>
      <c r="G135" s="18">
        <v>7</v>
      </c>
      <c r="H135" s="18">
        <v>10</v>
      </c>
      <c r="I135" s="18">
        <v>13</v>
      </c>
      <c r="J135" s="18">
        <v>19</v>
      </c>
      <c r="K135" s="18">
        <v>18</v>
      </c>
      <c r="L135" s="11">
        <v>18</v>
      </c>
      <c r="M135" s="11">
        <v>9</v>
      </c>
      <c r="N135" s="11">
        <v>11</v>
      </c>
      <c r="O135" s="11">
        <v>15</v>
      </c>
      <c r="P135" s="18">
        <v>17</v>
      </c>
      <c r="Q135" s="18">
        <v>23</v>
      </c>
      <c r="R135" s="24">
        <v>23</v>
      </c>
      <c r="S135" s="18">
        <v>24</v>
      </c>
      <c r="T135" s="18">
        <v>77.777777777777786</v>
      </c>
      <c r="U135" s="18">
        <v>63.636363636363633</v>
      </c>
      <c r="V135" s="18">
        <v>66.666666666666657</v>
      </c>
      <c r="W135" s="11">
        <v>76.470588235294116</v>
      </c>
      <c r="X135" s="11">
        <v>82.608695652173907</v>
      </c>
      <c r="Y135" s="11">
        <v>78.260869565217391</v>
      </c>
      <c r="Z135" s="11">
        <v>75</v>
      </c>
      <c r="AA135" s="11">
        <f t="shared" si="42"/>
        <v>68.9245395127748</v>
      </c>
      <c r="AB135" s="27">
        <f t="shared" si="43"/>
        <v>78.623188405797109</v>
      </c>
      <c r="AC135" s="2">
        <f t="shared" si="44"/>
        <v>10</v>
      </c>
      <c r="AD135" s="2">
        <f t="shared" si="45"/>
        <v>18.333333333333332</v>
      </c>
    </row>
    <row r="136" spans="1:30" x14ac:dyDescent="0.3">
      <c r="A136" s="1" t="s">
        <v>167</v>
      </c>
      <c r="B136" s="1" t="s">
        <v>193</v>
      </c>
      <c r="C136" s="1" t="s">
        <v>194</v>
      </c>
      <c r="D136" s="1" t="s">
        <v>194</v>
      </c>
      <c r="E136" s="2">
        <v>30801</v>
      </c>
      <c r="F136" s="18">
        <v>83</v>
      </c>
      <c r="G136" s="18">
        <v>91</v>
      </c>
      <c r="H136" s="18">
        <v>109</v>
      </c>
      <c r="I136" s="18">
        <v>111</v>
      </c>
      <c r="J136" s="18">
        <v>127</v>
      </c>
      <c r="K136" s="18">
        <v>129</v>
      </c>
      <c r="L136" s="11">
        <v>129</v>
      </c>
      <c r="M136" s="11">
        <v>104</v>
      </c>
      <c r="N136" s="11">
        <v>106</v>
      </c>
      <c r="O136" s="11">
        <v>142</v>
      </c>
      <c r="P136" s="18">
        <v>141</v>
      </c>
      <c r="Q136" s="18">
        <v>151</v>
      </c>
      <c r="R136" s="24">
        <v>153</v>
      </c>
      <c r="S136" s="18">
        <v>153</v>
      </c>
      <c r="T136" s="18">
        <v>79.807692307692307</v>
      </c>
      <c r="U136" s="18">
        <v>85.84905660377359</v>
      </c>
      <c r="V136" s="18">
        <v>76.760563380281681</v>
      </c>
      <c r="W136" s="11">
        <v>78.723404255319153</v>
      </c>
      <c r="X136" s="11">
        <v>84.105960264900659</v>
      </c>
      <c r="Y136" s="11">
        <v>84.313725490196077</v>
      </c>
      <c r="Z136" s="11">
        <v>84.313725490196077</v>
      </c>
      <c r="AA136" s="11">
        <f t="shared" si="42"/>
        <v>80.444341413124803</v>
      </c>
      <c r="AB136" s="27">
        <f t="shared" si="43"/>
        <v>84.244470415097609</v>
      </c>
      <c r="AC136" s="2">
        <f t="shared" si="44"/>
        <v>103.66666666666667</v>
      </c>
      <c r="AD136" s="2">
        <f t="shared" si="45"/>
        <v>128.33333333333334</v>
      </c>
    </row>
    <row r="137" spans="1:30" x14ac:dyDescent="0.3">
      <c r="A137" s="1" t="s">
        <v>167</v>
      </c>
      <c r="B137" s="1" t="s">
        <v>193</v>
      </c>
      <c r="C137" s="1" t="s">
        <v>195</v>
      </c>
      <c r="D137" s="1" t="s">
        <v>195</v>
      </c>
      <c r="E137" s="2">
        <v>30802</v>
      </c>
      <c r="F137" s="18">
        <v>12</v>
      </c>
      <c r="G137" s="18">
        <v>13</v>
      </c>
      <c r="H137" s="18">
        <v>20</v>
      </c>
      <c r="I137" s="18">
        <v>20</v>
      </c>
      <c r="J137" s="18">
        <v>27</v>
      </c>
      <c r="K137" s="18">
        <v>26</v>
      </c>
      <c r="L137" s="11">
        <v>26</v>
      </c>
      <c r="M137" s="11">
        <v>16</v>
      </c>
      <c r="N137" s="11">
        <v>18</v>
      </c>
      <c r="O137" s="11">
        <v>26</v>
      </c>
      <c r="P137" s="18">
        <v>26</v>
      </c>
      <c r="Q137" s="18">
        <v>31</v>
      </c>
      <c r="R137" s="24">
        <v>31</v>
      </c>
      <c r="S137" s="18">
        <v>31</v>
      </c>
      <c r="T137" s="18">
        <v>75</v>
      </c>
      <c r="U137" s="18">
        <v>72.222222222222214</v>
      </c>
      <c r="V137" s="18">
        <v>76.923076923076934</v>
      </c>
      <c r="W137" s="11">
        <v>76.923076923076934</v>
      </c>
      <c r="X137" s="11">
        <v>87.096774193548384</v>
      </c>
      <c r="Y137" s="11">
        <v>83.870967741935488</v>
      </c>
      <c r="Z137" s="11">
        <v>83.870967741935488</v>
      </c>
      <c r="AA137" s="11">
        <f t="shared" si="42"/>
        <v>75.356125356125361</v>
      </c>
      <c r="AB137" s="27">
        <f t="shared" si="43"/>
        <v>84.946236559139791</v>
      </c>
      <c r="AC137" s="2">
        <f t="shared" si="44"/>
        <v>17.666666666666668</v>
      </c>
      <c r="AD137" s="2">
        <f t="shared" si="45"/>
        <v>26.333333333333332</v>
      </c>
    </row>
    <row r="138" spans="1:30" x14ac:dyDescent="0.3">
      <c r="A138" s="1" t="s">
        <v>167</v>
      </c>
      <c r="B138" s="1" t="s">
        <v>193</v>
      </c>
      <c r="C138" s="1" t="s">
        <v>196</v>
      </c>
      <c r="D138" s="1" t="s">
        <v>196</v>
      </c>
      <c r="E138" s="2">
        <v>30803</v>
      </c>
      <c r="F138" s="18">
        <v>14</v>
      </c>
      <c r="G138" s="18">
        <v>14</v>
      </c>
      <c r="H138" s="18">
        <v>19</v>
      </c>
      <c r="I138" s="18">
        <v>24</v>
      </c>
      <c r="J138" s="18">
        <v>32</v>
      </c>
      <c r="K138" s="18">
        <v>31</v>
      </c>
      <c r="L138" s="11">
        <v>31</v>
      </c>
      <c r="M138" s="11">
        <v>17</v>
      </c>
      <c r="N138" s="11">
        <v>17</v>
      </c>
      <c r="O138" s="11">
        <v>22</v>
      </c>
      <c r="P138" s="18">
        <v>27</v>
      </c>
      <c r="Q138" s="18">
        <v>37</v>
      </c>
      <c r="R138" s="24">
        <v>36</v>
      </c>
      <c r="S138" s="18">
        <v>36</v>
      </c>
      <c r="T138" s="18">
        <v>82.35294117647058</v>
      </c>
      <c r="U138" s="18">
        <v>82.35294117647058</v>
      </c>
      <c r="V138" s="18">
        <v>86.36363636363636</v>
      </c>
      <c r="W138" s="11">
        <v>88.888888888888886</v>
      </c>
      <c r="X138" s="11">
        <v>86.486486486486484</v>
      </c>
      <c r="Y138" s="11">
        <v>86.111111111111114</v>
      </c>
      <c r="Z138" s="11">
        <v>86.111111111111114</v>
      </c>
      <c r="AA138" s="11">
        <f t="shared" si="42"/>
        <v>85.868488809665266</v>
      </c>
      <c r="AB138" s="27">
        <f t="shared" si="43"/>
        <v>86.236236236236252</v>
      </c>
      <c r="AC138" s="2">
        <f t="shared" si="44"/>
        <v>19</v>
      </c>
      <c r="AD138" s="2">
        <f t="shared" si="45"/>
        <v>31.333333333333332</v>
      </c>
    </row>
    <row r="139" spans="1:30" x14ac:dyDescent="0.3">
      <c r="A139" s="1" t="s">
        <v>167</v>
      </c>
      <c r="B139" s="1" t="s">
        <v>197</v>
      </c>
      <c r="C139" s="1" t="s">
        <v>197</v>
      </c>
      <c r="D139" s="1" t="s">
        <v>197</v>
      </c>
      <c r="E139" s="2">
        <v>30901</v>
      </c>
      <c r="F139" s="18">
        <v>408</v>
      </c>
      <c r="G139" s="18">
        <v>432</v>
      </c>
      <c r="H139" s="18">
        <v>515</v>
      </c>
      <c r="I139" s="18">
        <v>543</v>
      </c>
      <c r="J139" s="18">
        <v>655</v>
      </c>
      <c r="K139" s="18">
        <v>681</v>
      </c>
      <c r="L139" s="11">
        <v>681</v>
      </c>
      <c r="M139" s="11">
        <v>522</v>
      </c>
      <c r="N139" s="11">
        <v>549</v>
      </c>
      <c r="O139" s="11">
        <v>684</v>
      </c>
      <c r="P139" s="18">
        <v>716</v>
      </c>
      <c r="Q139" s="18">
        <v>828</v>
      </c>
      <c r="R139" s="24">
        <v>848</v>
      </c>
      <c r="S139" s="18">
        <v>843</v>
      </c>
      <c r="T139" s="18">
        <v>78.160919540229884</v>
      </c>
      <c r="U139" s="18">
        <v>78.688524590163937</v>
      </c>
      <c r="V139" s="18">
        <v>75.292397660818708</v>
      </c>
      <c r="W139" s="11">
        <v>75.837988826815632</v>
      </c>
      <c r="X139" s="11">
        <v>79.106280193236714</v>
      </c>
      <c r="Y139" s="11">
        <v>80.306603773584911</v>
      </c>
      <c r="Z139" s="11">
        <v>80.782918149466184</v>
      </c>
      <c r="AA139" s="11">
        <f t="shared" si="42"/>
        <v>76.606303692599425</v>
      </c>
      <c r="AB139" s="27">
        <f t="shared" si="43"/>
        <v>80.065267372095931</v>
      </c>
      <c r="AC139" s="2">
        <f t="shared" si="44"/>
        <v>496.66666666666669</v>
      </c>
      <c r="AD139" s="2">
        <f t="shared" si="45"/>
        <v>672.33333333333337</v>
      </c>
    </row>
    <row r="140" spans="1:30" x14ac:dyDescent="0.3">
      <c r="A140" s="1" t="s">
        <v>167</v>
      </c>
      <c r="B140" s="1" t="s">
        <v>197</v>
      </c>
      <c r="C140" s="1" t="s">
        <v>198</v>
      </c>
      <c r="D140" s="1" t="s">
        <v>198</v>
      </c>
      <c r="E140" s="2">
        <v>30902</v>
      </c>
      <c r="F140" s="18">
        <v>115</v>
      </c>
      <c r="G140" s="18">
        <v>124</v>
      </c>
      <c r="H140" s="18">
        <v>144</v>
      </c>
      <c r="I140" s="18">
        <v>165</v>
      </c>
      <c r="J140" s="18">
        <v>270</v>
      </c>
      <c r="K140" s="18">
        <v>279</v>
      </c>
      <c r="L140" s="11">
        <v>278</v>
      </c>
      <c r="M140" s="11">
        <v>148</v>
      </c>
      <c r="N140" s="11">
        <v>167</v>
      </c>
      <c r="O140" s="11">
        <v>217</v>
      </c>
      <c r="P140" s="18">
        <v>240</v>
      </c>
      <c r="Q140" s="18">
        <v>351</v>
      </c>
      <c r="R140" s="24">
        <v>360</v>
      </c>
      <c r="S140" s="18">
        <v>370</v>
      </c>
      <c r="T140" s="18">
        <v>77.702702702702695</v>
      </c>
      <c r="U140" s="18">
        <v>74.251497005988014</v>
      </c>
      <c r="V140" s="18">
        <v>66.359447004608299</v>
      </c>
      <c r="W140" s="11">
        <v>68.75</v>
      </c>
      <c r="X140" s="11">
        <v>76.923076923076934</v>
      </c>
      <c r="Y140" s="11">
        <v>77.5</v>
      </c>
      <c r="Z140" s="11">
        <v>75.13513513513513</v>
      </c>
      <c r="AA140" s="11">
        <f t="shared" si="42"/>
        <v>69.786981336865438</v>
      </c>
      <c r="AB140" s="27">
        <f t="shared" si="43"/>
        <v>76.519404019404021</v>
      </c>
      <c r="AC140" s="2">
        <f t="shared" si="44"/>
        <v>144.33333333333334</v>
      </c>
      <c r="AD140" s="2">
        <f t="shared" si="45"/>
        <v>275.66666666666669</v>
      </c>
    </row>
    <row r="141" spans="1:30" x14ac:dyDescent="0.3">
      <c r="A141" s="1" t="s">
        <v>167</v>
      </c>
      <c r="B141" s="1" t="s">
        <v>197</v>
      </c>
      <c r="C141" s="1" t="s">
        <v>199</v>
      </c>
      <c r="D141" s="1" t="s">
        <v>199</v>
      </c>
      <c r="E141" s="2">
        <v>30903</v>
      </c>
      <c r="F141" s="18">
        <v>116</v>
      </c>
      <c r="G141" s="18">
        <v>138</v>
      </c>
      <c r="H141" s="18">
        <v>184</v>
      </c>
      <c r="I141" s="18">
        <v>200</v>
      </c>
      <c r="J141" s="18">
        <v>282</v>
      </c>
      <c r="K141" s="18">
        <v>299</v>
      </c>
      <c r="L141" s="11">
        <v>294</v>
      </c>
      <c r="M141" s="11">
        <v>144</v>
      </c>
      <c r="N141" s="11">
        <v>165</v>
      </c>
      <c r="O141" s="11">
        <v>227</v>
      </c>
      <c r="P141" s="18">
        <v>251</v>
      </c>
      <c r="Q141" s="18">
        <v>346</v>
      </c>
      <c r="R141" s="24">
        <v>366</v>
      </c>
      <c r="S141" s="18">
        <v>366</v>
      </c>
      <c r="T141" s="18">
        <v>80.555555555555557</v>
      </c>
      <c r="U141" s="18">
        <v>83.636363636363626</v>
      </c>
      <c r="V141" s="18">
        <v>81.057268722466958</v>
      </c>
      <c r="W141" s="11">
        <v>79.681274900398407</v>
      </c>
      <c r="X141" s="11">
        <v>81.502890173410407</v>
      </c>
      <c r="Y141" s="11">
        <v>81.69398907103826</v>
      </c>
      <c r="Z141" s="11">
        <v>80.327868852459019</v>
      </c>
      <c r="AA141" s="11">
        <f t="shared" si="42"/>
        <v>81.458302419743006</v>
      </c>
      <c r="AB141" s="27">
        <f t="shared" si="43"/>
        <v>81.174916032302562</v>
      </c>
      <c r="AC141" s="2">
        <f t="shared" si="44"/>
        <v>174</v>
      </c>
      <c r="AD141" s="2">
        <f t="shared" si="45"/>
        <v>291.66666666666669</v>
      </c>
    </row>
    <row r="142" spans="1:30" x14ac:dyDescent="0.3">
      <c r="A142" s="1" t="s">
        <v>167</v>
      </c>
      <c r="B142" s="1" t="s">
        <v>197</v>
      </c>
      <c r="C142" s="1" t="s">
        <v>200</v>
      </c>
      <c r="D142" s="1" t="s">
        <v>200</v>
      </c>
      <c r="E142" s="2">
        <v>30904</v>
      </c>
      <c r="F142" s="18">
        <v>119</v>
      </c>
      <c r="G142" s="18">
        <v>135</v>
      </c>
      <c r="H142" s="18">
        <v>150</v>
      </c>
      <c r="I142" s="18">
        <v>155</v>
      </c>
      <c r="J142" s="18">
        <v>210</v>
      </c>
      <c r="K142" s="18">
        <v>222</v>
      </c>
      <c r="L142" s="11">
        <v>233</v>
      </c>
      <c r="M142" s="11">
        <v>172</v>
      </c>
      <c r="N142" s="11">
        <v>192</v>
      </c>
      <c r="O142" s="11">
        <v>239</v>
      </c>
      <c r="P142" s="18">
        <v>252</v>
      </c>
      <c r="Q142" s="18">
        <v>299</v>
      </c>
      <c r="R142" s="24">
        <v>315</v>
      </c>
      <c r="S142" s="18">
        <v>330</v>
      </c>
      <c r="T142" s="18">
        <v>69.186046511627907</v>
      </c>
      <c r="U142" s="18">
        <v>70.3125</v>
      </c>
      <c r="V142" s="18">
        <v>62.761506276150627</v>
      </c>
      <c r="W142" s="11">
        <v>61.507936507936513</v>
      </c>
      <c r="X142" s="11">
        <v>70.23411371237458</v>
      </c>
      <c r="Y142" s="11">
        <v>70.476190476190482</v>
      </c>
      <c r="Z142" s="11">
        <v>70.606060606060609</v>
      </c>
      <c r="AA142" s="11">
        <f t="shared" si="42"/>
        <v>64.860647594695706</v>
      </c>
      <c r="AB142" s="27">
        <f t="shared" si="43"/>
        <v>70.438788264875214</v>
      </c>
      <c r="AC142" s="2">
        <f t="shared" si="44"/>
        <v>146.66666666666666</v>
      </c>
      <c r="AD142" s="2">
        <f t="shared" si="45"/>
        <v>221.66666666666666</v>
      </c>
    </row>
    <row r="143" spans="1:30" x14ac:dyDescent="0.3">
      <c r="A143" s="1" t="s">
        <v>167</v>
      </c>
      <c r="B143" s="1" t="s">
        <v>197</v>
      </c>
      <c r="C143" s="1" t="s">
        <v>201</v>
      </c>
      <c r="D143" s="1" t="s">
        <v>201</v>
      </c>
      <c r="E143" s="2">
        <v>30905</v>
      </c>
      <c r="F143" s="18">
        <v>122</v>
      </c>
      <c r="G143" s="18">
        <v>129</v>
      </c>
      <c r="H143" s="18">
        <v>160</v>
      </c>
      <c r="I143" s="18">
        <v>166</v>
      </c>
      <c r="J143" s="18">
        <v>225</v>
      </c>
      <c r="K143" s="18">
        <v>229</v>
      </c>
      <c r="L143" s="11">
        <v>235</v>
      </c>
      <c r="M143" s="11">
        <v>158</v>
      </c>
      <c r="N143" s="11">
        <v>170</v>
      </c>
      <c r="O143" s="11">
        <v>208</v>
      </c>
      <c r="P143" s="18">
        <v>213</v>
      </c>
      <c r="Q143" s="18">
        <v>274</v>
      </c>
      <c r="R143" s="24">
        <v>278</v>
      </c>
      <c r="S143" s="18">
        <v>286</v>
      </c>
      <c r="T143" s="18">
        <v>77.215189873417728</v>
      </c>
      <c r="U143" s="18">
        <v>75.882352941176464</v>
      </c>
      <c r="V143" s="18">
        <v>76.923076923076934</v>
      </c>
      <c r="W143" s="11">
        <v>77.934272300469488</v>
      </c>
      <c r="X143" s="11">
        <v>82.116788321167888</v>
      </c>
      <c r="Y143" s="11">
        <v>82.374100719424462</v>
      </c>
      <c r="Z143" s="11">
        <v>82.167832167832159</v>
      </c>
      <c r="AA143" s="11">
        <f t="shared" si="42"/>
        <v>76.913234054907619</v>
      </c>
      <c r="AB143" s="27">
        <f t="shared" si="43"/>
        <v>82.219573736141498</v>
      </c>
      <c r="AC143" s="2">
        <f t="shared" si="44"/>
        <v>151.66666666666666</v>
      </c>
      <c r="AD143" s="2">
        <f t="shared" si="45"/>
        <v>229.66666666666666</v>
      </c>
    </row>
    <row r="144" spans="1:30" x14ac:dyDescent="0.3">
      <c r="A144" s="1" t="s">
        <v>167</v>
      </c>
      <c r="B144" s="1" t="s">
        <v>202</v>
      </c>
      <c r="C144" s="1" t="s">
        <v>203</v>
      </c>
      <c r="D144" s="1" t="s">
        <v>203</v>
      </c>
      <c r="E144" s="2">
        <v>31001</v>
      </c>
      <c r="F144" s="18">
        <v>254</v>
      </c>
      <c r="G144" s="18">
        <v>282</v>
      </c>
      <c r="H144" s="18">
        <v>378</v>
      </c>
      <c r="I144" s="18">
        <v>445</v>
      </c>
      <c r="J144" s="18">
        <v>674</v>
      </c>
      <c r="K144" s="18">
        <v>705</v>
      </c>
      <c r="L144" s="11">
        <v>736</v>
      </c>
      <c r="M144" s="11">
        <v>296</v>
      </c>
      <c r="N144" s="11">
        <v>336</v>
      </c>
      <c r="O144" s="11">
        <v>487</v>
      </c>
      <c r="P144" s="18">
        <v>575</v>
      </c>
      <c r="Q144" s="18">
        <v>829</v>
      </c>
      <c r="R144" s="24">
        <v>861</v>
      </c>
      <c r="S144" s="18">
        <v>893</v>
      </c>
      <c r="T144" s="18">
        <v>85.810810810810807</v>
      </c>
      <c r="U144" s="18">
        <v>83.928571428571431</v>
      </c>
      <c r="V144" s="18">
        <v>77.618069815195071</v>
      </c>
      <c r="W144" s="11">
        <v>77.391304347826079</v>
      </c>
      <c r="X144" s="11">
        <v>81.302774427020509</v>
      </c>
      <c r="Y144" s="11">
        <v>81.881533101045306</v>
      </c>
      <c r="Z144" s="11">
        <v>82.418812989921605</v>
      </c>
      <c r="AA144" s="11">
        <f t="shared" si="42"/>
        <v>79.645981863864179</v>
      </c>
      <c r="AB144" s="27">
        <f t="shared" si="43"/>
        <v>81.867706839329131</v>
      </c>
      <c r="AC144" s="2">
        <f t="shared" si="44"/>
        <v>368.33333333333331</v>
      </c>
      <c r="AD144" s="2">
        <f t="shared" si="45"/>
        <v>705</v>
      </c>
    </row>
    <row r="145" spans="1:30" x14ac:dyDescent="0.3">
      <c r="A145" s="1" t="s">
        <v>167</v>
      </c>
      <c r="B145" s="1" t="s">
        <v>202</v>
      </c>
      <c r="C145" s="1" t="s">
        <v>204</v>
      </c>
      <c r="D145" s="1" t="s">
        <v>204</v>
      </c>
      <c r="E145" s="2">
        <v>31002</v>
      </c>
      <c r="F145" s="18">
        <v>64</v>
      </c>
      <c r="G145" s="18">
        <v>71</v>
      </c>
      <c r="H145" s="18">
        <v>85</v>
      </c>
      <c r="I145" s="18">
        <v>88</v>
      </c>
      <c r="J145" s="18">
        <v>123</v>
      </c>
      <c r="K145" s="18">
        <v>129</v>
      </c>
      <c r="L145" s="11">
        <v>135</v>
      </c>
      <c r="M145" s="11">
        <v>81</v>
      </c>
      <c r="N145" s="11">
        <v>88</v>
      </c>
      <c r="O145" s="11">
        <v>118</v>
      </c>
      <c r="P145" s="18">
        <v>130</v>
      </c>
      <c r="Q145" s="18">
        <v>155</v>
      </c>
      <c r="R145" s="24">
        <v>160</v>
      </c>
      <c r="S145" s="18">
        <v>167</v>
      </c>
      <c r="T145" s="18">
        <v>79.012345679012341</v>
      </c>
      <c r="U145" s="18">
        <v>80.681818181818173</v>
      </c>
      <c r="V145" s="18">
        <v>72.033898305084747</v>
      </c>
      <c r="W145" s="11">
        <v>67.692307692307693</v>
      </c>
      <c r="X145" s="11">
        <v>79.354838709677423</v>
      </c>
      <c r="Y145" s="11">
        <v>80.625</v>
      </c>
      <c r="Z145" s="11">
        <v>80.838323353293418</v>
      </c>
      <c r="AA145" s="11">
        <f t="shared" si="42"/>
        <v>73.469341393070195</v>
      </c>
      <c r="AB145" s="27">
        <f t="shared" si="43"/>
        <v>80.272720687656957</v>
      </c>
      <c r="AC145" s="2">
        <f t="shared" si="44"/>
        <v>81.333333333333329</v>
      </c>
      <c r="AD145" s="2">
        <f t="shared" si="45"/>
        <v>129</v>
      </c>
    </row>
    <row r="146" spans="1:30" x14ac:dyDescent="0.3">
      <c r="A146" s="1" t="s">
        <v>167</v>
      </c>
      <c r="B146" s="1" t="s">
        <v>202</v>
      </c>
      <c r="C146" s="1" t="s">
        <v>205</v>
      </c>
      <c r="D146" s="1" t="s">
        <v>205</v>
      </c>
      <c r="E146" s="2">
        <v>31003</v>
      </c>
      <c r="F146" s="18">
        <v>151</v>
      </c>
      <c r="G146" s="18">
        <v>172</v>
      </c>
      <c r="H146" s="18">
        <v>220</v>
      </c>
      <c r="I146" s="18">
        <v>251</v>
      </c>
      <c r="J146" s="18">
        <v>499</v>
      </c>
      <c r="K146" s="18">
        <v>524</v>
      </c>
      <c r="L146" s="11">
        <v>544</v>
      </c>
      <c r="M146" s="11">
        <v>185</v>
      </c>
      <c r="N146" s="11">
        <v>215</v>
      </c>
      <c r="O146" s="11">
        <v>342</v>
      </c>
      <c r="P146" s="18">
        <v>367</v>
      </c>
      <c r="Q146" s="18">
        <v>626</v>
      </c>
      <c r="R146" s="24">
        <v>659</v>
      </c>
      <c r="S146" s="18">
        <v>686</v>
      </c>
      <c r="T146" s="18">
        <v>81.621621621621614</v>
      </c>
      <c r="U146" s="18">
        <v>80</v>
      </c>
      <c r="V146" s="18">
        <v>64.327485380116954</v>
      </c>
      <c r="W146" s="11">
        <v>68.392370572207085</v>
      </c>
      <c r="X146" s="11">
        <v>79.712460063897765</v>
      </c>
      <c r="Y146" s="11">
        <v>79.514415781487102</v>
      </c>
      <c r="Z146" s="11">
        <v>79.300291545189509</v>
      </c>
      <c r="AA146" s="11">
        <f t="shared" si="42"/>
        <v>70.906618650774689</v>
      </c>
      <c r="AB146" s="27">
        <f t="shared" si="43"/>
        <v>79.509055796858135</v>
      </c>
      <c r="AC146" s="2">
        <f t="shared" si="44"/>
        <v>214.33333333333334</v>
      </c>
      <c r="AD146" s="2">
        <f t="shared" si="45"/>
        <v>522.33333333333337</v>
      </c>
    </row>
    <row r="147" spans="1:30" x14ac:dyDescent="0.3">
      <c r="A147" s="1" t="s">
        <v>167</v>
      </c>
      <c r="B147" s="1" t="s">
        <v>206</v>
      </c>
      <c r="C147" s="1" t="s">
        <v>206</v>
      </c>
      <c r="D147" s="1" t="s">
        <v>206</v>
      </c>
      <c r="E147" s="2">
        <v>31101</v>
      </c>
      <c r="F147" s="18">
        <v>37</v>
      </c>
      <c r="G147" s="18">
        <v>42</v>
      </c>
      <c r="H147" s="18">
        <v>47</v>
      </c>
      <c r="I147" s="18">
        <v>48</v>
      </c>
      <c r="J147" s="18">
        <v>115</v>
      </c>
      <c r="K147" s="18">
        <v>112</v>
      </c>
      <c r="L147" s="11">
        <v>120</v>
      </c>
      <c r="M147" s="11">
        <v>40</v>
      </c>
      <c r="N147" s="11">
        <v>56</v>
      </c>
      <c r="O147" s="11">
        <v>101</v>
      </c>
      <c r="P147" s="18">
        <v>101</v>
      </c>
      <c r="Q147" s="18">
        <v>154</v>
      </c>
      <c r="R147" s="24">
        <v>157</v>
      </c>
      <c r="S147" s="18">
        <v>163</v>
      </c>
      <c r="T147" s="18">
        <v>92.5</v>
      </c>
      <c r="U147" s="18">
        <v>75</v>
      </c>
      <c r="V147" s="18">
        <v>46.534653465346537</v>
      </c>
      <c r="W147" s="11">
        <v>47.524752475247524</v>
      </c>
      <c r="X147" s="11">
        <v>74.675324675324674</v>
      </c>
      <c r="Y147" s="11">
        <v>71.337579617834393</v>
      </c>
      <c r="Z147" s="11">
        <v>73.619631901840492</v>
      </c>
      <c r="AA147" s="11">
        <f t="shared" si="42"/>
        <v>56.353135313531347</v>
      </c>
      <c r="AB147" s="27">
        <f t="shared" si="43"/>
        <v>73.210845398333177</v>
      </c>
      <c r="AC147" s="2">
        <f t="shared" si="44"/>
        <v>45.666666666666664</v>
      </c>
      <c r="AD147" s="2">
        <f t="shared" si="45"/>
        <v>115.66666666666667</v>
      </c>
    </row>
    <row r="148" spans="1:30" x14ac:dyDescent="0.3">
      <c r="A148" s="1" t="s">
        <v>167</v>
      </c>
      <c r="B148" s="1" t="s">
        <v>207</v>
      </c>
      <c r="C148" s="1" t="s">
        <v>208</v>
      </c>
      <c r="D148" s="1" t="s">
        <v>208</v>
      </c>
      <c r="E148" s="2">
        <v>31201</v>
      </c>
      <c r="F148" s="18">
        <v>22</v>
      </c>
      <c r="G148" s="18">
        <v>23</v>
      </c>
      <c r="H148" s="18">
        <v>25</v>
      </c>
      <c r="I148" s="18">
        <v>25</v>
      </c>
      <c r="J148" s="18">
        <v>63</v>
      </c>
      <c r="K148" s="18">
        <v>69</v>
      </c>
      <c r="L148" s="11">
        <v>83</v>
      </c>
      <c r="M148" s="11">
        <v>28</v>
      </c>
      <c r="N148" s="11">
        <v>31</v>
      </c>
      <c r="O148" s="11">
        <v>46</v>
      </c>
      <c r="P148" s="18">
        <v>48</v>
      </c>
      <c r="Q148" s="18">
        <v>83</v>
      </c>
      <c r="R148" s="24">
        <v>89</v>
      </c>
      <c r="S148" s="18">
        <v>102</v>
      </c>
      <c r="T148" s="18">
        <v>78.571428571428569</v>
      </c>
      <c r="U148" s="18">
        <v>74.193548387096769</v>
      </c>
      <c r="V148" s="18">
        <v>54.347826086956516</v>
      </c>
      <c r="W148" s="11">
        <v>52.083333333333336</v>
      </c>
      <c r="X148" s="11">
        <v>75.903614457831324</v>
      </c>
      <c r="Y148" s="11">
        <v>77.528089887640448</v>
      </c>
      <c r="Z148" s="11">
        <v>81.372549019607845</v>
      </c>
      <c r="AA148" s="11">
        <f t="shared" si="42"/>
        <v>60.208235935795535</v>
      </c>
      <c r="AB148" s="27">
        <f t="shared" si="43"/>
        <v>78.268084455026539</v>
      </c>
      <c r="AC148" s="2">
        <f t="shared" si="44"/>
        <v>24.333333333333332</v>
      </c>
      <c r="AD148" s="2">
        <f t="shared" si="45"/>
        <v>71.666666666666671</v>
      </c>
    </row>
    <row r="149" spans="1:30" x14ac:dyDescent="0.3">
      <c r="A149" s="1" t="s">
        <v>167</v>
      </c>
      <c r="B149" s="1" t="s">
        <v>207</v>
      </c>
      <c r="C149" s="1" t="s">
        <v>209</v>
      </c>
      <c r="D149" s="1" t="s">
        <v>209</v>
      </c>
      <c r="E149" s="2">
        <v>31202</v>
      </c>
      <c r="F149" s="18">
        <v>19</v>
      </c>
      <c r="G149" s="18">
        <v>21</v>
      </c>
      <c r="H149" s="18">
        <v>26</v>
      </c>
      <c r="I149" s="18">
        <v>27</v>
      </c>
      <c r="J149" s="18">
        <v>61</v>
      </c>
      <c r="K149" s="18">
        <v>70</v>
      </c>
      <c r="L149" s="11">
        <v>77</v>
      </c>
      <c r="M149" s="11">
        <v>30</v>
      </c>
      <c r="N149" s="11">
        <v>33</v>
      </c>
      <c r="O149" s="11">
        <v>47</v>
      </c>
      <c r="P149" s="18">
        <v>47</v>
      </c>
      <c r="Q149" s="18">
        <v>85</v>
      </c>
      <c r="R149" s="24">
        <v>92</v>
      </c>
      <c r="S149" s="18">
        <v>102</v>
      </c>
      <c r="T149" s="18">
        <v>63.333333333333329</v>
      </c>
      <c r="U149" s="18">
        <v>63.636363636363633</v>
      </c>
      <c r="V149" s="18">
        <v>55.319148936170215</v>
      </c>
      <c r="W149" s="11">
        <v>57.446808510638306</v>
      </c>
      <c r="X149" s="11">
        <v>71.764705882352942</v>
      </c>
      <c r="Y149" s="11">
        <v>76.08695652173914</v>
      </c>
      <c r="Z149" s="11">
        <v>75.490196078431367</v>
      </c>
      <c r="AA149" s="11">
        <f t="shared" si="42"/>
        <v>58.80077369439072</v>
      </c>
      <c r="AB149" s="27">
        <f t="shared" si="43"/>
        <v>74.447286160841145</v>
      </c>
      <c r="AC149" s="2">
        <f t="shared" si="44"/>
        <v>24.666666666666668</v>
      </c>
      <c r="AD149" s="2">
        <f t="shared" si="45"/>
        <v>69.333333333333329</v>
      </c>
    </row>
    <row r="150" spans="1:30" x14ac:dyDescent="0.3">
      <c r="A150" s="1" t="s">
        <v>167</v>
      </c>
      <c r="B150" s="1" t="s">
        <v>207</v>
      </c>
      <c r="C150" s="1" t="s">
        <v>210</v>
      </c>
      <c r="D150" s="1" t="s">
        <v>210</v>
      </c>
      <c r="E150" s="2">
        <v>31203</v>
      </c>
      <c r="F150" s="18">
        <v>18</v>
      </c>
      <c r="G150" s="18">
        <v>19</v>
      </c>
      <c r="H150" s="18">
        <v>32</v>
      </c>
      <c r="I150" s="18">
        <v>38</v>
      </c>
      <c r="J150" s="18">
        <v>59</v>
      </c>
      <c r="K150" s="18">
        <v>64</v>
      </c>
      <c r="L150" s="11">
        <v>62</v>
      </c>
      <c r="M150" s="11">
        <v>22</v>
      </c>
      <c r="N150" s="11">
        <v>26</v>
      </c>
      <c r="O150" s="11">
        <v>55</v>
      </c>
      <c r="P150" s="18">
        <v>60</v>
      </c>
      <c r="Q150" s="18">
        <v>75</v>
      </c>
      <c r="R150" s="24">
        <v>80</v>
      </c>
      <c r="S150" s="18">
        <v>81</v>
      </c>
      <c r="T150" s="18">
        <v>81.818181818181827</v>
      </c>
      <c r="U150" s="18">
        <v>73.076923076923066</v>
      </c>
      <c r="V150" s="18">
        <v>58.18181818181818</v>
      </c>
      <c r="W150" s="11">
        <v>63.333333333333329</v>
      </c>
      <c r="X150" s="11">
        <v>78.666666666666657</v>
      </c>
      <c r="Y150" s="11">
        <v>80</v>
      </c>
      <c r="Z150" s="11">
        <v>76.543209876543202</v>
      </c>
      <c r="AA150" s="11">
        <f t="shared" si="42"/>
        <v>64.86402486402487</v>
      </c>
      <c r="AB150" s="27">
        <f t="shared" si="43"/>
        <v>78.403292181069958</v>
      </c>
      <c r="AC150" s="2">
        <f t="shared" si="44"/>
        <v>29.666666666666668</v>
      </c>
      <c r="AD150" s="2">
        <f t="shared" si="45"/>
        <v>61.666666666666664</v>
      </c>
    </row>
    <row r="151" spans="1:30" x14ac:dyDescent="0.3">
      <c r="A151" s="1" t="s">
        <v>167</v>
      </c>
      <c r="B151" s="1" t="s">
        <v>207</v>
      </c>
      <c r="C151" s="1" t="s">
        <v>211</v>
      </c>
      <c r="D151" s="1" t="s">
        <v>211</v>
      </c>
      <c r="E151" s="2">
        <v>31204</v>
      </c>
      <c r="F151" s="18">
        <v>49</v>
      </c>
      <c r="G151" s="18">
        <v>62</v>
      </c>
      <c r="H151" s="18">
        <v>71</v>
      </c>
      <c r="I151" s="18">
        <v>88</v>
      </c>
      <c r="J151" s="18">
        <v>165</v>
      </c>
      <c r="K151" s="18">
        <v>165</v>
      </c>
      <c r="L151" s="11">
        <v>167</v>
      </c>
      <c r="M151" s="11">
        <v>59</v>
      </c>
      <c r="N151" s="11">
        <v>73</v>
      </c>
      <c r="O151" s="11">
        <v>96</v>
      </c>
      <c r="P151" s="18">
        <v>123</v>
      </c>
      <c r="Q151" s="18">
        <v>213</v>
      </c>
      <c r="R151" s="24">
        <v>217</v>
      </c>
      <c r="S151" s="18">
        <v>221</v>
      </c>
      <c r="T151" s="18">
        <v>83.050847457627114</v>
      </c>
      <c r="U151" s="18">
        <v>84.93150684931507</v>
      </c>
      <c r="V151" s="18">
        <v>73.958333333333343</v>
      </c>
      <c r="W151" s="11">
        <v>71.544715447154474</v>
      </c>
      <c r="X151" s="11">
        <v>77.464788732394368</v>
      </c>
      <c r="Y151" s="11">
        <v>76.036866359447004</v>
      </c>
      <c r="Z151" s="11">
        <v>75.565610859728508</v>
      </c>
      <c r="AA151" s="11">
        <f t="shared" si="42"/>
        <v>76.811518543267638</v>
      </c>
      <c r="AB151" s="27">
        <f t="shared" si="43"/>
        <v>76.35575531718996</v>
      </c>
      <c r="AC151" s="2">
        <f t="shared" si="44"/>
        <v>73.666666666666671</v>
      </c>
      <c r="AD151" s="2">
        <f t="shared" si="45"/>
        <v>165.66666666666666</v>
      </c>
    </row>
    <row r="152" spans="1:30" x14ac:dyDescent="0.3">
      <c r="A152" s="1" t="s">
        <v>167</v>
      </c>
      <c r="B152" s="1" t="s">
        <v>207</v>
      </c>
      <c r="C152" s="1" t="s">
        <v>212</v>
      </c>
      <c r="D152" s="1" t="s">
        <v>212</v>
      </c>
      <c r="E152" s="2">
        <v>31205</v>
      </c>
      <c r="F152" s="18">
        <v>116</v>
      </c>
      <c r="G152" s="18">
        <v>153</v>
      </c>
      <c r="H152" s="18">
        <v>184</v>
      </c>
      <c r="I152" s="18">
        <v>202</v>
      </c>
      <c r="J152" s="18">
        <v>352</v>
      </c>
      <c r="K152" s="18">
        <v>367</v>
      </c>
      <c r="L152" s="11">
        <v>380</v>
      </c>
      <c r="M152" s="11">
        <v>166</v>
      </c>
      <c r="N152" s="11">
        <v>204</v>
      </c>
      <c r="O152" s="11">
        <v>279</v>
      </c>
      <c r="P152" s="18">
        <v>304</v>
      </c>
      <c r="Q152" s="18">
        <v>436</v>
      </c>
      <c r="R152" s="24">
        <v>459</v>
      </c>
      <c r="S152" s="18">
        <v>478</v>
      </c>
      <c r="T152" s="18">
        <v>69.879518072289159</v>
      </c>
      <c r="U152" s="18">
        <v>75</v>
      </c>
      <c r="V152" s="18">
        <v>65.949820788530474</v>
      </c>
      <c r="W152" s="11">
        <v>66.44736842105263</v>
      </c>
      <c r="X152" s="11">
        <v>80.733944954128447</v>
      </c>
      <c r="Y152" s="11">
        <v>79.95642701525054</v>
      </c>
      <c r="Z152" s="11">
        <v>79.497907949790786</v>
      </c>
      <c r="AA152" s="11">
        <f t="shared" si="42"/>
        <v>69.132396403194363</v>
      </c>
      <c r="AB152" s="27">
        <f t="shared" si="43"/>
        <v>80.062759973056586</v>
      </c>
      <c r="AC152" s="2">
        <f t="shared" si="44"/>
        <v>179.66666666666666</v>
      </c>
      <c r="AD152" s="2">
        <f t="shared" si="45"/>
        <v>366.33333333333331</v>
      </c>
    </row>
    <row r="153" spans="1:30" x14ac:dyDescent="0.3">
      <c r="A153" s="1" t="s">
        <v>167</v>
      </c>
      <c r="B153" s="1" t="s">
        <v>207</v>
      </c>
      <c r="C153" s="1" t="s">
        <v>213</v>
      </c>
      <c r="D153" s="1" t="s">
        <v>213</v>
      </c>
      <c r="E153" s="2">
        <v>31206</v>
      </c>
      <c r="F153" s="18">
        <v>69</v>
      </c>
      <c r="G153" s="18">
        <v>78</v>
      </c>
      <c r="H153" s="18">
        <v>100</v>
      </c>
      <c r="I153" s="18">
        <v>111</v>
      </c>
      <c r="J153" s="18">
        <v>230</v>
      </c>
      <c r="K153" s="18">
        <v>232</v>
      </c>
      <c r="L153" s="11">
        <v>237</v>
      </c>
      <c r="M153" s="11">
        <v>84</v>
      </c>
      <c r="N153" s="11">
        <v>96</v>
      </c>
      <c r="O153" s="11">
        <v>152</v>
      </c>
      <c r="P153" s="18">
        <v>164</v>
      </c>
      <c r="Q153" s="18">
        <v>291</v>
      </c>
      <c r="R153" s="24">
        <v>306</v>
      </c>
      <c r="S153" s="18">
        <v>320</v>
      </c>
      <c r="T153" s="18">
        <v>82.142857142857139</v>
      </c>
      <c r="U153" s="18">
        <v>81.25</v>
      </c>
      <c r="V153" s="18">
        <v>65.789473684210535</v>
      </c>
      <c r="W153" s="11">
        <v>67.682926829268297</v>
      </c>
      <c r="X153" s="11">
        <v>79.037800687285227</v>
      </c>
      <c r="Y153" s="11">
        <v>75.816993464052288</v>
      </c>
      <c r="Z153" s="11">
        <v>74.0625</v>
      </c>
      <c r="AA153" s="11">
        <f t="shared" si="42"/>
        <v>71.574133504492934</v>
      </c>
      <c r="AB153" s="27">
        <f t="shared" si="43"/>
        <v>76.305764717112496</v>
      </c>
      <c r="AC153" s="2">
        <f t="shared" si="44"/>
        <v>96.333333333333329</v>
      </c>
      <c r="AD153" s="2">
        <f t="shared" si="45"/>
        <v>233</v>
      </c>
    </row>
    <row r="154" spans="1:30" x14ac:dyDescent="0.3">
      <c r="A154" s="1" t="s">
        <v>167</v>
      </c>
      <c r="B154" s="1" t="s">
        <v>214</v>
      </c>
      <c r="C154" s="1" t="s">
        <v>214</v>
      </c>
      <c r="D154" s="1" t="s">
        <v>214</v>
      </c>
      <c r="E154" s="2">
        <v>31301</v>
      </c>
      <c r="F154" s="18">
        <v>51</v>
      </c>
      <c r="G154" s="18">
        <v>58</v>
      </c>
      <c r="H154" s="18">
        <v>75</v>
      </c>
      <c r="I154" s="18">
        <v>82</v>
      </c>
      <c r="J154" s="18">
        <v>154</v>
      </c>
      <c r="K154" s="18">
        <v>158</v>
      </c>
      <c r="L154" s="11">
        <v>164</v>
      </c>
      <c r="M154" s="11">
        <v>58</v>
      </c>
      <c r="N154" s="11">
        <v>68</v>
      </c>
      <c r="O154" s="11">
        <v>112</v>
      </c>
      <c r="P154" s="18">
        <v>121</v>
      </c>
      <c r="Q154" s="18">
        <v>196</v>
      </c>
      <c r="R154" s="24">
        <v>199</v>
      </c>
      <c r="S154" s="18">
        <v>206</v>
      </c>
      <c r="T154" s="18">
        <v>87.931034482758619</v>
      </c>
      <c r="U154" s="18">
        <v>85.294117647058826</v>
      </c>
      <c r="V154" s="18">
        <v>66.964285714285708</v>
      </c>
      <c r="W154" s="11">
        <v>67.768595041322314</v>
      </c>
      <c r="X154" s="11">
        <v>78.571428571428569</v>
      </c>
      <c r="Y154" s="11">
        <v>79.396984924623112</v>
      </c>
      <c r="Z154" s="11">
        <v>79.611650485436897</v>
      </c>
      <c r="AA154" s="11">
        <f t="shared" si="42"/>
        <v>73.34233280088894</v>
      </c>
      <c r="AB154" s="27">
        <f t="shared" si="43"/>
        <v>79.193354660496198</v>
      </c>
      <c r="AC154" s="2">
        <f t="shared" si="44"/>
        <v>71.666666666666671</v>
      </c>
      <c r="AD154" s="2">
        <f t="shared" si="45"/>
        <v>158.66666666666666</v>
      </c>
    </row>
    <row r="155" spans="1:30" x14ac:dyDescent="0.3">
      <c r="A155" s="1" t="s">
        <v>167</v>
      </c>
      <c r="B155" s="1" t="s">
        <v>214</v>
      </c>
      <c r="C155" s="1" t="s">
        <v>215</v>
      </c>
      <c r="D155" s="1" t="s">
        <v>215</v>
      </c>
      <c r="E155" s="2">
        <v>31302</v>
      </c>
      <c r="F155" s="18">
        <v>9</v>
      </c>
      <c r="G155" s="18">
        <v>8</v>
      </c>
      <c r="H155" s="18">
        <v>10</v>
      </c>
      <c r="I155" s="18">
        <v>11</v>
      </c>
      <c r="J155" s="18">
        <v>21</v>
      </c>
      <c r="K155" s="18">
        <v>22</v>
      </c>
      <c r="L155" s="11">
        <v>22</v>
      </c>
      <c r="M155" s="11">
        <v>10</v>
      </c>
      <c r="N155" s="11">
        <v>10</v>
      </c>
      <c r="O155" s="11">
        <v>14</v>
      </c>
      <c r="P155" s="18">
        <v>14</v>
      </c>
      <c r="Q155" s="18">
        <v>27</v>
      </c>
      <c r="R155" s="24">
        <v>28</v>
      </c>
      <c r="S155" s="18">
        <v>28</v>
      </c>
      <c r="T155" s="18">
        <v>90</v>
      </c>
      <c r="U155" s="18">
        <v>80</v>
      </c>
      <c r="V155" s="18">
        <v>71.428571428571431</v>
      </c>
      <c r="W155" s="11">
        <v>78.571428571428569</v>
      </c>
      <c r="X155" s="11">
        <v>77.777777777777786</v>
      </c>
      <c r="Y155" s="11">
        <v>78.571428571428569</v>
      </c>
      <c r="Z155" s="11">
        <v>78.571428571428569</v>
      </c>
      <c r="AA155" s="11">
        <f t="shared" si="42"/>
        <v>76.666666666666671</v>
      </c>
      <c r="AB155" s="27">
        <f t="shared" si="43"/>
        <v>78.306878306878318</v>
      </c>
      <c r="AC155" s="2">
        <f t="shared" si="44"/>
        <v>9.6666666666666661</v>
      </c>
      <c r="AD155" s="2">
        <f t="shared" si="45"/>
        <v>21.666666666666668</v>
      </c>
    </row>
    <row r="156" spans="1:30" x14ac:dyDescent="0.3">
      <c r="A156" s="1" t="s">
        <v>167</v>
      </c>
      <c r="B156" s="1" t="s">
        <v>214</v>
      </c>
      <c r="C156" s="1" t="s">
        <v>216</v>
      </c>
      <c r="D156" s="1" t="s">
        <v>216</v>
      </c>
      <c r="E156" s="2">
        <v>31303</v>
      </c>
      <c r="F156" s="18">
        <v>4</v>
      </c>
      <c r="G156" s="18">
        <v>4</v>
      </c>
      <c r="H156" s="18">
        <v>5</v>
      </c>
      <c r="I156" s="18">
        <v>5</v>
      </c>
      <c r="J156" s="18">
        <v>7</v>
      </c>
      <c r="K156" s="18">
        <v>7</v>
      </c>
      <c r="L156" s="11">
        <v>7</v>
      </c>
      <c r="M156" s="11">
        <v>5</v>
      </c>
      <c r="N156" s="11">
        <v>5</v>
      </c>
      <c r="O156" s="11">
        <v>9</v>
      </c>
      <c r="P156" s="18">
        <v>9</v>
      </c>
      <c r="Q156" s="18">
        <v>9</v>
      </c>
      <c r="R156" s="24">
        <v>11</v>
      </c>
      <c r="S156" s="18">
        <v>11</v>
      </c>
      <c r="T156" s="18">
        <v>80</v>
      </c>
      <c r="U156" s="18">
        <v>80</v>
      </c>
      <c r="V156" s="18">
        <v>55.555555555555557</v>
      </c>
      <c r="W156" s="11">
        <v>55.555555555555557</v>
      </c>
      <c r="X156" s="11">
        <v>77.777777777777786</v>
      </c>
      <c r="Y156" s="11">
        <v>63.636363636363633</v>
      </c>
      <c r="Z156" s="11">
        <v>63.636363636363633</v>
      </c>
      <c r="AA156" s="11">
        <f t="shared" si="42"/>
        <v>63.703703703703695</v>
      </c>
      <c r="AB156" s="27">
        <f t="shared" si="43"/>
        <v>68.350168350168346</v>
      </c>
      <c r="AC156" s="2">
        <f t="shared" si="44"/>
        <v>4.666666666666667</v>
      </c>
      <c r="AD156" s="2">
        <f t="shared" si="45"/>
        <v>7</v>
      </c>
    </row>
    <row r="157" spans="1:30" x14ac:dyDescent="0.3">
      <c r="A157" s="1" t="s">
        <v>167</v>
      </c>
      <c r="B157" s="1" t="s">
        <v>214</v>
      </c>
      <c r="C157" s="1" t="s">
        <v>217</v>
      </c>
      <c r="D157" s="1" t="s">
        <v>218</v>
      </c>
      <c r="E157" s="2">
        <v>31304</v>
      </c>
      <c r="F157" s="18">
        <v>69</v>
      </c>
      <c r="G157" s="18">
        <v>78</v>
      </c>
      <c r="H157" s="18">
        <v>100</v>
      </c>
      <c r="I157" s="18">
        <v>111</v>
      </c>
      <c r="J157" s="18">
        <v>230</v>
      </c>
      <c r="K157" s="18">
        <v>232</v>
      </c>
      <c r="L157" s="11">
        <v>237</v>
      </c>
      <c r="M157" s="11">
        <v>84</v>
      </c>
      <c r="N157" s="11">
        <v>96</v>
      </c>
      <c r="O157" s="11">
        <v>152</v>
      </c>
      <c r="P157" s="18">
        <v>164</v>
      </c>
      <c r="Q157" s="18">
        <v>291</v>
      </c>
      <c r="R157" s="24">
        <v>306</v>
      </c>
      <c r="S157" s="18">
        <v>320</v>
      </c>
      <c r="T157" s="18">
        <v>82.142857142857139</v>
      </c>
      <c r="U157" s="18">
        <v>81.25</v>
      </c>
      <c r="V157" s="18">
        <v>65.789473684210535</v>
      </c>
      <c r="W157" s="11">
        <v>67.682926829268297</v>
      </c>
      <c r="X157" s="11">
        <v>79.037800687285227</v>
      </c>
      <c r="Y157" s="11">
        <v>75.816993464052288</v>
      </c>
      <c r="Z157" s="11">
        <v>74.0625</v>
      </c>
      <c r="AA157" s="11">
        <f t="shared" si="42"/>
        <v>71.574133504492934</v>
      </c>
      <c r="AB157" s="27">
        <f t="shared" si="43"/>
        <v>76.305764717112496</v>
      </c>
      <c r="AC157" s="2">
        <f t="shared" si="44"/>
        <v>96.333333333333329</v>
      </c>
      <c r="AD157" s="2">
        <f t="shared" si="45"/>
        <v>233</v>
      </c>
    </row>
    <row r="158" spans="1:30" x14ac:dyDescent="0.3">
      <c r="A158" s="1" t="s">
        <v>167</v>
      </c>
      <c r="B158" s="1" t="s">
        <v>219</v>
      </c>
      <c r="C158" s="1" t="s">
        <v>219</v>
      </c>
      <c r="D158" s="1" t="s">
        <v>220</v>
      </c>
      <c r="E158" s="2">
        <v>31401</v>
      </c>
      <c r="F158" s="18">
        <v>107</v>
      </c>
      <c r="G158" s="18">
        <v>111</v>
      </c>
      <c r="H158" s="18">
        <v>151</v>
      </c>
      <c r="I158" s="18">
        <v>165</v>
      </c>
      <c r="J158" s="18">
        <v>189</v>
      </c>
      <c r="K158" s="18">
        <v>186</v>
      </c>
      <c r="L158" s="11">
        <v>191</v>
      </c>
      <c r="M158" s="11">
        <v>131</v>
      </c>
      <c r="N158" s="11">
        <v>133</v>
      </c>
      <c r="O158" s="11">
        <v>193</v>
      </c>
      <c r="P158" s="18">
        <v>208</v>
      </c>
      <c r="Q158" s="18">
        <v>226</v>
      </c>
      <c r="R158" s="24">
        <v>227</v>
      </c>
      <c r="S158" s="18">
        <v>234</v>
      </c>
      <c r="T158" s="18">
        <v>81.679389312977108</v>
      </c>
      <c r="U158" s="18">
        <v>83.458646616541358</v>
      </c>
      <c r="V158" s="18">
        <v>78.238341968911911</v>
      </c>
      <c r="W158" s="11">
        <v>79.326923076923066</v>
      </c>
      <c r="X158" s="11">
        <v>83.628318584070797</v>
      </c>
      <c r="Y158" s="11">
        <v>81.93832599118943</v>
      </c>
      <c r="Z158" s="11">
        <v>81.623931623931625</v>
      </c>
      <c r="AA158" s="11">
        <f t="shared" si="42"/>
        <v>80.341303887458778</v>
      </c>
      <c r="AB158" s="27">
        <f t="shared" si="43"/>
        <v>82.396858733063951</v>
      </c>
      <c r="AC158" s="2">
        <f t="shared" si="44"/>
        <v>142.33333333333334</v>
      </c>
      <c r="AD158" s="2">
        <f t="shared" si="45"/>
        <v>188.66666666666666</v>
      </c>
    </row>
    <row r="159" spans="1:30" x14ac:dyDescent="0.3">
      <c r="A159" s="1" t="s">
        <v>167</v>
      </c>
      <c r="B159" s="1" t="s">
        <v>219</v>
      </c>
      <c r="C159" s="1" t="s">
        <v>221</v>
      </c>
      <c r="D159" s="1" t="s">
        <v>221</v>
      </c>
      <c r="E159" s="2">
        <v>31402</v>
      </c>
      <c r="F159" s="18">
        <v>32</v>
      </c>
      <c r="G159" s="18">
        <v>34</v>
      </c>
      <c r="H159" s="18">
        <v>37</v>
      </c>
      <c r="I159" s="18">
        <v>39</v>
      </c>
      <c r="J159" s="18">
        <v>42</v>
      </c>
      <c r="K159" s="18">
        <v>46</v>
      </c>
      <c r="L159" s="11">
        <v>46</v>
      </c>
      <c r="M159" s="11">
        <v>44</v>
      </c>
      <c r="N159" s="11">
        <v>47</v>
      </c>
      <c r="O159" s="11">
        <v>55</v>
      </c>
      <c r="P159" s="18">
        <v>56</v>
      </c>
      <c r="Q159" s="18">
        <v>59</v>
      </c>
      <c r="R159" s="24">
        <v>64</v>
      </c>
      <c r="S159" s="18">
        <v>63</v>
      </c>
      <c r="T159" s="18">
        <v>72.727272727272734</v>
      </c>
      <c r="U159" s="18">
        <v>72.340425531914903</v>
      </c>
      <c r="V159" s="18">
        <v>67.272727272727266</v>
      </c>
      <c r="W159" s="11">
        <v>69.642857142857139</v>
      </c>
      <c r="X159" s="11">
        <v>71.186440677966104</v>
      </c>
      <c r="Y159" s="11">
        <v>71.875</v>
      </c>
      <c r="Z159" s="11">
        <v>73.015873015873012</v>
      </c>
      <c r="AA159" s="11">
        <f t="shared" si="42"/>
        <v>69.752003315833107</v>
      </c>
      <c r="AB159" s="27">
        <f t="shared" si="43"/>
        <v>72.025771231279705</v>
      </c>
      <c r="AC159" s="2">
        <f t="shared" si="44"/>
        <v>36.666666666666664</v>
      </c>
      <c r="AD159" s="2">
        <f t="shared" si="45"/>
        <v>44.666666666666664</v>
      </c>
    </row>
    <row r="160" spans="1:30" x14ac:dyDescent="0.3">
      <c r="A160" s="1" t="s">
        <v>167</v>
      </c>
      <c r="B160" s="1" t="s">
        <v>219</v>
      </c>
      <c r="C160" s="1" t="s">
        <v>222</v>
      </c>
      <c r="D160" s="1" t="s">
        <v>223</v>
      </c>
      <c r="E160" s="2">
        <v>31403</v>
      </c>
      <c r="F160" s="18">
        <v>50</v>
      </c>
      <c r="G160" s="18">
        <v>51</v>
      </c>
      <c r="H160" s="18">
        <v>67</v>
      </c>
      <c r="I160" s="18">
        <v>73</v>
      </c>
      <c r="J160" s="18">
        <v>75</v>
      </c>
      <c r="K160" s="18">
        <v>74</v>
      </c>
      <c r="L160" s="11">
        <v>72</v>
      </c>
      <c r="M160" s="11">
        <v>62</v>
      </c>
      <c r="N160" s="11">
        <v>62</v>
      </c>
      <c r="O160" s="11">
        <v>88</v>
      </c>
      <c r="P160" s="18">
        <v>95</v>
      </c>
      <c r="Q160" s="18">
        <v>99</v>
      </c>
      <c r="R160" s="24">
        <v>98</v>
      </c>
      <c r="S160" s="18">
        <v>104</v>
      </c>
      <c r="T160" s="18">
        <v>80.645161290322577</v>
      </c>
      <c r="U160" s="18">
        <v>82.258064516129039</v>
      </c>
      <c r="V160" s="18">
        <v>76.13636363636364</v>
      </c>
      <c r="W160" s="11">
        <v>76.84210526315789</v>
      </c>
      <c r="X160" s="11">
        <v>75.757575757575751</v>
      </c>
      <c r="Y160" s="11">
        <v>75.510204081632651</v>
      </c>
      <c r="Z160" s="11">
        <v>69.230769230769226</v>
      </c>
      <c r="AA160" s="11">
        <f t="shared" si="42"/>
        <v>78.412177805216857</v>
      </c>
      <c r="AB160" s="27">
        <f t="shared" si="43"/>
        <v>73.499516356659214</v>
      </c>
      <c r="AC160" s="2">
        <f t="shared" si="44"/>
        <v>63.666666666666664</v>
      </c>
      <c r="AD160" s="2">
        <f t="shared" si="45"/>
        <v>73.666666666666671</v>
      </c>
    </row>
    <row r="161" spans="1:30" x14ac:dyDescent="0.3">
      <c r="A161" s="1" t="s">
        <v>167</v>
      </c>
      <c r="B161" s="1" t="s">
        <v>219</v>
      </c>
      <c r="C161" s="1" t="s">
        <v>224</v>
      </c>
      <c r="D161" s="1" t="s">
        <v>224</v>
      </c>
      <c r="E161" s="2">
        <v>31404</v>
      </c>
      <c r="F161" s="21"/>
      <c r="G161" s="21"/>
      <c r="H161" s="21"/>
      <c r="I161" s="22"/>
      <c r="J161" s="22"/>
      <c r="K161" s="22"/>
      <c r="L161" s="11"/>
      <c r="M161" s="11"/>
      <c r="N161" s="11"/>
      <c r="O161" s="11"/>
      <c r="P161" s="1"/>
      <c r="Q161" s="1"/>
      <c r="R161" s="25"/>
      <c r="S161" s="1"/>
      <c r="T161" s="1"/>
      <c r="U161" s="1"/>
      <c r="V161" s="1"/>
      <c r="W161" s="11"/>
      <c r="X161" s="11"/>
      <c r="Y161" s="11"/>
      <c r="Z161" s="11"/>
      <c r="AA161" s="11"/>
      <c r="AB161" s="27"/>
      <c r="AC161" s="2"/>
      <c r="AD161" s="2"/>
    </row>
    <row r="162" spans="1:30" x14ac:dyDescent="0.3">
      <c r="A162" s="1" t="s">
        <v>167</v>
      </c>
      <c r="B162" s="1" t="s">
        <v>219</v>
      </c>
      <c r="C162" s="1" t="s">
        <v>225</v>
      </c>
      <c r="D162" s="1" t="s">
        <v>226</v>
      </c>
      <c r="E162" s="2">
        <v>31405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1">
        <v>0</v>
      </c>
      <c r="M162" s="11">
        <v>0</v>
      </c>
      <c r="N162" s="11">
        <v>0</v>
      </c>
      <c r="O162" s="11">
        <v>2</v>
      </c>
      <c r="P162" s="1">
        <v>2</v>
      </c>
      <c r="Q162" s="1">
        <v>0</v>
      </c>
      <c r="R162" s="25">
        <v>0</v>
      </c>
      <c r="S162" s="1">
        <v>1</v>
      </c>
      <c r="T162" s="1"/>
      <c r="U162" s="1"/>
      <c r="V162" s="1"/>
      <c r="W162" s="11"/>
      <c r="X162" s="11"/>
      <c r="Y162" s="11"/>
      <c r="Z162" s="11"/>
      <c r="AA162" s="11"/>
      <c r="AB162" s="27"/>
      <c r="AC162" s="2">
        <f t="shared" si="44"/>
        <v>0</v>
      </c>
      <c r="AD162" s="2">
        <f t="shared" si="45"/>
        <v>0</v>
      </c>
    </row>
    <row r="163" spans="1:30" x14ac:dyDescent="0.3">
      <c r="A163" s="1" t="s">
        <v>167</v>
      </c>
      <c r="B163" s="1" t="s">
        <v>227</v>
      </c>
      <c r="C163" s="1" t="s">
        <v>227</v>
      </c>
      <c r="D163" s="1" t="s">
        <v>227</v>
      </c>
      <c r="E163" s="2">
        <v>31501</v>
      </c>
      <c r="F163" s="18">
        <v>10</v>
      </c>
      <c r="G163" s="18">
        <v>9</v>
      </c>
      <c r="H163" s="18">
        <v>15</v>
      </c>
      <c r="I163" s="18">
        <v>16</v>
      </c>
      <c r="J163" s="18">
        <v>24</v>
      </c>
      <c r="K163" s="18">
        <v>22</v>
      </c>
      <c r="L163" s="11">
        <v>23</v>
      </c>
      <c r="M163" s="11">
        <v>18</v>
      </c>
      <c r="N163" s="11">
        <v>18</v>
      </c>
      <c r="O163" s="11">
        <v>27</v>
      </c>
      <c r="P163" s="18">
        <v>27</v>
      </c>
      <c r="Q163" s="18">
        <v>34</v>
      </c>
      <c r="R163" s="24">
        <v>33</v>
      </c>
      <c r="S163" s="18">
        <v>33</v>
      </c>
      <c r="T163" s="18">
        <v>55.555555555555557</v>
      </c>
      <c r="U163" s="18">
        <v>50</v>
      </c>
      <c r="V163" s="18">
        <v>55.555555555555557</v>
      </c>
      <c r="W163" s="11">
        <v>59.259259259259252</v>
      </c>
      <c r="X163" s="11">
        <v>70.588235294117652</v>
      </c>
      <c r="Y163" s="11">
        <v>66.666666666666657</v>
      </c>
      <c r="Z163" s="11">
        <v>69.696969696969703</v>
      </c>
      <c r="AA163" s="11">
        <f t="shared" si="42"/>
        <v>54.938271604938272</v>
      </c>
      <c r="AB163" s="27">
        <f t="shared" si="43"/>
        <v>68.983957219251337</v>
      </c>
      <c r="AC163" s="2">
        <f t="shared" si="44"/>
        <v>13.333333333333334</v>
      </c>
      <c r="AD163" s="2">
        <f t="shared" si="45"/>
        <v>23</v>
      </c>
    </row>
    <row r="164" spans="1:30" x14ac:dyDescent="0.3">
      <c r="A164" s="1" t="s">
        <v>167</v>
      </c>
      <c r="B164" s="1" t="s">
        <v>228</v>
      </c>
      <c r="C164" s="1" t="s">
        <v>228</v>
      </c>
      <c r="D164" s="1" t="s">
        <v>228</v>
      </c>
      <c r="E164" s="2">
        <v>31601</v>
      </c>
      <c r="F164" s="18">
        <v>119</v>
      </c>
      <c r="G164" s="18">
        <v>135</v>
      </c>
      <c r="H164" s="18">
        <v>149</v>
      </c>
      <c r="I164" s="18">
        <v>86</v>
      </c>
      <c r="J164" s="18">
        <v>128</v>
      </c>
      <c r="K164" s="18">
        <v>130</v>
      </c>
      <c r="L164" s="11">
        <v>132</v>
      </c>
      <c r="M164" s="11">
        <v>163</v>
      </c>
      <c r="N164" s="11">
        <v>178</v>
      </c>
      <c r="O164" s="11">
        <v>226</v>
      </c>
      <c r="P164" s="18">
        <v>125</v>
      </c>
      <c r="Q164" s="18">
        <v>156</v>
      </c>
      <c r="R164" s="24">
        <v>161</v>
      </c>
      <c r="S164" s="18">
        <v>162</v>
      </c>
      <c r="T164" s="18">
        <v>73.00613496932516</v>
      </c>
      <c r="U164" s="18">
        <v>75.842696629213478</v>
      </c>
      <c r="V164" s="18">
        <v>65.929203539823007</v>
      </c>
      <c r="W164" s="11">
        <v>68.8</v>
      </c>
      <c r="X164" s="11">
        <v>82.051282051282044</v>
      </c>
      <c r="Y164" s="11">
        <v>80.745341614906835</v>
      </c>
      <c r="Z164" s="11">
        <v>81.481481481481481</v>
      </c>
      <c r="AA164" s="11">
        <f t="shared" si="42"/>
        <v>70.190633389678837</v>
      </c>
      <c r="AB164" s="27">
        <f t="shared" si="43"/>
        <v>81.426035049223458</v>
      </c>
      <c r="AC164" s="2">
        <f t="shared" si="44"/>
        <v>123.33333333333333</v>
      </c>
      <c r="AD164" s="2">
        <f t="shared" si="45"/>
        <v>130</v>
      </c>
    </row>
    <row r="165" spans="1:30" x14ac:dyDescent="0.3">
      <c r="A165" s="1" t="s">
        <v>167</v>
      </c>
      <c r="B165" s="1" t="s">
        <v>228</v>
      </c>
      <c r="C165" s="1" t="s">
        <v>229</v>
      </c>
      <c r="D165" s="1" t="s">
        <v>229</v>
      </c>
      <c r="E165" s="2">
        <v>31602</v>
      </c>
      <c r="F165" s="18">
        <v>0</v>
      </c>
      <c r="G165" s="18">
        <v>0</v>
      </c>
      <c r="H165" s="18">
        <v>0</v>
      </c>
      <c r="I165" s="18">
        <v>71</v>
      </c>
      <c r="J165" s="18">
        <v>162</v>
      </c>
      <c r="K165" s="18">
        <v>166</v>
      </c>
      <c r="L165" s="11">
        <v>162</v>
      </c>
      <c r="M165" s="11">
        <v>0</v>
      </c>
      <c r="N165" s="11">
        <v>0</v>
      </c>
      <c r="O165" s="11">
        <v>0</v>
      </c>
      <c r="P165" s="18">
        <v>109</v>
      </c>
      <c r="Q165" s="18">
        <v>214</v>
      </c>
      <c r="R165" s="24">
        <v>226</v>
      </c>
      <c r="S165" s="18">
        <v>226</v>
      </c>
      <c r="T165" s="18"/>
      <c r="U165" s="18"/>
      <c r="V165" s="18"/>
      <c r="W165" s="11">
        <v>65.137614678899084</v>
      </c>
      <c r="X165" s="11">
        <v>75.700934579439249</v>
      </c>
      <c r="Y165" s="11">
        <v>73.451327433628322</v>
      </c>
      <c r="Z165" s="11">
        <v>71.681415929203538</v>
      </c>
      <c r="AA165" s="11">
        <f t="shared" si="42"/>
        <v>65.137614678899084</v>
      </c>
      <c r="AB165" s="27">
        <f t="shared" si="43"/>
        <v>73.611225980757027</v>
      </c>
      <c r="AC165" s="2">
        <f t="shared" si="44"/>
        <v>23.666666666666668</v>
      </c>
      <c r="AD165" s="2">
        <f t="shared" si="45"/>
        <v>163.33333333333334</v>
      </c>
    </row>
    <row r="166" spans="1:30" x14ac:dyDescent="0.3">
      <c r="A166" s="1" t="s">
        <v>230</v>
      </c>
      <c r="B166" s="1" t="s">
        <v>168</v>
      </c>
      <c r="C166" s="1" t="s">
        <v>230</v>
      </c>
      <c r="D166" s="1" t="s">
        <v>230</v>
      </c>
      <c r="E166" s="2">
        <v>40101</v>
      </c>
      <c r="F166" s="18">
        <v>982</v>
      </c>
      <c r="G166" s="18">
        <v>1016</v>
      </c>
      <c r="H166" s="18">
        <v>1337</v>
      </c>
      <c r="I166" s="18">
        <v>1364</v>
      </c>
      <c r="J166" s="18">
        <v>1653</v>
      </c>
      <c r="K166" s="18">
        <v>1684</v>
      </c>
      <c r="L166" s="11">
        <v>1694</v>
      </c>
      <c r="M166" s="11">
        <v>1111</v>
      </c>
      <c r="N166" s="11">
        <v>1132</v>
      </c>
      <c r="O166" s="11">
        <v>1561</v>
      </c>
      <c r="P166" s="18">
        <v>1597</v>
      </c>
      <c r="Q166" s="18">
        <v>1984</v>
      </c>
      <c r="R166" s="24">
        <v>2032</v>
      </c>
      <c r="S166" s="18">
        <v>2057</v>
      </c>
      <c r="T166" s="18">
        <v>88.388838883888383</v>
      </c>
      <c r="U166" s="18">
        <v>89.752650176678443</v>
      </c>
      <c r="V166" s="18">
        <v>85.650224215246638</v>
      </c>
      <c r="W166" s="11">
        <v>85.410144020037563</v>
      </c>
      <c r="X166" s="11">
        <v>83.316532258064512</v>
      </c>
      <c r="Y166" s="11">
        <v>82.874015748031496</v>
      </c>
      <c r="Z166" s="11">
        <v>82.35294117647058</v>
      </c>
      <c r="AA166" s="11">
        <f t="shared" si="42"/>
        <v>86.937672803987539</v>
      </c>
      <c r="AB166" s="27">
        <f t="shared" si="43"/>
        <v>82.847829727522196</v>
      </c>
      <c r="AC166" s="2">
        <f t="shared" si="44"/>
        <v>1239</v>
      </c>
      <c r="AD166" s="2">
        <f t="shared" si="45"/>
        <v>1677</v>
      </c>
    </row>
    <row r="167" spans="1:30" x14ac:dyDescent="0.3">
      <c r="A167" s="1" t="s">
        <v>230</v>
      </c>
      <c r="B167" s="1" t="s">
        <v>168</v>
      </c>
      <c r="C167" s="1" t="s">
        <v>231</v>
      </c>
      <c r="D167" s="1" t="s">
        <v>231</v>
      </c>
      <c r="E167" s="2">
        <v>40102</v>
      </c>
      <c r="F167" s="18">
        <v>67</v>
      </c>
      <c r="G167" s="18">
        <v>66</v>
      </c>
      <c r="H167" s="18">
        <v>95</v>
      </c>
      <c r="I167" s="18">
        <v>102</v>
      </c>
      <c r="J167" s="18">
        <v>134</v>
      </c>
      <c r="K167" s="18">
        <v>134</v>
      </c>
      <c r="L167" s="11">
        <v>139</v>
      </c>
      <c r="M167" s="11">
        <v>109</v>
      </c>
      <c r="N167" s="11">
        <v>110</v>
      </c>
      <c r="O167" s="11">
        <v>161</v>
      </c>
      <c r="P167" s="18">
        <v>166</v>
      </c>
      <c r="Q167" s="18">
        <v>208</v>
      </c>
      <c r="R167" s="24">
        <v>214</v>
      </c>
      <c r="S167" s="18">
        <v>215</v>
      </c>
      <c r="T167" s="18">
        <v>61.467889908256879</v>
      </c>
      <c r="U167" s="18">
        <v>60</v>
      </c>
      <c r="V167" s="18">
        <v>59.006211180124225</v>
      </c>
      <c r="W167" s="11">
        <v>61.445783132530117</v>
      </c>
      <c r="X167" s="11">
        <v>64.423076923076934</v>
      </c>
      <c r="Y167" s="11">
        <v>62.616822429906534</v>
      </c>
      <c r="Z167" s="11">
        <v>64.651162790697668</v>
      </c>
      <c r="AA167" s="11">
        <f t="shared" si="42"/>
        <v>60.150664770884781</v>
      </c>
      <c r="AB167" s="27">
        <f t="shared" si="43"/>
        <v>63.897020714560377</v>
      </c>
      <c r="AC167" s="2">
        <f t="shared" si="44"/>
        <v>87.666666666666671</v>
      </c>
      <c r="AD167" s="2">
        <f t="shared" si="45"/>
        <v>135.66666666666666</v>
      </c>
    </row>
    <row r="168" spans="1:30" x14ac:dyDescent="0.3">
      <c r="A168" s="1" t="s">
        <v>230</v>
      </c>
      <c r="B168" s="1" t="s">
        <v>168</v>
      </c>
      <c r="C168" s="1" t="s">
        <v>232</v>
      </c>
      <c r="D168" s="1" t="s">
        <v>232</v>
      </c>
      <c r="E168" s="2">
        <v>40103</v>
      </c>
      <c r="F168" s="18">
        <v>5</v>
      </c>
      <c r="G168" s="18">
        <v>6</v>
      </c>
      <c r="H168" s="18">
        <v>8</v>
      </c>
      <c r="I168" s="18">
        <v>8</v>
      </c>
      <c r="J168" s="18">
        <v>17</v>
      </c>
      <c r="K168" s="18">
        <v>18</v>
      </c>
      <c r="L168" s="11">
        <v>20</v>
      </c>
      <c r="M168" s="11">
        <v>11</v>
      </c>
      <c r="N168" s="11">
        <v>11</v>
      </c>
      <c r="O168" s="11">
        <v>17</v>
      </c>
      <c r="P168" s="18">
        <v>17</v>
      </c>
      <c r="Q168" s="18">
        <v>27</v>
      </c>
      <c r="R168" s="24">
        <v>33</v>
      </c>
      <c r="S168" s="18">
        <v>34</v>
      </c>
      <c r="T168" s="18">
        <v>45.454545454545453</v>
      </c>
      <c r="U168" s="18">
        <v>54.54545454545454</v>
      </c>
      <c r="V168" s="18">
        <v>47.058823529411761</v>
      </c>
      <c r="W168" s="11">
        <v>47.058823529411761</v>
      </c>
      <c r="X168" s="11">
        <v>62.962962962962962</v>
      </c>
      <c r="Y168" s="11">
        <v>54.54545454545454</v>
      </c>
      <c r="Z168" s="11">
        <v>58.82352941176471</v>
      </c>
      <c r="AA168" s="11">
        <f t="shared" si="42"/>
        <v>49.554367201426025</v>
      </c>
      <c r="AB168" s="27">
        <f t="shared" si="43"/>
        <v>58.777315640060728</v>
      </c>
      <c r="AC168" s="2">
        <f t="shared" si="44"/>
        <v>7.333333333333333</v>
      </c>
      <c r="AD168" s="2">
        <f t="shared" si="45"/>
        <v>18.333333333333332</v>
      </c>
    </row>
    <row r="169" spans="1:30" x14ac:dyDescent="0.3">
      <c r="A169" s="1" t="s">
        <v>230</v>
      </c>
      <c r="B169" s="1" t="s">
        <v>168</v>
      </c>
      <c r="C169" s="1" t="s">
        <v>233</v>
      </c>
      <c r="D169" s="1" t="s">
        <v>234</v>
      </c>
      <c r="E169" s="2">
        <v>40104</v>
      </c>
      <c r="F169" s="18">
        <v>29</v>
      </c>
      <c r="G169" s="18">
        <v>30</v>
      </c>
      <c r="H169" s="18">
        <v>47</v>
      </c>
      <c r="I169" s="18">
        <v>51</v>
      </c>
      <c r="J169" s="18">
        <v>75</v>
      </c>
      <c r="K169" s="18">
        <v>75</v>
      </c>
      <c r="L169" s="11">
        <v>81</v>
      </c>
      <c r="M169" s="11">
        <v>46</v>
      </c>
      <c r="N169" s="11">
        <v>48</v>
      </c>
      <c r="O169" s="11">
        <v>76</v>
      </c>
      <c r="P169" s="18">
        <v>77</v>
      </c>
      <c r="Q169" s="18">
        <v>108</v>
      </c>
      <c r="R169" s="24">
        <v>110</v>
      </c>
      <c r="S169" s="18">
        <v>112</v>
      </c>
      <c r="T169" s="18">
        <v>63.04347826086957</v>
      </c>
      <c r="U169" s="18">
        <v>62.5</v>
      </c>
      <c r="V169" s="18">
        <v>61.842105263157897</v>
      </c>
      <c r="W169" s="11">
        <v>66.233766233766232</v>
      </c>
      <c r="X169" s="11">
        <v>69.444444444444443</v>
      </c>
      <c r="Y169" s="11">
        <v>68.181818181818173</v>
      </c>
      <c r="Z169" s="11">
        <v>72.321428571428569</v>
      </c>
      <c r="AA169" s="11">
        <f t="shared" si="42"/>
        <v>63.525290498974705</v>
      </c>
      <c r="AB169" s="27">
        <f t="shared" si="43"/>
        <v>69.982563732563733</v>
      </c>
      <c r="AC169" s="2">
        <f t="shared" si="44"/>
        <v>42.666666666666664</v>
      </c>
      <c r="AD169" s="2">
        <f t="shared" si="45"/>
        <v>77</v>
      </c>
    </row>
    <row r="170" spans="1:30" x14ac:dyDescent="0.3">
      <c r="A170" s="1" t="s">
        <v>230</v>
      </c>
      <c r="B170" s="1" t="s">
        <v>235</v>
      </c>
      <c r="C170" s="1" t="s">
        <v>236</v>
      </c>
      <c r="D170" s="1" t="s">
        <v>236</v>
      </c>
      <c r="E170" s="2">
        <v>40201</v>
      </c>
      <c r="F170" s="18">
        <v>73</v>
      </c>
      <c r="G170" s="18">
        <v>81</v>
      </c>
      <c r="H170" s="18">
        <v>96</v>
      </c>
      <c r="I170" s="18">
        <v>102</v>
      </c>
      <c r="J170" s="18">
        <v>177</v>
      </c>
      <c r="K170" s="18">
        <v>199</v>
      </c>
      <c r="L170" s="11">
        <v>202</v>
      </c>
      <c r="M170" s="11">
        <v>136</v>
      </c>
      <c r="N170" s="11">
        <v>140</v>
      </c>
      <c r="O170" s="11">
        <v>176</v>
      </c>
      <c r="P170" s="18">
        <v>188</v>
      </c>
      <c r="Q170" s="18">
        <v>251</v>
      </c>
      <c r="R170" s="24">
        <v>264</v>
      </c>
      <c r="S170" s="18">
        <v>269</v>
      </c>
      <c r="T170" s="18">
        <v>53.67647058823529</v>
      </c>
      <c r="U170" s="18">
        <v>57.857142857142861</v>
      </c>
      <c r="V170" s="18">
        <v>54.54545454545454</v>
      </c>
      <c r="W170" s="11">
        <v>54.255319148936167</v>
      </c>
      <c r="X170" s="11">
        <v>70.517928286852595</v>
      </c>
      <c r="Y170" s="11">
        <v>75.378787878787875</v>
      </c>
      <c r="Z170" s="11">
        <v>75.092936802973981</v>
      </c>
      <c r="AA170" s="11">
        <f t="shared" si="42"/>
        <v>55.552638850511187</v>
      </c>
      <c r="AB170" s="27">
        <f t="shared" si="43"/>
        <v>73.663217656204822</v>
      </c>
      <c r="AC170" s="2">
        <f t="shared" si="44"/>
        <v>93</v>
      </c>
      <c r="AD170" s="2">
        <f t="shared" si="45"/>
        <v>192.66666666666666</v>
      </c>
    </row>
    <row r="171" spans="1:30" x14ac:dyDescent="0.3">
      <c r="A171" s="1" t="s">
        <v>230</v>
      </c>
      <c r="B171" s="1" t="s">
        <v>235</v>
      </c>
      <c r="C171" s="1" t="s">
        <v>237</v>
      </c>
      <c r="D171" s="1" t="s">
        <v>237</v>
      </c>
      <c r="E171" s="2">
        <v>40202</v>
      </c>
      <c r="F171" s="18">
        <v>7</v>
      </c>
      <c r="G171" s="18">
        <v>7</v>
      </c>
      <c r="H171" s="18">
        <v>10</v>
      </c>
      <c r="I171" s="18">
        <v>9</v>
      </c>
      <c r="J171" s="18">
        <v>15</v>
      </c>
      <c r="K171" s="18">
        <v>15</v>
      </c>
      <c r="L171" s="11">
        <v>16</v>
      </c>
      <c r="M171" s="11">
        <v>14</v>
      </c>
      <c r="N171" s="11">
        <v>14</v>
      </c>
      <c r="O171" s="11">
        <v>19</v>
      </c>
      <c r="P171" s="18">
        <v>20</v>
      </c>
      <c r="Q171" s="18">
        <v>26</v>
      </c>
      <c r="R171" s="24">
        <v>25</v>
      </c>
      <c r="S171" s="18">
        <v>26</v>
      </c>
      <c r="T171" s="18">
        <v>50</v>
      </c>
      <c r="U171" s="18">
        <v>50</v>
      </c>
      <c r="V171" s="18">
        <v>52.631578947368418</v>
      </c>
      <c r="W171" s="11">
        <v>45</v>
      </c>
      <c r="X171" s="11">
        <v>57.692307692307686</v>
      </c>
      <c r="Y171" s="11">
        <v>60</v>
      </c>
      <c r="Z171" s="11">
        <v>61.53846153846154</v>
      </c>
      <c r="AA171" s="11">
        <f t="shared" si="42"/>
        <v>49.210526315789473</v>
      </c>
      <c r="AB171" s="27">
        <f t="shared" si="43"/>
        <v>59.743589743589745</v>
      </c>
      <c r="AC171" s="2">
        <f t="shared" si="44"/>
        <v>8.6666666666666661</v>
      </c>
      <c r="AD171" s="2">
        <f t="shared" si="45"/>
        <v>15.333333333333334</v>
      </c>
    </row>
    <row r="172" spans="1:30" x14ac:dyDescent="0.3">
      <c r="A172" s="1" t="s">
        <v>230</v>
      </c>
      <c r="B172" s="1" t="s">
        <v>238</v>
      </c>
      <c r="C172" s="1" t="s">
        <v>239</v>
      </c>
      <c r="D172" s="1" t="s">
        <v>239</v>
      </c>
      <c r="E172" s="2">
        <v>40301</v>
      </c>
      <c r="F172" s="18">
        <v>14</v>
      </c>
      <c r="G172" s="18">
        <v>16</v>
      </c>
      <c r="H172" s="18">
        <v>28</v>
      </c>
      <c r="I172" s="18">
        <v>28</v>
      </c>
      <c r="J172" s="18">
        <v>48</v>
      </c>
      <c r="K172" s="18">
        <v>51</v>
      </c>
      <c r="L172" s="11">
        <v>52</v>
      </c>
      <c r="M172" s="11">
        <v>36</v>
      </c>
      <c r="N172" s="11">
        <v>35</v>
      </c>
      <c r="O172" s="11">
        <v>58</v>
      </c>
      <c r="P172" s="18">
        <v>60</v>
      </c>
      <c r="Q172" s="18">
        <v>75</v>
      </c>
      <c r="R172" s="24">
        <v>77</v>
      </c>
      <c r="S172" s="18">
        <v>78</v>
      </c>
      <c r="T172" s="18">
        <v>38.888888888888893</v>
      </c>
      <c r="U172" s="18">
        <v>45.714285714285715</v>
      </c>
      <c r="V172" s="18">
        <v>48.275862068965516</v>
      </c>
      <c r="W172" s="11">
        <v>46.666666666666664</v>
      </c>
      <c r="X172" s="11">
        <v>64</v>
      </c>
      <c r="Y172" s="11">
        <v>66.233766233766232</v>
      </c>
      <c r="Z172" s="11">
        <v>66.666666666666657</v>
      </c>
      <c r="AA172" s="11">
        <f t="shared" si="42"/>
        <v>46.885604816639301</v>
      </c>
      <c r="AB172" s="27">
        <f t="shared" si="43"/>
        <v>65.633477633477625</v>
      </c>
      <c r="AC172" s="2">
        <f t="shared" si="44"/>
        <v>24</v>
      </c>
      <c r="AD172" s="2">
        <f t="shared" si="45"/>
        <v>50.333333333333336</v>
      </c>
    </row>
    <row r="173" spans="1:30" x14ac:dyDescent="0.3">
      <c r="A173" s="1" t="s">
        <v>230</v>
      </c>
      <c r="B173" s="1" t="s">
        <v>238</v>
      </c>
      <c r="C173" s="1" t="s">
        <v>240</v>
      </c>
      <c r="D173" s="1" t="s">
        <v>240</v>
      </c>
      <c r="E173" s="2">
        <v>40302</v>
      </c>
      <c r="F173" s="18">
        <v>3</v>
      </c>
      <c r="G173" s="18">
        <v>3</v>
      </c>
      <c r="H173" s="18">
        <v>4</v>
      </c>
      <c r="I173" s="18">
        <v>3</v>
      </c>
      <c r="J173" s="18">
        <v>8</v>
      </c>
      <c r="K173" s="18">
        <v>8</v>
      </c>
      <c r="L173" s="11">
        <v>8</v>
      </c>
      <c r="M173" s="11">
        <v>8</v>
      </c>
      <c r="N173" s="11">
        <v>8</v>
      </c>
      <c r="O173" s="11">
        <v>10</v>
      </c>
      <c r="P173" s="18">
        <v>9</v>
      </c>
      <c r="Q173" s="18">
        <v>11</v>
      </c>
      <c r="R173" s="24">
        <v>11</v>
      </c>
      <c r="S173" s="18">
        <v>10</v>
      </c>
      <c r="T173" s="18">
        <v>37.5</v>
      </c>
      <c r="U173" s="18">
        <v>37.5</v>
      </c>
      <c r="V173" s="18">
        <v>40</v>
      </c>
      <c r="W173" s="11">
        <v>33.333333333333329</v>
      </c>
      <c r="X173" s="11">
        <v>72.727272727272734</v>
      </c>
      <c r="Y173" s="11">
        <v>72.727272727272734</v>
      </c>
      <c r="Z173" s="11">
        <v>80</v>
      </c>
      <c r="AA173" s="11">
        <f t="shared" si="42"/>
        <v>36.944444444444443</v>
      </c>
      <c r="AB173" s="27">
        <f t="shared" si="43"/>
        <v>75.151515151515156</v>
      </c>
      <c r="AC173" s="2">
        <f t="shared" si="44"/>
        <v>3.3333333333333335</v>
      </c>
      <c r="AD173" s="2">
        <f t="shared" si="45"/>
        <v>8</v>
      </c>
    </row>
    <row r="174" spans="1:30" x14ac:dyDescent="0.3">
      <c r="A174" s="1" t="s">
        <v>230</v>
      </c>
      <c r="B174" s="1" t="s">
        <v>241</v>
      </c>
      <c r="C174" s="1" t="s">
        <v>242</v>
      </c>
      <c r="D174" s="1" t="s">
        <v>242</v>
      </c>
      <c r="E174" s="2">
        <v>40401</v>
      </c>
      <c r="F174" s="18">
        <v>7</v>
      </c>
      <c r="G174" s="18">
        <v>10</v>
      </c>
      <c r="H174" s="18">
        <v>12</v>
      </c>
      <c r="I174" s="18">
        <v>13</v>
      </c>
      <c r="J174" s="18">
        <v>28</v>
      </c>
      <c r="K174" s="18">
        <v>29</v>
      </c>
      <c r="L174" s="11">
        <v>30</v>
      </c>
      <c r="M174" s="11">
        <v>24</v>
      </c>
      <c r="N174" s="11">
        <v>26</v>
      </c>
      <c r="O174" s="11">
        <v>32</v>
      </c>
      <c r="P174" s="18">
        <v>33</v>
      </c>
      <c r="Q174" s="18">
        <v>40</v>
      </c>
      <c r="R174" s="24">
        <v>40</v>
      </c>
      <c r="S174" s="18">
        <v>39</v>
      </c>
      <c r="T174" s="18">
        <v>29.166666666666668</v>
      </c>
      <c r="U174" s="18">
        <v>38.461538461538467</v>
      </c>
      <c r="V174" s="18">
        <v>37.5</v>
      </c>
      <c r="W174" s="11">
        <v>39.393939393939391</v>
      </c>
      <c r="X174" s="11">
        <v>70</v>
      </c>
      <c r="Y174" s="11">
        <v>72.5</v>
      </c>
      <c r="Z174" s="11">
        <v>76.923076923076934</v>
      </c>
      <c r="AA174" s="11">
        <f t="shared" si="42"/>
        <v>38.451825951825953</v>
      </c>
      <c r="AB174" s="27">
        <f t="shared" si="43"/>
        <v>73.141025641025649</v>
      </c>
      <c r="AC174" s="2">
        <f t="shared" si="44"/>
        <v>11.666666666666666</v>
      </c>
      <c r="AD174" s="2">
        <f t="shared" si="45"/>
        <v>29</v>
      </c>
    </row>
    <row r="175" spans="1:30" x14ac:dyDescent="0.3">
      <c r="A175" s="1" t="s">
        <v>230</v>
      </c>
      <c r="B175" s="1" t="s">
        <v>241</v>
      </c>
      <c r="C175" s="1" t="s">
        <v>243</v>
      </c>
      <c r="D175" s="1" t="s">
        <v>243</v>
      </c>
      <c r="E175" s="2">
        <v>40402</v>
      </c>
      <c r="F175" s="18">
        <v>8</v>
      </c>
      <c r="G175" s="18">
        <v>8</v>
      </c>
      <c r="H175" s="18">
        <v>12</v>
      </c>
      <c r="I175" s="18">
        <v>11</v>
      </c>
      <c r="J175" s="18">
        <v>22</v>
      </c>
      <c r="K175" s="18">
        <v>24</v>
      </c>
      <c r="L175" s="11">
        <v>24</v>
      </c>
      <c r="M175" s="11">
        <v>21</v>
      </c>
      <c r="N175" s="11">
        <v>21</v>
      </c>
      <c r="O175" s="11">
        <v>33</v>
      </c>
      <c r="P175" s="18">
        <v>33</v>
      </c>
      <c r="Q175" s="18">
        <v>37</v>
      </c>
      <c r="R175" s="24">
        <v>37</v>
      </c>
      <c r="S175" s="18">
        <v>37</v>
      </c>
      <c r="T175" s="18">
        <v>38.095238095238095</v>
      </c>
      <c r="U175" s="18">
        <v>38.095238095238095</v>
      </c>
      <c r="V175" s="18">
        <v>36.363636363636367</v>
      </c>
      <c r="W175" s="11">
        <v>33.333333333333329</v>
      </c>
      <c r="X175" s="11">
        <v>59.45945945945946</v>
      </c>
      <c r="Y175" s="11">
        <v>64.86486486486487</v>
      </c>
      <c r="Z175" s="11">
        <v>64.86486486486487</v>
      </c>
      <c r="AA175" s="11">
        <f t="shared" si="42"/>
        <v>35.930735930735928</v>
      </c>
      <c r="AB175" s="27">
        <f t="shared" si="43"/>
        <v>63.063063063063062</v>
      </c>
      <c r="AC175" s="2">
        <f t="shared" si="44"/>
        <v>10.333333333333334</v>
      </c>
      <c r="AD175" s="2">
        <f t="shared" si="45"/>
        <v>23.333333333333332</v>
      </c>
    </row>
    <row r="176" spans="1:30" x14ac:dyDescent="0.3">
      <c r="A176" s="1" t="s">
        <v>230</v>
      </c>
      <c r="B176" s="1" t="s">
        <v>244</v>
      </c>
      <c r="C176" s="1" t="s">
        <v>245</v>
      </c>
      <c r="D176" s="1" t="s">
        <v>245</v>
      </c>
      <c r="E176" s="2">
        <v>40501</v>
      </c>
      <c r="F176" s="18">
        <v>8</v>
      </c>
      <c r="G176" s="18">
        <v>10</v>
      </c>
      <c r="H176" s="18">
        <v>12</v>
      </c>
      <c r="I176" s="18">
        <v>12</v>
      </c>
      <c r="J176" s="18">
        <v>11</v>
      </c>
      <c r="K176" s="18">
        <v>12</v>
      </c>
      <c r="L176" s="11">
        <v>12</v>
      </c>
      <c r="M176" s="11">
        <v>14</v>
      </c>
      <c r="N176" s="11">
        <v>14</v>
      </c>
      <c r="O176" s="11">
        <v>16</v>
      </c>
      <c r="P176" s="18">
        <v>16</v>
      </c>
      <c r="Q176" s="18">
        <v>13</v>
      </c>
      <c r="R176" s="24">
        <v>13</v>
      </c>
      <c r="S176" s="18">
        <v>13</v>
      </c>
      <c r="T176" s="18">
        <v>57.142857142857139</v>
      </c>
      <c r="U176" s="18">
        <v>71.428571428571431</v>
      </c>
      <c r="V176" s="18">
        <v>75</v>
      </c>
      <c r="W176" s="11">
        <v>75</v>
      </c>
      <c r="X176" s="11">
        <v>84.615384615384613</v>
      </c>
      <c r="Y176" s="11">
        <v>92.307692307692307</v>
      </c>
      <c r="Z176" s="11">
        <v>92.307692307692307</v>
      </c>
      <c r="AA176" s="11">
        <f t="shared" si="42"/>
        <v>73.80952380952381</v>
      </c>
      <c r="AB176" s="27">
        <f t="shared" si="43"/>
        <v>89.743589743589737</v>
      </c>
      <c r="AC176" s="2">
        <f t="shared" si="44"/>
        <v>11.333333333333334</v>
      </c>
      <c r="AD176" s="2">
        <f t="shared" si="45"/>
        <v>11.666666666666666</v>
      </c>
    </row>
    <row r="177" spans="1:30" x14ac:dyDescent="0.3">
      <c r="A177" s="1" t="s">
        <v>230</v>
      </c>
      <c r="B177" s="1" t="s">
        <v>244</v>
      </c>
      <c r="C177" s="1" t="s">
        <v>246</v>
      </c>
      <c r="D177" s="1" t="s">
        <v>246</v>
      </c>
      <c r="E177" s="2">
        <v>40502</v>
      </c>
      <c r="F177" s="18">
        <v>1</v>
      </c>
      <c r="G177" s="18">
        <v>0</v>
      </c>
      <c r="H177" s="18">
        <v>2</v>
      </c>
      <c r="I177" s="18">
        <v>2</v>
      </c>
      <c r="J177" s="18">
        <v>4</v>
      </c>
      <c r="K177" s="18">
        <v>4</v>
      </c>
      <c r="L177" s="11">
        <v>5</v>
      </c>
      <c r="M177" s="11">
        <v>3</v>
      </c>
      <c r="N177" s="11">
        <v>3</v>
      </c>
      <c r="O177" s="11">
        <v>6</v>
      </c>
      <c r="P177" s="18">
        <v>6</v>
      </c>
      <c r="Q177" s="18">
        <v>7</v>
      </c>
      <c r="R177" s="24">
        <v>7</v>
      </c>
      <c r="S177" s="18">
        <v>8</v>
      </c>
      <c r="T177" s="18">
        <v>33.333333333333329</v>
      </c>
      <c r="U177" s="18">
        <v>0</v>
      </c>
      <c r="V177" s="18">
        <v>33.333333333333329</v>
      </c>
      <c r="W177" s="11">
        <v>33.333333333333329</v>
      </c>
      <c r="X177" s="11">
        <v>57.142857142857139</v>
      </c>
      <c r="Y177" s="11">
        <v>57.142857142857139</v>
      </c>
      <c r="Z177" s="11">
        <v>62.5</v>
      </c>
      <c r="AA177" s="11">
        <f t="shared" si="42"/>
        <v>22.222222222222218</v>
      </c>
      <c r="AB177" s="27">
        <f t="shared" si="43"/>
        <v>58.928571428571423</v>
      </c>
      <c r="AC177" s="2">
        <f t="shared" si="44"/>
        <v>1.3333333333333333</v>
      </c>
      <c r="AD177" s="2">
        <f t="shared" si="45"/>
        <v>4.333333333333333</v>
      </c>
    </row>
    <row r="178" spans="1:30" x14ac:dyDescent="0.3">
      <c r="A178" s="1" t="s">
        <v>230</v>
      </c>
      <c r="B178" s="1" t="s">
        <v>244</v>
      </c>
      <c r="C178" s="1" t="s">
        <v>247</v>
      </c>
      <c r="D178" s="1" t="s">
        <v>247</v>
      </c>
      <c r="E178" s="2">
        <v>40503</v>
      </c>
      <c r="F178" s="21"/>
      <c r="G178" s="21"/>
      <c r="H178" s="21"/>
      <c r="I178" s="18"/>
      <c r="J178" s="18"/>
      <c r="K178" s="18"/>
      <c r="L178" s="11"/>
      <c r="M178" s="11"/>
      <c r="N178" s="11"/>
      <c r="O178" s="11"/>
      <c r="P178" s="1"/>
      <c r="Q178" s="1"/>
      <c r="R178" s="25"/>
      <c r="S178" s="1"/>
      <c r="T178" s="1"/>
      <c r="U178" s="1"/>
      <c r="V178" s="1"/>
      <c r="W178" s="11"/>
      <c r="X178" s="11"/>
      <c r="Y178" s="11"/>
      <c r="Z178" s="11"/>
      <c r="AA178" s="11"/>
      <c r="AB178" s="27"/>
      <c r="AC178" s="2"/>
      <c r="AD178" s="2"/>
    </row>
    <row r="179" spans="1:30" x14ac:dyDescent="0.3">
      <c r="A179" s="1" t="s">
        <v>230</v>
      </c>
      <c r="B179" s="1" t="s">
        <v>244</v>
      </c>
      <c r="C179" s="1" t="s">
        <v>248</v>
      </c>
      <c r="D179" s="1" t="s">
        <v>248</v>
      </c>
      <c r="E179" s="2">
        <v>40504</v>
      </c>
      <c r="F179" s="21"/>
      <c r="G179" s="21"/>
      <c r="H179" s="21"/>
      <c r="I179" s="18"/>
      <c r="J179" s="18"/>
      <c r="K179" s="18"/>
      <c r="L179" s="11"/>
      <c r="M179" s="11"/>
      <c r="N179" s="11"/>
      <c r="O179" s="11"/>
      <c r="P179" s="1"/>
      <c r="Q179" s="1"/>
      <c r="R179" s="25"/>
      <c r="S179" s="1"/>
      <c r="T179" s="1"/>
      <c r="U179" s="1"/>
      <c r="V179" s="1"/>
      <c r="W179" s="11"/>
      <c r="X179" s="11"/>
      <c r="Y179" s="11"/>
      <c r="Z179" s="11"/>
      <c r="AA179" s="11"/>
      <c r="AB179" s="27"/>
      <c r="AC179" s="2"/>
      <c r="AD179" s="2"/>
    </row>
    <row r="180" spans="1:30" x14ac:dyDescent="0.3">
      <c r="A180" s="1" t="s">
        <v>230</v>
      </c>
      <c r="B180" s="1" t="s">
        <v>244</v>
      </c>
      <c r="C180" s="1" t="s">
        <v>249</v>
      </c>
      <c r="D180" s="1" t="s">
        <v>249</v>
      </c>
      <c r="E180" s="2">
        <v>40505</v>
      </c>
      <c r="F180" s="21"/>
      <c r="G180" s="21"/>
      <c r="H180" s="21"/>
      <c r="I180" s="18"/>
      <c r="J180" s="18"/>
      <c r="K180" s="18"/>
      <c r="L180" s="11"/>
      <c r="M180" s="11"/>
      <c r="N180" s="11"/>
      <c r="O180" s="11"/>
      <c r="P180" s="1"/>
      <c r="Q180" s="1"/>
      <c r="R180" s="25"/>
      <c r="S180" s="1"/>
      <c r="T180" s="1"/>
      <c r="U180" s="1"/>
      <c r="V180" s="1"/>
      <c r="W180" s="11"/>
      <c r="X180" s="11"/>
      <c r="Y180" s="11"/>
      <c r="Z180" s="11"/>
      <c r="AA180" s="11"/>
      <c r="AB180" s="27"/>
      <c r="AC180" s="2"/>
      <c r="AD180" s="2"/>
    </row>
    <row r="181" spans="1:30" x14ac:dyDescent="0.3">
      <c r="A181" s="1" t="s">
        <v>230</v>
      </c>
      <c r="B181" s="1" t="s">
        <v>250</v>
      </c>
      <c r="C181" s="1" t="s">
        <v>250</v>
      </c>
      <c r="D181" s="1" t="s">
        <v>251</v>
      </c>
      <c r="E181" s="2">
        <v>40601</v>
      </c>
      <c r="F181" s="18">
        <v>13</v>
      </c>
      <c r="G181" s="18">
        <v>13</v>
      </c>
      <c r="H181" s="18">
        <v>16</v>
      </c>
      <c r="I181" s="18">
        <v>17</v>
      </c>
      <c r="J181" s="18">
        <v>25</v>
      </c>
      <c r="K181" s="18">
        <v>30</v>
      </c>
      <c r="L181" s="11">
        <v>28</v>
      </c>
      <c r="M181" s="11">
        <v>19</v>
      </c>
      <c r="N181" s="11">
        <v>20</v>
      </c>
      <c r="O181" s="11">
        <v>28</v>
      </c>
      <c r="P181" s="18">
        <v>29</v>
      </c>
      <c r="Q181" s="18">
        <v>35</v>
      </c>
      <c r="R181" s="24">
        <v>38</v>
      </c>
      <c r="S181" s="18">
        <v>37</v>
      </c>
      <c r="T181" s="18">
        <v>68.421052631578945</v>
      </c>
      <c r="U181" s="18">
        <v>65</v>
      </c>
      <c r="V181" s="18">
        <v>57.142857142857139</v>
      </c>
      <c r="W181" s="11">
        <v>58.620689655172406</v>
      </c>
      <c r="X181" s="11">
        <v>71.428571428571431</v>
      </c>
      <c r="Y181" s="11">
        <v>78.94736842105263</v>
      </c>
      <c r="Z181" s="11">
        <v>75.675675675675677</v>
      </c>
      <c r="AA181" s="11">
        <f t="shared" si="42"/>
        <v>60.254515599343186</v>
      </c>
      <c r="AB181" s="27">
        <f t="shared" si="43"/>
        <v>75.350538508433246</v>
      </c>
      <c r="AC181" s="2">
        <f t="shared" si="44"/>
        <v>15.333333333333334</v>
      </c>
      <c r="AD181" s="2">
        <f t="shared" si="45"/>
        <v>27.666666666666668</v>
      </c>
    </row>
    <row r="182" spans="1:30" x14ac:dyDescent="0.3">
      <c r="A182" s="1" t="s">
        <v>230</v>
      </c>
      <c r="B182" s="1" t="s">
        <v>250</v>
      </c>
      <c r="C182" s="1" t="s">
        <v>252</v>
      </c>
      <c r="D182" s="1" t="s">
        <v>252</v>
      </c>
      <c r="E182" s="2">
        <v>40602</v>
      </c>
      <c r="F182" s="18">
        <v>24</v>
      </c>
      <c r="G182" s="18">
        <v>23</v>
      </c>
      <c r="H182" s="18">
        <v>27</v>
      </c>
      <c r="I182" s="18">
        <v>29</v>
      </c>
      <c r="J182" s="18">
        <v>49</v>
      </c>
      <c r="K182" s="18">
        <v>49</v>
      </c>
      <c r="L182" s="11">
        <v>47</v>
      </c>
      <c r="M182" s="11">
        <v>39</v>
      </c>
      <c r="N182" s="11">
        <v>41</v>
      </c>
      <c r="O182" s="11">
        <v>50</v>
      </c>
      <c r="P182" s="18">
        <v>51</v>
      </c>
      <c r="Q182" s="18">
        <v>63</v>
      </c>
      <c r="R182" s="24">
        <v>61</v>
      </c>
      <c r="S182" s="18">
        <v>60</v>
      </c>
      <c r="T182" s="18">
        <v>61.53846153846154</v>
      </c>
      <c r="U182" s="18">
        <v>56.09756097560976</v>
      </c>
      <c r="V182" s="18">
        <v>54</v>
      </c>
      <c r="W182" s="11">
        <v>56.862745098039213</v>
      </c>
      <c r="X182" s="11">
        <v>77.777777777777786</v>
      </c>
      <c r="Y182" s="11">
        <v>80.327868852459019</v>
      </c>
      <c r="Z182" s="11">
        <v>78.333333333333329</v>
      </c>
      <c r="AA182" s="11">
        <f t="shared" si="42"/>
        <v>55.653435357882984</v>
      </c>
      <c r="AB182" s="27">
        <f t="shared" si="43"/>
        <v>78.812993321190049</v>
      </c>
      <c r="AC182" s="2">
        <f t="shared" si="44"/>
        <v>26.333333333333332</v>
      </c>
      <c r="AD182" s="2">
        <f t="shared" si="45"/>
        <v>48.333333333333336</v>
      </c>
    </row>
    <row r="183" spans="1:30" x14ac:dyDescent="0.3">
      <c r="A183" s="1" t="s">
        <v>230</v>
      </c>
      <c r="B183" s="1" t="s">
        <v>250</v>
      </c>
      <c r="C183" s="1" t="s">
        <v>253</v>
      </c>
      <c r="D183" s="1" t="s">
        <v>253</v>
      </c>
      <c r="E183" s="2">
        <v>40603</v>
      </c>
      <c r="F183" s="18">
        <v>0</v>
      </c>
      <c r="G183" s="18">
        <v>0</v>
      </c>
      <c r="H183" s="18">
        <v>0</v>
      </c>
      <c r="I183" s="18">
        <v>0</v>
      </c>
      <c r="J183" s="18">
        <v>6</v>
      </c>
      <c r="K183" s="18">
        <v>5</v>
      </c>
      <c r="L183" s="11">
        <v>5</v>
      </c>
      <c r="M183" s="11">
        <v>6</v>
      </c>
      <c r="N183" s="11">
        <v>6</v>
      </c>
      <c r="O183" s="11">
        <v>9</v>
      </c>
      <c r="P183" s="18">
        <v>9</v>
      </c>
      <c r="Q183" s="18">
        <v>12</v>
      </c>
      <c r="R183" s="24">
        <v>11</v>
      </c>
      <c r="S183" s="18">
        <v>11</v>
      </c>
      <c r="T183" s="18"/>
      <c r="U183" s="18"/>
      <c r="V183" s="18"/>
      <c r="W183" s="11"/>
      <c r="X183" s="11">
        <v>50</v>
      </c>
      <c r="Y183" s="11">
        <v>45.454545454545453</v>
      </c>
      <c r="Z183" s="11">
        <v>45.454545454545453</v>
      </c>
      <c r="AA183" s="11"/>
      <c r="AB183" s="27">
        <f t="shared" si="43"/>
        <v>46.969696969696969</v>
      </c>
      <c r="AC183" s="2">
        <f t="shared" si="44"/>
        <v>0</v>
      </c>
      <c r="AD183" s="2">
        <f t="shared" si="45"/>
        <v>5.333333333333333</v>
      </c>
    </row>
    <row r="184" spans="1:30" x14ac:dyDescent="0.3">
      <c r="A184" s="1" t="s">
        <v>230</v>
      </c>
      <c r="B184" s="1" t="s">
        <v>254</v>
      </c>
      <c r="C184" s="1" t="s">
        <v>255</v>
      </c>
      <c r="D184" s="1" t="s">
        <v>256</v>
      </c>
      <c r="E184" s="2">
        <v>40701</v>
      </c>
      <c r="F184" s="18">
        <v>99</v>
      </c>
      <c r="G184" s="18">
        <v>102</v>
      </c>
      <c r="H184" s="18">
        <v>126</v>
      </c>
      <c r="I184" s="18">
        <v>130</v>
      </c>
      <c r="J184" s="18">
        <v>179</v>
      </c>
      <c r="K184" s="18">
        <v>179</v>
      </c>
      <c r="L184" s="11">
        <v>182</v>
      </c>
      <c r="M184" s="11">
        <v>155</v>
      </c>
      <c r="N184" s="11">
        <v>152</v>
      </c>
      <c r="O184" s="11">
        <v>210</v>
      </c>
      <c r="P184" s="18">
        <v>211</v>
      </c>
      <c r="Q184" s="18">
        <v>222</v>
      </c>
      <c r="R184" s="24">
        <v>224</v>
      </c>
      <c r="S184" s="18">
        <v>233</v>
      </c>
      <c r="T184" s="18">
        <v>63.87096774193548</v>
      </c>
      <c r="U184" s="18">
        <v>67.10526315789474</v>
      </c>
      <c r="V184" s="18">
        <v>60</v>
      </c>
      <c r="W184" s="11">
        <v>61.611374407582943</v>
      </c>
      <c r="X184" s="11">
        <v>80.630630630630634</v>
      </c>
      <c r="Y184" s="11">
        <v>79.910714285714292</v>
      </c>
      <c r="Z184" s="11">
        <v>78.111587982832617</v>
      </c>
      <c r="AA184" s="11">
        <f t="shared" si="42"/>
        <v>62.905545855159232</v>
      </c>
      <c r="AB184" s="27">
        <f t="shared" si="43"/>
        <v>79.55097763305919</v>
      </c>
      <c r="AC184" s="2">
        <f t="shared" si="44"/>
        <v>119.33333333333333</v>
      </c>
      <c r="AD184" s="2">
        <f t="shared" si="45"/>
        <v>180</v>
      </c>
    </row>
    <row r="185" spans="1:30" x14ac:dyDescent="0.3">
      <c r="A185" s="1" t="s">
        <v>230</v>
      </c>
      <c r="B185" s="1" t="s">
        <v>254</v>
      </c>
      <c r="C185" s="1" t="s">
        <v>257</v>
      </c>
      <c r="D185" s="1" t="s">
        <v>257</v>
      </c>
      <c r="E185" s="2">
        <v>40702</v>
      </c>
      <c r="F185" s="18">
        <v>27</v>
      </c>
      <c r="G185" s="18">
        <v>27</v>
      </c>
      <c r="H185" s="18">
        <v>33</v>
      </c>
      <c r="I185" s="18">
        <v>31</v>
      </c>
      <c r="J185" s="18">
        <v>41</v>
      </c>
      <c r="K185" s="18">
        <v>42</v>
      </c>
      <c r="L185" s="11">
        <v>41</v>
      </c>
      <c r="M185" s="11">
        <v>39</v>
      </c>
      <c r="N185" s="11">
        <v>40</v>
      </c>
      <c r="O185" s="11">
        <v>51</v>
      </c>
      <c r="P185" s="18">
        <v>48</v>
      </c>
      <c r="Q185" s="18">
        <v>59</v>
      </c>
      <c r="R185" s="24">
        <v>59</v>
      </c>
      <c r="S185" s="18">
        <v>59</v>
      </c>
      <c r="T185" s="18">
        <v>69.230769230769226</v>
      </c>
      <c r="U185" s="18">
        <v>67.5</v>
      </c>
      <c r="V185" s="18">
        <v>64.705882352941174</v>
      </c>
      <c r="W185" s="11">
        <v>64.583333333333343</v>
      </c>
      <c r="X185" s="11">
        <v>69.491525423728817</v>
      </c>
      <c r="Y185" s="11">
        <v>71.186440677966104</v>
      </c>
      <c r="Z185" s="11">
        <v>69.491525423728817</v>
      </c>
      <c r="AA185" s="11">
        <f t="shared" si="42"/>
        <v>65.596405228758172</v>
      </c>
      <c r="AB185" s="27">
        <f t="shared" si="43"/>
        <v>70.056497175141246</v>
      </c>
      <c r="AC185" s="2">
        <f t="shared" si="44"/>
        <v>30.333333333333332</v>
      </c>
      <c r="AD185" s="2">
        <f t="shared" si="45"/>
        <v>41.333333333333336</v>
      </c>
    </row>
    <row r="186" spans="1:30" x14ac:dyDescent="0.3">
      <c r="A186" s="1" t="s">
        <v>230</v>
      </c>
      <c r="B186" s="1" t="s">
        <v>258</v>
      </c>
      <c r="C186" s="1" t="s">
        <v>259</v>
      </c>
      <c r="D186" s="1" t="s">
        <v>259</v>
      </c>
      <c r="E186" s="2">
        <v>40801</v>
      </c>
      <c r="F186" s="18">
        <v>9</v>
      </c>
      <c r="G186" s="18">
        <v>11</v>
      </c>
      <c r="H186" s="18">
        <v>12</v>
      </c>
      <c r="I186" s="18">
        <v>15</v>
      </c>
      <c r="J186" s="18">
        <v>36</v>
      </c>
      <c r="K186" s="18">
        <v>38</v>
      </c>
      <c r="L186" s="11">
        <v>37</v>
      </c>
      <c r="M186" s="11">
        <v>31</v>
      </c>
      <c r="N186" s="11">
        <v>33</v>
      </c>
      <c r="O186" s="11">
        <v>45</v>
      </c>
      <c r="P186" s="18">
        <v>50</v>
      </c>
      <c r="Q186" s="18">
        <v>60</v>
      </c>
      <c r="R186" s="24">
        <v>63</v>
      </c>
      <c r="S186" s="18">
        <v>61</v>
      </c>
      <c r="T186" s="18">
        <v>29.032258064516132</v>
      </c>
      <c r="U186" s="18">
        <v>33.333333333333329</v>
      </c>
      <c r="V186" s="18">
        <v>26.666666666666668</v>
      </c>
      <c r="W186" s="11">
        <v>30</v>
      </c>
      <c r="X186" s="11">
        <v>60</v>
      </c>
      <c r="Y186" s="11">
        <v>60.317460317460316</v>
      </c>
      <c r="Z186" s="11">
        <v>60.655737704918032</v>
      </c>
      <c r="AA186" s="11">
        <f t="shared" si="42"/>
        <v>30</v>
      </c>
      <c r="AB186" s="27">
        <f t="shared" si="43"/>
        <v>60.32439934079278</v>
      </c>
      <c r="AC186" s="2">
        <f t="shared" si="44"/>
        <v>12.666666666666666</v>
      </c>
      <c r="AD186" s="2">
        <f t="shared" si="45"/>
        <v>37</v>
      </c>
    </row>
    <row r="187" spans="1:30" x14ac:dyDescent="0.3">
      <c r="A187" s="1" t="s">
        <v>230</v>
      </c>
      <c r="B187" s="1" t="s">
        <v>258</v>
      </c>
      <c r="C187" s="1" t="s">
        <v>260</v>
      </c>
      <c r="D187" s="1" t="s">
        <v>260</v>
      </c>
      <c r="E187" s="2">
        <v>40802</v>
      </c>
      <c r="F187" s="18">
        <v>3</v>
      </c>
      <c r="G187" s="18">
        <v>5</v>
      </c>
      <c r="H187" s="18">
        <v>5</v>
      </c>
      <c r="I187" s="18">
        <v>5</v>
      </c>
      <c r="J187" s="18">
        <v>12</v>
      </c>
      <c r="K187" s="18">
        <v>13</v>
      </c>
      <c r="L187" s="11">
        <v>17</v>
      </c>
      <c r="M187" s="11">
        <v>11</v>
      </c>
      <c r="N187" s="11">
        <v>11</v>
      </c>
      <c r="O187" s="11">
        <v>14</v>
      </c>
      <c r="P187" s="18">
        <v>14</v>
      </c>
      <c r="Q187" s="18">
        <v>18</v>
      </c>
      <c r="R187" s="24">
        <v>20</v>
      </c>
      <c r="S187" s="18">
        <v>22</v>
      </c>
      <c r="T187" s="18">
        <v>27.27272727272727</v>
      </c>
      <c r="U187" s="18">
        <v>45.454545454545453</v>
      </c>
      <c r="V187" s="18">
        <v>35.714285714285715</v>
      </c>
      <c r="W187" s="11">
        <v>35.714285714285715</v>
      </c>
      <c r="X187" s="11">
        <v>66.666666666666657</v>
      </c>
      <c r="Y187" s="11">
        <v>65</v>
      </c>
      <c r="Z187" s="11">
        <v>77.272727272727266</v>
      </c>
      <c r="AA187" s="11">
        <f t="shared" si="42"/>
        <v>38.961038961038959</v>
      </c>
      <c r="AB187" s="27">
        <f t="shared" si="43"/>
        <v>69.646464646464651</v>
      </c>
      <c r="AC187" s="2">
        <f t="shared" si="44"/>
        <v>5</v>
      </c>
      <c r="AD187" s="2">
        <f t="shared" si="45"/>
        <v>14</v>
      </c>
    </row>
    <row r="188" spans="1:30" x14ac:dyDescent="0.3">
      <c r="A188" s="1" t="s">
        <v>230</v>
      </c>
      <c r="B188" s="1" t="s">
        <v>261</v>
      </c>
      <c r="C188" s="1" t="s">
        <v>261</v>
      </c>
      <c r="D188" s="1" t="s">
        <v>261</v>
      </c>
      <c r="E188" s="2">
        <v>40901</v>
      </c>
      <c r="F188" s="18">
        <v>7</v>
      </c>
      <c r="G188" s="18">
        <v>7</v>
      </c>
      <c r="H188" s="18">
        <v>8</v>
      </c>
      <c r="I188" s="18">
        <v>11</v>
      </c>
      <c r="J188" s="18">
        <v>25</v>
      </c>
      <c r="K188" s="18">
        <v>25</v>
      </c>
      <c r="L188" s="11">
        <v>26</v>
      </c>
      <c r="M188" s="11">
        <v>15</v>
      </c>
      <c r="N188" s="11">
        <v>15</v>
      </c>
      <c r="O188" s="11">
        <v>20</v>
      </c>
      <c r="P188" s="18">
        <v>21</v>
      </c>
      <c r="Q188" s="18">
        <v>31</v>
      </c>
      <c r="R188" s="24">
        <v>31</v>
      </c>
      <c r="S188" s="18">
        <v>32</v>
      </c>
      <c r="T188" s="18">
        <v>46.666666666666664</v>
      </c>
      <c r="U188" s="18">
        <v>46.666666666666664</v>
      </c>
      <c r="V188" s="18">
        <v>40</v>
      </c>
      <c r="W188" s="11">
        <v>52.380952380952387</v>
      </c>
      <c r="X188" s="11">
        <v>80.645161290322577</v>
      </c>
      <c r="Y188" s="11">
        <v>80.645161290322577</v>
      </c>
      <c r="Z188" s="11">
        <v>81.25</v>
      </c>
      <c r="AA188" s="11">
        <f t="shared" si="42"/>
        <v>46.349206349206348</v>
      </c>
      <c r="AB188" s="27">
        <f t="shared" si="43"/>
        <v>80.846774193548384</v>
      </c>
      <c r="AC188" s="2">
        <f t="shared" si="44"/>
        <v>8.6666666666666661</v>
      </c>
      <c r="AD188" s="2">
        <f t="shared" si="45"/>
        <v>25.333333333333332</v>
      </c>
    </row>
    <row r="189" spans="1:30" x14ac:dyDescent="0.3">
      <c r="A189" s="1" t="s">
        <v>230</v>
      </c>
      <c r="B189" s="1" t="s">
        <v>261</v>
      </c>
      <c r="C189" s="1" t="s">
        <v>262</v>
      </c>
      <c r="D189" s="1" t="s">
        <v>262</v>
      </c>
      <c r="E189" s="2">
        <v>40902</v>
      </c>
      <c r="F189" s="18">
        <v>0</v>
      </c>
      <c r="G189" s="18">
        <v>2</v>
      </c>
      <c r="H189" s="18">
        <v>2</v>
      </c>
      <c r="I189" s="18">
        <v>3</v>
      </c>
      <c r="J189" s="18">
        <v>4</v>
      </c>
      <c r="K189" s="18">
        <v>5</v>
      </c>
      <c r="L189" s="11">
        <v>5</v>
      </c>
      <c r="M189" s="11">
        <v>4</v>
      </c>
      <c r="N189" s="11">
        <v>4</v>
      </c>
      <c r="O189" s="11">
        <v>6</v>
      </c>
      <c r="P189" s="18">
        <v>6</v>
      </c>
      <c r="Q189" s="18">
        <v>7</v>
      </c>
      <c r="R189" s="24">
        <v>7</v>
      </c>
      <c r="S189" s="18">
        <v>7</v>
      </c>
      <c r="T189" s="18">
        <v>0</v>
      </c>
      <c r="U189" s="18">
        <v>50</v>
      </c>
      <c r="V189" s="18">
        <v>33.333333333333329</v>
      </c>
      <c r="W189" s="11">
        <v>50</v>
      </c>
      <c r="X189" s="11">
        <v>57.142857142857139</v>
      </c>
      <c r="Y189" s="11">
        <v>71.428571428571431</v>
      </c>
      <c r="Z189" s="11">
        <v>71.428571428571431</v>
      </c>
      <c r="AA189" s="11">
        <f t="shared" si="42"/>
        <v>44.444444444444436</v>
      </c>
      <c r="AB189" s="27">
        <f t="shared" si="43"/>
        <v>66.666666666666671</v>
      </c>
      <c r="AC189" s="2">
        <f t="shared" si="44"/>
        <v>2.3333333333333335</v>
      </c>
      <c r="AD189" s="2">
        <f t="shared" si="45"/>
        <v>4.666666666666667</v>
      </c>
    </row>
    <row r="190" spans="1:30" x14ac:dyDescent="0.3">
      <c r="A190" s="1" t="s">
        <v>230</v>
      </c>
      <c r="B190" s="1" t="s">
        <v>261</v>
      </c>
      <c r="C190" s="1" t="s">
        <v>263</v>
      </c>
      <c r="D190" s="1" t="s">
        <v>263</v>
      </c>
      <c r="E190" s="2">
        <v>40903</v>
      </c>
      <c r="F190" s="18">
        <v>3</v>
      </c>
      <c r="G190" s="18">
        <v>3</v>
      </c>
      <c r="H190" s="18">
        <v>4</v>
      </c>
      <c r="I190" s="18">
        <v>4</v>
      </c>
      <c r="J190" s="18">
        <v>17</v>
      </c>
      <c r="K190" s="18">
        <v>18</v>
      </c>
      <c r="L190" s="11">
        <v>17</v>
      </c>
      <c r="M190" s="11">
        <v>7</v>
      </c>
      <c r="N190" s="11">
        <v>7</v>
      </c>
      <c r="O190" s="11">
        <v>13</v>
      </c>
      <c r="P190" s="18">
        <v>13</v>
      </c>
      <c r="Q190" s="18">
        <v>20</v>
      </c>
      <c r="R190" s="24">
        <v>20</v>
      </c>
      <c r="S190" s="18">
        <v>19</v>
      </c>
      <c r="T190" s="18">
        <v>42.857142857142854</v>
      </c>
      <c r="U190" s="18">
        <v>42.857142857142854</v>
      </c>
      <c r="V190" s="18">
        <v>30.76923076923077</v>
      </c>
      <c r="W190" s="11">
        <v>30.76923076923077</v>
      </c>
      <c r="X190" s="11">
        <v>85</v>
      </c>
      <c r="Y190" s="11">
        <v>90</v>
      </c>
      <c r="Z190" s="11">
        <v>89.473684210526315</v>
      </c>
      <c r="AA190" s="11">
        <f t="shared" si="42"/>
        <v>34.798534798534796</v>
      </c>
      <c r="AB190" s="27">
        <f t="shared" si="43"/>
        <v>88.157894736842096</v>
      </c>
      <c r="AC190" s="2">
        <f t="shared" si="44"/>
        <v>3.6666666666666665</v>
      </c>
      <c r="AD190" s="2">
        <f t="shared" si="45"/>
        <v>17.333333333333332</v>
      </c>
    </row>
    <row r="191" spans="1:30" x14ac:dyDescent="0.3">
      <c r="A191" s="1" t="s">
        <v>230</v>
      </c>
      <c r="B191" s="1" t="s">
        <v>264</v>
      </c>
      <c r="C191" s="1" t="s">
        <v>265</v>
      </c>
      <c r="D191" s="1" t="s">
        <v>265</v>
      </c>
      <c r="E191" s="2">
        <v>41001</v>
      </c>
      <c r="F191" s="18">
        <v>12</v>
      </c>
      <c r="G191" s="18">
        <v>14</v>
      </c>
      <c r="H191" s="18">
        <v>14</v>
      </c>
      <c r="I191" s="18">
        <v>15</v>
      </c>
      <c r="J191" s="18">
        <v>29</v>
      </c>
      <c r="K191" s="18">
        <v>31</v>
      </c>
      <c r="L191" s="11">
        <v>31</v>
      </c>
      <c r="M191" s="11">
        <v>23</v>
      </c>
      <c r="N191" s="11">
        <v>23</v>
      </c>
      <c r="O191" s="11">
        <v>34</v>
      </c>
      <c r="P191" s="18">
        <v>35</v>
      </c>
      <c r="Q191" s="18">
        <v>45</v>
      </c>
      <c r="R191" s="24">
        <v>47</v>
      </c>
      <c r="S191" s="18">
        <v>47</v>
      </c>
      <c r="T191" s="18">
        <v>52.173913043478258</v>
      </c>
      <c r="U191" s="18">
        <v>60.869565217391312</v>
      </c>
      <c r="V191" s="18">
        <v>41.17647058823529</v>
      </c>
      <c r="W191" s="11">
        <v>42.857142857142854</v>
      </c>
      <c r="X191" s="11">
        <v>64.444444444444443</v>
      </c>
      <c r="Y191" s="11">
        <v>65.957446808510639</v>
      </c>
      <c r="Z191" s="11">
        <v>65.957446808510639</v>
      </c>
      <c r="AA191" s="11">
        <f t="shared" si="42"/>
        <v>48.301059554256483</v>
      </c>
      <c r="AB191" s="27">
        <f t="shared" si="43"/>
        <v>65.45311268715524</v>
      </c>
      <c r="AC191" s="2">
        <f t="shared" si="44"/>
        <v>14.333333333333334</v>
      </c>
      <c r="AD191" s="2">
        <f t="shared" si="45"/>
        <v>30.333333333333332</v>
      </c>
    </row>
    <row r="192" spans="1:30" x14ac:dyDescent="0.3">
      <c r="A192" s="1" t="s">
        <v>230</v>
      </c>
      <c r="B192" s="1" t="s">
        <v>266</v>
      </c>
      <c r="C192" s="1" t="s">
        <v>267</v>
      </c>
      <c r="D192" s="1" t="s">
        <v>267</v>
      </c>
      <c r="E192" s="2">
        <v>41101</v>
      </c>
      <c r="F192" s="18">
        <v>29</v>
      </c>
      <c r="G192" s="18">
        <v>30</v>
      </c>
      <c r="H192" s="18">
        <v>30</v>
      </c>
      <c r="I192" s="18">
        <v>30</v>
      </c>
      <c r="J192" s="18">
        <v>38</v>
      </c>
      <c r="K192" s="18">
        <v>39</v>
      </c>
      <c r="L192" s="11">
        <v>40</v>
      </c>
      <c r="M192" s="11">
        <v>50</v>
      </c>
      <c r="N192" s="11">
        <v>50</v>
      </c>
      <c r="O192" s="11">
        <v>55</v>
      </c>
      <c r="P192" s="18">
        <v>55</v>
      </c>
      <c r="Q192" s="18">
        <v>60</v>
      </c>
      <c r="R192" s="24">
        <v>60</v>
      </c>
      <c r="S192" s="18">
        <v>58</v>
      </c>
      <c r="T192" s="18">
        <v>57.999999999999993</v>
      </c>
      <c r="U192" s="18">
        <v>60</v>
      </c>
      <c r="V192" s="18">
        <v>54.54545454545454</v>
      </c>
      <c r="W192" s="11">
        <v>54.54545454545454</v>
      </c>
      <c r="X192" s="11">
        <v>63.333333333333329</v>
      </c>
      <c r="Y192" s="11">
        <v>65</v>
      </c>
      <c r="Z192" s="11">
        <v>68.965517241379317</v>
      </c>
      <c r="AA192" s="11">
        <f t="shared" si="42"/>
        <v>56.363636363636353</v>
      </c>
      <c r="AB192" s="27">
        <f t="shared" si="43"/>
        <v>65.76628352490421</v>
      </c>
      <c r="AC192" s="2">
        <f t="shared" si="44"/>
        <v>30</v>
      </c>
      <c r="AD192" s="2">
        <f t="shared" si="45"/>
        <v>39</v>
      </c>
    </row>
    <row r="193" spans="1:30" x14ac:dyDescent="0.3">
      <c r="A193" s="1" t="s">
        <v>230</v>
      </c>
      <c r="B193" s="1" t="s">
        <v>268</v>
      </c>
      <c r="C193" s="1" t="s">
        <v>269</v>
      </c>
      <c r="D193" s="1" t="s">
        <v>270</v>
      </c>
      <c r="E193" s="2">
        <v>41201</v>
      </c>
      <c r="F193" s="18">
        <v>14</v>
      </c>
      <c r="G193" s="18">
        <v>12</v>
      </c>
      <c r="H193" s="18">
        <v>14</v>
      </c>
      <c r="I193" s="18">
        <v>15</v>
      </c>
      <c r="J193" s="18">
        <v>19</v>
      </c>
      <c r="K193" s="18">
        <v>20</v>
      </c>
      <c r="L193" s="11">
        <v>20</v>
      </c>
      <c r="M193" s="11">
        <v>26</v>
      </c>
      <c r="N193" s="11">
        <v>27</v>
      </c>
      <c r="O193" s="11">
        <v>33</v>
      </c>
      <c r="P193" s="18">
        <v>36</v>
      </c>
      <c r="Q193" s="18">
        <v>37</v>
      </c>
      <c r="R193" s="24">
        <v>37</v>
      </c>
      <c r="S193" s="18">
        <v>37</v>
      </c>
      <c r="T193" s="18">
        <v>53.846153846153847</v>
      </c>
      <c r="U193" s="18">
        <v>44.444444444444443</v>
      </c>
      <c r="V193" s="18">
        <v>42.424242424242422</v>
      </c>
      <c r="W193" s="11">
        <v>41.666666666666671</v>
      </c>
      <c r="X193" s="11">
        <v>51.351351351351347</v>
      </c>
      <c r="Y193" s="11">
        <v>54.054054054054056</v>
      </c>
      <c r="Z193" s="11">
        <v>54.054054054054056</v>
      </c>
      <c r="AA193" s="11">
        <f t="shared" si="42"/>
        <v>42.845117845117841</v>
      </c>
      <c r="AB193" s="27">
        <f t="shared" si="43"/>
        <v>53.153153153153148</v>
      </c>
      <c r="AC193" s="2">
        <f t="shared" si="44"/>
        <v>13.666666666666666</v>
      </c>
      <c r="AD193" s="2">
        <f t="shared" si="45"/>
        <v>19.666666666666668</v>
      </c>
    </row>
    <row r="194" spans="1:30" x14ac:dyDescent="0.3">
      <c r="A194" s="1" t="s">
        <v>230</v>
      </c>
      <c r="B194" s="1" t="s">
        <v>268</v>
      </c>
      <c r="C194" s="1" t="s">
        <v>271</v>
      </c>
      <c r="D194" s="1" t="s">
        <v>271</v>
      </c>
      <c r="E194" s="2">
        <v>41202</v>
      </c>
      <c r="F194" s="18">
        <v>3</v>
      </c>
      <c r="G194" s="18">
        <v>3</v>
      </c>
      <c r="H194" s="18">
        <v>5</v>
      </c>
      <c r="I194" s="18">
        <v>7</v>
      </c>
      <c r="J194" s="18">
        <v>10</v>
      </c>
      <c r="K194" s="18">
        <v>11</v>
      </c>
      <c r="L194" s="11">
        <v>11</v>
      </c>
      <c r="M194" s="11">
        <v>10</v>
      </c>
      <c r="N194" s="11">
        <v>10</v>
      </c>
      <c r="O194" s="11">
        <v>15</v>
      </c>
      <c r="P194" s="18">
        <v>16</v>
      </c>
      <c r="Q194" s="18">
        <v>18</v>
      </c>
      <c r="R194" s="24">
        <v>18</v>
      </c>
      <c r="S194" s="18">
        <v>18</v>
      </c>
      <c r="T194" s="18">
        <v>30</v>
      </c>
      <c r="U194" s="18">
        <v>30</v>
      </c>
      <c r="V194" s="18">
        <v>33.333333333333329</v>
      </c>
      <c r="W194" s="11">
        <v>43.75</v>
      </c>
      <c r="X194" s="11">
        <v>55.555555555555557</v>
      </c>
      <c r="Y194" s="11">
        <v>61.111111111111114</v>
      </c>
      <c r="Z194" s="11">
        <v>61.111111111111114</v>
      </c>
      <c r="AA194" s="11">
        <f t="shared" si="42"/>
        <v>35.694444444444443</v>
      </c>
      <c r="AB194" s="27">
        <f t="shared" si="43"/>
        <v>59.25925925925926</v>
      </c>
      <c r="AC194" s="2">
        <f t="shared" si="44"/>
        <v>5</v>
      </c>
      <c r="AD194" s="2">
        <f t="shared" si="45"/>
        <v>10.666666666666666</v>
      </c>
    </row>
    <row r="195" spans="1:30" x14ac:dyDescent="0.3">
      <c r="A195" s="1" t="s">
        <v>230</v>
      </c>
      <c r="B195" s="1" t="s">
        <v>272</v>
      </c>
      <c r="C195" s="1" t="s">
        <v>208</v>
      </c>
      <c r="D195" s="1" t="s">
        <v>208</v>
      </c>
      <c r="E195" s="2">
        <v>41301</v>
      </c>
      <c r="F195" s="18">
        <v>14</v>
      </c>
      <c r="G195" s="18">
        <v>16</v>
      </c>
      <c r="H195" s="18">
        <v>20</v>
      </c>
      <c r="I195" s="18">
        <v>19</v>
      </c>
      <c r="J195" s="18">
        <v>41</v>
      </c>
      <c r="K195" s="18">
        <v>44</v>
      </c>
      <c r="L195" s="11">
        <v>45</v>
      </c>
      <c r="M195" s="11">
        <v>40</v>
      </c>
      <c r="N195" s="11">
        <v>40</v>
      </c>
      <c r="O195" s="11">
        <v>54</v>
      </c>
      <c r="P195" s="18">
        <v>55</v>
      </c>
      <c r="Q195" s="18">
        <v>65</v>
      </c>
      <c r="R195" s="24">
        <v>65</v>
      </c>
      <c r="S195" s="18">
        <v>65</v>
      </c>
      <c r="T195" s="18">
        <v>35</v>
      </c>
      <c r="U195" s="18">
        <v>40</v>
      </c>
      <c r="V195" s="18">
        <v>37.037037037037038</v>
      </c>
      <c r="W195" s="11">
        <v>34.545454545454547</v>
      </c>
      <c r="X195" s="11">
        <v>63.076923076923073</v>
      </c>
      <c r="Y195" s="11">
        <v>67.692307692307693</v>
      </c>
      <c r="Z195" s="11">
        <v>69.230769230769226</v>
      </c>
      <c r="AA195" s="11">
        <f t="shared" ref="AA195:AA258" si="46">AVERAGE(U195:W195)</f>
        <v>37.194163860830528</v>
      </c>
      <c r="AB195" s="27">
        <f t="shared" ref="AB195:AB258" si="47">AVERAGE(X195:Z195)</f>
        <v>66.666666666666671</v>
      </c>
      <c r="AC195" s="2">
        <f t="shared" ref="AC195:AC258" si="48">AVERAGE(G195:I195)</f>
        <v>18.333333333333332</v>
      </c>
      <c r="AD195" s="2">
        <f t="shared" ref="AD195:AD258" si="49">AVERAGE(J195:L195)</f>
        <v>43.333333333333336</v>
      </c>
    </row>
    <row r="196" spans="1:30" x14ac:dyDescent="0.3">
      <c r="A196" s="1" t="s">
        <v>230</v>
      </c>
      <c r="B196" s="1" t="s">
        <v>273</v>
      </c>
      <c r="C196" s="1" t="s">
        <v>274</v>
      </c>
      <c r="D196" s="1" t="s">
        <v>274</v>
      </c>
      <c r="E196" s="2">
        <v>41401</v>
      </c>
      <c r="F196" s="18">
        <v>22</v>
      </c>
      <c r="G196" s="18">
        <v>27</v>
      </c>
      <c r="H196" s="18">
        <v>30</v>
      </c>
      <c r="I196" s="18">
        <v>30</v>
      </c>
      <c r="J196" s="18">
        <v>45</v>
      </c>
      <c r="K196" s="18">
        <v>47</v>
      </c>
      <c r="L196" s="11">
        <v>51</v>
      </c>
      <c r="M196" s="11">
        <v>33</v>
      </c>
      <c r="N196" s="11">
        <v>36</v>
      </c>
      <c r="O196" s="11">
        <v>57</v>
      </c>
      <c r="P196" s="18">
        <v>58</v>
      </c>
      <c r="Q196" s="18">
        <v>65</v>
      </c>
      <c r="R196" s="24">
        <v>66</v>
      </c>
      <c r="S196" s="18">
        <v>68</v>
      </c>
      <c r="T196" s="18">
        <v>66.666666666666657</v>
      </c>
      <c r="U196" s="18">
        <v>75</v>
      </c>
      <c r="V196" s="18">
        <v>52.631578947368418</v>
      </c>
      <c r="W196" s="11">
        <v>51.724137931034484</v>
      </c>
      <c r="X196" s="11">
        <v>69.230769230769226</v>
      </c>
      <c r="Y196" s="11">
        <v>71.212121212121218</v>
      </c>
      <c r="Z196" s="11">
        <v>75</v>
      </c>
      <c r="AA196" s="11">
        <f t="shared" si="46"/>
        <v>59.785238959467627</v>
      </c>
      <c r="AB196" s="27">
        <f t="shared" si="47"/>
        <v>71.81429681429681</v>
      </c>
      <c r="AC196" s="2">
        <f t="shared" si="48"/>
        <v>29</v>
      </c>
      <c r="AD196" s="2">
        <f t="shared" si="49"/>
        <v>47.666666666666664</v>
      </c>
    </row>
    <row r="197" spans="1:30" x14ac:dyDescent="0.3">
      <c r="A197" s="1" t="s">
        <v>230</v>
      </c>
      <c r="B197" s="1" t="s">
        <v>275</v>
      </c>
      <c r="C197" s="1" t="s">
        <v>276</v>
      </c>
      <c r="D197" s="1" t="s">
        <v>276</v>
      </c>
      <c r="E197" s="2">
        <v>41501</v>
      </c>
      <c r="F197" s="18">
        <v>2</v>
      </c>
      <c r="G197" s="18">
        <v>2</v>
      </c>
      <c r="H197" s="18">
        <v>1</v>
      </c>
      <c r="I197" s="18">
        <v>2</v>
      </c>
      <c r="J197" s="18">
        <v>8</v>
      </c>
      <c r="K197" s="18">
        <v>9</v>
      </c>
      <c r="L197" s="11">
        <v>9</v>
      </c>
      <c r="M197" s="11">
        <v>7</v>
      </c>
      <c r="N197" s="11">
        <v>7</v>
      </c>
      <c r="O197" s="11">
        <v>7</v>
      </c>
      <c r="P197" s="18">
        <v>8</v>
      </c>
      <c r="Q197" s="18">
        <v>9</v>
      </c>
      <c r="R197" s="24">
        <v>10</v>
      </c>
      <c r="S197" s="18">
        <v>10</v>
      </c>
      <c r="T197" s="18">
        <v>28.571428571428569</v>
      </c>
      <c r="U197" s="18">
        <v>28.571428571428569</v>
      </c>
      <c r="V197" s="18">
        <v>14.285714285714285</v>
      </c>
      <c r="W197" s="11">
        <v>25</v>
      </c>
      <c r="X197" s="11">
        <v>88.888888888888886</v>
      </c>
      <c r="Y197" s="11">
        <v>90</v>
      </c>
      <c r="Z197" s="11">
        <v>90</v>
      </c>
      <c r="AA197" s="11">
        <f t="shared" si="46"/>
        <v>22.61904761904762</v>
      </c>
      <c r="AB197" s="27">
        <f t="shared" si="47"/>
        <v>89.629629629629633</v>
      </c>
      <c r="AC197" s="2">
        <f t="shared" si="48"/>
        <v>1.6666666666666667</v>
      </c>
      <c r="AD197" s="2">
        <f t="shared" si="49"/>
        <v>8.6666666666666661</v>
      </c>
    </row>
    <row r="198" spans="1:30" x14ac:dyDescent="0.3">
      <c r="A198" s="1" t="s">
        <v>230</v>
      </c>
      <c r="B198" s="1" t="s">
        <v>275</v>
      </c>
      <c r="C198" s="1" t="s">
        <v>277</v>
      </c>
      <c r="D198" s="1" t="s">
        <v>277</v>
      </c>
      <c r="E198" s="2">
        <v>41502</v>
      </c>
      <c r="F198" s="18">
        <v>2</v>
      </c>
      <c r="G198" s="18">
        <v>2</v>
      </c>
      <c r="H198" s="18">
        <v>2</v>
      </c>
      <c r="I198" s="18">
        <v>2</v>
      </c>
      <c r="J198" s="18">
        <v>7</v>
      </c>
      <c r="K198" s="18">
        <v>7</v>
      </c>
      <c r="L198" s="11">
        <v>7</v>
      </c>
      <c r="M198" s="11">
        <v>6</v>
      </c>
      <c r="N198" s="11">
        <v>6</v>
      </c>
      <c r="O198" s="11">
        <v>8</v>
      </c>
      <c r="P198" s="18">
        <v>8</v>
      </c>
      <c r="Q198" s="18">
        <v>10</v>
      </c>
      <c r="R198" s="24">
        <v>10</v>
      </c>
      <c r="S198" s="1">
        <v>10</v>
      </c>
      <c r="T198" s="1">
        <v>33.333333333333329</v>
      </c>
      <c r="U198" s="1">
        <v>33.333333333333329</v>
      </c>
      <c r="V198" s="1">
        <v>25</v>
      </c>
      <c r="W198" s="11">
        <v>25</v>
      </c>
      <c r="X198" s="11">
        <v>70</v>
      </c>
      <c r="Y198" s="11">
        <v>70</v>
      </c>
      <c r="Z198" s="11">
        <v>70</v>
      </c>
      <c r="AA198" s="11">
        <f t="shared" si="46"/>
        <v>27.777777777777775</v>
      </c>
      <c r="AB198" s="27">
        <f t="shared" si="47"/>
        <v>70</v>
      </c>
      <c r="AC198" s="2">
        <f t="shared" si="48"/>
        <v>2</v>
      </c>
      <c r="AD198" s="2">
        <f t="shared" si="49"/>
        <v>7</v>
      </c>
    </row>
    <row r="199" spans="1:30" x14ac:dyDescent="0.3">
      <c r="A199" s="1" t="s">
        <v>230</v>
      </c>
      <c r="B199" s="1" t="s">
        <v>275</v>
      </c>
      <c r="C199" s="1" t="s">
        <v>238</v>
      </c>
      <c r="D199" s="1" t="s">
        <v>238</v>
      </c>
      <c r="E199" s="2">
        <v>41503</v>
      </c>
      <c r="F199" s="18">
        <v>0</v>
      </c>
      <c r="G199" s="18">
        <v>0</v>
      </c>
      <c r="H199" s="18">
        <v>0</v>
      </c>
      <c r="I199" s="18">
        <v>0</v>
      </c>
      <c r="J199" s="18">
        <v>3</v>
      </c>
      <c r="K199" s="18">
        <v>3</v>
      </c>
      <c r="L199" s="11">
        <v>3</v>
      </c>
      <c r="M199" s="11">
        <v>0</v>
      </c>
      <c r="N199" s="11">
        <v>0</v>
      </c>
      <c r="O199" s="11">
        <v>0</v>
      </c>
      <c r="P199" s="18">
        <v>0</v>
      </c>
      <c r="Q199" s="18">
        <v>3</v>
      </c>
      <c r="R199" s="24">
        <v>3</v>
      </c>
      <c r="S199" s="18">
        <v>3</v>
      </c>
      <c r="T199" s="18"/>
      <c r="U199" s="18"/>
      <c r="V199" s="18"/>
      <c r="W199" s="11"/>
      <c r="X199" s="11">
        <v>100</v>
      </c>
      <c r="Y199" s="11">
        <v>100</v>
      </c>
      <c r="Z199" s="11">
        <v>100</v>
      </c>
      <c r="AA199" s="11"/>
      <c r="AB199" s="27">
        <f t="shared" si="47"/>
        <v>100</v>
      </c>
      <c r="AC199" s="2">
        <f t="shared" si="48"/>
        <v>0</v>
      </c>
      <c r="AD199" s="2">
        <f t="shared" si="49"/>
        <v>3</v>
      </c>
    </row>
    <row r="200" spans="1:30" x14ac:dyDescent="0.3">
      <c r="A200" s="1" t="s">
        <v>230</v>
      </c>
      <c r="B200" s="1" t="s">
        <v>278</v>
      </c>
      <c r="C200" s="1" t="s">
        <v>279</v>
      </c>
      <c r="D200" s="1" t="s">
        <v>280</v>
      </c>
      <c r="E200" s="2">
        <v>41601</v>
      </c>
      <c r="F200" s="18">
        <v>10</v>
      </c>
      <c r="G200" s="18">
        <v>10</v>
      </c>
      <c r="H200" s="18">
        <v>14</v>
      </c>
      <c r="I200" s="18">
        <v>14</v>
      </c>
      <c r="J200" s="18">
        <v>35</v>
      </c>
      <c r="K200" s="18">
        <v>36</v>
      </c>
      <c r="L200" s="11">
        <v>36</v>
      </c>
      <c r="M200" s="11">
        <v>33</v>
      </c>
      <c r="N200" s="11">
        <v>33</v>
      </c>
      <c r="O200" s="11">
        <v>42</v>
      </c>
      <c r="P200" s="18">
        <v>44</v>
      </c>
      <c r="Q200" s="18">
        <v>56</v>
      </c>
      <c r="R200" s="24">
        <v>57</v>
      </c>
      <c r="S200" s="18">
        <v>55</v>
      </c>
      <c r="T200" s="18">
        <v>30.303030303030305</v>
      </c>
      <c r="U200" s="18">
        <v>30.303030303030305</v>
      </c>
      <c r="V200" s="18">
        <v>33.333333333333329</v>
      </c>
      <c r="W200" s="11">
        <v>31.818181818181817</v>
      </c>
      <c r="X200" s="11">
        <v>62.5</v>
      </c>
      <c r="Y200" s="11">
        <v>63.157894736842103</v>
      </c>
      <c r="Z200" s="11">
        <v>65.454545454545453</v>
      </c>
      <c r="AA200" s="11">
        <f t="shared" si="46"/>
        <v>31.818181818181817</v>
      </c>
      <c r="AB200" s="27">
        <f t="shared" si="47"/>
        <v>63.704146730462526</v>
      </c>
      <c r="AC200" s="2">
        <f t="shared" si="48"/>
        <v>12.666666666666666</v>
      </c>
      <c r="AD200" s="2">
        <f t="shared" si="49"/>
        <v>35.666666666666664</v>
      </c>
    </row>
    <row r="201" spans="1:30" x14ac:dyDescent="0.3">
      <c r="A201" s="1" t="s">
        <v>281</v>
      </c>
      <c r="B201" s="1" t="s">
        <v>282</v>
      </c>
      <c r="C201" s="1" t="s">
        <v>281</v>
      </c>
      <c r="D201" s="1" t="s">
        <v>281</v>
      </c>
      <c r="E201" s="2">
        <v>50101</v>
      </c>
      <c r="F201" s="18">
        <v>621</v>
      </c>
      <c r="G201" s="18">
        <v>718</v>
      </c>
      <c r="H201" s="18">
        <v>895</v>
      </c>
      <c r="I201" s="18">
        <v>917</v>
      </c>
      <c r="J201" s="18">
        <v>1016</v>
      </c>
      <c r="K201" s="18">
        <v>1034</v>
      </c>
      <c r="L201" s="11">
        <v>1082</v>
      </c>
      <c r="M201" s="11">
        <v>741</v>
      </c>
      <c r="N201" s="11">
        <v>862</v>
      </c>
      <c r="O201" s="11">
        <v>1137</v>
      </c>
      <c r="P201" s="18">
        <v>1166</v>
      </c>
      <c r="Q201" s="18">
        <v>1326</v>
      </c>
      <c r="R201" s="24">
        <v>1350</v>
      </c>
      <c r="S201" s="18">
        <v>1407</v>
      </c>
      <c r="T201" s="18">
        <v>83.805668016194332</v>
      </c>
      <c r="U201" s="18">
        <v>83.294663573085842</v>
      </c>
      <c r="V201" s="18">
        <v>78.715919085312223</v>
      </c>
      <c r="W201" s="11">
        <v>78.644939965694675</v>
      </c>
      <c r="X201" s="11">
        <v>76.621417797888398</v>
      </c>
      <c r="Y201" s="11">
        <v>76.592592592592595</v>
      </c>
      <c r="Z201" s="11">
        <v>76.901208244491826</v>
      </c>
      <c r="AA201" s="11">
        <f t="shared" si="46"/>
        <v>80.218507541364247</v>
      </c>
      <c r="AB201" s="27">
        <f t="shared" si="47"/>
        <v>76.705072878324287</v>
      </c>
      <c r="AC201" s="2">
        <f t="shared" si="48"/>
        <v>843.33333333333337</v>
      </c>
      <c r="AD201" s="2">
        <f t="shared" si="49"/>
        <v>1044</v>
      </c>
    </row>
    <row r="202" spans="1:30" x14ac:dyDescent="0.3">
      <c r="A202" s="1" t="s">
        <v>281</v>
      </c>
      <c r="B202" s="1" t="s">
        <v>282</v>
      </c>
      <c r="C202" s="1" t="s">
        <v>283</v>
      </c>
      <c r="D202" s="1" t="s">
        <v>283</v>
      </c>
      <c r="E202" s="2">
        <v>50102</v>
      </c>
      <c r="F202" s="18">
        <v>26</v>
      </c>
      <c r="G202" s="18">
        <v>28</v>
      </c>
      <c r="H202" s="18">
        <v>31</v>
      </c>
      <c r="I202" s="18">
        <v>33</v>
      </c>
      <c r="J202" s="18">
        <v>58</v>
      </c>
      <c r="K202" s="18">
        <v>58</v>
      </c>
      <c r="L202" s="11">
        <v>58</v>
      </c>
      <c r="M202" s="11">
        <v>34</v>
      </c>
      <c r="N202" s="11">
        <v>38</v>
      </c>
      <c r="O202" s="11">
        <v>72</v>
      </c>
      <c r="P202" s="18">
        <v>85</v>
      </c>
      <c r="Q202" s="18">
        <v>99</v>
      </c>
      <c r="R202" s="24">
        <v>103</v>
      </c>
      <c r="S202" s="18">
        <v>106</v>
      </c>
      <c r="T202" s="18">
        <v>76.470588235294116</v>
      </c>
      <c r="U202" s="18">
        <v>73.68421052631578</v>
      </c>
      <c r="V202" s="18">
        <v>43.055555555555557</v>
      </c>
      <c r="W202" s="11">
        <v>38.82352941176471</v>
      </c>
      <c r="X202" s="11">
        <v>58.585858585858588</v>
      </c>
      <c r="Y202" s="11">
        <v>56.310679611650485</v>
      </c>
      <c r="Z202" s="11">
        <v>54.716981132075468</v>
      </c>
      <c r="AA202" s="11">
        <f t="shared" si="46"/>
        <v>51.854431831212018</v>
      </c>
      <c r="AB202" s="27">
        <f t="shared" si="47"/>
        <v>56.53783977652818</v>
      </c>
      <c r="AC202" s="2">
        <f t="shared" si="48"/>
        <v>30.666666666666668</v>
      </c>
      <c r="AD202" s="2">
        <f t="shared" si="49"/>
        <v>58</v>
      </c>
    </row>
    <row r="203" spans="1:30" x14ac:dyDescent="0.3">
      <c r="A203" s="1" t="s">
        <v>281</v>
      </c>
      <c r="B203" s="1" t="s">
        <v>282</v>
      </c>
      <c r="C203" s="1" t="s">
        <v>284</v>
      </c>
      <c r="D203" s="1" t="s">
        <v>285</v>
      </c>
      <c r="E203" s="2">
        <v>50103</v>
      </c>
      <c r="F203" s="18">
        <v>33</v>
      </c>
      <c r="G203" s="18">
        <v>35</v>
      </c>
      <c r="H203" s="18">
        <v>46</v>
      </c>
      <c r="I203" s="18">
        <v>45</v>
      </c>
      <c r="J203" s="18">
        <v>56</v>
      </c>
      <c r="K203" s="18">
        <v>56</v>
      </c>
      <c r="L203" s="11">
        <v>55</v>
      </c>
      <c r="M203" s="11">
        <v>49</v>
      </c>
      <c r="N203" s="11">
        <v>49</v>
      </c>
      <c r="O203" s="11">
        <v>73</v>
      </c>
      <c r="P203" s="18">
        <v>76</v>
      </c>
      <c r="Q203" s="18">
        <v>78</v>
      </c>
      <c r="R203" s="24">
        <v>78</v>
      </c>
      <c r="S203" s="18">
        <v>78</v>
      </c>
      <c r="T203" s="18">
        <v>67.346938775510196</v>
      </c>
      <c r="U203" s="18">
        <v>71.428571428571431</v>
      </c>
      <c r="V203" s="18">
        <v>63.013698630136986</v>
      </c>
      <c r="W203" s="11">
        <v>59.210526315789465</v>
      </c>
      <c r="X203" s="11">
        <v>71.794871794871796</v>
      </c>
      <c r="Y203" s="11">
        <v>71.794871794871796</v>
      </c>
      <c r="Z203" s="11">
        <v>70.512820512820511</v>
      </c>
      <c r="AA203" s="11">
        <f t="shared" si="46"/>
        <v>64.550932124832627</v>
      </c>
      <c r="AB203" s="27">
        <f t="shared" si="47"/>
        <v>71.367521367521363</v>
      </c>
      <c r="AC203" s="2">
        <f t="shared" si="48"/>
        <v>42</v>
      </c>
      <c r="AD203" s="2">
        <f t="shared" si="49"/>
        <v>55.666666666666664</v>
      </c>
    </row>
    <row r="204" spans="1:30" x14ac:dyDescent="0.3">
      <c r="A204" s="1" t="s">
        <v>281</v>
      </c>
      <c r="B204" s="1" t="s">
        <v>282</v>
      </c>
      <c r="C204" s="1" t="s">
        <v>286</v>
      </c>
      <c r="D204" s="1" t="s">
        <v>287</v>
      </c>
      <c r="E204" s="2">
        <v>50104</v>
      </c>
      <c r="F204" s="18">
        <v>31</v>
      </c>
      <c r="G204" s="18">
        <v>33</v>
      </c>
      <c r="H204" s="18">
        <v>26</v>
      </c>
      <c r="I204" s="18">
        <v>49</v>
      </c>
      <c r="J204" s="18">
        <v>22</v>
      </c>
      <c r="K204" s="18">
        <v>24</v>
      </c>
      <c r="L204" s="11">
        <v>28</v>
      </c>
      <c r="M204" s="11">
        <v>52</v>
      </c>
      <c r="N204" s="11">
        <v>52</v>
      </c>
      <c r="O204" s="11">
        <v>49</v>
      </c>
      <c r="P204" s="18">
        <v>79</v>
      </c>
      <c r="Q204" s="18">
        <v>37</v>
      </c>
      <c r="R204" s="24">
        <v>39</v>
      </c>
      <c r="S204" s="18">
        <v>45</v>
      </c>
      <c r="T204" s="18">
        <v>59.615384615384613</v>
      </c>
      <c r="U204" s="18">
        <v>63.46153846153846</v>
      </c>
      <c r="V204" s="18">
        <v>53.061224489795919</v>
      </c>
      <c r="W204" s="11">
        <v>62.025316455696199</v>
      </c>
      <c r="X204" s="11">
        <v>59.45945945945946</v>
      </c>
      <c r="Y204" s="11">
        <v>61.53846153846154</v>
      </c>
      <c r="Z204" s="11">
        <v>62.222222222222221</v>
      </c>
      <c r="AA204" s="11">
        <f t="shared" si="46"/>
        <v>59.516026469010193</v>
      </c>
      <c r="AB204" s="27">
        <f t="shared" si="47"/>
        <v>61.073381073381078</v>
      </c>
      <c r="AC204" s="2">
        <f t="shared" si="48"/>
        <v>36</v>
      </c>
      <c r="AD204" s="2">
        <f t="shared" si="49"/>
        <v>24.666666666666668</v>
      </c>
    </row>
    <row r="205" spans="1:30" x14ac:dyDescent="0.3">
      <c r="A205" s="1" t="s">
        <v>281</v>
      </c>
      <c r="B205" s="1" t="s">
        <v>288</v>
      </c>
      <c r="C205" s="1" t="s">
        <v>289</v>
      </c>
      <c r="D205" s="1" t="s">
        <v>289</v>
      </c>
      <c r="E205" s="2">
        <v>50201</v>
      </c>
      <c r="F205" s="18">
        <v>67</v>
      </c>
      <c r="G205" s="18">
        <v>73</v>
      </c>
      <c r="H205" s="18">
        <v>90</v>
      </c>
      <c r="I205" s="18">
        <v>81</v>
      </c>
      <c r="J205" s="18">
        <v>118</v>
      </c>
      <c r="K205" s="18">
        <v>122</v>
      </c>
      <c r="L205" s="11">
        <v>127</v>
      </c>
      <c r="M205" s="11">
        <v>109</v>
      </c>
      <c r="N205" s="11">
        <v>134</v>
      </c>
      <c r="O205" s="11">
        <v>167</v>
      </c>
      <c r="P205" s="18">
        <v>134</v>
      </c>
      <c r="Q205" s="18">
        <v>152</v>
      </c>
      <c r="R205" s="24">
        <v>153</v>
      </c>
      <c r="S205" s="18">
        <v>157</v>
      </c>
      <c r="T205" s="18">
        <v>61.467889908256879</v>
      </c>
      <c r="U205" s="18">
        <v>54.477611940298509</v>
      </c>
      <c r="V205" s="18">
        <v>53.892215568862277</v>
      </c>
      <c r="W205" s="11">
        <v>60.447761194029844</v>
      </c>
      <c r="X205" s="11">
        <v>77.631578947368425</v>
      </c>
      <c r="Y205" s="11">
        <v>79.738562091503269</v>
      </c>
      <c r="Z205" s="11">
        <v>80.891719745222929</v>
      </c>
      <c r="AA205" s="11">
        <f t="shared" si="46"/>
        <v>56.27252956773021</v>
      </c>
      <c r="AB205" s="27">
        <f t="shared" si="47"/>
        <v>79.420620261364874</v>
      </c>
      <c r="AC205" s="2">
        <f t="shared" si="48"/>
        <v>81.333333333333329</v>
      </c>
      <c r="AD205" s="2">
        <f t="shared" si="49"/>
        <v>122.33333333333333</v>
      </c>
    </row>
    <row r="206" spans="1:30" x14ac:dyDescent="0.3">
      <c r="A206" s="1" t="s">
        <v>281</v>
      </c>
      <c r="B206" s="1" t="s">
        <v>288</v>
      </c>
      <c r="C206" s="1" t="s">
        <v>290</v>
      </c>
      <c r="D206" s="1" t="s">
        <v>290</v>
      </c>
      <c r="E206" s="2">
        <v>50202</v>
      </c>
      <c r="F206" s="18">
        <v>17</v>
      </c>
      <c r="G206" s="18">
        <v>27</v>
      </c>
      <c r="H206" s="18">
        <v>34</v>
      </c>
      <c r="I206" s="18">
        <v>40</v>
      </c>
      <c r="J206" s="18">
        <v>82</v>
      </c>
      <c r="K206" s="18">
        <v>85</v>
      </c>
      <c r="L206" s="11">
        <v>91</v>
      </c>
      <c r="M206" s="11">
        <v>45</v>
      </c>
      <c r="N206" s="11">
        <v>58</v>
      </c>
      <c r="O206" s="11">
        <v>84</v>
      </c>
      <c r="P206" s="18">
        <v>87</v>
      </c>
      <c r="Q206" s="18">
        <v>113</v>
      </c>
      <c r="R206" s="24">
        <v>116</v>
      </c>
      <c r="S206" s="18">
        <v>120</v>
      </c>
      <c r="T206" s="18">
        <v>37.777777777777779</v>
      </c>
      <c r="U206" s="18">
        <v>46.551724137931032</v>
      </c>
      <c r="V206" s="18">
        <v>40.476190476190474</v>
      </c>
      <c r="W206" s="11">
        <v>45.977011494252871</v>
      </c>
      <c r="X206" s="11">
        <v>72.56637168141593</v>
      </c>
      <c r="Y206" s="11">
        <v>73.275862068965509</v>
      </c>
      <c r="Z206" s="11">
        <v>75.833333333333329</v>
      </c>
      <c r="AA206" s="11">
        <f t="shared" si="46"/>
        <v>44.334975369458128</v>
      </c>
      <c r="AB206" s="27">
        <f t="shared" si="47"/>
        <v>73.891855694571589</v>
      </c>
      <c r="AC206" s="2">
        <f t="shared" si="48"/>
        <v>33.666666666666664</v>
      </c>
      <c r="AD206" s="2">
        <f t="shared" si="49"/>
        <v>86</v>
      </c>
    </row>
    <row r="207" spans="1:30" x14ac:dyDescent="0.3">
      <c r="A207" s="1" t="s">
        <v>281</v>
      </c>
      <c r="B207" s="1" t="s">
        <v>288</v>
      </c>
      <c r="C207" s="1" t="s">
        <v>291</v>
      </c>
      <c r="D207" s="1" t="s">
        <v>291</v>
      </c>
      <c r="E207" s="2">
        <v>50203</v>
      </c>
      <c r="F207" s="18">
        <v>137</v>
      </c>
      <c r="G207" s="18">
        <v>139</v>
      </c>
      <c r="H207" s="18">
        <v>161</v>
      </c>
      <c r="I207" s="18">
        <v>212</v>
      </c>
      <c r="J207" s="18">
        <v>244</v>
      </c>
      <c r="K207" s="18">
        <v>245</v>
      </c>
      <c r="L207" s="11">
        <v>248</v>
      </c>
      <c r="M207" s="11">
        <v>162</v>
      </c>
      <c r="N207" s="11">
        <v>164</v>
      </c>
      <c r="O207" s="11">
        <v>208</v>
      </c>
      <c r="P207" s="18">
        <v>276</v>
      </c>
      <c r="Q207" s="18">
        <v>294</v>
      </c>
      <c r="R207" s="24">
        <v>295</v>
      </c>
      <c r="S207" s="18">
        <v>300</v>
      </c>
      <c r="T207" s="18">
        <v>84.567901234567898</v>
      </c>
      <c r="U207" s="18">
        <v>84.756097560975604</v>
      </c>
      <c r="V207" s="18">
        <v>77.40384615384616</v>
      </c>
      <c r="W207" s="11">
        <v>76.811594202898547</v>
      </c>
      <c r="X207" s="11">
        <v>82.993197278911566</v>
      </c>
      <c r="Y207" s="11">
        <v>83.050847457627114</v>
      </c>
      <c r="Z207" s="11">
        <v>82.666666666666671</v>
      </c>
      <c r="AA207" s="11">
        <f t="shared" si="46"/>
        <v>79.657179305906766</v>
      </c>
      <c r="AB207" s="27">
        <f t="shared" si="47"/>
        <v>82.903570467735122</v>
      </c>
      <c r="AC207" s="2">
        <f t="shared" si="48"/>
        <v>170.66666666666666</v>
      </c>
      <c r="AD207" s="2">
        <f t="shared" si="49"/>
        <v>245.66666666666666</v>
      </c>
    </row>
    <row r="208" spans="1:30" x14ac:dyDescent="0.3">
      <c r="A208" s="1" t="s">
        <v>281</v>
      </c>
      <c r="B208" s="1" t="s">
        <v>288</v>
      </c>
      <c r="C208" s="1" t="s">
        <v>292</v>
      </c>
      <c r="D208" s="1" t="s">
        <v>292</v>
      </c>
      <c r="E208" s="2">
        <v>50204</v>
      </c>
      <c r="F208" s="18">
        <v>0</v>
      </c>
      <c r="G208" s="18">
        <v>0</v>
      </c>
      <c r="H208" s="18">
        <v>0</v>
      </c>
      <c r="I208" s="18">
        <v>14</v>
      </c>
      <c r="J208" s="18">
        <v>36</v>
      </c>
      <c r="K208" s="18">
        <v>39</v>
      </c>
      <c r="L208" s="11">
        <v>41</v>
      </c>
      <c r="M208" s="11">
        <v>8</v>
      </c>
      <c r="N208" s="11">
        <v>8</v>
      </c>
      <c r="O208" s="11">
        <v>8</v>
      </c>
      <c r="P208" s="18">
        <v>44</v>
      </c>
      <c r="Q208" s="18">
        <v>54</v>
      </c>
      <c r="R208" s="24">
        <v>58</v>
      </c>
      <c r="S208" s="18">
        <v>64</v>
      </c>
      <c r="T208" s="18">
        <v>0</v>
      </c>
      <c r="U208" s="18">
        <v>0</v>
      </c>
      <c r="V208" s="18">
        <v>0</v>
      </c>
      <c r="W208" s="11">
        <v>31.818181818181817</v>
      </c>
      <c r="X208" s="11">
        <v>66.666666666666657</v>
      </c>
      <c r="Y208" s="11">
        <v>67.241379310344826</v>
      </c>
      <c r="Z208" s="11">
        <v>64.0625</v>
      </c>
      <c r="AA208" s="11">
        <f t="shared" si="46"/>
        <v>10.606060606060606</v>
      </c>
      <c r="AB208" s="27">
        <f t="shared" si="47"/>
        <v>65.990181992337156</v>
      </c>
      <c r="AC208" s="2">
        <f t="shared" si="48"/>
        <v>4.666666666666667</v>
      </c>
      <c r="AD208" s="2">
        <f t="shared" si="49"/>
        <v>38.666666666666664</v>
      </c>
    </row>
    <row r="209" spans="1:30" x14ac:dyDescent="0.3">
      <c r="A209" s="1" t="s">
        <v>281</v>
      </c>
      <c r="B209" s="1" t="s">
        <v>293</v>
      </c>
      <c r="C209" s="1" t="s">
        <v>294</v>
      </c>
      <c r="D209" s="1" t="s">
        <v>295</v>
      </c>
      <c r="E209" s="2">
        <v>50301</v>
      </c>
      <c r="F209" s="18">
        <v>66</v>
      </c>
      <c r="G209" s="18">
        <v>71</v>
      </c>
      <c r="H209" s="18">
        <v>87</v>
      </c>
      <c r="I209" s="18">
        <v>91</v>
      </c>
      <c r="J209" s="18">
        <v>163</v>
      </c>
      <c r="K209" s="18">
        <v>165</v>
      </c>
      <c r="L209" s="11">
        <v>167</v>
      </c>
      <c r="M209" s="11">
        <v>95</v>
      </c>
      <c r="N209" s="11">
        <v>100</v>
      </c>
      <c r="O209" s="11">
        <v>185</v>
      </c>
      <c r="P209" s="18">
        <v>197</v>
      </c>
      <c r="Q209" s="18">
        <v>236</v>
      </c>
      <c r="R209" s="24">
        <v>238</v>
      </c>
      <c r="S209" s="18">
        <v>240</v>
      </c>
      <c r="T209" s="18">
        <v>69.473684210526315</v>
      </c>
      <c r="U209" s="18">
        <v>71</v>
      </c>
      <c r="V209" s="18">
        <v>47.027027027027032</v>
      </c>
      <c r="W209" s="11">
        <v>46.192893401015226</v>
      </c>
      <c r="X209" s="11">
        <v>69.067796610169495</v>
      </c>
      <c r="Y209" s="11">
        <v>69.327731092436977</v>
      </c>
      <c r="Z209" s="11">
        <v>69.583333333333329</v>
      </c>
      <c r="AA209" s="11">
        <f t="shared" si="46"/>
        <v>54.739973476014086</v>
      </c>
      <c r="AB209" s="27">
        <f t="shared" si="47"/>
        <v>69.326287011979943</v>
      </c>
      <c r="AC209" s="2">
        <f t="shared" si="48"/>
        <v>83</v>
      </c>
      <c r="AD209" s="2">
        <f t="shared" si="49"/>
        <v>165</v>
      </c>
    </row>
    <row r="210" spans="1:30" x14ac:dyDescent="0.3">
      <c r="A210" s="1" t="s">
        <v>281</v>
      </c>
      <c r="B210" s="1" t="s">
        <v>293</v>
      </c>
      <c r="C210" s="1" t="s">
        <v>296</v>
      </c>
      <c r="D210" s="1" t="s">
        <v>296</v>
      </c>
      <c r="E210" s="2">
        <v>50302</v>
      </c>
      <c r="F210" s="18">
        <v>33</v>
      </c>
      <c r="G210" s="18">
        <v>33</v>
      </c>
      <c r="H210" s="18">
        <v>39</v>
      </c>
      <c r="I210" s="18">
        <v>47</v>
      </c>
      <c r="J210" s="18">
        <v>61</v>
      </c>
      <c r="K210" s="18">
        <v>61</v>
      </c>
      <c r="L210" s="11">
        <v>63</v>
      </c>
      <c r="M210" s="11">
        <v>41</v>
      </c>
      <c r="N210" s="11">
        <v>41</v>
      </c>
      <c r="O210" s="11">
        <v>66</v>
      </c>
      <c r="P210" s="18">
        <v>84</v>
      </c>
      <c r="Q210" s="18">
        <v>91</v>
      </c>
      <c r="R210" s="24">
        <v>90</v>
      </c>
      <c r="S210" s="18">
        <v>91</v>
      </c>
      <c r="T210" s="18">
        <v>80.487804878048792</v>
      </c>
      <c r="U210" s="18">
        <v>80.487804878048792</v>
      </c>
      <c r="V210" s="18">
        <v>59.090909090909093</v>
      </c>
      <c r="W210" s="11">
        <v>55.952380952380956</v>
      </c>
      <c r="X210" s="11">
        <v>67.032967032967022</v>
      </c>
      <c r="Y210" s="11">
        <v>67.777777777777786</v>
      </c>
      <c r="Z210" s="11">
        <v>69.230769230769226</v>
      </c>
      <c r="AA210" s="11">
        <f t="shared" si="46"/>
        <v>65.177031640446287</v>
      </c>
      <c r="AB210" s="27">
        <f t="shared" si="47"/>
        <v>68.013838013838011</v>
      </c>
      <c r="AC210" s="2">
        <f t="shared" si="48"/>
        <v>39.666666666666664</v>
      </c>
      <c r="AD210" s="2">
        <f t="shared" si="49"/>
        <v>61.666666666666664</v>
      </c>
    </row>
    <row r="211" spans="1:30" x14ac:dyDescent="0.3">
      <c r="A211" s="1" t="s">
        <v>281</v>
      </c>
      <c r="B211" s="1" t="s">
        <v>293</v>
      </c>
      <c r="C211" s="1" t="s">
        <v>297</v>
      </c>
      <c r="D211" s="1" t="s">
        <v>297</v>
      </c>
      <c r="E211" s="2">
        <v>50303</v>
      </c>
      <c r="F211" s="18">
        <v>22</v>
      </c>
      <c r="G211" s="18">
        <v>23</v>
      </c>
      <c r="H211" s="18">
        <v>26</v>
      </c>
      <c r="I211" s="18">
        <v>27</v>
      </c>
      <c r="J211" s="18">
        <v>46</v>
      </c>
      <c r="K211" s="18">
        <v>49</v>
      </c>
      <c r="L211" s="11">
        <v>48</v>
      </c>
      <c r="M211" s="11">
        <v>28</v>
      </c>
      <c r="N211" s="11">
        <v>29</v>
      </c>
      <c r="O211" s="11">
        <v>55</v>
      </c>
      <c r="P211" s="18">
        <v>58</v>
      </c>
      <c r="Q211" s="18">
        <v>72</v>
      </c>
      <c r="R211" s="24">
        <v>73</v>
      </c>
      <c r="S211" s="18">
        <v>73</v>
      </c>
      <c r="T211" s="18">
        <v>78.571428571428569</v>
      </c>
      <c r="U211" s="18">
        <v>79.310344827586206</v>
      </c>
      <c r="V211" s="18">
        <v>47.272727272727273</v>
      </c>
      <c r="W211" s="11">
        <v>46.551724137931032</v>
      </c>
      <c r="X211" s="11">
        <v>63.888888888888886</v>
      </c>
      <c r="Y211" s="11">
        <v>67.123287671232873</v>
      </c>
      <c r="Z211" s="11">
        <v>65.753424657534239</v>
      </c>
      <c r="AA211" s="11">
        <f t="shared" si="46"/>
        <v>57.711598746081506</v>
      </c>
      <c r="AB211" s="27">
        <f t="shared" si="47"/>
        <v>65.588533739218676</v>
      </c>
      <c r="AC211" s="2">
        <f t="shared" si="48"/>
        <v>25.333333333333332</v>
      </c>
      <c r="AD211" s="2">
        <f t="shared" si="49"/>
        <v>47.666666666666664</v>
      </c>
    </row>
    <row r="212" spans="1:30" x14ac:dyDescent="0.3">
      <c r="A212" s="1" t="s">
        <v>281</v>
      </c>
      <c r="B212" s="1" t="s">
        <v>290</v>
      </c>
      <c r="C212" s="1" t="s">
        <v>298</v>
      </c>
      <c r="D212" s="1" t="s">
        <v>298</v>
      </c>
      <c r="E212" s="2">
        <v>50401</v>
      </c>
      <c r="F212" s="18">
        <v>37</v>
      </c>
      <c r="G212" s="18">
        <v>41</v>
      </c>
      <c r="H212" s="18">
        <v>47</v>
      </c>
      <c r="I212" s="18">
        <v>50</v>
      </c>
      <c r="J212" s="18">
        <v>97</v>
      </c>
      <c r="K212" s="18">
        <v>102</v>
      </c>
      <c r="L212" s="11">
        <v>110</v>
      </c>
      <c r="M212" s="11">
        <v>47</v>
      </c>
      <c r="N212" s="11">
        <v>51</v>
      </c>
      <c r="O212" s="11">
        <v>88</v>
      </c>
      <c r="P212" s="18">
        <v>91</v>
      </c>
      <c r="Q212" s="18">
        <v>126</v>
      </c>
      <c r="R212" s="24">
        <v>132</v>
      </c>
      <c r="S212" s="18">
        <v>140</v>
      </c>
      <c r="T212" s="18">
        <v>78.723404255319153</v>
      </c>
      <c r="U212" s="18">
        <v>80.392156862745097</v>
      </c>
      <c r="V212" s="18">
        <v>53.409090909090907</v>
      </c>
      <c r="W212" s="11">
        <v>54.945054945054949</v>
      </c>
      <c r="X212" s="11">
        <v>76.984126984126988</v>
      </c>
      <c r="Y212" s="11">
        <v>77.272727272727266</v>
      </c>
      <c r="Z212" s="11">
        <v>78.571428571428569</v>
      </c>
      <c r="AA212" s="11">
        <f t="shared" si="46"/>
        <v>62.915434238963655</v>
      </c>
      <c r="AB212" s="27">
        <f t="shared" si="47"/>
        <v>77.609427609427598</v>
      </c>
      <c r="AC212" s="2">
        <f t="shared" si="48"/>
        <v>46</v>
      </c>
      <c r="AD212" s="2">
        <f t="shared" si="49"/>
        <v>103</v>
      </c>
    </row>
    <row r="213" spans="1:30" x14ac:dyDescent="0.3">
      <c r="A213" s="1" t="s">
        <v>281</v>
      </c>
      <c r="B213" s="1" t="s">
        <v>290</v>
      </c>
      <c r="C213" s="1" t="s">
        <v>299</v>
      </c>
      <c r="D213" s="1" t="s">
        <v>299</v>
      </c>
      <c r="E213" s="2">
        <v>50402</v>
      </c>
      <c r="F213" s="18">
        <v>19</v>
      </c>
      <c r="G213" s="18">
        <v>23</v>
      </c>
      <c r="H213" s="18">
        <v>23</v>
      </c>
      <c r="I213" s="18">
        <v>26</v>
      </c>
      <c r="J213" s="18">
        <v>65</v>
      </c>
      <c r="K213" s="18">
        <v>74</v>
      </c>
      <c r="L213" s="11">
        <v>79</v>
      </c>
      <c r="M213" s="11">
        <v>21</v>
      </c>
      <c r="N213" s="11">
        <v>26</v>
      </c>
      <c r="O213" s="11">
        <v>52</v>
      </c>
      <c r="P213" s="18">
        <v>58</v>
      </c>
      <c r="Q213" s="18">
        <v>102</v>
      </c>
      <c r="R213" s="24">
        <v>106</v>
      </c>
      <c r="S213" s="18">
        <v>109</v>
      </c>
      <c r="T213" s="18">
        <v>90.476190476190482</v>
      </c>
      <c r="U213" s="18">
        <v>88.461538461538453</v>
      </c>
      <c r="V213" s="18">
        <v>44.230769230769226</v>
      </c>
      <c r="W213" s="11">
        <v>44.827586206896555</v>
      </c>
      <c r="X213" s="11">
        <v>63.725490196078425</v>
      </c>
      <c r="Y213" s="11">
        <v>69.811320754716974</v>
      </c>
      <c r="Z213" s="11">
        <v>72.477064220183479</v>
      </c>
      <c r="AA213" s="11">
        <f t="shared" si="46"/>
        <v>59.173297966401414</v>
      </c>
      <c r="AB213" s="27">
        <f t="shared" si="47"/>
        <v>68.671291723659621</v>
      </c>
      <c r="AC213" s="2">
        <f t="shared" si="48"/>
        <v>24</v>
      </c>
      <c r="AD213" s="2">
        <f t="shared" si="49"/>
        <v>72.666666666666671</v>
      </c>
    </row>
    <row r="214" spans="1:30" x14ac:dyDescent="0.3">
      <c r="A214" s="1" t="s">
        <v>281</v>
      </c>
      <c r="B214" s="1" t="s">
        <v>290</v>
      </c>
      <c r="C214" s="1" t="s">
        <v>300</v>
      </c>
      <c r="D214" s="1" t="s">
        <v>300</v>
      </c>
      <c r="E214" s="2">
        <v>50403</v>
      </c>
      <c r="F214" s="18">
        <v>35</v>
      </c>
      <c r="G214" s="18">
        <v>38</v>
      </c>
      <c r="H214" s="18">
        <v>44</v>
      </c>
      <c r="I214" s="18">
        <v>53</v>
      </c>
      <c r="J214" s="18">
        <v>102</v>
      </c>
      <c r="K214" s="18">
        <v>109</v>
      </c>
      <c r="L214" s="11">
        <v>113</v>
      </c>
      <c r="M214" s="11">
        <v>50</v>
      </c>
      <c r="N214" s="11">
        <v>59</v>
      </c>
      <c r="O214" s="11">
        <v>81</v>
      </c>
      <c r="P214" s="18">
        <v>97</v>
      </c>
      <c r="Q214" s="18">
        <v>127</v>
      </c>
      <c r="R214" s="24">
        <v>135</v>
      </c>
      <c r="S214" s="18">
        <v>140</v>
      </c>
      <c r="T214" s="18">
        <v>70</v>
      </c>
      <c r="U214" s="18">
        <v>64.406779661016941</v>
      </c>
      <c r="V214" s="18">
        <v>54.320987654320987</v>
      </c>
      <c r="W214" s="11">
        <v>54.639175257731956</v>
      </c>
      <c r="X214" s="11">
        <v>80.314960629921259</v>
      </c>
      <c r="Y214" s="11">
        <v>80.740740740740748</v>
      </c>
      <c r="Z214" s="11">
        <v>80.714285714285722</v>
      </c>
      <c r="AA214" s="11">
        <f t="shared" si="46"/>
        <v>57.788980857689957</v>
      </c>
      <c r="AB214" s="27">
        <f t="shared" si="47"/>
        <v>80.589995694982576</v>
      </c>
      <c r="AC214" s="2">
        <f t="shared" si="48"/>
        <v>45</v>
      </c>
      <c r="AD214" s="2">
        <f t="shared" si="49"/>
        <v>108</v>
      </c>
    </row>
    <row r="215" spans="1:30" x14ac:dyDescent="0.3">
      <c r="A215" s="1" t="s">
        <v>281</v>
      </c>
      <c r="B215" s="1" t="s">
        <v>290</v>
      </c>
      <c r="C215" s="1" t="s">
        <v>301</v>
      </c>
      <c r="D215" s="1" t="s">
        <v>301</v>
      </c>
      <c r="E215" s="2">
        <v>50404</v>
      </c>
      <c r="F215" s="18">
        <v>15</v>
      </c>
      <c r="G215" s="18">
        <v>24</v>
      </c>
      <c r="H215" s="18">
        <v>28</v>
      </c>
      <c r="I215" s="18">
        <v>31</v>
      </c>
      <c r="J215" s="18">
        <v>49</v>
      </c>
      <c r="K215" s="18">
        <v>53</v>
      </c>
      <c r="L215" s="11">
        <v>59</v>
      </c>
      <c r="M215" s="11">
        <v>22</v>
      </c>
      <c r="N215" s="11">
        <v>36</v>
      </c>
      <c r="O215" s="11">
        <v>57</v>
      </c>
      <c r="P215" s="18">
        <v>68</v>
      </c>
      <c r="Q215" s="18">
        <v>74</v>
      </c>
      <c r="R215" s="24">
        <v>78</v>
      </c>
      <c r="S215" s="18">
        <v>82</v>
      </c>
      <c r="T215" s="18">
        <v>68.181818181818173</v>
      </c>
      <c r="U215" s="18">
        <v>66.666666666666657</v>
      </c>
      <c r="V215" s="18">
        <v>49.122807017543856</v>
      </c>
      <c r="W215" s="11">
        <v>45.588235294117645</v>
      </c>
      <c r="X215" s="11">
        <v>66.21621621621621</v>
      </c>
      <c r="Y215" s="11">
        <v>67.948717948717956</v>
      </c>
      <c r="Z215" s="11">
        <v>71.951219512195124</v>
      </c>
      <c r="AA215" s="11">
        <f t="shared" si="46"/>
        <v>53.792569659442727</v>
      </c>
      <c r="AB215" s="27">
        <f t="shared" si="47"/>
        <v>68.705384559043083</v>
      </c>
      <c r="AC215" s="2">
        <f t="shared" si="48"/>
        <v>27.666666666666668</v>
      </c>
      <c r="AD215" s="2">
        <f t="shared" si="49"/>
        <v>53.666666666666664</v>
      </c>
    </row>
    <row r="216" spans="1:30" x14ac:dyDescent="0.3">
      <c r="A216" s="1" t="s">
        <v>281</v>
      </c>
      <c r="B216" s="1" t="s">
        <v>290</v>
      </c>
      <c r="C216" s="1" t="s">
        <v>302</v>
      </c>
      <c r="D216" s="1" t="s">
        <v>302</v>
      </c>
      <c r="E216" s="2">
        <v>50405</v>
      </c>
      <c r="F216" s="18">
        <v>37</v>
      </c>
      <c r="G216" s="18">
        <v>41</v>
      </c>
      <c r="H216" s="18">
        <v>47</v>
      </c>
      <c r="I216" s="18">
        <v>50</v>
      </c>
      <c r="J216" s="18">
        <v>97</v>
      </c>
      <c r="K216" s="18">
        <v>102</v>
      </c>
      <c r="L216" s="11">
        <v>110</v>
      </c>
      <c r="M216" s="11">
        <v>47</v>
      </c>
      <c r="N216" s="11">
        <v>51</v>
      </c>
      <c r="O216" s="11">
        <v>88</v>
      </c>
      <c r="P216" s="18">
        <v>91</v>
      </c>
      <c r="Q216" s="18">
        <v>126</v>
      </c>
      <c r="R216" s="24">
        <v>132</v>
      </c>
      <c r="S216" s="18">
        <v>140</v>
      </c>
      <c r="T216" s="18">
        <v>78.723404255319153</v>
      </c>
      <c r="U216" s="18">
        <v>80.392156862745097</v>
      </c>
      <c r="V216" s="18">
        <v>53.409090909090907</v>
      </c>
      <c r="W216" s="11">
        <v>54.945054945054949</v>
      </c>
      <c r="X216" s="11">
        <v>76.984126984126988</v>
      </c>
      <c r="Y216" s="11">
        <v>77.272727272727266</v>
      </c>
      <c r="Z216" s="11">
        <v>78.571428571428569</v>
      </c>
      <c r="AA216" s="11">
        <f t="shared" si="46"/>
        <v>62.915434238963655</v>
      </c>
      <c r="AB216" s="27">
        <f t="shared" si="47"/>
        <v>77.609427609427598</v>
      </c>
      <c r="AC216" s="2">
        <f t="shared" si="48"/>
        <v>46</v>
      </c>
      <c r="AD216" s="2">
        <f t="shared" si="49"/>
        <v>103</v>
      </c>
    </row>
    <row r="217" spans="1:30" x14ac:dyDescent="0.3">
      <c r="A217" s="1" t="s">
        <v>281</v>
      </c>
      <c r="B217" s="1" t="s">
        <v>303</v>
      </c>
      <c r="C217" s="1" t="s">
        <v>304</v>
      </c>
      <c r="D217" s="1" t="s">
        <v>304</v>
      </c>
      <c r="E217" s="2">
        <v>50501</v>
      </c>
      <c r="F217" s="18">
        <v>37</v>
      </c>
      <c r="G217" s="18">
        <v>43</v>
      </c>
      <c r="H217" s="18">
        <v>51</v>
      </c>
      <c r="I217" s="18">
        <v>61</v>
      </c>
      <c r="J217" s="18">
        <v>120</v>
      </c>
      <c r="K217" s="18">
        <v>121</v>
      </c>
      <c r="L217" s="11">
        <v>123</v>
      </c>
      <c r="M217" s="11">
        <v>55</v>
      </c>
      <c r="N217" s="11">
        <v>63</v>
      </c>
      <c r="O217" s="11">
        <v>94</v>
      </c>
      <c r="P217" s="18">
        <v>101</v>
      </c>
      <c r="Q217" s="18">
        <v>136</v>
      </c>
      <c r="R217" s="24">
        <v>137</v>
      </c>
      <c r="S217" s="18">
        <v>139</v>
      </c>
      <c r="T217" s="18">
        <v>67.272727272727266</v>
      </c>
      <c r="U217" s="18">
        <v>68.253968253968253</v>
      </c>
      <c r="V217" s="18">
        <v>54.255319148936167</v>
      </c>
      <c r="W217" s="11">
        <v>60.396039603960396</v>
      </c>
      <c r="X217" s="11">
        <v>88.235294117647058</v>
      </c>
      <c r="Y217" s="11">
        <v>88.321167883211686</v>
      </c>
      <c r="Z217" s="11">
        <v>88.489208633093526</v>
      </c>
      <c r="AA217" s="11">
        <f t="shared" si="46"/>
        <v>60.968442335621603</v>
      </c>
      <c r="AB217" s="27">
        <f t="shared" si="47"/>
        <v>88.348556877984095</v>
      </c>
      <c r="AC217" s="2">
        <f t="shared" si="48"/>
        <v>51.666666666666664</v>
      </c>
      <c r="AD217" s="2">
        <f t="shared" si="49"/>
        <v>121.33333333333333</v>
      </c>
    </row>
    <row r="218" spans="1:30" x14ac:dyDescent="0.3">
      <c r="A218" s="1" t="s">
        <v>281</v>
      </c>
      <c r="B218" s="1" t="s">
        <v>303</v>
      </c>
      <c r="C218" s="1" t="s">
        <v>305</v>
      </c>
      <c r="D218" s="1" t="s">
        <v>305</v>
      </c>
      <c r="E218" s="2">
        <v>50502</v>
      </c>
      <c r="F218" s="18">
        <v>28</v>
      </c>
      <c r="G218" s="18">
        <v>31</v>
      </c>
      <c r="H218" s="18">
        <v>32</v>
      </c>
      <c r="I218" s="18">
        <v>36</v>
      </c>
      <c r="J218" s="18">
        <v>59</v>
      </c>
      <c r="K218" s="18">
        <v>62</v>
      </c>
      <c r="L218" s="11">
        <v>64</v>
      </c>
      <c r="M218" s="11">
        <v>36</v>
      </c>
      <c r="N218" s="11">
        <v>40</v>
      </c>
      <c r="O218" s="11">
        <v>52</v>
      </c>
      <c r="P218" s="18">
        <v>59</v>
      </c>
      <c r="Q218" s="18">
        <v>75</v>
      </c>
      <c r="R218" s="24">
        <v>77</v>
      </c>
      <c r="S218" s="18">
        <v>79</v>
      </c>
      <c r="T218" s="18">
        <v>77.777777777777786</v>
      </c>
      <c r="U218" s="18">
        <v>77.5</v>
      </c>
      <c r="V218" s="18">
        <v>61.53846153846154</v>
      </c>
      <c r="W218" s="11">
        <v>61.016949152542374</v>
      </c>
      <c r="X218" s="11">
        <v>78.666666666666657</v>
      </c>
      <c r="Y218" s="11">
        <v>80.519480519480524</v>
      </c>
      <c r="Z218" s="11">
        <v>81.012658227848107</v>
      </c>
      <c r="AA218" s="11">
        <f t="shared" si="46"/>
        <v>66.6851368970013</v>
      </c>
      <c r="AB218" s="27">
        <f t="shared" si="47"/>
        <v>80.066268471331767</v>
      </c>
      <c r="AC218" s="2">
        <f t="shared" si="48"/>
        <v>33</v>
      </c>
      <c r="AD218" s="2">
        <f t="shared" si="49"/>
        <v>61.666666666666664</v>
      </c>
    </row>
    <row r="219" spans="1:30" x14ac:dyDescent="0.3">
      <c r="A219" s="1" t="s">
        <v>281</v>
      </c>
      <c r="B219" s="1" t="s">
        <v>306</v>
      </c>
      <c r="C219" s="1" t="s">
        <v>307</v>
      </c>
      <c r="D219" s="1" t="s">
        <v>307</v>
      </c>
      <c r="E219" s="2">
        <v>50601</v>
      </c>
      <c r="F219" s="18">
        <v>48</v>
      </c>
      <c r="G219" s="18">
        <v>48</v>
      </c>
      <c r="H219" s="18">
        <v>62</v>
      </c>
      <c r="I219" s="18">
        <v>66</v>
      </c>
      <c r="J219" s="18">
        <v>137</v>
      </c>
      <c r="K219" s="18">
        <v>138</v>
      </c>
      <c r="L219" s="11">
        <v>134</v>
      </c>
      <c r="M219" s="11">
        <v>118</v>
      </c>
      <c r="N219" s="11">
        <v>125</v>
      </c>
      <c r="O219" s="11">
        <v>207</v>
      </c>
      <c r="P219" s="18">
        <v>209</v>
      </c>
      <c r="Q219" s="18">
        <v>252</v>
      </c>
      <c r="R219" s="24">
        <v>257</v>
      </c>
      <c r="S219" s="18">
        <v>252</v>
      </c>
      <c r="T219" s="18">
        <v>40.677966101694921</v>
      </c>
      <c r="U219" s="18">
        <v>38.4</v>
      </c>
      <c r="V219" s="18">
        <v>29.951690821256037</v>
      </c>
      <c r="W219" s="11">
        <v>31.578947368421051</v>
      </c>
      <c r="X219" s="11">
        <v>54.36507936507936</v>
      </c>
      <c r="Y219" s="11">
        <v>53.696498054474709</v>
      </c>
      <c r="Z219" s="11">
        <v>53.174603174603178</v>
      </c>
      <c r="AA219" s="11">
        <f t="shared" si="46"/>
        <v>33.310212729892363</v>
      </c>
      <c r="AB219" s="27">
        <f t="shared" si="47"/>
        <v>53.745393531385751</v>
      </c>
      <c r="AC219" s="2">
        <f t="shared" si="48"/>
        <v>58.666666666666664</v>
      </c>
      <c r="AD219" s="2">
        <f t="shared" si="49"/>
        <v>136.33333333333334</v>
      </c>
    </row>
    <row r="220" spans="1:30" x14ac:dyDescent="0.3">
      <c r="A220" s="1" t="s">
        <v>281</v>
      </c>
      <c r="B220" s="1" t="s">
        <v>306</v>
      </c>
      <c r="C220" s="1" t="s">
        <v>308</v>
      </c>
      <c r="D220" s="1" t="s">
        <v>308</v>
      </c>
      <c r="E220" s="2">
        <v>50602</v>
      </c>
      <c r="F220" s="18">
        <v>30</v>
      </c>
      <c r="G220" s="18">
        <v>34</v>
      </c>
      <c r="H220" s="18">
        <v>43</v>
      </c>
      <c r="I220" s="18">
        <v>41</v>
      </c>
      <c r="J220" s="18">
        <v>54</v>
      </c>
      <c r="K220" s="18">
        <v>52</v>
      </c>
      <c r="L220" s="11">
        <v>53</v>
      </c>
      <c r="M220" s="11">
        <v>55</v>
      </c>
      <c r="N220" s="11">
        <v>57</v>
      </c>
      <c r="O220" s="11">
        <v>85</v>
      </c>
      <c r="P220" s="18">
        <v>86</v>
      </c>
      <c r="Q220" s="18">
        <v>89</v>
      </c>
      <c r="R220" s="24">
        <v>90</v>
      </c>
      <c r="S220" s="18">
        <v>90</v>
      </c>
      <c r="T220" s="18">
        <v>54.54545454545454</v>
      </c>
      <c r="U220" s="18">
        <v>59.649122807017541</v>
      </c>
      <c r="V220" s="18">
        <v>50.588235294117645</v>
      </c>
      <c r="W220" s="11">
        <v>47.674418604651166</v>
      </c>
      <c r="X220" s="11">
        <v>60.674157303370791</v>
      </c>
      <c r="Y220" s="11">
        <v>57.777777777777771</v>
      </c>
      <c r="Z220" s="11">
        <v>58.888888888888893</v>
      </c>
      <c r="AA220" s="11">
        <f t="shared" si="46"/>
        <v>52.637258901928782</v>
      </c>
      <c r="AB220" s="27">
        <f t="shared" si="47"/>
        <v>59.11360799001249</v>
      </c>
      <c r="AC220" s="2">
        <f t="shared" si="48"/>
        <v>39.333333333333336</v>
      </c>
      <c r="AD220" s="2">
        <f t="shared" si="49"/>
        <v>53</v>
      </c>
    </row>
    <row r="221" spans="1:30" x14ac:dyDescent="0.3">
      <c r="A221" s="1" t="s">
        <v>281</v>
      </c>
      <c r="B221" s="1" t="s">
        <v>309</v>
      </c>
      <c r="C221" s="1" t="s">
        <v>310</v>
      </c>
      <c r="D221" s="1" t="s">
        <v>311</v>
      </c>
      <c r="E221" s="2">
        <v>50701</v>
      </c>
      <c r="F221" s="18">
        <v>21</v>
      </c>
      <c r="G221" s="18">
        <v>27</v>
      </c>
      <c r="H221" s="18">
        <v>34</v>
      </c>
      <c r="I221" s="18">
        <v>44</v>
      </c>
      <c r="J221" s="18">
        <v>85</v>
      </c>
      <c r="K221" s="18">
        <v>83</v>
      </c>
      <c r="L221" s="11">
        <v>86</v>
      </c>
      <c r="M221" s="11">
        <v>35</v>
      </c>
      <c r="N221" s="11">
        <v>53</v>
      </c>
      <c r="O221" s="11">
        <v>70</v>
      </c>
      <c r="P221" s="18">
        <v>77</v>
      </c>
      <c r="Q221" s="18">
        <v>99</v>
      </c>
      <c r="R221" s="24">
        <v>100</v>
      </c>
      <c r="S221" s="18">
        <v>103</v>
      </c>
      <c r="T221" s="18">
        <v>60</v>
      </c>
      <c r="U221" s="18">
        <v>50.943396226415096</v>
      </c>
      <c r="V221" s="18">
        <v>48.571428571428569</v>
      </c>
      <c r="W221" s="11">
        <v>57.142857142857139</v>
      </c>
      <c r="X221" s="11">
        <v>85.858585858585855</v>
      </c>
      <c r="Y221" s="11">
        <v>83</v>
      </c>
      <c r="Z221" s="11">
        <v>83.495145631067956</v>
      </c>
      <c r="AA221" s="11">
        <f t="shared" si="46"/>
        <v>52.219227313566932</v>
      </c>
      <c r="AB221" s="27">
        <f t="shared" si="47"/>
        <v>84.117910496551261</v>
      </c>
      <c r="AC221" s="2">
        <f t="shared" si="48"/>
        <v>35</v>
      </c>
      <c r="AD221" s="2">
        <f t="shared" si="49"/>
        <v>84.666666666666671</v>
      </c>
    </row>
    <row r="222" spans="1:30" x14ac:dyDescent="0.3">
      <c r="A222" s="1" t="s">
        <v>281</v>
      </c>
      <c r="B222" s="1" t="s">
        <v>309</v>
      </c>
      <c r="C222" s="1" t="s">
        <v>312</v>
      </c>
      <c r="D222" s="1" t="s">
        <v>312</v>
      </c>
      <c r="E222" s="2">
        <v>50702</v>
      </c>
      <c r="F222" s="18">
        <v>28</v>
      </c>
      <c r="G222" s="18">
        <v>29</v>
      </c>
      <c r="H222" s="18">
        <v>34</v>
      </c>
      <c r="I222" s="18">
        <v>35</v>
      </c>
      <c r="J222" s="18">
        <v>47</v>
      </c>
      <c r="K222" s="18">
        <v>48</v>
      </c>
      <c r="L222" s="11">
        <v>49</v>
      </c>
      <c r="M222" s="11">
        <v>35</v>
      </c>
      <c r="N222" s="11">
        <v>40</v>
      </c>
      <c r="O222" s="11">
        <v>60</v>
      </c>
      <c r="P222" s="18">
        <v>59</v>
      </c>
      <c r="Q222" s="18">
        <v>59</v>
      </c>
      <c r="R222" s="24">
        <v>59</v>
      </c>
      <c r="S222" s="18">
        <v>60</v>
      </c>
      <c r="T222" s="18">
        <v>80</v>
      </c>
      <c r="U222" s="18">
        <v>72.5</v>
      </c>
      <c r="V222" s="18">
        <v>56.666666666666664</v>
      </c>
      <c r="W222" s="11">
        <v>59.322033898305079</v>
      </c>
      <c r="X222" s="11">
        <v>79.66101694915254</v>
      </c>
      <c r="Y222" s="11">
        <v>81.355932203389841</v>
      </c>
      <c r="Z222" s="11">
        <v>81.666666666666671</v>
      </c>
      <c r="AA222" s="11">
        <f t="shared" si="46"/>
        <v>62.829566854990581</v>
      </c>
      <c r="AB222" s="27">
        <f t="shared" si="47"/>
        <v>80.894538606403032</v>
      </c>
      <c r="AC222" s="2">
        <f t="shared" si="48"/>
        <v>32.666666666666664</v>
      </c>
      <c r="AD222" s="2">
        <f t="shared" si="49"/>
        <v>48</v>
      </c>
    </row>
    <row r="223" spans="1:30" x14ac:dyDescent="0.3">
      <c r="A223" s="1" t="s">
        <v>281</v>
      </c>
      <c r="B223" s="1" t="s">
        <v>313</v>
      </c>
      <c r="C223" s="1" t="s">
        <v>314</v>
      </c>
      <c r="D223" s="1" t="s">
        <v>314</v>
      </c>
      <c r="E223" s="2">
        <v>50801</v>
      </c>
      <c r="F223" s="18">
        <v>150</v>
      </c>
      <c r="G223" s="18">
        <v>152</v>
      </c>
      <c r="H223" s="18">
        <v>203</v>
      </c>
      <c r="I223" s="18">
        <v>222</v>
      </c>
      <c r="J223" s="18">
        <v>313</v>
      </c>
      <c r="K223" s="18">
        <v>313</v>
      </c>
      <c r="L223" s="11">
        <v>310</v>
      </c>
      <c r="M223" s="11">
        <v>217</v>
      </c>
      <c r="N223" s="11">
        <v>215</v>
      </c>
      <c r="O223" s="11">
        <v>332</v>
      </c>
      <c r="P223" s="18">
        <v>362</v>
      </c>
      <c r="Q223" s="18">
        <v>438</v>
      </c>
      <c r="R223" s="24">
        <v>444</v>
      </c>
      <c r="S223" s="18">
        <v>446</v>
      </c>
      <c r="T223" s="18">
        <v>69.124423963133637</v>
      </c>
      <c r="U223" s="18">
        <v>70.697674418604649</v>
      </c>
      <c r="V223" s="18">
        <v>61.144578313253021</v>
      </c>
      <c r="W223" s="11">
        <v>61.325966850828728</v>
      </c>
      <c r="X223" s="11">
        <v>71.461187214611883</v>
      </c>
      <c r="Y223" s="11">
        <v>70.495495495495504</v>
      </c>
      <c r="Z223" s="11">
        <v>69.506726457399111</v>
      </c>
      <c r="AA223" s="11">
        <f t="shared" si="46"/>
        <v>64.389406527562144</v>
      </c>
      <c r="AB223" s="27">
        <f t="shared" si="47"/>
        <v>70.487803055835499</v>
      </c>
      <c r="AC223" s="2">
        <f t="shared" si="48"/>
        <v>192.33333333333334</v>
      </c>
      <c r="AD223" s="2">
        <f t="shared" si="49"/>
        <v>312</v>
      </c>
    </row>
    <row r="224" spans="1:30" x14ac:dyDescent="0.3">
      <c r="A224" s="1" t="s">
        <v>281</v>
      </c>
      <c r="B224" s="1" t="s">
        <v>313</v>
      </c>
      <c r="C224" s="1" t="s">
        <v>315</v>
      </c>
      <c r="D224" s="1" t="s">
        <v>315</v>
      </c>
      <c r="E224" s="2">
        <v>50802</v>
      </c>
      <c r="F224" s="18">
        <v>43</v>
      </c>
      <c r="G224" s="18">
        <v>59</v>
      </c>
      <c r="H224" s="18">
        <v>58</v>
      </c>
      <c r="I224" s="18">
        <v>61</v>
      </c>
      <c r="J224" s="18">
        <v>76</v>
      </c>
      <c r="K224" s="18">
        <v>76</v>
      </c>
      <c r="L224" s="11">
        <v>76</v>
      </c>
      <c r="M224" s="11">
        <v>68</v>
      </c>
      <c r="N224" s="11">
        <v>83</v>
      </c>
      <c r="O224" s="11">
        <v>90</v>
      </c>
      <c r="P224" s="18">
        <v>93</v>
      </c>
      <c r="Q224" s="18">
        <v>98</v>
      </c>
      <c r="R224" s="24">
        <v>97</v>
      </c>
      <c r="S224" s="18">
        <v>100</v>
      </c>
      <c r="T224" s="18">
        <v>63.235294117647058</v>
      </c>
      <c r="U224" s="18">
        <v>71.084337349397586</v>
      </c>
      <c r="V224" s="18">
        <v>64.444444444444443</v>
      </c>
      <c r="W224" s="11">
        <v>65.591397849462368</v>
      </c>
      <c r="X224" s="11">
        <v>77.551020408163268</v>
      </c>
      <c r="Y224" s="11">
        <v>78.350515463917532</v>
      </c>
      <c r="Z224" s="11">
        <v>76</v>
      </c>
      <c r="AA224" s="11">
        <f t="shared" si="46"/>
        <v>67.04005988110147</v>
      </c>
      <c r="AB224" s="27">
        <f t="shared" si="47"/>
        <v>77.300511957360257</v>
      </c>
      <c r="AC224" s="2">
        <f t="shared" si="48"/>
        <v>59.333333333333336</v>
      </c>
      <c r="AD224" s="2">
        <f t="shared" si="49"/>
        <v>76</v>
      </c>
    </row>
    <row r="225" spans="1:30" x14ac:dyDescent="0.3">
      <c r="A225" s="1" t="s">
        <v>281</v>
      </c>
      <c r="B225" s="1" t="s">
        <v>316</v>
      </c>
      <c r="C225" s="1" t="s">
        <v>317</v>
      </c>
      <c r="D225" s="1" t="s">
        <v>318</v>
      </c>
      <c r="E225" s="2">
        <v>50901</v>
      </c>
      <c r="F225" s="18">
        <v>22</v>
      </c>
      <c r="G225" s="18">
        <v>28</v>
      </c>
      <c r="H225" s="18">
        <v>37</v>
      </c>
      <c r="I225" s="18">
        <v>39</v>
      </c>
      <c r="J225" s="18">
        <v>68</v>
      </c>
      <c r="K225" s="18">
        <v>69</v>
      </c>
      <c r="L225" s="11">
        <v>74</v>
      </c>
      <c r="M225" s="11">
        <v>55</v>
      </c>
      <c r="N225" s="11">
        <v>59</v>
      </c>
      <c r="O225" s="11">
        <v>93</v>
      </c>
      <c r="P225" s="18">
        <v>96</v>
      </c>
      <c r="Q225" s="18">
        <v>116</v>
      </c>
      <c r="R225" s="24">
        <v>119</v>
      </c>
      <c r="S225" s="18">
        <v>123</v>
      </c>
      <c r="T225" s="18">
        <v>40</v>
      </c>
      <c r="U225" s="18">
        <v>47.457627118644069</v>
      </c>
      <c r="V225" s="18">
        <v>39.784946236559136</v>
      </c>
      <c r="W225" s="11">
        <v>40.625</v>
      </c>
      <c r="X225" s="11">
        <v>58.620689655172406</v>
      </c>
      <c r="Y225" s="11">
        <v>57.983193277310932</v>
      </c>
      <c r="Z225" s="11">
        <v>60.162601626016269</v>
      </c>
      <c r="AA225" s="11">
        <f t="shared" si="46"/>
        <v>42.6225244517344</v>
      </c>
      <c r="AB225" s="27">
        <f t="shared" si="47"/>
        <v>58.922161519499866</v>
      </c>
      <c r="AC225" s="2">
        <f t="shared" si="48"/>
        <v>34.666666666666664</v>
      </c>
      <c r="AD225" s="2">
        <f t="shared" si="49"/>
        <v>70.333333333333329</v>
      </c>
    </row>
    <row r="226" spans="1:30" x14ac:dyDescent="0.3">
      <c r="A226" s="1" t="s">
        <v>281</v>
      </c>
      <c r="B226" s="1" t="s">
        <v>316</v>
      </c>
      <c r="C226" s="1" t="s">
        <v>319</v>
      </c>
      <c r="D226" s="1" t="s">
        <v>320</v>
      </c>
      <c r="E226" s="2">
        <v>50902</v>
      </c>
      <c r="F226" s="18">
        <v>3</v>
      </c>
      <c r="G226" s="18">
        <v>4</v>
      </c>
      <c r="H226" s="18">
        <v>5</v>
      </c>
      <c r="I226" s="18">
        <v>5</v>
      </c>
      <c r="J226" s="18">
        <v>6</v>
      </c>
      <c r="K226" s="18">
        <v>6</v>
      </c>
      <c r="L226" s="11">
        <v>6</v>
      </c>
      <c r="M226" s="11">
        <v>5</v>
      </c>
      <c r="N226" s="11">
        <v>5</v>
      </c>
      <c r="O226" s="11">
        <v>7</v>
      </c>
      <c r="P226" s="18">
        <v>8</v>
      </c>
      <c r="Q226" s="18">
        <v>9</v>
      </c>
      <c r="R226" s="24">
        <v>9</v>
      </c>
      <c r="S226" s="18">
        <v>9</v>
      </c>
      <c r="T226" s="18">
        <v>60</v>
      </c>
      <c r="U226" s="18">
        <v>80</v>
      </c>
      <c r="V226" s="18">
        <v>71.428571428571431</v>
      </c>
      <c r="W226" s="11">
        <v>62.5</v>
      </c>
      <c r="X226" s="11">
        <v>66.666666666666657</v>
      </c>
      <c r="Y226" s="11">
        <v>66.666666666666657</v>
      </c>
      <c r="Z226" s="11">
        <v>66.666666666666657</v>
      </c>
      <c r="AA226" s="11">
        <f t="shared" si="46"/>
        <v>71.30952380952381</v>
      </c>
      <c r="AB226" s="27">
        <f t="shared" si="47"/>
        <v>66.666666666666657</v>
      </c>
      <c r="AC226" s="2">
        <f t="shared" si="48"/>
        <v>4.666666666666667</v>
      </c>
      <c r="AD226" s="2">
        <f t="shared" si="49"/>
        <v>6</v>
      </c>
    </row>
    <row r="227" spans="1:30" x14ac:dyDescent="0.3">
      <c r="A227" s="1" t="s">
        <v>281</v>
      </c>
      <c r="B227" s="1" t="s">
        <v>321</v>
      </c>
      <c r="C227" s="1" t="s">
        <v>322</v>
      </c>
      <c r="D227" s="1" t="s">
        <v>323</v>
      </c>
      <c r="E227" s="2">
        <v>51001</v>
      </c>
      <c r="F227" s="18">
        <v>4</v>
      </c>
      <c r="G227" s="18">
        <v>5</v>
      </c>
      <c r="H227" s="18">
        <v>9</v>
      </c>
      <c r="I227" s="18">
        <v>7</v>
      </c>
      <c r="J227" s="18">
        <v>20</v>
      </c>
      <c r="K227" s="18">
        <v>20</v>
      </c>
      <c r="L227" s="11">
        <v>21</v>
      </c>
      <c r="M227" s="11">
        <v>13</v>
      </c>
      <c r="N227" s="11">
        <v>14</v>
      </c>
      <c r="O227" s="11">
        <v>24</v>
      </c>
      <c r="P227" s="18">
        <v>25</v>
      </c>
      <c r="Q227" s="18">
        <v>32</v>
      </c>
      <c r="R227" s="24">
        <v>32</v>
      </c>
      <c r="S227" s="18">
        <v>33</v>
      </c>
      <c r="T227" s="18">
        <v>30.76923076923077</v>
      </c>
      <c r="U227" s="18">
        <v>35.714285714285715</v>
      </c>
      <c r="V227" s="18">
        <v>37.5</v>
      </c>
      <c r="W227" s="11">
        <v>28.000000000000004</v>
      </c>
      <c r="X227" s="11">
        <v>62.5</v>
      </c>
      <c r="Y227" s="11">
        <v>62.5</v>
      </c>
      <c r="Z227" s="11">
        <v>63.636363636363633</v>
      </c>
      <c r="AA227" s="11">
        <f t="shared" si="46"/>
        <v>33.738095238095241</v>
      </c>
      <c r="AB227" s="27">
        <f t="shared" si="47"/>
        <v>62.878787878787875</v>
      </c>
      <c r="AC227" s="2">
        <f t="shared" si="48"/>
        <v>7</v>
      </c>
      <c r="AD227" s="2">
        <f t="shared" si="49"/>
        <v>20.333333333333332</v>
      </c>
    </row>
    <row r="228" spans="1:30" x14ac:dyDescent="0.3">
      <c r="A228" s="1" t="s">
        <v>281</v>
      </c>
      <c r="B228" s="1" t="s">
        <v>321</v>
      </c>
      <c r="C228" s="1" t="s">
        <v>324</v>
      </c>
      <c r="D228" s="1" t="s">
        <v>324</v>
      </c>
      <c r="E228" s="2">
        <v>51002</v>
      </c>
      <c r="F228" s="18">
        <v>2</v>
      </c>
      <c r="G228" s="18">
        <v>2</v>
      </c>
      <c r="H228" s="18">
        <v>2</v>
      </c>
      <c r="I228" s="18">
        <v>3</v>
      </c>
      <c r="J228" s="18">
        <v>5</v>
      </c>
      <c r="K228" s="18">
        <v>4</v>
      </c>
      <c r="L228" s="11">
        <v>6</v>
      </c>
      <c r="M228" s="11">
        <v>5</v>
      </c>
      <c r="N228" s="11">
        <v>5</v>
      </c>
      <c r="O228" s="11">
        <v>7</v>
      </c>
      <c r="P228" s="18">
        <v>7</v>
      </c>
      <c r="Q228" s="18">
        <v>9</v>
      </c>
      <c r="R228" s="24">
        <v>9</v>
      </c>
      <c r="S228" s="18">
        <v>9</v>
      </c>
      <c r="T228" s="18">
        <v>40</v>
      </c>
      <c r="U228" s="18">
        <v>40</v>
      </c>
      <c r="V228" s="18">
        <v>28.571428571428569</v>
      </c>
      <c r="W228" s="11">
        <v>42.857142857142854</v>
      </c>
      <c r="X228" s="11">
        <v>55.555555555555557</v>
      </c>
      <c r="Y228" s="11">
        <v>44.444444444444443</v>
      </c>
      <c r="Z228" s="11">
        <v>66.666666666666657</v>
      </c>
      <c r="AA228" s="11">
        <f t="shared" si="46"/>
        <v>37.142857142857139</v>
      </c>
      <c r="AB228" s="27">
        <f t="shared" si="47"/>
        <v>55.55555555555555</v>
      </c>
      <c r="AC228" s="2">
        <f t="shared" si="48"/>
        <v>2.3333333333333335</v>
      </c>
      <c r="AD228" s="2">
        <f t="shared" si="49"/>
        <v>5</v>
      </c>
    </row>
    <row r="229" spans="1:30" x14ac:dyDescent="0.3">
      <c r="A229" s="1" t="s">
        <v>281</v>
      </c>
      <c r="B229" s="1" t="s">
        <v>321</v>
      </c>
      <c r="C229" s="1" t="s">
        <v>325</v>
      </c>
      <c r="D229" s="1" t="s">
        <v>325</v>
      </c>
      <c r="E229" s="2">
        <v>51003</v>
      </c>
      <c r="F229" s="18">
        <v>2</v>
      </c>
      <c r="G229" s="18">
        <v>2</v>
      </c>
      <c r="H229" s="18">
        <v>3</v>
      </c>
      <c r="I229" s="18">
        <v>5</v>
      </c>
      <c r="J229" s="18">
        <v>9</v>
      </c>
      <c r="K229" s="18">
        <v>12</v>
      </c>
      <c r="L229" s="11">
        <v>13</v>
      </c>
      <c r="M229" s="11">
        <v>5</v>
      </c>
      <c r="N229" s="11">
        <v>5</v>
      </c>
      <c r="O229" s="11">
        <v>12</v>
      </c>
      <c r="P229" s="18">
        <v>12</v>
      </c>
      <c r="Q229" s="18">
        <v>14</v>
      </c>
      <c r="R229" s="24">
        <v>17</v>
      </c>
      <c r="S229" s="18">
        <v>18</v>
      </c>
      <c r="T229" s="18">
        <v>40</v>
      </c>
      <c r="U229" s="18">
        <v>40</v>
      </c>
      <c r="V229" s="18">
        <v>25</v>
      </c>
      <c r="W229" s="11">
        <v>41.666666666666671</v>
      </c>
      <c r="X229" s="11">
        <v>64.285714285714292</v>
      </c>
      <c r="Y229" s="11">
        <v>70.588235294117652</v>
      </c>
      <c r="Z229" s="11">
        <v>72.222222222222214</v>
      </c>
      <c r="AA229" s="11">
        <f t="shared" si="46"/>
        <v>35.555555555555557</v>
      </c>
      <c r="AB229" s="27">
        <f t="shared" si="47"/>
        <v>69.032057267351391</v>
      </c>
      <c r="AC229" s="2">
        <f t="shared" si="48"/>
        <v>3.3333333333333335</v>
      </c>
      <c r="AD229" s="2">
        <f t="shared" si="49"/>
        <v>11.333333333333334</v>
      </c>
    </row>
    <row r="230" spans="1:30" x14ac:dyDescent="0.3">
      <c r="A230" s="1" t="s">
        <v>281</v>
      </c>
      <c r="B230" s="1" t="s">
        <v>326</v>
      </c>
      <c r="C230" s="1" t="s">
        <v>327</v>
      </c>
      <c r="D230" s="1" t="s">
        <v>328</v>
      </c>
      <c r="E230" s="2">
        <v>51101</v>
      </c>
      <c r="F230" s="18">
        <v>70</v>
      </c>
      <c r="G230" s="18">
        <v>82</v>
      </c>
      <c r="H230" s="18">
        <v>96</v>
      </c>
      <c r="I230" s="18">
        <v>73</v>
      </c>
      <c r="J230" s="18">
        <v>122</v>
      </c>
      <c r="K230" s="18">
        <v>126</v>
      </c>
      <c r="L230" s="11">
        <v>134</v>
      </c>
      <c r="M230" s="11">
        <v>137</v>
      </c>
      <c r="N230" s="11">
        <v>137</v>
      </c>
      <c r="O230" s="11">
        <v>225</v>
      </c>
      <c r="P230" s="18">
        <v>168</v>
      </c>
      <c r="Q230" s="18">
        <v>189</v>
      </c>
      <c r="R230" s="24">
        <v>192</v>
      </c>
      <c r="S230" s="18">
        <v>193</v>
      </c>
      <c r="T230" s="18">
        <v>51.094890510948908</v>
      </c>
      <c r="U230" s="18">
        <v>59.854014598540154</v>
      </c>
      <c r="V230" s="18">
        <v>42.666666666666671</v>
      </c>
      <c r="W230" s="11">
        <v>43.452380952380956</v>
      </c>
      <c r="X230" s="11">
        <v>64.550264550264544</v>
      </c>
      <c r="Y230" s="11">
        <v>65.625</v>
      </c>
      <c r="Z230" s="11">
        <v>69.430051813471508</v>
      </c>
      <c r="AA230" s="11">
        <f t="shared" si="46"/>
        <v>48.657687405862596</v>
      </c>
      <c r="AB230" s="27">
        <f t="shared" si="47"/>
        <v>66.535105454578684</v>
      </c>
      <c r="AC230" s="2">
        <f t="shared" si="48"/>
        <v>83.666666666666671</v>
      </c>
      <c r="AD230" s="2">
        <f t="shared" si="49"/>
        <v>127.33333333333333</v>
      </c>
    </row>
    <row r="231" spans="1:30" x14ac:dyDescent="0.3">
      <c r="A231" s="1" t="s">
        <v>281</v>
      </c>
      <c r="B231" s="1" t="s">
        <v>326</v>
      </c>
      <c r="C231" s="1" t="s">
        <v>329</v>
      </c>
      <c r="D231" s="1" t="s">
        <v>329</v>
      </c>
      <c r="E231" s="2">
        <v>51102</v>
      </c>
      <c r="F231" s="18">
        <v>27</v>
      </c>
      <c r="G231" s="18">
        <v>31</v>
      </c>
      <c r="H231" s="18">
        <v>38</v>
      </c>
      <c r="I231" s="18">
        <v>42</v>
      </c>
      <c r="J231" s="18">
        <v>55</v>
      </c>
      <c r="K231" s="18">
        <v>56</v>
      </c>
      <c r="L231" s="11">
        <v>58</v>
      </c>
      <c r="M231" s="11">
        <v>50</v>
      </c>
      <c r="N231" s="11">
        <v>52</v>
      </c>
      <c r="O231" s="11">
        <v>74</v>
      </c>
      <c r="P231" s="18">
        <v>74</v>
      </c>
      <c r="Q231" s="18">
        <v>90</v>
      </c>
      <c r="R231" s="24">
        <v>94</v>
      </c>
      <c r="S231" s="18">
        <v>101</v>
      </c>
      <c r="T231" s="18">
        <v>54</v>
      </c>
      <c r="U231" s="18">
        <v>59.615384615384613</v>
      </c>
      <c r="V231" s="18">
        <v>51.351351351351347</v>
      </c>
      <c r="W231" s="11">
        <v>56.756756756756758</v>
      </c>
      <c r="X231" s="11">
        <v>61.111111111111114</v>
      </c>
      <c r="Y231" s="11">
        <v>59.574468085106382</v>
      </c>
      <c r="Z231" s="11">
        <v>57.42574257425742</v>
      </c>
      <c r="AA231" s="11">
        <f t="shared" si="46"/>
        <v>55.907830907830906</v>
      </c>
      <c r="AB231" s="27">
        <f t="shared" si="47"/>
        <v>59.370440590158303</v>
      </c>
      <c r="AC231" s="2">
        <f t="shared" si="48"/>
        <v>37</v>
      </c>
      <c r="AD231" s="2">
        <f t="shared" si="49"/>
        <v>56.333333333333336</v>
      </c>
    </row>
    <row r="232" spans="1:30" x14ac:dyDescent="0.3">
      <c r="A232" s="1" t="s">
        <v>281</v>
      </c>
      <c r="B232" s="1" t="s">
        <v>326</v>
      </c>
      <c r="C232" s="1" t="s">
        <v>330</v>
      </c>
      <c r="D232" s="1" t="s">
        <v>330</v>
      </c>
      <c r="E232" s="2">
        <v>51103</v>
      </c>
      <c r="F232" s="18">
        <v>0</v>
      </c>
      <c r="G232" s="18">
        <v>0</v>
      </c>
      <c r="H232" s="18">
        <v>0</v>
      </c>
      <c r="I232" s="18">
        <v>39</v>
      </c>
      <c r="J232" s="18">
        <v>79</v>
      </c>
      <c r="K232" s="18">
        <v>81</v>
      </c>
      <c r="L232" s="11">
        <v>84</v>
      </c>
      <c r="M232" s="11">
        <v>0</v>
      </c>
      <c r="N232" s="11">
        <v>0</v>
      </c>
      <c r="O232" s="11">
        <v>0</v>
      </c>
      <c r="P232" s="18">
        <v>84</v>
      </c>
      <c r="Q232" s="18">
        <v>118</v>
      </c>
      <c r="R232" s="24">
        <v>120</v>
      </c>
      <c r="S232" s="18">
        <v>122</v>
      </c>
      <c r="T232" s="18"/>
      <c r="U232" s="18"/>
      <c r="V232" s="18"/>
      <c r="W232" s="11">
        <v>46.428571428571431</v>
      </c>
      <c r="X232" s="11">
        <v>66.949152542372886</v>
      </c>
      <c r="Y232" s="11">
        <v>67.5</v>
      </c>
      <c r="Z232" s="11">
        <v>68.852459016393439</v>
      </c>
      <c r="AA232" s="11">
        <f t="shared" si="46"/>
        <v>46.428571428571431</v>
      </c>
      <c r="AB232" s="27">
        <f t="shared" si="47"/>
        <v>67.767203852922094</v>
      </c>
      <c r="AC232" s="2">
        <f t="shared" si="48"/>
        <v>13</v>
      </c>
      <c r="AD232" s="2">
        <f t="shared" si="49"/>
        <v>81.333333333333329</v>
      </c>
    </row>
    <row r="233" spans="1:30" x14ac:dyDescent="0.3">
      <c r="A233" s="1" t="s">
        <v>281</v>
      </c>
      <c r="B233" s="1" t="s">
        <v>331</v>
      </c>
      <c r="C233" s="1" t="s">
        <v>332</v>
      </c>
      <c r="D233" s="1" t="s">
        <v>332</v>
      </c>
      <c r="E233" s="2">
        <v>51201</v>
      </c>
      <c r="F233" s="18">
        <v>111</v>
      </c>
      <c r="G233" s="18">
        <v>118</v>
      </c>
      <c r="H233" s="18">
        <v>146</v>
      </c>
      <c r="I233" s="18">
        <v>150</v>
      </c>
      <c r="J233" s="18">
        <v>207</v>
      </c>
      <c r="K233" s="18">
        <v>211</v>
      </c>
      <c r="L233" s="11">
        <v>213</v>
      </c>
      <c r="M233" s="11">
        <v>164</v>
      </c>
      <c r="N233" s="11">
        <v>165</v>
      </c>
      <c r="O233" s="11">
        <v>217</v>
      </c>
      <c r="P233" s="18">
        <v>222</v>
      </c>
      <c r="Q233" s="18">
        <v>283</v>
      </c>
      <c r="R233" s="24">
        <v>287</v>
      </c>
      <c r="S233" s="18">
        <v>292</v>
      </c>
      <c r="T233" s="18">
        <v>67.682926829268297</v>
      </c>
      <c r="U233" s="18">
        <v>71.515151515151516</v>
      </c>
      <c r="V233" s="18">
        <v>67.281105990783402</v>
      </c>
      <c r="W233" s="11">
        <v>67.567567567567565</v>
      </c>
      <c r="X233" s="11">
        <v>73.144876325088333</v>
      </c>
      <c r="Y233" s="11">
        <v>73.519163763066203</v>
      </c>
      <c r="Z233" s="11">
        <v>72.945205479452056</v>
      </c>
      <c r="AA233" s="11">
        <f t="shared" si="46"/>
        <v>68.787941691167489</v>
      </c>
      <c r="AB233" s="27">
        <f t="shared" si="47"/>
        <v>73.203081855868859</v>
      </c>
      <c r="AC233" s="2">
        <f t="shared" si="48"/>
        <v>138</v>
      </c>
      <c r="AD233" s="2">
        <f t="shared" si="49"/>
        <v>210.33333333333334</v>
      </c>
    </row>
    <row r="234" spans="1:30" x14ac:dyDescent="0.3">
      <c r="A234" s="1" t="s">
        <v>281</v>
      </c>
      <c r="B234" s="1" t="s">
        <v>331</v>
      </c>
      <c r="C234" s="1" t="s">
        <v>333</v>
      </c>
      <c r="D234" s="1" t="s">
        <v>333</v>
      </c>
      <c r="E234" s="2">
        <v>51202</v>
      </c>
      <c r="F234" s="18">
        <v>28</v>
      </c>
      <c r="G234" s="18">
        <v>34</v>
      </c>
      <c r="H234" s="18">
        <v>42</v>
      </c>
      <c r="I234" s="18">
        <v>49</v>
      </c>
      <c r="J234" s="18">
        <v>71</v>
      </c>
      <c r="K234" s="18">
        <v>70</v>
      </c>
      <c r="L234" s="11">
        <v>75</v>
      </c>
      <c r="M234" s="11">
        <v>67</v>
      </c>
      <c r="N234" s="11">
        <v>79</v>
      </c>
      <c r="O234" s="11">
        <v>106</v>
      </c>
      <c r="P234" s="18">
        <v>111</v>
      </c>
      <c r="Q234" s="18">
        <v>120</v>
      </c>
      <c r="R234" s="24">
        <v>119</v>
      </c>
      <c r="S234" s="18">
        <v>120</v>
      </c>
      <c r="T234" s="18">
        <v>41.791044776119399</v>
      </c>
      <c r="U234" s="18">
        <v>43.037974683544306</v>
      </c>
      <c r="V234" s="18">
        <v>39.622641509433961</v>
      </c>
      <c r="W234" s="11">
        <v>44.144144144144143</v>
      </c>
      <c r="X234" s="11">
        <v>59.166666666666664</v>
      </c>
      <c r="Y234" s="11">
        <v>58.82352941176471</v>
      </c>
      <c r="Z234" s="11">
        <v>62.5</v>
      </c>
      <c r="AA234" s="11">
        <f t="shared" si="46"/>
        <v>42.268253445707472</v>
      </c>
      <c r="AB234" s="27">
        <f t="shared" si="47"/>
        <v>60.16339869281046</v>
      </c>
      <c r="AC234" s="2">
        <f t="shared" si="48"/>
        <v>41.666666666666664</v>
      </c>
      <c r="AD234" s="2">
        <f t="shared" si="49"/>
        <v>72</v>
      </c>
    </row>
    <row r="235" spans="1:30" x14ac:dyDescent="0.3">
      <c r="A235" s="1" t="s">
        <v>281</v>
      </c>
      <c r="B235" s="1" t="s">
        <v>331</v>
      </c>
      <c r="C235" s="1" t="s">
        <v>334</v>
      </c>
      <c r="D235" s="1" t="s">
        <v>334</v>
      </c>
      <c r="E235" s="2">
        <v>51203</v>
      </c>
      <c r="F235" s="18">
        <v>12</v>
      </c>
      <c r="G235" s="18">
        <v>15</v>
      </c>
      <c r="H235" s="18">
        <v>21</v>
      </c>
      <c r="I235" s="18">
        <v>20</v>
      </c>
      <c r="J235" s="18">
        <v>31</v>
      </c>
      <c r="K235" s="18">
        <v>33</v>
      </c>
      <c r="L235" s="11">
        <v>33</v>
      </c>
      <c r="M235" s="11">
        <v>22</v>
      </c>
      <c r="N235" s="11">
        <v>22</v>
      </c>
      <c r="O235" s="11">
        <v>37</v>
      </c>
      <c r="P235" s="18">
        <v>37</v>
      </c>
      <c r="Q235" s="18">
        <v>55</v>
      </c>
      <c r="R235" s="24">
        <v>56</v>
      </c>
      <c r="S235" s="18">
        <v>56</v>
      </c>
      <c r="T235" s="18">
        <v>54.54545454545454</v>
      </c>
      <c r="U235" s="18">
        <v>68.181818181818173</v>
      </c>
      <c r="V235" s="18">
        <v>56.756756756756758</v>
      </c>
      <c r="W235" s="11">
        <v>54.054054054054056</v>
      </c>
      <c r="X235" s="11">
        <v>56.36363636363636</v>
      </c>
      <c r="Y235" s="11">
        <v>58.928571428571431</v>
      </c>
      <c r="Z235" s="11">
        <v>58.928571428571431</v>
      </c>
      <c r="AA235" s="11">
        <f t="shared" si="46"/>
        <v>59.664209664209665</v>
      </c>
      <c r="AB235" s="27">
        <f t="shared" si="47"/>
        <v>58.073593073593067</v>
      </c>
      <c r="AC235" s="2">
        <f t="shared" si="48"/>
        <v>18.666666666666668</v>
      </c>
      <c r="AD235" s="2">
        <f t="shared" si="49"/>
        <v>32.333333333333336</v>
      </c>
    </row>
    <row r="236" spans="1:30" x14ac:dyDescent="0.3">
      <c r="A236" s="1" t="s">
        <v>281</v>
      </c>
      <c r="B236" s="1" t="s">
        <v>333</v>
      </c>
      <c r="C236" s="1" t="s">
        <v>335</v>
      </c>
      <c r="D236" s="1" t="s">
        <v>335</v>
      </c>
      <c r="E236" s="2">
        <v>51204</v>
      </c>
      <c r="F236" s="18">
        <v>28</v>
      </c>
      <c r="G236" s="18">
        <v>34</v>
      </c>
      <c r="H236" s="18">
        <v>42</v>
      </c>
      <c r="I236" s="18">
        <v>49</v>
      </c>
      <c r="J236" s="18">
        <v>71</v>
      </c>
      <c r="K236" s="18">
        <v>70</v>
      </c>
      <c r="L236" s="11">
        <v>75</v>
      </c>
      <c r="M236" s="11">
        <v>67</v>
      </c>
      <c r="N236" s="11">
        <v>79</v>
      </c>
      <c r="O236" s="11">
        <v>106</v>
      </c>
      <c r="P236" s="18">
        <v>111</v>
      </c>
      <c r="Q236" s="18">
        <v>120</v>
      </c>
      <c r="R236" s="24">
        <v>119</v>
      </c>
      <c r="S236" s="18">
        <v>120</v>
      </c>
      <c r="T236" s="18">
        <v>41.791044776119399</v>
      </c>
      <c r="U236" s="18">
        <v>43.037974683544306</v>
      </c>
      <c r="V236" s="18">
        <v>39.622641509433961</v>
      </c>
      <c r="W236" s="11">
        <v>44.144144144144143</v>
      </c>
      <c r="X236" s="11">
        <v>59.166666666666664</v>
      </c>
      <c r="Y236" s="11">
        <v>58.82352941176471</v>
      </c>
      <c r="Z236" s="11">
        <v>62.5</v>
      </c>
      <c r="AA236" s="11">
        <f t="shared" si="46"/>
        <v>42.268253445707472</v>
      </c>
      <c r="AB236" s="27">
        <f t="shared" si="47"/>
        <v>60.16339869281046</v>
      </c>
      <c r="AC236" s="2">
        <f t="shared" si="48"/>
        <v>41.666666666666664</v>
      </c>
      <c r="AD236" s="2">
        <f t="shared" si="49"/>
        <v>72</v>
      </c>
    </row>
    <row r="237" spans="1:30" x14ac:dyDescent="0.3">
      <c r="A237" s="1" t="s">
        <v>281</v>
      </c>
      <c r="B237" s="1" t="s">
        <v>336</v>
      </c>
      <c r="C237" s="1" t="s">
        <v>337</v>
      </c>
      <c r="D237" s="1" t="s">
        <v>337</v>
      </c>
      <c r="E237" s="2">
        <v>51301</v>
      </c>
      <c r="F237" s="18">
        <v>6</v>
      </c>
      <c r="G237" s="18">
        <v>7</v>
      </c>
      <c r="H237" s="18">
        <v>7</v>
      </c>
      <c r="I237" s="18">
        <v>9</v>
      </c>
      <c r="J237" s="18">
        <v>31</v>
      </c>
      <c r="K237" s="18">
        <v>31</v>
      </c>
      <c r="L237" s="11">
        <v>28</v>
      </c>
      <c r="M237" s="11">
        <v>11</v>
      </c>
      <c r="N237" s="11">
        <v>11</v>
      </c>
      <c r="O237" s="11">
        <v>20</v>
      </c>
      <c r="P237" s="18">
        <v>21</v>
      </c>
      <c r="Q237" s="18">
        <v>37</v>
      </c>
      <c r="R237" s="24">
        <v>37</v>
      </c>
      <c r="S237" s="18">
        <v>37</v>
      </c>
      <c r="T237" s="18">
        <v>54.54545454545454</v>
      </c>
      <c r="U237" s="18">
        <v>63.636363636363633</v>
      </c>
      <c r="V237" s="18">
        <v>35</v>
      </c>
      <c r="W237" s="11">
        <v>42.857142857142854</v>
      </c>
      <c r="X237" s="11">
        <v>83.78378378378379</v>
      </c>
      <c r="Y237" s="11">
        <v>83.78378378378379</v>
      </c>
      <c r="Z237" s="11">
        <v>75.675675675675677</v>
      </c>
      <c r="AA237" s="11">
        <f t="shared" si="46"/>
        <v>47.16450216450216</v>
      </c>
      <c r="AB237" s="27">
        <f t="shared" si="47"/>
        <v>81.081081081081081</v>
      </c>
      <c r="AC237" s="2">
        <f t="shared" si="48"/>
        <v>7.666666666666667</v>
      </c>
      <c r="AD237" s="2">
        <f t="shared" si="49"/>
        <v>30</v>
      </c>
    </row>
    <row r="238" spans="1:30" x14ac:dyDescent="0.3">
      <c r="A238" s="1" t="s">
        <v>281</v>
      </c>
      <c r="B238" s="1" t="s">
        <v>336</v>
      </c>
      <c r="C238" s="1" t="s">
        <v>338</v>
      </c>
      <c r="D238" s="1" t="s">
        <v>338</v>
      </c>
      <c r="E238" s="2">
        <v>51302</v>
      </c>
      <c r="F238" s="18">
        <v>9</v>
      </c>
      <c r="G238" s="18">
        <v>10</v>
      </c>
      <c r="H238" s="18">
        <v>13</v>
      </c>
      <c r="I238" s="18">
        <v>12</v>
      </c>
      <c r="J238" s="18">
        <v>38</v>
      </c>
      <c r="K238" s="18">
        <v>36</v>
      </c>
      <c r="L238" s="11">
        <v>39</v>
      </c>
      <c r="M238" s="11">
        <v>14</v>
      </c>
      <c r="N238" s="11">
        <v>14</v>
      </c>
      <c r="O238" s="11">
        <v>27</v>
      </c>
      <c r="P238" s="18">
        <v>26</v>
      </c>
      <c r="Q238" s="18">
        <v>45</v>
      </c>
      <c r="R238" s="24">
        <v>45</v>
      </c>
      <c r="S238" s="18">
        <v>46</v>
      </c>
      <c r="T238" s="18">
        <v>64.285714285714292</v>
      </c>
      <c r="U238" s="18">
        <v>71.428571428571431</v>
      </c>
      <c r="V238" s="18">
        <v>48.148148148148145</v>
      </c>
      <c r="W238" s="11">
        <v>46.153846153846153</v>
      </c>
      <c r="X238" s="11">
        <v>84.444444444444443</v>
      </c>
      <c r="Y238" s="11">
        <v>80</v>
      </c>
      <c r="Z238" s="11">
        <v>84.782608695652172</v>
      </c>
      <c r="AA238" s="11">
        <f t="shared" si="46"/>
        <v>55.243521910188576</v>
      </c>
      <c r="AB238" s="27">
        <f t="shared" si="47"/>
        <v>83.075684380032214</v>
      </c>
      <c r="AC238" s="2">
        <f t="shared" si="48"/>
        <v>11.666666666666666</v>
      </c>
      <c r="AD238" s="2">
        <f t="shared" si="49"/>
        <v>37.666666666666664</v>
      </c>
    </row>
    <row r="239" spans="1:30" x14ac:dyDescent="0.3">
      <c r="A239" s="1" t="s">
        <v>281</v>
      </c>
      <c r="B239" s="1" t="s">
        <v>339</v>
      </c>
      <c r="C239" s="1" t="s">
        <v>340</v>
      </c>
      <c r="D239" s="1" t="s">
        <v>340</v>
      </c>
      <c r="E239" s="2">
        <v>51401</v>
      </c>
      <c r="F239" s="18">
        <v>7</v>
      </c>
      <c r="G239" s="18">
        <v>8</v>
      </c>
      <c r="H239" s="18">
        <v>9</v>
      </c>
      <c r="I239" s="18">
        <v>10</v>
      </c>
      <c r="J239" s="18">
        <v>17</v>
      </c>
      <c r="K239" s="18">
        <v>17</v>
      </c>
      <c r="L239" s="11">
        <v>18</v>
      </c>
      <c r="M239" s="11">
        <v>17</v>
      </c>
      <c r="N239" s="11">
        <v>17</v>
      </c>
      <c r="O239" s="11">
        <v>32</v>
      </c>
      <c r="P239" s="18">
        <v>34</v>
      </c>
      <c r="Q239" s="18">
        <v>35</v>
      </c>
      <c r="R239" s="24">
        <v>37</v>
      </c>
      <c r="S239" s="18">
        <v>38</v>
      </c>
      <c r="T239" s="18">
        <v>41.17647058823529</v>
      </c>
      <c r="U239" s="18">
        <v>47.058823529411761</v>
      </c>
      <c r="V239" s="18">
        <v>28.125</v>
      </c>
      <c r="W239" s="11">
        <v>29.411764705882355</v>
      </c>
      <c r="X239" s="11">
        <v>48.571428571428569</v>
      </c>
      <c r="Y239" s="11">
        <v>45.945945945945951</v>
      </c>
      <c r="Z239" s="11">
        <v>47.368421052631575</v>
      </c>
      <c r="AA239" s="11">
        <f t="shared" si="46"/>
        <v>34.865196078431374</v>
      </c>
      <c r="AB239" s="27">
        <f t="shared" si="47"/>
        <v>47.295265190002034</v>
      </c>
      <c r="AC239" s="2">
        <f t="shared" si="48"/>
        <v>9</v>
      </c>
      <c r="AD239" s="2">
        <f t="shared" si="49"/>
        <v>17.333333333333332</v>
      </c>
    </row>
    <row r="240" spans="1:30" x14ac:dyDescent="0.3">
      <c r="A240" s="1" t="s">
        <v>281</v>
      </c>
      <c r="B240" s="1" t="s">
        <v>339</v>
      </c>
      <c r="C240" s="1" t="s">
        <v>341</v>
      </c>
      <c r="D240" s="1" t="s">
        <v>341</v>
      </c>
      <c r="E240" s="2">
        <v>51402</v>
      </c>
      <c r="F240" s="18">
        <v>1</v>
      </c>
      <c r="G240" s="18">
        <v>4</v>
      </c>
      <c r="H240" s="18">
        <v>4</v>
      </c>
      <c r="I240" s="18">
        <v>3</v>
      </c>
      <c r="J240" s="18">
        <v>5</v>
      </c>
      <c r="K240" s="18">
        <v>5</v>
      </c>
      <c r="L240" s="11">
        <v>6</v>
      </c>
      <c r="M240" s="11">
        <v>5</v>
      </c>
      <c r="N240" s="11">
        <v>5</v>
      </c>
      <c r="O240" s="11">
        <v>11</v>
      </c>
      <c r="P240" s="18">
        <v>12</v>
      </c>
      <c r="Q240" s="18">
        <v>12</v>
      </c>
      <c r="R240" s="24">
        <v>12</v>
      </c>
      <c r="S240" s="18">
        <v>12</v>
      </c>
      <c r="T240" s="18">
        <v>20</v>
      </c>
      <c r="U240" s="18">
        <v>80</v>
      </c>
      <c r="V240" s="18">
        <v>36.363636363636367</v>
      </c>
      <c r="W240" s="11">
        <v>25</v>
      </c>
      <c r="X240" s="11">
        <v>41.666666666666671</v>
      </c>
      <c r="Y240" s="11">
        <v>41.666666666666671</v>
      </c>
      <c r="Z240" s="11">
        <v>50</v>
      </c>
      <c r="AA240" s="11">
        <f t="shared" si="46"/>
        <v>47.121212121212125</v>
      </c>
      <c r="AB240" s="27">
        <f t="shared" si="47"/>
        <v>44.44444444444445</v>
      </c>
      <c r="AC240" s="2">
        <f t="shared" si="48"/>
        <v>3.6666666666666665</v>
      </c>
      <c r="AD240" s="2">
        <f t="shared" si="49"/>
        <v>5.333333333333333</v>
      </c>
    </row>
    <row r="241" spans="1:30" x14ac:dyDescent="0.3">
      <c r="A241" s="1" t="s">
        <v>281</v>
      </c>
      <c r="B241" s="1" t="s">
        <v>342</v>
      </c>
      <c r="C241" s="1" t="s">
        <v>343</v>
      </c>
      <c r="D241" s="1" t="s">
        <v>343</v>
      </c>
      <c r="E241" s="2">
        <v>51501</v>
      </c>
      <c r="F241" s="18">
        <v>144</v>
      </c>
      <c r="G241" s="18">
        <v>166</v>
      </c>
      <c r="H241" s="18">
        <v>200</v>
      </c>
      <c r="I241" s="18">
        <v>204</v>
      </c>
      <c r="J241" s="18">
        <v>275</v>
      </c>
      <c r="K241" s="18">
        <v>277</v>
      </c>
      <c r="L241" s="11">
        <v>280</v>
      </c>
      <c r="M241" s="11">
        <v>208</v>
      </c>
      <c r="N241" s="11">
        <v>249</v>
      </c>
      <c r="O241" s="11">
        <v>329</v>
      </c>
      <c r="P241" s="18">
        <v>328</v>
      </c>
      <c r="Q241" s="18">
        <v>360</v>
      </c>
      <c r="R241" s="24">
        <v>365</v>
      </c>
      <c r="S241" s="18">
        <v>368</v>
      </c>
      <c r="T241" s="18">
        <v>69.230769230769226</v>
      </c>
      <c r="U241" s="18">
        <v>66.666666666666657</v>
      </c>
      <c r="V241" s="18">
        <v>60.790273556231</v>
      </c>
      <c r="W241" s="11">
        <v>62.195121951219512</v>
      </c>
      <c r="X241" s="11">
        <v>76.388888888888886</v>
      </c>
      <c r="Y241" s="11">
        <v>75.890410958904113</v>
      </c>
      <c r="Z241" s="11">
        <v>76.08695652173914</v>
      </c>
      <c r="AA241" s="11">
        <f t="shared" si="46"/>
        <v>63.217354058039056</v>
      </c>
      <c r="AB241" s="27">
        <f t="shared" si="47"/>
        <v>76.122085456510717</v>
      </c>
      <c r="AC241" s="2">
        <f t="shared" si="48"/>
        <v>190</v>
      </c>
      <c r="AD241" s="2">
        <f t="shared" si="49"/>
        <v>277.33333333333331</v>
      </c>
    </row>
    <row r="242" spans="1:30" x14ac:dyDescent="0.3">
      <c r="A242" s="1" t="s">
        <v>281</v>
      </c>
      <c r="B242" s="1" t="s">
        <v>344</v>
      </c>
      <c r="C242" s="1" t="s">
        <v>345</v>
      </c>
      <c r="D242" s="1" t="s">
        <v>345</v>
      </c>
      <c r="E242" s="2">
        <v>51601</v>
      </c>
      <c r="F242" s="18">
        <v>0</v>
      </c>
      <c r="G242" s="18">
        <v>1</v>
      </c>
      <c r="H242" s="18">
        <v>1</v>
      </c>
      <c r="I242" s="18">
        <v>1</v>
      </c>
      <c r="J242" s="18">
        <v>11</v>
      </c>
      <c r="K242" s="18">
        <v>11</v>
      </c>
      <c r="L242" s="11">
        <v>10</v>
      </c>
      <c r="M242" s="11">
        <v>10</v>
      </c>
      <c r="N242" s="11">
        <v>14</v>
      </c>
      <c r="O242" s="11">
        <v>18</v>
      </c>
      <c r="P242" s="18">
        <v>17</v>
      </c>
      <c r="Q242" s="18">
        <v>22</v>
      </c>
      <c r="R242" s="24">
        <v>22</v>
      </c>
      <c r="S242" s="18">
        <v>22</v>
      </c>
      <c r="T242" s="18">
        <v>0</v>
      </c>
      <c r="U242" s="18">
        <v>7.1428571428571423</v>
      </c>
      <c r="V242" s="18">
        <v>5.5555555555555554</v>
      </c>
      <c r="W242" s="11">
        <v>5.8823529411764701</v>
      </c>
      <c r="X242" s="11">
        <v>50</v>
      </c>
      <c r="Y242" s="11">
        <v>50</v>
      </c>
      <c r="Z242" s="11">
        <v>45.454545454545453</v>
      </c>
      <c r="AA242" s="11">
        <f t="shared" si="46"/>
        <v>6.193588546529722</v>
      </c>
      <c r="AB242" s="27">
        <f t="shared" si="47"/>
        <v>48.484848484848477</v>
      </c>
      <c r="AC242" s="2">
        <f t="shared" si="48"/>
        <v>1</v>
      </c>
      <c r="AD242" s="2">
        <f t="shared" si="49"/>
        <v>10.666666666666666</v>
      </c>
    </row>
    <row r="243" spans="1:30" x14ac:dyDescent="0.3">
      <c r="A243" s="1" t="s">
        <v>346</v>
      </c>
      <c r="B243" s="1" t="s">
        <v>168</v>
      </c>
      <c r="C243" s="1" t="s">
        <v>346</v>
      </c>
      <c r="D243" s="1" t="s">
        <v>346</v>
      </c>
      <c r="E243" s="2">
        <v>60101</v>
      </c>
      <c r="F243" s="18">
        <v>565</v>
      </c>
      <c r="G243" s="18">
        <v>605</v>
      </c>
      <c r="H243" s="18">
        <v>707</v>
      </c>
      <c r="I243" s="18">
        <v>724</v>
      </c>
      <c r="J243" s="18">
        <v>850</v>
      </c>
      <c r="K243" s="18">
        <v>870</v>
      </c>
      <c r="L243" s="11">
        <v>881</v>
      </c>
      <c r="M243" s="11">
        <v>721</v>
      </c>
      <c r="N243" s="11">
        <v>754</v>
      </c>
      <c r="O243" s="11">
        <v>995</v>
      </c>
      <c r="P243" s="18">
        <v>1030</v>
      </c>
      <c r="Q243" s="18">
        <v>1104</v>
      </c>
      <c r="R243" s="24">
        <v>1130</v>
      </c>
      <c r="S243" s="18">
        <v>1145</v>
      </c>
      <c r="T243" s="18">
        <v>78.36338418862691</v>
      </c>
      <c r="U243" s="18">
        <v>80.238726790450926</v>
      </c>
      <c r="V243" s="18">
        <v>71.05527638190955</v>
      </c>
      <c r="W243" s="11">
        <v>70.291262135922324</v>
      </c>
      <c r="X243" s="11">
        <v>76.992753623188406</v>
      </c>
      <c r="Y243" s="11">
        <v>76.991150442477874</v>
      </c>
      <c r="Z243" s="11">
        <v>76.943231441048027</v>
      </c>
      <c r="AA243" s="11">
        <f t="shared" si="46"/>
        <v>73.861755102760938</v>
      </c>
      <c r="AB243" s="27">
        <f t="shared" si="47"/>
        <v>76.975711835571431</v>
      </c>
      <c r="AC243" s="2">
        <f t="shared" si="48"/>
        <v>678.66666666666663</v>
      </c>
      <c r="AD243" s="2">
        <f t="shared" si="49"/>
        <v>867</v>
      </c>
    </row>
    <row r="244" spans="1:30" x14ac:dyDescent="0.3">
      <c r="A244" s="1" t="s">
        <v>346</v>
      </c>
      <c r="B244" s="1" t="s">
        <v>347</v>
      </c>
      <c r="C244" s="1" t="s">
        <v>348</v>
      </c>
      <c r="D244" s="1" t="s">
        <v>348</v>
      </c>
      <c r="E244" s="2">
        <v>60201</v>
      </c>
      <c r="F244" s="18">
        <v>26</v>
      </c>
      <c r="G244" s="18">
        <v>28</v>
      </c>
      <c r="H244" s="18">
        <v>32</v>
      </c>
      <c r="I244" s="18">
        <v>45</v>
      </c>
      <c r="J244" s="18">
        <v>82</v>
      </c>
      <c r="K244" s="18">
        <v>85</v>
      </c>
      <c r="L244" s="11">
        <v>86</v>
      </c>
      <c r="M244" s="11">
        <v>54</v>
      </c>
      <c r="N244" s="11">
        <v>59</v>
      </c>
      <c r="O244" s="11">
        <v>90</v>
      </c>
      <c r="P244" s="18">
        <v>99</v>
      </c>
      <c r="Q244" s="18">
        <v>124</v>
      </c>
      <c r="R244" s="24">
        <v>125</v>
      </c>
      <c r="S244" s="18">
        <v>124</v>
      </c>
      <c r="T244" s="18">
        <v>48.148148148148145</v>
      </c>
      <c r="U244" s="18">
        <v>47.457627118644069</v>
      </c>
      <c r="V244" s="18">
        <v>35.555555555555557</v>
      </c>
      <c r="W244" s="11">
        <v>45.454545454545453</v>
      </c>
      <c r="X244" s="11">
        <v>66.129032258064512</v>
      </c>
      <c r="Y244" s="11">
        <v>68</v>
      </c>
      <c r="Z244" s="11">
        <v>69.354838709677423</v>
      </c>
      <c r="AA244" s="11">
        <f t="shared" si="46"/>
        <v>42.822576042915024</v>
      </c>
      <c r="AB244" s="27">
        <f t="shared" si="47"/>
        <v>67.827956989247312</v>
      </c>
      <c r="AC244" s="2">
        <f t="shared" si="48"/>
        <v>35</v>
      </c>
      <c r="AD244" s="2">
        <f t="shared" si="49"/>
        <v>84.333333333333329</v>
      </c>
    </row>
    <row r="245" spans="1:30" x14ac:dyDescent="0.3">
      <c r="A245" s="1" t="s">
        <v>346</v>
      </c>
      <c r="B245" s="1" t="s">
        <v>347</v>
      </c>
      <c r="C245" s="1" t="s">
        <v>349</v>
      </c>
      <c r="D245" s="1" t="s">
        <v>349</v>
      </c>
      <c r="E245" s="2">
        <v>60202</v>
      </c>
      <c r="F245" s="18">
        <v>107</v>
      </c>
      <c r="G245" s="18">
        <v>116</v>
      </c>
      <c r="H245" s="18">
        <v>125</v>
      </c>
      <c r="I245" s="18">
        <v>134</v>
      </c>
      <c r="J245" s="18">
        <v>175</v>
      </c>
      <c r="K245" s="18">
        <v>177</v>
      </c>
      <c r="L245" s="11">
        <v>176</v>
      </c>
      <c r="M245" s="11">
        <v>145</v>
      </c>
      <c r="N245" s="11">
        <v>156</v>
      </c>
      <c r="O245" s="11">
        <v>194</v>
      </c>
      <c r="P245" s="18">
        <v>227</v>
      </c>
      <c r="Q245" s="18">
        <v>238</v>
      </c>
      <c r="R245" s="24">
        <v>235</v>
      </c>
      <c r="S245" s="18">
        <v>233</v>
      </c>
      <c r="T245" s="18">
        <v>73.793103448275872</v>
      </c>
      <c r="U245" s="18">
        <v>74.358974358974365</v>
      </c>
      <c r="V245" s="18">
        <v>64.432989690721655</v>
      </c>
      <c r="W245" s="11">
        <v>59.030837004405292</v>
      </c>
      <c r="X245" s="11">
        <v>73.529411764705884</v>
      </c>
      <c r="Y245" s="11">
        <v>75.319148936170208</v>
      </c>
      <c r="Z245" s="11">
        <v>75.536480686695285</v>
      </c>
      <c r="AA245" s="11">
        <f t="shared" si="46"/>
        <v>65.94093368470044</v>
      </c>
      <c r="AB245" s="27">
        <f t="shared" si="47"/>
        <v>74.795013795857116</v>
      </c>
      <c r="AC245" s="2">
        <f t="shared" si="48"/>
        <v>125</v>
      </c>
      <c r="AD245" s="2">
        <f t="shared" si="49"/>
        <v>176</v>
      </c>
    </row>
    <row r="246" spans="1:30" x14ac:dyDescent="0.3">
      <c r="A246" s="1" t="s">
        <v>346</v>
      </c>
      <c r="B246" s="1" t="s">
        <v>350</v>
      </c>
      <c r="C246" s="1" t="s">
        <v>351</v>
      </c>
      <c r="D246" s="1" t="s">
        <v>351</v>
      </c>
      <c r="E246" s="2">
        <v>60301</v>
      </c>
      <c r="F246" s="18">
        <v>227</v>
      </c>
      <c r="G246" s="18">
        <v>255</v>
      </c>
      <c r="H246" s="18">
        <v>315</v>
      </c>
      <c r="I246" s="18">
        <v>326</v>
      </c>
      <c r="J246" s="18">
        <v>456</v>
      </c>
      <c r="K246" s="18">
        <v>463</v>
      </c>
      <c r="L246" s="11">
        <v>468</v>
      </c>
      <c r="M246" s="11">
        <v>284</v>
      </c>
      <c r="N246" s="11">
        <v>309</v>
      </c>
      <c r="O246" s="11">
        <v>458</v>
      </c>
      <c r="P246" s="18">
        <v>478</v>
      </c>
      <c r="Q246" s="18">
        <v>560</v>
      </c>
      <c r="R246" s="24">
        <v>566</v>
      </c>
      <c r="S246" s="18">
        <v>573</v>
      </c>
      <c r="T246" s="18">
        <v>79.929577464788736</v>
      </c>
      <c r="U246" s="18">
        <v>82.524271844660191</v>
      </c>
      <c r="V246" s="18">
        <v>68.777292576419214</v>
      </c>
      <c r="W246" s="11">
        <v>68.20083682008368</v>
      </c>
      <c r="X246" s="11">
        <v>81.428571428571431</v>
      </c>
      <c r="Y246" s="11">
        <v>81.802120141342755</v>
      </c>
      <c r="Z246" s="11">
        <v>81.675392670157066</v>
      </c>
      <c r="AA246" s="11">
        <f t="shared" si="46"/>
        <v>73.167467080387695</v>
      </c>
      <c r="AB246" s="27">
        <f t="shared" si="47"/>
        <v>81.635361413357089</v>
      </c>
      <c r="AC246" s="2">
        <f t="shared" si="48"/>
        <v>298.66666666666669</v>
      </c>
      <c r="AD246" s="2">
        <f t="shared" si="49"/>
        <v>462.33333333333331</v>
      </c>
    </row>
    <row r="247" spans="1:30" x14ac:dyDescent="0.3">
      <c r="A247" s="1" t="s">
        <v>346</v>
      </c>
      <c r="B247" s="1" t="s">
        <v>350</v>
      </c>
      <c r="C247" s="1" t="s">
        <v>352</v>
      </c>
      <c r="D247" s="1" t="s">
        <v>352</v>
      </c>
      <c r="E247" s="2">
        <v>60302</v>
      </c>
      <c r="F247" s="18">
        <v>16</v>
      </c>
      <c r="G247" s="18">
        <v>20</v>
      </c>
      <c r="H247" s="18">
        <v>23</v>
      </c>
      <c r="I247" s="18">
        <v>31</v>
      </c>
      <c r="J247" s="18">
        <v>80</v>
      </c>
      <c r="K247" s="18">
        <v>90</v>
      </c>
      <c r="L247" s="11">
        <v>92</v>
      </c>
      <c r="M247" s="11">
        <v>49</v>
      </c>
      <c r="N247" s="11">
        <v>52</v>
      </c>
      <c r="O247" s="11">
        <v>80</v>
      </c>
      <c r="P247" s="18">
        <v>82</v>
      </c>
      <c r="Q247" s="18">
        <v>116</v>
      </c>
      <c r="R247" s="24">
        <v>123</v>
      </c>
      <c r="S247" s="18">
        <v>127</v>
      </c>
      <c r="T247" s="18">
        <v>32.653061224489797</v>
      </c>
      <c r="U247" s="18">
        <v>38.461538461538467</v>
      </c>
      <c r="V247" s="18">
        <v>28.749999999999996</v>
      </c>
      <c r="W247" s="11">
        <v>37.804878048780488</v>
      </c>
      <c r="X247" s="11">
        <v>68.965517241379317</v>
      </c>
      <c r="Y247" s="11">
        <v>73.170731707317074</v>
      </c>
      <c r="Z247" s="11">
        <v>72.440944881889763</v>
      </c>
      <c r="AA247" s="11">
        <f t="shared" si="46"/>
        <v>35.005472170106316</v>
      </c>
      <c r="AB247" s="27">
        <f t="shared" si="47"/>
        <v>71.525731276862061</v>
      </c>
      <c r="AC247" s="2">
        <f t="shared" si="48"/>
        <v>24.666666666666668</v>
      </c>
      <c r="AD247" s="2">
        <f t="shared" si="49"/>
        <v>87.333333333333329</v>
      </c>
    </row>
    <row r="248" spans="1:30" x14ac:dyDescent="0.3">
      <c r="A248" s="1" t="s">
        <v>346</v>
      </c>
      <c r="B248" s="1" t="s">
        <v>350</v>
      </c>
      <c r="C248" s="1" t="s">
        <v>353</v>
      </c>
      <c r="D248" s="1" t="s">
        <v>353</v>
      </c>
      <c r="E248" s="2">
        <v>60303</v>
      </c>
      <c r="F248" s="18">
        <v>93</v>
      </c>
      <c r="G248" s="18">
        <v>124</v>
      </c>
      <c r="H248" s="18">
        <v>135</v>
      </c>
      <c r="I248" s="18">
        <v>154</v>
      </c>
      <c r="J248" s="18">
        <v>230</v>
      </c>
      <c r="K248" s="18">
        <v>235</v>
      </c>
      <c r="L248" s="11">
        <v>233</v>
      </c>
      <c r="M248" s="11">
        <v>151</v>
      </c>
      <c r="N248" s="11">
        <v>179</v>
      </c>
      <c r="O248" s="11">
        <v>219</v>
      </c>
      <c r="P248" s="18">
        <v>241</v>
      </c>
      <c r="Q248" s="18">
        <v>293</v>
      </c>
      <c r="R248" s="24">
        <v>301</v>
      </c>
      <c r="S248" s="18">
        <v>302</v>
      </c>
      <c r="T248" s="18">
        <v>61.589403973509938</v>
      </c>
      <c r="U248" s="18">
        <v>69.273743016759781</v>
      </c>
      <c r="V248" s="18">
        <v>61.643835616438359</v>
      </c>
      <c r="W248" s="11">
        <v>63.900414937759329</v>
      </c>
      <c r="X248" s="11">
        <v>78.49829351535837</v>
      </c>
      <c r="Y248" s="11">
        <v>78.073089700996675</v>
      </c>
      <c r="Z248" s="11">
        <v>77.152317880794712</v>
      </c>
      <c r="AA248" s="11">
        <f t="shared" si="46"/>
        <v>64.939331190319152</v>
      </c>
      <c r="AB248" s="27">
        <f t="shared" si="47"/>
        <v>77.9079003657166</v>
      </c>
      <c r="AC248" s="2">
        <f t="shared" si="48"/>
        <v>137.66666666666666</v>
      </c>
      <c r="AD248" s="2">
        <f t="shared" si="49"/>
        <v>232.66666666666666</v>
      </c>
    </row>
    <row r="249" spans="1:30" x14ac:dyDescent="0.3">
      <c r="A249" s="1" t="s">
        <v>346</v>
      </c>
      <c r="B249" s="1" t="s">
        <v>354</v>
      </c>
      <c r="C249" s="1" t="s">
        <v>355</v>
      </c>
      <c r="D249" s="1" t="s">
        <v>356</v>
      </c>
      <c r="E249" s="2">
        <v>60401</v>
      </c>
      <c r="F249" s="18">
        <v>29</v>
      </c>
      <c r="G249" s="18">
        <v>29</v>
      </c>
      <c r="H249" s="18">
        <v>38</v>
      </c>
      <c r="I249" s="18">
        <v>38</v>
      </c>
      <c r="J249" s="18">
        <v>64</v>
      </c>
      <c r="K249" s="18">
        <v>66</v>
      </c>
      <c r="L249" s="11">
        <v>66</v>
      </c>
      <c r="M249" s="11">
        <v>51</v>
      </c>
      <c r="N249" s="11">
        <v>58</v>
      </c>
      <c r="O249" s="11">
        <v>79</v>
      </c>
      <c r="P249" s="18">
        <v>82</v>
      </c>
      <c r="Q249" s="18">
        <v>93</v>
      </c>
      <c r="R249" s="24">
        <v>94</v>
      </c>
      <c r="S249" s="18">
        <v>94</v>
      </c>
      <c r="T249" s="18">
        <v>56.862745098039213</v>
      </c>
      <c r="U249" s="18">
        <v>50</v>
      </c>
      <c r="V249" s="18">
        <v>48.101265822784811</v>
      </c>
      <c r="W249" s="11">
        <v>46.341463414634148</v>
      </c>
      <c r="X249" s="11">
        <v>68.817204301075279</v>
      </c>
      <c r="Y249" s="11">
        <v>70.212765957446805</v>
      </c>
      <c r="Z249" s="11">
        <v>70.212765957446805</v>
      </c>
      <c r="AA249" s="11">
        <f t="shared" si="46"/>
        <v>48.147576412472993</v>
      </c>
      <c r="AB249" s="27">
        <f t="shared" si="47"/>
        <v>69.747578738656301</v>
      </c>
      <c r="AC249" s="2">
        <f t="shared" si="48"/>
        <v>35</v>
      </c>
      <c r="AD249" s="2">
        <f t="shared" si="49"/>
        <v>65.333333333333329</v>
      </c>
    </row>
    <row r="250" spans="1:30" x14ac:dyDescent="0.3">
      <c r="A250" s="1" t="s">
        <v>346</v>
      </c>
      <c r="B250" s="1" t="s">
        <v>354</v>
      </c>
      <c r="C250" s="1" t="s">
        <v>357</v>
      </c>
      <c r="D250" s="1" t="s">
        <v>357</v>
      </c>
      <c r="E250" s="2">
        <v>60402</v>
      </c>
      <c r="F250" s="18">
        <v>6</v>
      </c>
      <c r="G250" s="18">
        <v>5</v>
      </c>
      <c r="H250" s="18">
        <v>10</v>
      </c>
      <c r="I250" s="18">
        <v>12</v>
      </c>
      <c r="J250" s="18">
        <v>29</v>
      </c>
      <c r="K250" s="18">
        <v>31</v>
      </c>
      <c r="L250" s="11">
        <v>33</v>
      </c>
      <c r="M250" s="11">
        <v>12</v>
      </c>
      <c r="N250" s="11">
        <v>12</v>
      </c>
      <c r="O250" s="11">
        <v>27</v>
      </c>
      <c r="P250" s="18">
        <v>27</v>
      </c>
      <c r="Q250" s="18">
        <v>43</v>
      </c>
      <c r="R250" s="24">
        <v>45</v>
      </c>
      <c r="S250" s="18">
        <v>47</v>
      </c>
      <c r="T250" s="18">
        <v>50</v>
      </c>
      <c r="U250" s="18">
        <v>41.666666666666671</v>
      </c>
      <c r="V250" s="18">
        <v>37.037037037037038</v>
      </c>
      <c r="W250" s="11">
        <v>44.444444444444443</v>
      </c>
      <c r="X250" s="11">
        <v>67.441860465116278</v>
      </c>
      <c r="Y250" s="11">
        <v>68.888888888888886</v>
      </c>
      <c r="Z250" s="11">
        <v>70.212765957446805</v>
      </c>
      <c r="AA250" s="11">
        <f t="shared" si="46"/>
        <v>41.049382716049386</v>
      </c>
      <c r="AB250" s="27">
        <f t="shared" si="47"/>
        <v>68.847838437150656</v>
      </c>
      <c r="AC250" s="2">
        <f t="shared" si="48"/>
        <v>9</v>
      </c>
      <c r="AD250" s="2">
        <f t="shared" si="49"/>
        <v>31</v>
      </c>
    </row>
    <row r="251" spans="1:30" x14ac:dyDescent="0.3">
      <c r="A251" s="1" t="s">
        <v>346</v>
      </c>
      <c r="B251" s="1" t="s">
        <v>358</v>
      </c>
      <c r="C251" s="1" t="s">
        <v>359</v>
      </c>
      <c r="D251" s="1" t="s">
        <v>360</v>
      </c>
      <c r="E251" s="2">
        <v>60501</v>
      </c>
      <c r="F251" s="18">
        <v>66</v>
      </c>
      <c r="G251" s="18">
        <v>70</v>
      </c>
      <c r="H251" s="18">
        <v>62</v>
      </c>
      <c r="I251" s="18">
        <v>70</v>
      </c>
      <c r="J251" s="18">
        <v>107</v>
      </c>
      <c r="K251" s="18">
        <v>109</v>
      </c>
      <c r="L251" s="11">
        <v>112</v>
      </c>
      <c r="M251" s="11">
        <v>129</v>
      </c>
      <c r="N251" s="11">
        <v>128</v>
      </c>
      <c r="O251" s="11">
        <v>142</v>
      </c>
      <c r="P251" s="18">
        <v>149</v>
      </c>
      <c r="Q251" s="18">
        <v>152</v>
      </c>
      <c r="R251" s="24">
        <v>158</v>
      </c>
      <c r="S251" s="18">
        <v>163</v>
      </c>
      <c r="T251" s="18">
        <v>51.162790697674424</v>
      </c>
      <c r="U251" s="18">
        <v>54.6875</v>
      </c>
      <c r="V251" s="18">
        <v>43.661971830985912</v>
      </c>
      <c r="W251" s="11">
        <v>46.979865771812079</v>
      </c>
      <c r="X251" s="11">
        <v>70.39473684210526</v>
      </c>
      <c r="Y251" s="11">
        <v>68.987341772151893</v>
      </c>
      <c r="Z251" s="11">
        <v>68.711656441717793</v>
      </c>
      <c r="AA251" s="11">
        <f t="shared" si="46"/>
        <v>48.443112534266</v>
      </c>
      <c r="AB251" s="27">
        <f t="shared" si="47"/>
        <v>69.364578351991653</v>
      </c>
      <c r="AC251" s="2">
        <f t="shared" si="48"/>
        <v>67.333333333333329</v>
      </c>
      <c r="AD251" s="2">
        <f t="shared" si="49"/>
        <v>109.33333333333333</v>
      </c>
    </row>
    <row r="252" spans="1:30" x14ac:dyDescent="0.3">
      <c r="A252" s="1" t="s">
        <v>346</v>
      </c>
      <c r="B252" s="1" t="s">
        <v>358</v>
      </c>
      <c r="C252" s="1" t="s">
        <v>361</v>
      </c>
      <c r="D252" s="1" t="s">
        <v>361</v>
      </c>
      <c r="E252" s="2">
        <v>60502</v>
      </c>
      <c r="F252" s="18">
        <v>5</v>
      </c>
      <c r="G252" s="18">
        <v>8</v>
      </c>
      <c r="H252" s="18">
        <v>12</v>
      </c>
      <c r="I252" s="18">
        <v>15</v>
      </c>
      <c r="J252" s="18">
        <v>40</v>
      </c>
      <c r="K252" s="18">
        <v>42</v>
      </c>
      <c r="L252" s="11">
        <v>44</v>
      </c>
      <c r="M252" s="11">
        <v>21</v>
      </c>
      <c r="N252" s="11">
        <v>22</v>
      </c>
      <c r="O252" s="11">
        <v>54</v>
      </c>
      <c r="P252" s="18">
        <v>56</v>
      </c>
      <c r="Q252" s="18">
        <v>61</v>
      </c>
      <c r="R252" s="24">
        <v>64</v>
      </c>
      <c r="S252" s="18">
        <v>66</v>
      </c>
      <c r="T252" s="18">
        <v>23.809523809523807</v>
      </c>
      <c r="U252" s="18">
        <v>36.363636363636367</v>
      </c>
      <c r="V252" s="18">
        <v>22.222222222222221</v>
      </c>
      <c r="W252" s="11">
        <v>26.785714285714285</v>
      </c>
      <c r="X252" s="11">
        <v>65.573770491803273</v>
      </c>
      <c r="Y252" s="11">
        <v>65.625</v>
      </c>
      <c r="Z252" s="11">
        <v>66.666666666666657</v>
      </c>
      <c r="AA252" s="11">
        <f t="shared" si="46"/>
        <v>28.45719095719096</v>
      </c>
      <c r="AB252" s="27">
        <f t="shared" si="47"/>
        <v>65.955145719489977</v>
      </c>
      <c r="AC252" s="2">
        <f t="shared" si="48"/>
        <v>11.666666666666666</v>
      </c>
      <c r="AD252" s="2">
        <f t="shared" si="49"/>
        <v>42</v>
      </c>
    </row>
    <row r="253" spans="1:30" x14ac:dyDescent="0.3">
      <c r="A253" s="1" t="s">
        <v>346</v>
      </c>
      <c r="B253" s="1" t="s">
        <v>362</v>
      </c>
      <c r="C253" s="1" t="s">
        <v>213</v>
      </c>
      <c r="D253" s="1" t="s">
        <v>213</v>
      </c>
      <c r="E253" s="2">
        <v>60601</v>
      </c>
      <c r="F253" s="18">
        <v>63</v>
      </c>
      <c r="G253" s="18">
        <v>75</v>
      </c>
      <c r="H253" s="18">
        <v>67</v>
      </c>
      <c r="I253" s="18">
        <v>78</v>
      </c>
      <c r="J253" s="18">
        <v>113</v>
      </c>
      <c r="K253" s="18">
        <v>120</v>
      </c>
      <c r="L253" s="11">
        <v>125</v>
      </c>
      <c r="M253" s="11">
        <v>123</v>
      </c>
      <c r="N253" s="11">
        <v>131</v>
      </c>
      <c r="O253" s="11">
        <v>155</v>
      </c>
      <c r="P253" s="18">
        <v>160</v>
      </c>
      <c r="Q253" s="18">
        <v>153</v>
      </c>
      <c r="R253" s="24">
        <v>156</v>
      </c>
      <c r="S253" s="18">
        <v>158</v>
      </c>
      <c r="T253" s="18">
        <v>51.219512195121951</v>
      </c>
      <c r="U253" s="18">
        <v>57.251908396946561</v>
      </c>
      <c r="V253" s="18">
        <v>43.225806451612904</v>
      </c>
      <c r="W253" s="11">
        <v>48.75</v>
      </c>
      <c r="X253" s="11">
        <v>73.856209150326805</v>
      </c>
      <c r="Y253" s="11">
        <v>76.923076923076934</v>
      </c>
      <c r="Z253" s="11">
        <v>79.113924050632917</v>
      </c>
      <c r="AA253" s="11">
        <f t="shared" si="46"/>
        <v>49.742571616186488</v>
      </c>
      <c r="AB253" s="27">
        <f t="shared" si="47"/>
        <v>76.631070041345552</v>
      </c>
      <c r="AC253" s="2">
        <f t="shared" si="48"/>
        <v>73.333333333333329</v>
      </c>
      <c r="AD253" s="2">
        <f t="shared" si="49"/>
        <v>119.33333333333333</v>
      </c>
    </row>
    <row r="254" spans="1:30" x14ac:dyDescent="0.3">
      <c r="A254" s="1" t="s">
        <v>363</v>
      </c>
      <c r="B254" s="1" t="s">
        <v>364</v>
      </c>
      <c r="C254" s="1" t="s">
        <v>365</v>
      </c>
      <c r="D254" s="1" t="s">
        <v>365</v>
      </c>
      <c r="E254" s="2">
        <v>70101</v>
      </c>
      <c r="F254" s="18">
        <v>2324</v>
      </c>
      <c r="G254" s="18">
        <v>2634</v>
      </c>
      <c r="H254" s="18">
        <v>3225</v>
      </c>
      <c r="I254" s="18">
        <v>3361</v>
      </c>
      <c r="J254" s="18">
        <v>4246</v>
      </c>
      <c r="K254" s="18">
        <v>4292</v>
      </c>
      <c r="L254" s="11">
        <v>4321</v>
      </c>
      <c r="M254" s="11">
        <v>2997</v>
      </c>
      <c r="N254" s="11">
        <v>3266</v>
      </c>
      <c r="O254" s="11">
        <v>4478</v>
      </c>
      <c r="P254" s="18">
        <v>4596</v>
      </c>
      <c r="Q254" s="18">
        <v>5338</v>
      </c>
      <c r="R254" s="24">
        <v>5391</v>
      </c>
      <c r="S254" s="18">
        <v>5435</v>
      </c>
      <c r="T254" s="18">
        <v>77.544210877544202</v>
      </c>
      <c r="U254" s="18">
        <v>80.649112063686474</v>
      </c>
      <c r="V254" s="18">
        <v>72.018758374274228</v>
      </c>
      <c r="W254" s="11">
        <v>73.128807658833779</v>
      </c>
      <c r="X254" s="11">
        <v>79.542899962532786</v>
      </c>
      <c r="Y254" s="11">
        <v>79.614171767761093</v>
      </c>
      <c r="Z254" s="11">
        <v>79.503219871205161</v>
      </c>
      <c r="AA254" s="11">
        <f t="shared" si="46"/>
        <v>75.265559365598151</v>
      </c>
      <c r="AB254" s="27">
        <f t="shared" si="47"/>
        <v>79.553430533833009</v>
      </c>
      <c r="AC254" s="2">
        <f t="shared" si="48"/>
        <v>3073.3333333333335</v>
      </c>
      <c r="AD254" s="2">
        <f t="shared" si="49"/>
        <v>4286.333333333333</v>
      </c>
    </row>
    <row r="255" spans="1:30" x14ac:dyDescent="0.3">
      <c r="A255" s="1" t="s">
        <v>363</v>
      </c>
      <c r="B255" s="1" t="s">
        <v>364</v>
      </c>
      <c r="C255" s="1" t="s">
        <v>366</v>
      </c>
      <c r="D255" s="1" t="s">
        <v>366</v>
      </c>
      <c r="E255" s="2">
        <v>70102</v>
      </c>
      <c r="F255" s="18">
        <v>99</v>
      </c>
      <c r="G255" s="18">
        <v>115</v>
      </c>
      <c r="H255" s="18">
        <v>151</v>
      </c>
      <c r="I255" s="18">
        <v>178</v>
      </c>
      <c r="J255" s="18">
        <v>289</v>
      </c>
      <c r="K255" s="18">
        <v>295</v>
      </c>
      <c r="L255" s="11">
        <v>313</v>
      </c>
      <c r="M255" s="11">
        <v>112</v>
      </c>
      <c r="N255" s="11">
        <v>128</v>
      </c>
      <c r="O255" s="11">
        <v>205</v>
      </c>
      <c r="P255" s="18">
        <v>220</v>
      </c>
      <c r="Q255" s="18">
        <v>324</v>
      </c>
      <c r="R255" s="24">
        <v>332</v>
      </c>
      <c r="S255" s="18">
        <v>351</v>
      </c>
      <c r="T255" s="18">
        <v>88.392857142857139</v>
      </c>
      <c r="U255" s="18">
        <v>89.84375</v>
      </c>
      <c r="V255" s="18">
        <v>73.658536585365852</v>
      </c>
      <c r="W255" s="11">
        <v>80.909090909090907</v>
      </c>
      <c r="X255" s="11">
        <v>89.197530864197532</v>
      </c>
      <c r="Y255" s="11">
        <v>88.855421686746979</v>
      </c>
      <c r="Z255" s="11">
        <v>89.173789173789174</v>
      </c>
      <c r="AA255" s="11">
        <f t="shared" si="46"/>
        <v>81.470459164818919</v>
      </c>
      <c r="AB255" s="27">
        <f t="shared" si="47"/>
        <v>89.075580574911214</v>
      </c>
      <c r="AC255" s="2">
        <f t="shared" si="48"/>
        <v>148</v>
      </c>
      <c r="AD255" s="2">
        <f t="shared" si="49"/>
        <v>299</v>
      </c>
    </row>
    <row r="256" spans="1:30" x14ac:dyDescent="0.3">
      <c r="A256" s="1" t="s">
        <v>363</v>
      </c>
      <c r="B256" s="1" t="s">
        <v>364</v>
      </c>
      <c r="C256" s="1" t="s">
        <v>367</v>
      </c>
      <c r="D256" s="1" t="s">
        <v>368</v>
      </c>
      <c r="E256" s="2">
        <v>70103</v>
      </c>
      <c r="F256" s="18">
        <v>19</v>
      </c>
      <c r="G256" s="18">
        <v>24</v>
      </c>
      <c r="H256" s="18">
        <v>35</v>
      </c>
      <c r="I256" s="18">
        <v>36</v>
      </c>
      <c r="J256" s="18">
        <v>57</v>
      </c>
      <c r="K256" s="18">
        <v>59</v>
      </c>
      <c r="L256" s="11">
        <v>60</v>
      </c>
      <c r="M256" s="11">
        <v>25</v>
      </c>
      <c r="N256" s="11">
        <v>32</v>
      </c>
      <c r="O256" s="11">
        <v>59</v>
      </c>
      <c r="P256" s="18">
        <v>64</v>
      </c>
      <c r="Q256" s="18">
        <v>80</v>
      </c>
      <c r="R256" s="24">
        <v>82</v>
      </c>
      <c r="S256" s="18">
        <v>85</v>
      </c>
      <c r="T256" s="18">
        <v>76</v>
      </c>
      <c r="U256" s="18">
        <v>75</v>
      </c>
      <c r="V256" s="18">
        <v>59.322033898305079</v>
      </c>
      <c r="W256" s="11">
        <v>56.25</v>
      </c>
      <c r="X256" s="11">
        <v>71.25</v>
      </c>
      <c r="Y256" s="11">
        <v>71.951219512195124</v>
      </c>
      <c r="Z256" s="11">
        <v>70.588235294117652</v>
      </c>
      <c r="AA256" s="11">
        <f t="shared" si="46"/>
        <v>63.524011299435024</v>
      </c>
      <c r="AB256" s="27">
        <f t="shared" si="47"/>
        <v>71.263151602104259</v>
      </c>
      <c r="AC256" s="2">
        <f t="shared" si="48"/>
        <v>31.666666666666668</v>
      </c>
      <c r="AD256" s="2">
        <f t="shared" si="49"/>
        <v>58.666666666666664</v>
      </c>
    </row>
    <row r="257" spans="1:30" x14ac:dyDescent="0.3">
      <c r="A257" s="1" t="s">
        <v>363</v>
      </c>
      <c r="B257" s="1" t="s">
        <v>364</v>
      </c>
      <c r="C257" s="1" t="s">
        <v>369</v>
      </c>
      <c r="D257" s="1" t="s">
        <v>369</v>
      </c>
      <c r="E257" s="2">
        <v>70104</v>
      </c>
      <c r="F257" s="18">
        <v>114</v>
      </c>
      <c r="G257" s="18">
        <v>143</v>
      </c>
      <c r="H257" s="18">
        <v>167</v>
      </c>
      <c r="I257" s="18">
        <v>185</v>
      </c>
      <c r="J257" s="18">
        <v>353</v>
      </c>
      <c r="K257" s="18">
        <v>385</v>
      </c>
      <c r="L257" s="11">
        <v>403</v>
      </c>
      <c r="M257" s="11">
        <v>133</v>
      </c>
      <c r="N257" s="11">
        <v>164</v>
      </c>
      <c r="O257" s="11">
        <v>245</v>
      </c>
      <c r="P257" s="18">
        <v>272</v>
      </c>
      <c r="Q257" s="18">
        <v>457</v>
      </c>
      <c r="R257" s="24">
        <v>494</v>
      </c>
      <c r="S257" s="18">
        <v>515</v>
      </c>
      <c r="T257" s="18">
        <v>85.714285714285708</v>
      </c>
      <c r="U257" s="18">
        <v>87.195121951219505</v>
      </c>
      <c r="V257" s="18">
        <v>68.16326530612244</v>
      </c>
      <c r="W257" s="11">
        <v>68.014705882352942</v>
      </c>
      <c r="X257" s="11">
        <v>77.242888402625823</v>
      </c>
      <c r="Y257" s="11">
        <v>77.935222672064768</v>
      </c>
      <c r="Z257" s="11">
        <v>78.252427184466029</v>
      </c>
      <c r="AA257" s="11">
        <f t="shared" si="46"/>
        <v>74.457697713231639</v>
      </c>
      <c r="AB257" s="27">
        <f t="shared" si="47"/>
        <v>77.810179419718878</v>
      </c>
      <c r="AC257" s="2">
        <f t="shared" si="48"/>
        <v>165</v>
      </c>
      <c r="AD257" s="2">
        <f t="shared" si="49"/>
        <v>380.33333333333331</v>
      </c>
    </row>
    <row r="258" spans="1:30" x14ac:dyDescent="0.3">
      <c r="A258" s="1" t="s">
        <v>363</v>
      </c>
      <c r="B258" s="1" t="s">
        <v>364</v>
      </c>
      <c r="C258" s="1" t="s">
        <v>370</v>
      </c>
      <c r="D258" s="1" t="s">
        <v>370</v>
      </c>
      <c r="E258" s="2">
        <v>70105</v>
      </c>
      <c r="F258" s="18">
        <v>106</v>
      </c>
      <c r="G258" s="18">
        <v>138</v>
      </c>
      <c r="H258" s="18">
        <v>161</v>
      </c>
      <c r="I258" s="18">
        <v>168</v>
      </c>
      <c r="J258" s="18">
        <v>221</v>
      </c>
      <c r="K258" s="18">
        <v>224</v>
      </c>
      <c r="L258" s="11">
        <v>228</v>
      </c>
      <c r="M258" s="11">
        <v>165</v>
      </c>
      <c r="N258" s="11">
        <v>225</v>
      </c>
      <c r="O258" s="11">
        <v>290</v>
      </c>
      <c r="P258" s="18">
        <v>297</v>
      </c>
      <c r="Q258" s="18">
        <v>350</v>
      </c>
      <c r="R258" s="24">
        <v>356</v>
      </c>
      <c r="S258" s="18">
        <v>361</v>
      </c>
      <c r="T258" s="18">
        <v>64.242424242424249</v>
      </c>
      <c r="U258" s="18">
        <v>61.333333333333329</v>
      </c>
      <c r="V258" s="18">
        <v>55.517241379310342</v>
      </c>
      <c r="W258" s="11">
        <v>56.56565656565656</v>
      </c>
      <c r="X258" s="11">
        <v>63.142857142857146</v>
      </c>
      <c r="Y258" s="11">
        <v>62.921348314606739</v>
      </c>
      <c r="Z258" s="11">
        <v>63.157894736842103</v>
      </c>
      <c r="AA258" s="11">
        <f t="shared" si="46"/>
        <v>57.805410426100075</v>
      </c>
      <c r="AB258" s="27">
        <f t="shared" si="47"/>
        <v>63.074033398101996</v>
      </c>
      <c r="AC258" s="2">
        <f t="shared" si="48"/>
        <v>155.66666666666666</v>
      </c>
      <c r="AD258" s="2">
        <f t="shared" si="49"/>
        <v>224.33333333333334</v>
      </c>
    </row>
    <row r="259" spans="1:30" x14ac:dyDescent="0.3">
      <c r="A259" s="1" t="s">
        <v>363</v>
      </c>
      <c r="B259" s="1" t="s">
        <v>371</v>
      </c>
      <c r="C259" s="1" t="s">
        <v>371</v>
      </c>
      <c r="D259" s="1" t="s">
        <v>371</v>
      </c>
      <c r="E259" s="2">
        <v>70201</v>
      </c>
      <c r="F259" s="18">
        <v>89</v>
      </c>
      <c r="G259" s="18">
        <v>149</v>
      </c>
      <c r="H259" s="18">
        <v>200</v>
      </c>
      <c r="I259" s="18">
        <v>252</v>
      </c>
      <c r="J259" s="18">
        <v>467</v>
      </c>
      <c r="K259" s="18">
        <v>494</v>
      </c>
      <c r="L259" s="11">
        <v>516</v>
      </c>
      <c r="M259" s="11">
        <v>136</v>
      </c>
      <c r="N259" s="11">
        <v>199</v>
      </c>
      <c r="O259" s="11">
        <v>346</v>
      </c>
      <c r="P259" s="18">
        <v>393</v>
      </c>
      <c r="Q259" s="18">
        <v>630</v>
      </c>
      <c r="R259" s="24">
        <v>670</v>
      </c>
      <c r="S259" s="18">
        <v>698</v>
      </c>
      <c r="T259" s="18">
        <v>65.441176470588232</v>
      </c>
      <c r="U259" s="18">
        <v>74.874371859296488</v>
      </c>
      <c r="V259" s="18">
        <v>57.80346820809249</v>
      </c>
      <c r="W259" s="11">
        <v>64.122137404580144</v>
      </c>
      <c r="X259" s="11">
        <v>74.126984126984127</v>
      </c>
      <c r="Y259" s="11">
        <v>73.731343283582078</v>
      </c>
      <c r="Z259" s="11">
        <v>73.92550143266476</v>
      </c>
      <c r="AA259" s="11">
        <f t="shared" ref="AA259:AA322" si="50">AVERAGE(U259:W259)</f>
        <v>65.599992490656376</v>
      </c>
      <c r="AB259" s="27">
        <f t="shared" ref="AB259:AB322" si="51">AVERAGE(X259:Z259)</f>
        <v>73.927942947743659</v>
      </c>
      <c r="AC259" s="2">
        <f t="shared" ref="AC259:AC322" si="52">AVERAGE(G259:I259)</f>
        <v>200.33333333333334</v>
      </c>
      <c r="AD259" s="2">
        <f t="shared" ref="AD259:AD322" si="53">AVERAGE(J259:L259)</f>
        <v>492.33333333333331</v>
      </c>
    </row>
    <row r="260" spans="1:30" x14ac:dyDescent="0.3">
      <c r="A260" s="1" t="s">
        <v>363</v>
      </c>
      <c r="B260" s="1" t="s">
        <v>371</v>
      </c>
      <c r="C260" s="1" t="s">
        <v>372</v>
      </c>
      <c r="D260" s="1" t="s">
        <v>372</v>
      </c>
      <c r="E260" s="2">
        <v>70202</v>
      </c>
      <c r="F260" s="18">
        <v>24</v>
      </c>
      <c r="G260" s="18">
        <v>26</v>
      </c>
      <c r="H260" s="18">
        <v>29</v>
      </c>
      <c r="I260" s="18">
        <v>34</v>
      </c>
      <c r="J260" s="18">
        <v>60</v>
      </c>
      <c r="K260" s="18">
        <v>56</v>
      </c>
      <c r="L260" s="11">
        <v>60</v>
      </c>
      <c r="M260" s="11">
        <v>40</v>
      </c>
      <c r="N260" s="11">
        <v>41</v>
      </c>
      <c r="O260" s="11">
        <v>57</v>
      </c>
      <c r="P260" s="18">
        <v>61</v>
      </c>
      <c r="Q260" s="18">
        <v>93</v>
      </c>
      <c r="R260" s="24">
        <v>95</v>
      </c>
      <c r="S260" s="18">
        <v>96</v>
      </c>
      <c r="T260" s="18">
        <v>60</v>
      </c>
      <c r="U260" s="18">
        <v>63.414634146341463</v>
      </c>
      <c r="V260" s="18">
        <v>50.877192982456144</v>
      </c>
      <c r="W260" s="11">
        <v>55.737704918032783</v>
      </c>
      <c r="X260" s="11">
        <v>64.516129032258064</v>
      </c>
      <c r="Y260" s="11">
        <v>58.947368421052623</v>
      </c>
      <c r="Z260" s="11">
        <v>62.5</v>
      </c>
      <c r="AA260" s="11">
        <f t="shared" si="50"/>
        <v>56.676510682276792</v>
      </c>
      <c r="AB260" s="27">
        <f t="shared" si="51"/>
        <v>61.987832484436893</v>
      </c>
      <c r="AC260" s="2">
        <f t="shared" si="52"/>
        <v>29.666666666666668</v>
      </c>
      <c r="AD260" s="2">
        <f t="shared" si="53"/>
        <v>58.666666666666664</v>
      </c>
    </row>
    <row r="261" spans="1:30" x14ac:dyDescent="0.3">
      <c r="A261" s="1" t="s">
        <v>363</v>
      </c>
      <c r="B261" s="1" t="s">
        <v>373</v>
      </c>
      <c r="C261" s="1" t="s">
        <v>374</v>
      </c>
      <c r="D261" s="1" t="s">
        <v>375</v>
      </c>
      <c r="E261" s="2">
        <v>70301</v>
      </c>
      <c r="F261" s="18">
        <v>60</v>
      </c>
      <c r="G261" s="18">
        <v>81</v>
      </c>
      <c r="H261" s="18">
        <v>91</v>
      </c>
      <c r="I261" s="18">
        <v>113</v>
      </c>
      <c r="J261" s="18">
        <v>265</v>
      </c>
      <c r="K261" s="18">
        <v>276</v>
      </c>
      <c r="L261" s="11">
        <v>283</v>
      </c>
      <c r="M261" s="11">
        <v>106</v>
      </c>
      <c r="N261" s="11">
        <v>131</v>
      </c>
      <c r="O261" s="11">
        <v>191</v>
      </c>
      <c r="P261" s="18">
        <v>216</v>
      </c>
      <c r="Q261" s="18">
        <v>330</v>
      </c>
      <c r="R261" s="24">
        <v>333</v>
      </c>
      <c r="S261" s="18">
        <v>339</v>
      </c>
      <c r="T261" s="18">
        <v>56.60377358490566</v>
      </c>
      <c r="U261" s="18">
        <v>61.832061068702295</v>
      </c>
      <c r="V261" s="18">
        <v>47.643979057591622</v>
      </c>
      <c r="W261" s="11">
        <v>52.314814814814817</v>
      </c>
      <c r="X261" s="11">
        <v>80.303030303030297</v>
      </c>
      <c r="Y261" s="11">
        <v>82.882882882882882</v>
      </c>
      <c r="Z261" s="11">
        <v>83.48082595870207</v>
      </c>
      <c r="AA261" s="11">
        <f t="shared" si="50"/>
        <v>53.930284980369578</v>
      </c>
      <c r="AB261" s="27">
        <f t="shared" si="51"/>
        <v>82.222246381538426</v>
      </c>
      <c r="AC261" s="2">
        <f t="shared" si="52"/>
        <v>95</v>
      </c>
      <c r="AD261" s="2">
        <f t="shared" si="53"/>
        <v>274.66666666666669</v>
      </c>
    </row>
    <row r="262" spans="1:30" x14ac:dyDescent="0.3">
      <c r="A262" s="1" t="s">
        <v>363</v>
      </c>
      <c r="B262" s="1" t="s">
        <v>373</v>
      </c>
      <c r="C262" s="1" t="s">
        <v>376</v>
      </c>
      <c r="D262" s="1" t="s">
        <v>377</v>
      </c>
      <c r="E262" s="2">
        <v>70302</v>
      </c>
      <c r="F262" s="18">
        <v>15</v>
      </c>
      <c r="G262" s="18">
        <v>20</v>
      </c>
      <c r="H262" s="18">
        <v>23</v>
      </c>
      <c r="I262" s="18">
        <v>24</v>
      </c>
      <c r="J262" s="18">
        <v>54</v>
      </c>
      <c r="K262" s="18">
        <v>57</v>
      </c>
      <c r="L262" s="11">
        <v>60</v>
      </c>
      <c r="M262" s="11">
        <v>42</v>
      </c>
      <c r="N262" s="11">
        <v>42</v>
      </c>
      <c r="O262" s="11">
        <v>68</v>
      </c>
      <c r="P262" s="18">
        <v>66</v>
      </c>
      <c r="Q262" s="18">
        <v>77</v>
      </c>
      <c r="R262" s="24">
        <v>78</v>
      </c>
      <c r="S262" s="18">
        <v>80</v>
      </c>
      <c r="T262" s="18">
        <v>35.714285714285715</v>
      </c>
      <c r="U262" s="18">
        <v>47.619047619047613</v>
      </c>
      <c r="V262" s="18">
        <v>33.82352941176471</v>
      </c>
      <c r="W262" s="11">
        <v>36.363636363636367</v>
      </c>
      <c r="X262" s="11">
        <v>70.129870129870127</v>
      </c>
      <c r="Y262" s="11">
        <v>73.076923076923066</v>
      </c>
      <c r="Z262" s="11">
        <v>75</v>
      </c>
      <c r="AA262" s="11">
        <f t="shared" si="50"/>
        <v>39.268737798149566</v>
      </c>
      <c r="AB262" s="27">
        <f t="shared" si="51"/>
        <v>72.735597735597722</v>
      </c>
      <c r="AC262" s="2">
        <f t="shared" si="52"/>
        <v>22.333333333333332</v>
      </c>
      <c r="AD262" s="2">
        <f t="shared" si="53"/>
        <v>57</v>
      </c>
    </row>
    <row r="263" spans="1:30" x14ac:dyDescent="0.3">
      <c r="A263" s="1" t="s">
        <v>363</v>
      </c>
      <c r="B263" s="1" t="s">
        <v>373</v>
      </c>
      <c r="C263" s="1" t="s">
        <v>378</v>
      </c>
      <c r="D263" s="1" t="s">
        <v>378</v>
      </c>
      <c r="E263" s="2">
        <v>70303</v>
      </c>
      <c r="F263" s="18">
        <v>2</v>
      </c>
      <c r="G263" s="18">
        <v>2</v>
      </c>
      <c r="H263" s="18">
        <v>3</v>
      </c>
      <c r="I263" s="18">
        <v>9</v>
      </c>
      <c r="J263" s="18">
        <v>32</v>
      </c>
      <c r="K263" s="18">
        <v>30</v>
      </c>
      <c r="L263" s="11">
        <v>33</v>
      </c>
      <c r="M263" s="11">
        <v>9</v>
      </c>
      <c r="N263" s="11">
        <v>8</v>
      </c>
      <c r="O263" s="11">
        <v>13</v>
      </c>
      <c r="P263" s="18">
        <v>19</v>
      </c>
      <c r="Q263" s="18">
        <v>41</v>
      </c>
      <c r="R263" s="24">
        <v>40</v>
      </c>
      <c r="S263" s="18">
        <v>40</v>
      </c>
      <c r="T263" s="18">
        <v>22.222222222222221</v>
      </c>
      <c r="U263" s="18">
        <v>25</v>
      </c>
      <c r="V263" s="18">
        <v>23.076923076923077</v>
      </c>
      <c r="W263" s="11">
        <v>47.368421052631575</v>
      </c>
      <c r="X263" s="11">
        <v>78.048780487804876</v>
      </c>
      <c r="Y263" s="11">
        <v>75</v>
      </c>
      <c r="Z263" s="11">
        <v>82.5</v>
      </c>
      <c r="AA263" s="11">
        <f t="shared" si="50"/>
        <v>31.815114709851553</v>
      </c>
      <c r="AB263" s="27">
        <f t="shared" si="51"/>
        <v>78.516260162601625</v>
      </c>
      <c r="AC263" s="2">
        <f t="shared" si="52"/>
        <v>4.666666666666667</v>
      </c>
      <c r="AD263" s="2">
        <f t="shared" si="53"/>
        <v>31.666666666666668</v>
      </c>
    </row>
    <row r="264" spans="1:30" x14ac:dyDescent="0.3">
      <c r="A264" s="1" t="s">
        <v>363</v>
      </c>
      <c r="B264" s="1" t="s">
        <v>379</v>
      </c>
      <c r="C264" s="1" t="s">
        <v>380</v>
      </c>
      <c r="D264" s="1" t="s">
        <v>380</v>
      </c>
      <c r="E264" s="2">
        <v>70401</v>
      </c>
      <c r="F264" s="18">
        <v>13</v>
      </c>
      <c r="G264" s="18">
        <v>15</v>
      </c>
      <c r="H264" s="18">
        <v>18</v>
      </c>
      <c r="I264" s="18">
        <v>27</v>
      </c>
      <c r="J264" s="18">
        <v>53</v>
      </c>
      <c r="K264" s="18">
        <v>55</v>
      </c>
      <c r="L264" s="11">
        <v>53</v>
      </c>
      <c r="M264" s="11">
        <v>57</v>
      </c>
      <c r="N264" s="11">
        <v>62</v>
      </c>
      <c r="O264" s="11">
        <v>94</v>
      </c>
      <c r="P264" s="18">
        <v>93</v>
      </c>
      <c r="Q264" s="18">
        <v>99</v>
      </c>
      <c r="R264" s="24">
        <v>102</v>
      </c>
      <c r="S264" s="18">
        <v>102</v>
      </c>
      <c r="T264" s="18">
        <v>22.807017543859647</v>
      </c>
      <c r="U264" s="18">
        <v>24.193548387096776</v>
      </c>
      <c r="V264" s="18">
        <v>19.148936170212767</v>
      </c>
      <c r="W264" s="11">
        <v>29.032258064516132</v>
      </c>
      <c r="X264" s="11">
        <v>53.535353535353536</v>
      </c>
      <c r="Y264" s="11">
        <v>53.921568627450981</v>
      </c>
      <c r="Z264" s="11">
        <v>51.960784313725497</v>
      </c>
      <c r="AA264" s="11">
        <f t="shared" si="50"/>
        <v>24.124914207275225</v>
      </c>
      <c r="AB264" s="27">
        <f t="shared" si="51"/>
        <v>53.139235492176674</v>
      </c>
      <c r="AC264" s="2">
        <f t="shared" si="52"/>
        <v>20</v>
      </c>
      <c r="AD264" s="2">
        <f t="shared" si="53"/>
        <v>53.666666666666664</v>
      </c>
    </row>
    <row r="265" spans="1:30" x14ac:dyDescent="0.3">
      <c r="A265" s="1" t="s">
        <v>363</v>
      </c>
      <c r="B265" s="1" t="s">
        <v>379</v>
      </c>
      <c r="C265" s="1" t="s">
        <v>381</v>
      </c>
      <c r="D265" s="1" t="s">
        <v>381</v>
      </c>
      <c r="E265" s="2">
        <v>70402</v>
      </c>
      <c r="F265" s="18">
        <v>26</v>
      </c>
      <c r="G265" s="18">
        <v>33</v>
      </c>
      <c r="H265" s="18">
        <v>43</v>
      </c>
      <c r="I265" s="18">
        <v>49</v>
      </c>
      <c r="J265" s="18">
        <v>97</v>
      </c>
      <c r="K265" s="18">
        <v>95</v>
      </c>
      <c r="L265" s="11">
        <v>96</v>
      </c>
      <c r="M265" s="11">
        <v>65</v>
      </c>
      <c r="N265" s="11">
        <v>66</v>
      </c>
      <c r="O265" s="11">
        <v>107</v>
      </c>
      <c r="P265" s="18">
        <v>116</v>
      </c>
      <c r="Q265" s="18">
        <v>140</v>
      </c>
      <c r="R265" s="24">
        <v>144</v>
      </c>
      <c r="S265" s="18">
        <v>146</v>
      </c>
      <c r="T265" s="18">
        <v>40</v>
      </c>
      <c r="U265" s="18">
        <v>50</v>
      </c>
      <c r="V265" s="18">
        <v>40.186915887850468</v>
      </c>
      <c r="W265" s="11">
        <v>42.241379310344826</v>
      </c>
      <c r="X265" s="11">
        <v>69.285714285714278</v>
      </c>
      <c r="Y265" s="11">
        <v>65.972222222222214</v>
      </c>
      <c r="Z265" s="11">
        <v>65.753424657534239</v>
      </c>
      <c r="AA265" s="11">
        <f t="shared" si="50"/>
        <v>44.142765066065095</v>
      </c>
      <c r="AB265" s="27">
        <f t="shared" si="51"/>
        <v>67.00378705515692</v>
      </c>
      <c r="AC265" s="2">
        <f t="shared" si="52"/>
        <v>41.666666666666664</v>
      </c>
      <c r="AD265" s="2">
        <f t="shared" si="53"/>
        <v>96</v>
      </c>
    </row>
    <row r="266" spans="1:30" x14ac:dyDescent="0.3">
      <c r="A266" s="1" t="s">
        <v>363</v>
      </c>
      <c r="B266" s="1" t="s">
        <v>379</v>
      </c>
      <c r="C266" s="1" t="s">
        <v>382</v>
      </c>
      <c r="D266" s="1" t="s">
        <v>382</v>
      </c>
      <c r="E266" s="2">
        <v>70403</v>
      </c>
      <c r="F266" s="18">
        <v>96</v>
      </c>
      <c r="G266" s="18">
        <v>107</v>
      </c>
      <c r="H266" s="18">
        <v>120</v>
      </c>
      <c r="I266" s="18">
        <v>138</v>
      </c>
      <c r="J266" s="18">
        <v>244</v>
      </c>
      <c r="K266" s="18">
        <v>254</v>
      </c>
      <c r="L266" s="11">
        <v>264</v>
      </c>
      <c r="M266" s="11">
        <v>128</v>
      </c>
      <c r="N266" s="11">
        <v>180</v>
      </c>
      <c r="O266" s="11">
        <v>221</v>
      </c>
      <c r="P266" s="18">
        <v>233</v>
      </c>
      <c r="Q266" s="18">
        <v>342</v>
      </c>
      <c r="R266" s="24">
        <v>348</v>
      </c>
      <c r="S266" s="18">
        <v>358</v>
      </c>
      <c r="T266" s="18">
        <v>75</v>
      </c>
      <c r="U266" s="18">
        <v>59.444444444444443</v>
      </c>
      <c r="V266" s="18">
        <v>54.298642533936651</v>
      </c>
      <c r="W266" s="11">
        <v>59.227467811158796</v>
      </c>
      <c r="X266" s="11">
        <v>71.345029239766077</v>
      </c>
      <c r="Y266" s="11">
        <v>72.988505747126439</v>
      </c>
      <c r="Z266" s="11">
        <v>73.743016759776538</v>
      </c>
      <c r="AA266" s="11">
        <f t="shared" si="50"/>
        <v>57.656851596513292</v>
      </c>
      <c r="AB266" s="27">
        <f t="shared" si="51"/>
        <v>72.692183915556356</v>
      </c>
      <c r="AC266" s="2">
        <f t="shared" si="52"/>
        <v>121.66666666666667</v>
      </c>
      <c r="AD266" s="2">
        <f t="shared" si="53"/>
        <v>254</v>
      </c>
    </row>
    <row r="267" spans="1:30" x14ac:dyDescent="0.3">
      <c r="A267" s="1" t="s">
        <v>363</v>
      </c>
      <c r="B267" s="1" t="s">
        <v>379</v>
      </c>
      <c r="C267" s="1" t="s">
        <v>383</v>
      </c>
      <c r="D267" s="1" t="s">
        <v>383</v>
      </c>
      <c r="E267" s="2">
        <v>70404</v>
      </c>
      <c r="F267" s="18">
        <v>16</v>
      </c>
      <c r="G267" s="18">
        <v>18</v>
      </c>
      <c r="H267" s="18">
        <v>23</v>
      </c>
      <c r="I267" s="18">
        <v>29</v>
      </c>
      <c r="J267" s="18">
        <v>52</v>
      </c>
      <c r="K267" s="18">
        <v>52</v>
      </c>
      <c r="L267" s="11">
        <v>53</v>
      </c>
      <c r="M267" s="11">
        <v>26</v>
      </c>
      <c r="N267" s="11">
        <v>28</v>
      </c>
      <c r="O267" s="11">
        <v>46</v>
      </c>
      <c r="P267" s="18">
        <v>55</v>
      </c>
      <c r="Q267" s="18">
        <v>72</v>
      </c>
      <c r="R267" s="24">
        <v>73</v>
      </c>
      <c r="S267" s="18">
        <v>76</v>
      </c>
      <c r="T267" s="18">
        <v>61.53846153846154</v>
      </c>
      <c r="U267" s="18">
        <v>64.285714285714292</v>
      </c>
      <c r="V267" s="18">
        <v>50</v>
      </c>
      <c r="W267" s="11">
        <v>52.72727272727272</v>
      </c>
      <c r="X267" s="11">
        <v>72.222222222222214</v>
      </c>
      <c r="Y267" s="11">
        <v>71.232876712328761</v>
      </c>
      <c r="Z267" s="11">
        <v>69.73684210526315</v>
      </c>
      <c r="AA267" s="11">
        <f t="shared" si="50"/>
        <v>55.670995670995673</v>
      </c>
      <c r="AB267" s="27">
        <f t="shared" si="51"/>
        <v>71.063980346604708</v>
      </c>
      <c r="AC267" s="2">
        <f t="shared" si="52"/>
        <v>23.333333333333332</v>
      </c>
      <c r="AD267" s="2">
        <f t="shared" si="53"/>
        <v>52.333333333333336</v>
      </c>
    </row>
    <row r="268" spans="1:30" x14ac:dyDescent="0.3">
      <c r="A268" s="1" t="s">
        <v>363</v>
      </c>
      <c r="B268" s="1" t="s">
        <v>384</v>
      </c>
      <c r="C268" s="1" t="s">
        <v>385</v>
      </c>
      <c r="D268" s="1" t="s">
        <v>386</v>
      </c>
      <c r="E268" s="2">
        <v>70501</v>
      </c>
      <c r="F268" s="18">
        <v>31</v>
      </c>
      <c r="G268" s="18">
        <v>32</v>
      </c>
      <c r="H268" s="18">
        <v>40</v>
      </c>
      <c r="I268" s="18">
        <v>50</v>
      </c>
      <c r="J268" s="18">
        <v>102</v>
      </c>
      <c r="K268" s="18">
        <v>100</v>
      </c>
      <c r="L268" s="11">
        <v>100</v>
      </c>
      <c r="M268" s="11">
        <v>63</v>
      </c>
      <c r="N268" s="11">
        <v>61</v>
      </c>
      <c r="O268" s="11">
        <v>99</v>
      </c>
      <c r="P268" s="18">
        <v>105</v>
      </c>
      <c r="Q268" s="18">
        <v>129</v>
      </c>
      <c r="R268" s="24">
        <v>130</v>
      </c>
      <c r="S268" s="18">
        <v>130</v>
      </c>
      <c r="T268" s="18">
        <v>49.206349206349202</v>
      </c>
      <c r="U268" s="18">
        <v>52.459016393442624</v>
      </c>
      <c r="V268" s="18">
        <v>40.404040404040401</v>
      </c>
      <c r="W268" s="11">
        <v>47.619047619047613</v>
      </c>
      <c r="X268" s="11">
        <v>79.069767441860463</v>
      </c>
      <c r="Y268" s="11">
        <v>76.923076923076934</v>
      </c>
      <c r="Z268" s="11">
        <v>76.923076923076934</v>
      </c>
      <c r="AA268" s="11">
        <f t="shared" si="50"/>
        <v>46.827368138843546</v>
      </c>
      <c r="AB268" s="27">
        <f t="shared" si="51"/>
        <v>77.63864042933811</v>
      </c>
      <c r="AC268" s="2">
        <f t="shared" si="52"/>
        <v>40.666666666666664</v>
      </c>
      <c r="AD268" s="2">
        <f t="shared" si="53"/>
        <v>100.66666666666667</v>
      </c>
    </row>
    <row r="269" spans="1:30" x14ac:dyDescent="0.3">
      <c r="A269" s="1" t="s">
        <v>363</v>
      </c>
      <c r="B269" s="1" t="s">
        <v>384</v>
      </c>
      <c r="C269" s="1" t="s">
        <v>387</v>
      </c>
      <c r="D269" s="1" t="s">
        <v>387</v>
      </c>
      <c r="E269" s="2">
        <v>70502</v>
      </c>
      <c r="F269" s="18">
        <v>45</v>
      </c>
      <c r="G269" s="18">
        <v>53</v>
      </c>
      <c r="H269" s="18">
        <v>63</v>
      </c>
      <c r="I269" s="18">
        <v>69</v>
      </c>
      <c r="J269" s="18">
        <v>112</v>
      </c>
      <c r="K269" s="18">
        <v>115</v>
      </c>
      <c r="L269" s="11">
        <v>116</v>
      </c>
      <c r="M269" s="11">
        <v>67</v>
      </c>
      <c r="N269" s="11">
        <v>72</v>
      </c>
      <c r="O269" s="11">
        <v>116</v>
      </c>
      <c r="P269" s="18">
        <v>125</v>
      </c>
      <c r="Q269" s="18">
        <v>154</v>
      </c>
      <c r="R269" s="24">
        <v>156</v>
      </c>
      <c r="S269" s="18">
        <v>160</v>
      </c>
      <c r="T269" s="18">
        <v>67.164179104477611</v>
      </c>
      <c r="U269" s="18">
        <v>73.611111111111114</v>
      </c>
      <c r="V269" s="18">
        <v>54.310344827586206</v>
      </c>
      <c r="W269" s="11">
        <v>55.2</v>
      </c>
      <c r="X269" s="11">
        <v>72.727272727272734</v>
      </c>
      <c r="Y269" s="11">
        <v>73.71794871794873</v>
      </c>
      <c r="Z269" s="11">
        <v>72.5</v>
      </c>
      <c r="AA269" s="11">
        <f t="shared" si="50"/>
        <v>61.040485312899108</v>
      </c>
      <c r="AB269" s="27">
        <f t="shared" si="51"/>
        <v>72.981740481740488</v>
      </c>
      <c r="AC269" s="2">
        <f t="shared" si="52"/>
        <v>61.666666666666664</v>
      </c>
      <c r="AD269" s="2">
        <f t="shared" si="53"/>
        <v>114.33333333333333</v>
      </c>
    </row>
    <row r="270" spans="1:30" x14ac:dyDescent="0.3">
      <c r="A270" s="1" t="s">
        <v>363</v>
      </c>
      <c r="B270" s="1" t="s">
        <v>384</v>
      </c>
      <c r="C270" s="1" t="s">
        <v>388</v>
      </c>
      <c r="D270" s="1" t="s">
        <v>388</v>
      </c>
      <c r="E270" s="2">
        <v>70503</v>
      </c>
      <c r="F270" s="18">
        <v>34</v>
      </c>
      <c r="G270" s="18">
        <v>43</v>
      </c>
      <c r="H270" s="18">
        <v>53</v>
      </c>
      <c r="I270" s="18">
        <v>64</v>
      </c>
      <c r="J270" s="18">
        <v>93</v>
      </c>
      <c r="K270" s="18">
        <v>97</v>
      </c>
      <c r="L270" s="11">
        <v>100</v>
      </c>
      <c r="M270" s="11">
        <v>88</v>
      </c>
      <c r="N270" s="11">
        <v>88</v>
      </c>
      <c r="O270" s="11">
        <v>125</v>
      </c>
      <c r="P270" s="18">
        <v>125</v>
      </c>
      <c r="Q270" s="18">
        <v>111</v>
      </c>
      <c r="R270" s="24">
        <v>114</v>
      </c>
      <c r="S270" s="18">
        <v>116</v>
      </c>
      <c r="T270" s="18">
        <v>38.636363636363633</v>
      </c>
      <c r="U270" s="18">
        <v>48.863636363636367</v>
      </c>
      <c r="V270" s="18">
        <v>42.4</v>
      </c>
      <c r="W270" s="11">
        <v>51.2</v>
      </c>
      <c r="X270" s="11">
        <v>83.78378378378379</v>
      </c>
      <c r="Y270" s="11">
        <v>85.087719298245617</v>
      </c>
      <c r="Z270" s="11">
        <v>86.206896551724128</v>
      </c>
      <c r="AA270" s="11">
        <f t="shared" si="50"/>
        <v>47.487878787878792</v>
      </c>
      <c r="AB270" s="27">
        <f t="shared" si="51"/>
        <v>85.026133211251178</v>
      </c>
      <c r="AC270" s="2">
        <f t="shared" si="52"/>
        <v>53.333333333333336</v>
      </c>
      <c r="AD270" s="2">
        <f t="shared" si="53"/>
        <v>96.666666666666671</v>
      </c>
    </row>
    <row r="271" spans="1:30" x14ac:dyDescent="0.3">
      <c r="A271" s="1" t="s">
        <v>363</v>
      </c>
      <c r="B271" s="1" t="s">
        <v>389</v>
      </c>
      <c r="C271" s="1" t="s">
        <v>390</v>
      </c>
      <c r="D271" s="1" t="s">
        <v>390</v>
      </c>
      <c r="E271" s="2">
        <v>70601</v>
      </c>
      <c r="F271" s="18">
        <v>30</v>
      </c>
      <c r="G271" s="18">
        <v>29</v>
      </c>
      <c r="H271" s="18">
        <v>35</v>
      </c>
      <c r="I271" s="18">
        <v>39</v>
      </c>
      <c r="J271" s="18">
        <v>62</v>
      </c>
      <c r="K271" s="18">
        <v>64</v>
      </c>
      <c r="L271" s="11">
        <v>69</v>
      </c>
      <c r="M271" s="11">
        <v>63</v>
      </c>
      <c r="N271" s="11">
        <v>63</v>
      </c>
      <c r="O271" s="11">
        <v>97</v>
      </c>
      <c r="P271" s="18">
        <v>99</v>
      </c>
      <c r="Q271" s="18">
        <v>113</v>
      </c>
      <c r="R271" s="24">
        <v>118</v>
      </c>
      <c r="S271" s="18">
        <v>121</v>
      </c>
      <c r="T271" s="18">
        <v>47.619047619047613</v>
      </c>
      <c r="U271" s="18">
        <v>46.031746031746032</v>
      </c>
      <c r="V271" s="18">
        <v>36.082474226804123</v>
      </c>
      <c r="W271" s="11">
        <v>39.393939393939391</v>
      </c>
      <c r="X271" s="11">
        <v>54.86725663716814</v>
      </c>
      <c r="Y271" s="11">
        <v>54.237288135593218</v>
      </c>
      <c r="Z271" s="11">
        <v>57.02479338842975</v>
      </c>
      <c r="AA271" s="11">
        <f t="shared" si="50"/>
        <v>40.502719884163177</v>
      </c>
      <c r="AB271" s="27">
        <f t="shared" si="51"/>
        <v>55.376446053730369</v>
      </c>
      <c r="AC271" s="2">
        <f t="shared" si="52"/>
        <v>34.333333333333336</v>
      </c>
      <c r="AD271" s="2">
        <f t="shared" si="53"/>
        <v>65</v>
      </c>
    </row>
    <row r="272" spans="1:30" x14ac:dyDescent="0.3">
      <c r="A272" s="1" t="s">
        <v>363</v>
      </c>
      <c r="B272" s="1" t="s">
        <v>389</v>
      </c>
      <c r="C272" s="1" t="s">
        <v>391</v>
      </c>
      <c r="D272" s="1" t="s">
        <v>392</v>
      </c>
      <c r="E272" s="2">
        <v>70602</v>
      </c>
      <c r="F272" s="18">
        <v>13</v>
      </c>
      <c r="G272" s="18">
        <v>19</v>
      </c>
      <c r="H272" s="18">
        <v>23</v>
      </c>
      <c r="I272" s="18">
        <v>32</v>
      </c>
      <c r="J272" s="18">
        <v>72</v>
      </c>
      <c r="K272" s="18">
        <v>72</v>
      </c>
      <c r="L272" s="11">
        <v>69</v>
      </c>
      <c r="M272" s="11">
        <v>35</v>
      </c>
      <c r="N272" s="11">
        <v>43</v>
      </c>
      <c r="O272" s="11">
        <v>62</v>
      </c>
      <c r="P272" s="18">
        <v>65</v>
      </c>
      <c r="Q272" s="18">
        <v>108</v>
      </c>
      <c r="R272" s="24">
        <v>111</v>
      </c>
      <c r="S272" s="18">
        <v>112</v>
      </c>
      <c r="T272" s="18">
        <v>37.142857142857146</v>
      </c>
      <c r="U272" s="18">
        <v>44.186046511627907</v>
      </c>
      <c r="V272" s="18">
        <v>37.096774193548384</v>
      </c>
      <c r="W272" s="11">
        <v>49.230769230769234</v>
      </c>
      <c r="X272" s="11">
        <v>66.666666666666657</v>
      </c>
      <c r="Y272" s="11">
        <v>64.86486486486487</v>
      </c>
      <c r="Z272" s="11">
        <v>61.607142857142861</v>
      </c>
      <c r="AA272" s="11">
        <f t="shared" si="50"/>
        <v>43.504529978648513</v>
      </c>
      <c r="AB272" s="27">
        <f t="shared" si="51"/>
        <v>64.379558129558134</v>
      </c>
      <c r="AC272" s="2">
        <f t="shared" si="52"/>
        <v>24.666666666666668</v>
      </c>
      <c r="AD272" s="2">
        <f t="shared" si="53"/>
        <v>71</v>
      </c>
    </row>
    <row r="273" spans="1:30" x14ac:dyDescent="0.3">
      <c r="A273" s="1" t="s">
        <v>363</v>
      </c>
      <c r="B273" s="1" t="s">
        <v>389</v>
      </c>
      <c r="C273" s="1" t="s">
        <v>393</v>
      </c>
      <c r="D273" s="1" t="s">
        <v>393</v>
      </c>
      <c r="E273" s="2">
        <v>70603</v>
      </c>
      <c r="F273" s="18">
        <v>10</v>
      </c>
      <c r="G273" s="18">
        <v>11</v>
      </c>
      <c r="H273" s="18">
        <v>11</v>
      </c>
      <c r="I273" s="18">
        <v>12</v>
      </c>
      <c r="J273" s="18">
        <v>19</v>
      </c>
      <c r="K273" s="18">
        <v>17</v>
      </c>
      <c r="L273" s="11">
        <v>23</v>
      </c>
      <c r="M273" s="11">
        <v>13</v>
      </c>
      <c r="N273" s="11">
        <v>15</v>
      </c>
      <c r="O273" s="11">
        <v>23</v>
      </c>
      <c r="P273" s="18">
        <v>23</v>
      </c>
      <c r="Q273" s="18">
        <v>31</v>
      </c>
      <c r="R273" s="24">
        <v>32</v>
      </c>
      <c r="S273" s="18">
        <v>36</v>
      </c>
      <c r="T273" s="18">
        <v>76.923076923076934</v>
      </c>
      <c r="U273" s="18">
        <v>73.333333333333329</v>
      </c>
      <c r="V273" s="18">
        <v>47.826086956521742</v>
      </c>
      <c r="W273" s="11">
        <v>52.173913043478258</v>
      </c>
      <c r="X273" s="11">
        <v>61.29032258064516</v>
      </c>
      <c r="Y273" s="11">
        <v>53.125</v>
      </c>
      <c r="Z273" s="11">
        <v>63.888888888888886</v>
      </c>
      <c r="AA273" s="11">
        <f t="shared" si="50"/>
        <v>57.777777777777771</v>
      </c>
      <c r="AB273" s="27">
        <f t="shared" si="51"/>
        <v>59.434737156511346</v>
      </c>
      <c r="AC273" s="2">
        <f t="shared" si="52"/>
        <v>11.333333333333334</v>
      </c>
      <c r="AD273" s="2">
        <f t="shared" si="53"/>
        <v>19.666666666666668</v>
      </c>
    </row>
    <row r="274" spans="1:30" x14ac:dyDescent="0.3">
      <c r="A274" s="1" t="s">
        <v>363</v>
      </c>
      <c r="B274" s="1" t="s">
        <v>394</v>
      </c>
      <c r="C274" s="1" t="s">
        <v>395</v>
      </c>
      <c r="D274" s="1" t="s">
        <v>395</v>
      </c>
      <c r="E274" s="2">
        <v>70701</v>
      </c>
      <c r="F274" s="18">
        <v>11</v>
      </c>
      <c r="G274" s="18">
        <v>18</v>
      </c>
      <c r="H274" s="18">
        <v>20</v>
      </c>
      <c r="I274" s="18">
        <v>18</v>
      </c>
      <c r="J274" s="18">
        <v>52</v>
      </c>
      <c r="K274" s="18">
        <v>49</v>
      </c>
      <c r="L274" s="11">
        <v>50</v>
      </c>
      <c r="M274" s="11">
        <v>23</v>
      </c>
      <c r="N274" s="11">
        <v>29</v>
      </c>
      <c r="O274" s="11">
        <v>42</v>
      </c>
      <c r="P274" s="18">
        <v>44</v>
      </c>
      <c r="Q274" s="18">
        <v>68</v>
      </c>
      <c r="R274" s="24">
        <v>66</v>
      </c>
      <c r="S274" s="18">
        <v>67</v>
      </c>
      <c r="T274" s="18">
        <v>47.826086956521742</v>
      </c>
      <c r="U274" s="18">
        <v>62.068965517241381</v>
      </c>
      <c r="V274" s="18">
        <v>47.619047619047613</v>
      </c>
      <c r="W274" s="11">
        <v>40.909090909090914</v>
      </c>
      <c r="X274" s="11">
        <v>76.470588235294116</v>
      </c>
      <c r="Y274" s="11">
        <v>74.242424242424249</v>
      </c>
      <c r="Z274" s="11">
        <v>74.626865671641795</v>
      </c>
      <c r="AA274" s="11">
        <f t="shared" si="50"/>
        <v>50.1990346817933</v>
      </c>
      <c r="AB274" s="27">
        <f t="shared" si="51"/>
        <v>75.113292716453387</v>
      </c>
      <c r="AC274" s="2">
        <f t="shared" si="52"/>
        <v>18.666666666666668</v>
      </c>
      <c r="AD274" s="2">
        <f t="shared" si="53"/>
        <v>50.333333333333336</v>
      </c>
    </row>
    <row r="275" spans="1:30" x14ac:dyDescent="0.3">
      <c r="A275" s="1" t="s">
        <v>363</v>
      </c>
      <c r="B275" s="1" t="s">
        <v>394</v>
      </c>
      <c r="C275" s="1" t="s">
        <v>396</v>
      </c>
      <c r="D275" s="1" t="s">
        <v>396</v>
      </c>
      <c r="E275" s="2">
        <v>70702</v>
      </c>
      <c r="F275" s="18">
        <v>31</v>
      </c>
      <c r="G275" s="18">
        <v>32</v>
      </c>
      <c r="H275" s="18">
        <v>43</v>
      </c>
      <c r="I275" s="18">
        <v>48</v>
      </c>
      <c r="J275" s="18">
        <v>138</v>
      </c>
      <c r="K275" s="18">
        <v>149</v>
      </c>
      <c r="L275" s="11">
        <v>152</v>
      </c>
      <c r="M275" s="11">
        <v>78</v>
      </c>
      <c r="N275" s="11">
        <v>89</v>
      </c>
      <c r="O275" s="11">
        <v>137</v>
      </c>
      <c r="P275" s="18">
        <v>137</v>
      </c>
      <c r="Q275" s="18">
        <v>175</v>
      </c>
      <c r="R275" s="24">
        <v>185</v>
      </c>
      <c r="S275" s="18">
        <v>193</v>
      </c>
      <c r="T275" s="18">
        <v>39.743589743589745</v>
      </c>
      <c r="U275" s="18">
        <v>35.955056179775283</v>
      </c>
      <c r="V275" s="18">
        <v>31.386861313868614</v>
      </c>
      <c r="W275" s="11">
        <v>35.036496350364963</v>
      </c>
      <c r="X275" s="11">
        <v>78.857142857142861</v>
      </c>
      <c r="Y275" s="11">
        <v>80.540540540540533</v>
      </c>
      <c r="Z275" s="11">
        <v>78.756476683937819</v>
      </c>
      <c r="AA275" s="11">
        <f t="shared" si="50"/>
        <v>34.126137948002956</v>
      </c>
      <c r="AB275" s="27">
        <f t="shared" si="51"/>
        <v>79.384720027207081</v>
      </c>
      <c r="AC275" s="2">
        <f t="shared" si="52"/>
        <v>41</v>
      </c>
      <c r="AD275" s="2">
        <f t="shared" si="53"/>
        <v>146.33333333333334</v>
      </c>
    </row>
    <row r="276" spans="1:30" x14ac:dyDescent="0.3">
      <c r="A276" s="1" t="s">
        <v>363</v>
      </c>
      <c r="B276" s="1" t="s">
        <v>394</v>
      </c>
      <c r="C276" s="1" t="s">
        <v>397</v>
      </c>
      <c r="D276" s="1" t="s">
        <v>397</v>
      </c>
      <c r="E276" s="2">
        <v>70703</v>
      </c>
      <c r="F276" s="18">
        <v>20</v>
      </c>
      <c r="G276" s="18">
        <v>26</v>
      </c>
      <c r="H276" s="18">
        <v>38</v>
      </c>
      <c r="I276" s="18">
        <v>41</v>
      </c>
      <c r="J276" s="18">
        <v>86</v>
      </c>
      <c r="K276" s="18">
        <v>87</v>
      </c>
      <c r="L276" s="11">
        <v>92</v>
      </c>
      <c r="M276" s="11">
        <v>34</v>
      </c>
      <c r="N276" s="11">
        <v>40</v>
      </c>
      <c r="O276" s="11">
        <v>72</v>
      </c>
      <c r="P276" s="18">
        <v>83</v>
      </c>
      <c r="Q276" s="18">
        <v>119</v>
      </c>
      <c r="R276" s="24">
        <v>124</v>
      </c>
      <c r="S276" s="18">
        <v>130</v>
      </c>
      <c r="T276" s="18">
        <v>58.82352941176471</v>
      </c>
      <c r="U276" s="18">
        <v>65</v>
      </c>
      <c r="V276" s="18">
        <v>52.777777777777779</v>
      </c>
      <c r="W276" s="11">
        <v>49.397590361445779</v>
      </c>
      <c r="X276" s="11">
        <v>72.268907563025209</v>
      </c>
      <c r="Y276" s="11">
        <v>70.161290322580655</v>
      </c>
      <c r="Z276" s="11">
        <v>70.769230769230774</v>
      </c>
      <c r="AA276" s="11">
        <f t="shared" si="50"/>
        <v>55.725122713074519</v>
      </c>
      <c r="AB276" s="27">
        <f t="shared" si="51"/>
        <v>71.066476218278879</v>
      </c>
      <c r="AC276" s="2">
        <f t="shared" si="52"/>
        <v>35</v>
      </c>
      <c r="AD276" s="2">
        <f t="shared" si="53"/>
        <v>88.333333333333329</v>
      </c>
    </row>
    <row r="277" spans="1:30" x14ac:dyDescent="0.3">
      <c r="A277" s="1" t="s">
        <v>363</v>
      </c>
      <c r="B277" s="1" t="s">
        <v>394</v>
      </c>
      <c r="C277" s="1" t="s">
        <v>398</v>
      </c>
      <c r="D277" s="1" t="s">
        <v>398</v>
      </c>
      <c r="E277" s="2">
        <v>70704</v>
      </c>
      <c r="F277" s="18">
        <v>8</v>
      </c>
      <c r="G277" s="18">
        <v>12</v>
      </c>
      <c r="H277" s="18">
        <v>15</v>
      </c>
      <c r="I277" s="18">
        <v>18</v>
      </c>
      <c r="J277" s="18">
        <v>26</v>
      </c>
      <c r="K277" s="18">
        <v>29</v>
      </c>
      <c r="L277" s="11">
        <v>29</v>
      </c>
      <c r="M277" s="11">
        <v>24</v>
      </c>
      <c r="N277" s="11">
        <v>27</v>
      </c>
      <c r="O277" s="11">
        <v>40</v>
      </c>
      <c r="P277" s="18">
        <v>42</v>
      </c>
      <c r="Q277" s="18">
        <v>47</v>
      </c>
      <c r="R277" s="24">
        <v>47</v>
      </c>
      <c r="S277" s="18">
        <v>48</v>
      </c>
      <c r="T277" s="18">
        <v>33.333333333333329</v>
      </c>
      <c r="U277" s="18">
        <v>44.444444444444443</v>
      </c>
      <c r="V277" s="18">
        <v>37.5</v>
      </c>
      <c r="W277" s="11">
        <v>42.857142857142854</v>
      </c>
      <c r="X277" s="11">
        <v>55.319148936170215</v>
      </c>
      <c r="Y277" s="11">
        <v>61.702127659574465</v>
      </c>
      <c r="Z277" s="11">
        <v>60.416666666666664</v>
      </c>
      <c r="AA277" s="11">
        <f t="shared" si="50"/>
        <v>41.600529100529094</v>
      </c>
      <c r="AB277" s="27">
        <f t="shared" si="51"/>
        <v>59.145981087470453</v>
      </c>
      <c r="AC277" s="2">
        <f t="shared" si="52"/>
        <v>15</v>
      </c>
      <c r="AD277" s="2">
        <f t="shared" si="53"/>
        <v>28</v>
      </c>
    </row>
    <row r="278" spans="1:30" x14ac:dyDescent="0.3">
      <c r="A278" s="1" t="s">
        <v>363</v>
      </c>
      <c r="B278" s="1" t="s">
        <v>394</v>
      </c>
      <c r="C278" s="1" t="s">
        <v>399</v>
      </c>
      <c r="D278" s="1" t="s">
        <v>399</v>
      </c>
      <c r="E278" s="2">
        <v>70705</v>
      </c>
      <c r="F278" s="18">
        <v>14</v>
      </c>
      <c r="G278" s="18">
        <v>20</v>
      </c>
      <c r="H278" s="18">
        <v>27</v>
      </c>
      <c r="I278" s="18">
        <v>28</v>
      </c>
      <c r="J278" s="18">
        <v>74</v>
      </c>
      <c r="K278" s="18">
        <v>79</v>
      </c>
      <c r="L278" s="11">
        <v>79</v>
      </c>
      <c r="M278" s="11">
        <v>45</v>
      </c>
      <c r="N278" s="11">
        <v>47</v>
      </c>
      <c r="O278" s="11">
        <v>78</v>
      </c>
      <c r="P278" s="18">
        <v>82</v>
      </c>
      <c r="Q278" s="18">
        <v>103</v>
      </c>
      <c r="R278" s="24">
        <v>107</v>
      </c>
      <c r="S278" s="18">
        <v>108</v>
      </c>
      <c r="T278" s="18">
        <v>31.111111111111111</v>
      </c>
      <c r="U278" s="18">
        <v>42.553191489361701</v>
      </c>
      <c r="V278" s="18">
        <v>34.615384615384613</v>
      </c>
      <c r="W278" s="11">
        <v>34.146341463414636</v>
      </c>
      <c r="X278" s="11">
        <v>71.844660194174764</v>
      </c>
      <c r="Y278" s="11">
        <v>73.831775700934571</v>
      </c>
      <c r="Z278" s="11">
        <v>73.148148148148152</v>
      </c>
      <c r="AA278" s="11">
        <f t="shared" si="50"/>
        <v>37.104972522720317</v>
      </c>
      <c r="AB278" s="27">
        <f t="shared" si="51"/>
        <v>72.941528014419163</v>
      </c>
      <c r="AC278" s="2">
        <f t="shared" si="52"/>
        <v>25</v>
      </c>
      <c r="AD278" s="2">
        <f t="shared" si="53"/>
        <v>77.333333333333329</v>
      </c>
    </row>
    <row r="279" spans="1:30" x14ac:dyDescent="0.3">
      <c r="A279" s="1" t="s">
        <v>363</v>
      </c>
      <c r="B279" s="1" t="s">
        <v>394</v>
      </c>
      <c r="C279" s="1" t="s">
        <v>400</v>
      </c>
      <c r="D279" s="1" t="s">
        <v>400</v>
      </c>
      <c r="E279" s="2">
        <v>70706</v>
      </c>
      <c r="F279" s="18">
        <v>90</v>
      </c>
      <c r="G279" s="18">
        <v>97</v>
      </c>
      <c r="H279" s="18">
        <v>103</v>
      </c>
      <c r="I279" s="18">
        <v>127</v>
      </c>
      <c r="J279" s="18">
        <v>164</v>
      </c>
      <c r="K279" s="18">
        <v>163</v>
      </c>
      <c r="L279" s="11">
        <v>163</v>
      </c>
      <c r="M279" s="11">
        <v>148</v>
      </c>
      <c r="N279" s="11">
        <v>150</v>
      </c>
      <c r="O279" s="11">
        <v>190</v>
      </c>
      <c r="P279" s="18">
        <v>223</v>
      </c>
      <c r="Q279" s="18">
        <v>229</v>
      </c>
      <c r="R279" s="24">
        <v>231</v>
      </c>
      <c r="S279" s="18">
        <v>232</v>
      </c>
      <c r="T279" s="18">
        <v>60.810810810810814</v>
      </c>
      <c r="U279" s="18">
        <v>64.666666666666657</v>
      </c>
      <c r="V279" s="18">
        <v>54.210526315789473</v>
      </c>
      <c r="W279" s="11">
        <v>56.950672645739907</v>
      </c>
      <c r="X279" s="11">
        <v>71.615720524017462</v>
      </c>
      <c r="Y279" s="11">
        <v>70.562770562770567</v>
      </c>
      <c r="Z279" s="11">
        <v>70.258620689655174</v>
      </c>
      <c r="AA279" s="11">
        <f t="shared" si="50"/>
        <v>58.60928854273201</v>
      </c>
      <c r="AB279" s="27">
        <f t="shared" si="51"/>
        <v>70.81237059214773</v>
      </c>
      <c r="AC279" s="2">
        <f t="shared" si="52"/>
        <v>109</v>
      </c>
      <c r="AD279" s="2">
        <f t="shared" si="53"/>
        <v>163.33333333333334</v>
      </c>
    </row>
    <row r="280" spans="1:30" x14ac:dyDescent="0.3">
      <c r="A280" s="1" t="s">
        <v>363</v>
      </c>
      <c r="B280" s="1" t="s">
        <v>394</v>
      </c>
      <c r="C280" s="1" t="s">
        <v>401</v>
      </c>
      <c r="D280" s="1" t="s">
        <v>401</v>
      </c>
      <c r="E280" s="2">
        <v>70707</v>
      </c>
      <c r="F280" s="18">
        <v>14</v>
      </c>
      <c r="G280" s="18">
        <v>14</v>
      </c>
      <c r="H280" s="18">
        <v>14</v>
      </c>
      <c r="I280" s="18">
        <v>13</v>
      </c>
      <c r="J280" s="18">
        <v>20</v>
      </c>
      <c r="K280" s="18">
        <v>19</v>
      </c>
      <c r="L280" s="11">
        <v>20</v>
      </c>
      <c r="M280" s="11">
        <v>22</v>
      </c>
      <c r="N280" s="11">
        <v>22</v>
      </c>
      <c r="O280" s="11">
        <v>25</v>
      </c>
      <c r="P280" s="18">
        <v>24</v>
      </c>
      <c r="Q280" s="18">
        <v>25</v>
      </c>
      <c r="R280" s="24">
        <v>24</v>
      </c>
      <c r="S280" s="18">
        <v>26</v>
      </c>
      <c r="T280" s="18">
        <v>63.636363636363633</v>
      </c>
      <c r="U280" s="18">
        <v>63.636363636363633</v>
      </c>
      <c r="V280" s="18">
        <v>56.000000000000007</v>
      </c>
      <c r="W280" s="11">
        <v>54.166666666666664</v>
      </c>
      <c r="X280" s="11">
        <v>80</v>
      </c>
      <c r="Y280" s="11">
        <v>79.166666666666657</v>
      </c>
      <c r="Z280" s="11">
        <v>76.923076923076934</v>
      </c>
      <c r="AA280" s="11">
        <f t="shared" si="50"/>
        <v>57.93434343434344</v>
      </c>
      <c r="AB280" s="27">
        <f t="shared" si="51"/>
        <v>78.696581196581192</v>
      </c>
      <c r="AC280" s="2">
        <f t="shared" si="52"/>
        <v>13.666666666666666</v>
      </c>
      <c r="AD280" s="2">
        <f t="shared" si="53"/>
        <v>19.666666666666668</v>
      </c>
    </row>
    <row r="281" spans="1:30" x14ac:dyDescent="0.3">
      <c r="A281" s="1" t="s">
        <v>363</v>
      </c>
      <c r="B281" s="1" t="s">
        <v>402</v>
      </c>
      <c r="C281" s="1" t="s">
        <v>402</v>
      </c>
      <c r="D281" s="1" t="s">
        <v>402</v>
      </c>
      <c r="E281" s="2">
        <v>70801</v>
      </c>
      <c r="F281" s="18">
        <v>47</v>
      </c>
      <c r="G281" s="18">
        <v>57</v>
      </c>
      <c r="H281" s="18">
        <v>66</v>
      </c>
      <c r="I281" s="18">
        <v>67</v>
      </c>
      <c r="J281" s="18">
        <v>102</v>
      </c>
      <c r="K281" s="18">
        <v>105</v>
      </c>
      <c r="L281" s="11">
        <v>107</v>
      </c>
      <c r="M281" s="11">
        <v>74</v>
      </c>
      <c r="N281" s="11">
        <v>79</v>
      </c>
      <c r="O281" s="11">
        <v>123</v>
      </c>
      <c r="P281" s="18">
        <v>113</v>
      </c>
      <c r="Q281" s="18">
        <v>132</v>
      </c>
      <c r="R281" s="24">
        <v>136</v>
      </c>
      <c r="S281" s="18">
        <v>135</v>
      </c>
      <c r="T281" s="18">
        <v>63.513513513513509</v>
      </c>
      <c r="U281" s="18">
        <v>72.151898734177209</v>
      </c>
      <c r="V281" s="18">
        <v>53.658536585365859</v>
      </c>
      <c r="W281" s="11">
        <v>59.292035398230091</v>
      </c>
      <c r="X281" s="11">
        <v>77.272727272727266</v>
      </c>
      <c r="Y281" s="11">
        <v>77.205882352941174</v>
      </c>
      <c r="Z281" s="11">
        <v>79.259259259259267</v>
      </c>
      <c r="AA281" s="11">
        <f t="shared" si="50"/>
        <v>61.700823572591055</v>
      </c>
      <c r="AB281" s="27">
        <f t="shared" si="51"/>
        <v>77.912622961642569</v>
      </c>
      <c r="AC281" s="2">
        <f t="shared" si="52"/>
        <v>63.333333333333336</v>
      </c>
      <c r="AD281" s="2">
        <f t="shared" si="53"/>
        <v>104.66666666666667</v>
      </c>
    </row>
    <row r="282" spans="1:30" x14ac:dyDescent="0.3">
      <c r="A282" s="1" t="s">
        <v>363</v>
      </c>
      <c r="B282" s="1" t="s">
        <v>402</v>
      </c>
      <c r="C282" s="1" t="s">
        <v>403</v>
      </c>
      <c r="D282" s="1" t="s">
        <v>403</v>
      </c>
      <c r="E282" s="2">
        <v>70802</v>
      </c>
      <c r="F282" s="18">
        <v>1</v>
      </c>
      <c r="G282" s="18">
        <v>2</v>
      </c>
      <c r="H282" s="18">
        <v>3</v>
      </c>
      <c r="I282" s="18">
        <v>4</v>
      </c>
      <c r="J282" s="18">
        <v>8</v>
      </c>
      <c r="K282" s="18">
        <v>7</v>
      </c>
      <c r="L282" s="11">
        <v>7</v>
      </c>
      <c r="M282" s="11">
        <v>11</v>
      </c>
      <c r="N282" s="11">
        <v>11</v>
      </c>
      <c r="O282" s="11">
        <v>15</v>
      </c>
      <c r="P282" s="18">
        <v>15</v>
      </c>
      <c r="Q282" s="18">
        <v>15</v>
      </c>
      <c r="R282" s="24">
        <v>13</v>
      </c>
      <c r="S282" s="18">
        <v>13</v>
      </c>
      <c r="T282" s="18">
        <v>9.0909090909090917</v>
      </c>
      <c r="U282" s="18">
        <v>18.181818181818183</v>
      </c>
      <c r="V282" s="18">
        <v>20</v>
      </c>
      <c r="W282" s="11">
        <v>26.666666666666668</v>
      </c>
      <c r="X282" s="11">
        <v>53.333333333333336</v>
      </c>
      <c r="Y282" s="11">
        <v>53.846153846153847</v>
      </c>
      <c r="Z282" s="11">
        <v>53.846153846153847</v>
      </c>
      <c r="AA282" s="11">
        <f t="shared" si="50"/>
        <v>21.616161616161619</v>
      </c>
      <c r="AB282" s="27">
        <f t="shared" si="51"/>
        <v>53.675213675213676</v>
      </c>
      <c r="AC282" s="2">
        <f t="shared" si="52"/>
        <v>3</v>
      </c>
      <c r="AD282" s="2">
        <f t="shared" si="53"/>
        <v>7.333333333333333</v>
      </c>
    </row>
    <row r="283" spans="1:30" x14ac:dyDescent="0.3">
      <c r="A283" s="1" t="s">
        <v>363</v>
      </c>
      <c r="B283" s="1" t="s">
        <v>402</v>
      </c>
      <c r="C283" s="1" t="s">
        <v>404</v>
      </c>
      <c r="D283" s="1" t="s">
        <v>405</v>
      </c>
      <c r="E283" s="2">
        <v>70803</v>
      </c>
      <c r="F283" s="18">
        <v>4</v>
      </c>
      <c r="G283" s="18">
        <v>6</v>
      </c>
      <c r="H283" s="18">
        <v>6</v>
      </c>
      <c r="I283" s="18">
        <v>11</v>
      </c>
      <c r="J283" s="18">
        <v>19</v>
      </c>
      <c r="K283" s="18">
        <v>21</v>
      </c>
      <c r="L283" s="11">
        <v>22</v>
      </c>
      <c r="M283" s="11">
        <v>22</v>
      </c>
      <c r="N283" s="11">
        <v>26</v>
      </c>
      <c r="O283" s="11">
        <v>35</v>
      </c>
      <c r="P283" s="18">
        <v>35</v>
      </c>
      <c r="Q283" s="18">
        <v>32</v>
      </c>
      <c r="R283" s="24">
        <v>33</v>
      </c>
      <c r="S283" s="18">
        <v>33</v>
      </c>
      <c r="T283" s="18">
        <v>18.181818181818183</v>
      </c>
      <c r="U283" s="18">
        <v>23.076923076923077</v>
      </c>
      <c r="V283" s="18">
        <v>17.142857142857142</v>
      </c>
      <c r="W283" s="11">
        <v>31.428571428571427</v>
      </c>
      <c r="X283" s="11">
        <v>59.375</v>
      </c>
      <c r="Y283" s="11">
        <v>63.636363636363633</v>
      </c>
      <c r="Z283" s="11">
        <v>66.666666666666657</v>
      </c>
      <c r="AA283" s="11">
        <f t="shared" si="50"/>
        <v>23.882783882783883</v>
      </c>
      <c r="AB283" s="27">
        <f t="shared" si="51"/>
        <v>63.226010101010097</v>
      </c>
      <c r="AC283" s="2">
        <f t="shared" si="52"/>
        <v>7.666666666666667</v>
      </c>
      <c r="AD283" s="2">
        <f t="shared" si="53"/>
        <v>20.666666666666668</v>
      </c>
    </row>
    <row r="284" spans="1:30" x14ac:dyDescent="0.3">
      <c r="A284" s="1" t="s">
        <v>363</v>
      </c>
      <c r="B284" s="1" t="s">
        <v>402</v>
      </c>
      <c r="C284" s="1" t="s">
        <v>406</v>
      </c>
      <c r="D284" s="1" t="s">
        <v>406</v>
      </c>
      <c r="E284" s="2">
        <v>70804</v>
      </c>
      <c r="F284" s="18">
        <v>3</v>
      </c>
      <c r="G284" s="18">
        <v>4</v>
      </c>
      <c r="H284" s="18">
        <v>4</v>
      </c>
      <c r="I284" s="18">
        <v>4</v>
      </c>
      <c r="J284" s="18">
        <v>8</v>
      </c>
      <c r="K284" s="18">
        <v>8</v>
      </c>
      <c r="L284" s="11">
        <v>8</v>
      </c>
      <c r="M284" s="11">
        <v>9</v>
      </c>
      <c r="N284" s="11">
        <v>9</v>
      </c>
      <c r="O284" s="11">
        <v>9</v>
      </c>
      <c r="P284" s="18">
        <v>9</v>
      </c>
      <c r="Q284" s="18">
        <v>8</v>
      </c>
      <c r="R284" s="24">
        <v>8</v>
      </c>
      <c r="S284" s="18">
        <v>8</v>
      </c>
      <c r="T284" s="18">
        <v>33.333333333333329</v>
      </c>
      <c r="U284" s="18">
        <v>44.444444444444443</v>
      </c>
      <c r="V284" s="18">
        <v>44.444444444444443</v>
      </c>
      <c r="W284" s="11">
        <v>44.444444444444443</v>
      </c>
      <c r="X284" s="11">
        <v>100</v>
      </c>
      <c r="Y284" s="11">
        <v>100</v>
      </c>
      <c r="Z284" s="11">
        <v>100</v>
      </c>
      <c r="AA284" s="11">
        <f t="shared" si="50"/>
        <v>44.444444444444436</v>
      </c>
      <c r="AB284" s="27">
        <f t="shared" si="51"/>
        <v>100</v>
      </c>
      <c r="AC284" s="2">
        <f t="shared" si="52"/>
        <v>4</v>
      </c>
      <c r="AD284" s="2">
        <f t="shared" si="53"/>
        <v>8</v>
      </c>
    </row>
    <row r="285" spans="1:30" x14ac:dyDescent="0.3">
      <c r="A285" s="1" t="s">
        <v>363</v>
      </c>
      <c r="B285" s="1" t="s">
        <v>402</v>
      </c>
      <c r="C285" s="1" t="s">
        <v>407</v>
      </c>
      <c r="D285" s="1" t="s">
        <v>407</v>
      </c>
      <c r="E285" s="2">
        <v>70805</v>
      </c>
      <c r="F285" s="18">
        <v>3</v>
      </c>
      <c r="G285" s="18">
        <v>2</v>
      </c>
      <c r="H285" s="18">
        <v>3</v>
      </c>
      <c r="I285" s="18">
        <v>3</v>
      </c>
      <c r="J285" s="18">
        <v>5</v>
      </c>
      <c r="K285" s="18">
        <v>5</v>
      </c>
      <c r="L285" s="11">
        <v>5</v>
      </c>
      <c r="M285" s="11">
        <v>9</v>
      </c>
      <c r="N285" s="11">
        <v>9</v>
      </c>
      <c r="O285" s="11">
        <v>20</v>
      </c>
      <c r="P285" s="18">
        <v>18</v>
      </c>
      <c r="Q285" s="18">
        <v>14</v>
      </c>
      <c r="R285" s="24">
        <v>12</v>
      </c>
      <c r="S285" s="18">
        <v>12</v>
      </c>
      <c r="T285" s="18">
        <v>33.333333333333329</v>
      </c>
      <c r="U285" s="18">
        <v>22.222222222222221</v>
      </c>
      <c r="V285" s="18">
        <v>15</v>
      </c>
      <c r="W285" s="11">
        <v>16.666666666666664</v>
      </c>
      <c r="X285" s="11">
        <v>35.714285714285715</v>
      </c>
      <c r="Y285" s="11">
        <v>41.666666666666671</v>
      </c>
      <c r="Z285" s="11">
        <v>41.666666666666671</v>
      </c>
      <c r="AA285" s="11">
        <f t="shared" si="50"/>
        <v>17.962962962962962</v>
      </c>
      <c r="AB285" s="27">
        <f t="shared" si="51"/>
        <v>39.682539682539684</v>
      </c>
      <c r="AC285" s="2">
        <f t="shared" si="52"/>
        <v>2.6666666666666665</v>
      </c>
      <c r="AD285" s="2">
        <f t="shared" si="53"/>
        <v>5</v>
      </c>
    </row>
    <row r="286" spans="1:30" x14ac:dyDescent="0.3">
      <c r="A286" s="1" t="s">
        <v>363</v>
      </c>
      <c r="B286" s="1" t="s">
        <v>408</v>
      </c>
      <c r="C286" s="1" t="s">
        <v>409</v>
      </c>
      <c r="D286" s="1" t="s">
        <v>409</v>
      </c>
      <c r="E286" s="2">
        <v>70901</v>
      </c>
      <c r="F286" s="18">
        <v>40</v>
      </c>
      <c r="G286" s="18">
        <v>44</v>
      </c>
      <c r="H286" s="18">
        <v>48</v>
      </c>
      <c r="I286" s="18">
        <v>51</v>
      </c>
      <c r="J286" s="18">
        <v>73</v>
      </c>
      <c r="K286" s="18">
        <v>73</v>
      </c>
      <c r="L286" s="11">
        <v>70</v>
      </c>
      <c r="M286" s="11">
        <v>52</v>
      </c>
      <c r="N286" s="11">
        <v>65</v>
      </c>
      <c r="O286" s="11">
        <v>75</v>
      </c>
      <c r="P286" s="18">
        <v>76</v>
      </c>
      <c r="Q286" s="18">
        <v>87</v>
      </c>
      <c r="R286" s="24">
        <v>87</v>
      </c>
      <c r="S286" s="18">
        <v>89</v>
      </c>
      <c r="T286" s="18">
        <v>76.923076923076934</v>
      </c>
      <c r="U286" s="18">
        <v>67.692307692307693</v>
      </c>
      <c r="V286" s="18">
        <v>64</v>
      </c>
      <c r="W286" s="11">
        <v>67.10526315789474</v>
      </c>
      <c r="X286" s="11">
        <v>83.908045977011497</v>
      </c>
      <c r="Y286" s="11">
        <v>83.908045977011497</v>
      </c>
      <c r="Z286" s="11">
        <v>78.651685393258433</v>
      </c>
      <c r="AA286" s="11">
        <f t="shared" si="50"/>
        <v>66.265856950067473</v>
      </c>
      <c r="AB286" s="27">
        <f t="shared" si="51"/>
        <v>82.155925782427133</v>
      </c>
      <c r="AC286" s="2">
        <f t="shared" si="52"/>
        <v>47.666666666666664</v>
      </c>
      <c r="AD286" s="2">
        <f t="shared" si="53"/>
        <v>72</v>
      </c>
    </row>
    <row r="287" spans="1:30" x14ac:dyDescent="0.3">
      <c r="A287" s="1" t="s">
        <v>363</v>
      </c>
      <c r="B287" s="1" t="s">
        <v>408</v>
      </c>
      <c r="C287" s="1" t="s">
        <v>410</v>
      </c>
      <c r="D287" s="1" t="s">
        <v>410</v>
      </c>
      <c r="E287" s="2">
        <v>70902</v>
      </c>
      <c r="F287" s="18">
        <v>17</v>
      </c>
      <c r="G287" s="18">
        <v>16</v>
      </c>
      <c r="H287" s="18">
        <v>28</v>
      </c>
      <c r="I287" s="18">
        <v>31</v>
      </c>
      <c r="J287" s="18">
        <v>56</v>
      </c>
      <c r="K287" s="18">
        <v>58</v>
      </c>
      <c r="L287" s="11">
        <v>58</v>
      </c>
      <c r="M287" s="11">
        <v>21</v>
      </c>
      <c r="N287" s="11">
        <v>21</v>
      </c>
      <c r="O287" s="11">
        <v>43</v>
      </c>
      <c r="P287" s="18">
        <v>46</v>
      </c>
      <c r="Q287" s="18">
        <v>61</v>
      </c>
      <c r="R287" s="24">
        <v>64</v>
      </c>
      <c r="S287" s="18">
        <v>66</v>
      </c>
      <c r="T287" s="18">
        <v>80.952380952380949</v>
      </c>
      <c r="U287" s="18">
        <v>76.19047619047619</v>
      </c>
      <c r="V287" s="18">
        <v>65.116279069767444</v>
      </c>
      <c r="W287" s="11">
        <v>67.391304347826093</v>
      </c>
      <c r="X287" s="11">
        <v>91.803278688524586</v>
      </c>
      <c r="Y287" s="11">
        <v>90.625</v>
      </c>
      <c r="Z287" s="11">
        <v>87.878787878787875</v>
      </c>
      <c r="AA287" s="11">
        <f t="shared" si="50"/>
        <v>69.566019869356566</v>
      </c>
      <c r="AB287" s="27">
        <f t="shared" si="51"/>
        <v>90.102355522437492</v>
      </c>
      <c r="AC287" s="2">
        <f t="shared" si="52"/>
        <v>25</v>
      </c>
      <c r="AD287" s="2">
        <f t="shared" si="53"/>
        <v>57.333333333333336</v>
      </c>
    </row>
    <row r="288" spans="1:30" x14ac:dyDescent="0.3">
      <c r="A288" s="1" t="s">
        <v>363</v>
      </c>
      <c r="B288" s="1" t="s">
        <v>408</v>
      </c>
      <c r="C288" s="1" t="s">
        <v>411</v>
      </c>
      <c r="D288" s="1" t="s">
        <v>411</v>
      </c>
      <c r="E288" s="2">
        <v>70903</v>
      </c>
      <c r="F288" s="18">
        <v>16</v>
      </c>
      <c r="G288" s="18">
        <v>23</v>
      </c>
      <c r="H288" s="18">
        <v>30</v>
      </c>
      <c r="I288" s="18">
        <v>40</v>
      </c>
      <c r="J288" s="18">
        <v>67</v>
      </c>
      <c r="K288" s="18">
        <v>63</v>
      </c>
      <c r="L288" s="11">
        <v>65</v>
      </c>
      <c r="M288" s="11">
        <v>34</v>
      </c>
      <c r="N288" s="11">
        <v>44</v>
      </c>
      <c r="O288" s="11">
        <v>64</v>
      </c>
      <c r="P288" s="18">
        <v>63</v>
      </c>
      <c r="Q288" s="18">
        <v>70</v>
      </c>
      <c r="R288" s="24">
        <v>69</v>
      </c>
      <c r="S288" s="18">
        <v>72</v>
      </c>
      <c r="T288" s="18">
        <v>47.058823529411761</v>
      </c>
      <c r="U288" s="18">
        <v>52.272727272727273</v>
      </c>
      <c r="V288" s="18">
        <v>46.875</v>
      </c>
      <c r="W288" s="11">
        <v>63.492063492063487</v>
      </c>
      <c r="X288" s="11">
        <v>95.714285714285722</v>
      </c>
      <c r="Y288" s="11">
        <v>91.304347826086953</v>
      </c>
      <c r="Z288" s="11">
        <v>90.277777777777786</v>
      </c>
      <c r="AA288" s="11">
        <f t="shared" si="50"/>
        <v>54.213263588263594</v>
      </c>
      <c r="AB288" s="27">
        <f t="shared" si="51"/>
        <v>92.432137106050149</v>
      </c>
      <c r="AC288" s="2">
        <f t="shared" si="52"/>
        <v>31</v>
      </c>
      <c r="AD288" s="2">
        <f t="shared" si="53"/>
        <v>65</v>
      </c>
    </row>
    <row r="289" spans="1:30" x14ac:dyDescent="0.3">
      <c r="A289" s="1" t="s">
        <v>363</v>
      </c>
      <c r="B289" s="1" t="s">
        <v>408</v>
      </c>
      <c r="C289" s="1" t="s">
        <v>412</v>
      </c>
      <c r="D289" s="1" t="s">
        <v>412</v>
      </c>
      <c r="E289" s="2">
        <v>70904</v>
      </c>
      <c r="F289" s="18">
        <v>3</v>
      </c>
      <c r="G289" s="18">
        <v>3</v>
      </c>
      <c r="H289" s="18">
        <v>4</v>
      </c>
      <c r="I289" s="18">
        <v>5</v>
      </c>
      <c r="J289" s="18">
        <v>8</v>
      </c>
      <c r="K289" s="18">
        <v>8</v>
      </c>
      <c r="L289" s="11">
        <v>8</v>
      </c>
      <c r="M289" s="11">
        <v>6</v>
      </c>
      <c r="N289" s="11">
        <v>6</v>
      </c>
      <c r="O289" s="11">
        <v>9</v>
      </c>
      <c r="P289" s="18">
        <v>8</v>
      </c>
      <c r="Q289" s="18">
        <v>9</v>
      </c>
      <c r="R289" s="24">
        <v>9</v>
      </c>
      <c r="S289" s="18">
        <v>10</v>
      </c>
      <c r="T289" s="18">
        <v>50</v>
      </c>
      <c r="U289" s="18">
        <v>50</v>
      </c>
      <c r="V289" s="18">
        <v>44.444444444444443</v>
      </c>
      <c r="W289" s="11">
        <v>62.5</v>
      </c>
      <c r="X289" s="11">
        <v>88.888888888888886</v>
      </c>
      <c r="Y289" s="11">
        <v>88.888888888888886</v>
      </c>
      <c r="Z289" s="11">
        <v>80</v>
      </c>
      <c r="AA289" s="11">
        <f t="shared" si="50"/>
        <v>52.314814814814817</v>
      </c>
      <c r="AB289" s="27">
        <f t="shared" si="51"/>
        <v>85.925925925925924</v>
      </c>
      <c r="AC289" s="2">
        <f t="shared" si="52"/>
        <v>4</v>
      </c>
      <c r="AD289" s="2">
        <f t="shared" si="53"/>
        <v>8</v>
      </c>
    </row>
    <row r="290" spans="1:30" x14ac:dyDescent="0.3">
      <c r="A290" s="1" t="s">
        <v>363</v>
      </c>
      <c r="B290" s="1" t="s">
        <v>413</v>
      </c>
      <c r="C290" s="1" t="s">
        <v>414</v>
      </c>
      <c r="D290" s="1" t="s">
        <v>414</v>
      </c>
      <c r="E290" s="2">
        <v>71001</v>
      </c>
      <c r="F290" s="18">
        <v>183</v>
      </c>
      <c r="G290" s="18">
        <v>204</v>
      </c>
      <c r="H290" s="18">
        <v>231</v>
      </c>
      <c r="I290" s="18">
        <v>263</v>
      </c>
      <c r="J290" s="18">
        <v>410</v>
      </c>
      <c r="K290" s="18">
        <v>417</v>
      </c>
      <c r="L290" s="11">
        <v>412</v>
      </c>
      <c r="M290" s="11">
        <v>315</v>
      </c>
      <c r="N290" s="11">
        <v>337</v>
      </c>
      <c r="O290" s="11">
        <v>488</v>
      </c>
      <c r="P290" s="18">
        <v>509</v>
      </c>
      <c r="Q290" s="18">
        <v>597</v>
      </c>
      <c r="R290" s="24">
        <v>609</v>
      </c>
      <c r="S290" s="18">
        <v>605</v>
      </c>
      <c r="T290" s="18">
        <v>58.095238095238102</v>
      </c>
      <c r="U290" s="18">
        <v>60.534124629080125</v>
      </c>
      <c r="V290" s="18">
        <v>47.33606557377049</v>
      </c>
      <c r="W290" s="11">
        <v>51.669941060903732</v>
      </c>
      <c r="X290" s="11">
        <v>68.67671691792296</v>
      </c>
      <c r="Y290" s="11">
        <v>68.472906403940897</v>
      </c>
      <c r="Z290" s="11">
        <v>68.099173553719012</v>
      </c>
      <c r="AA290" s="11">
        <f t="shared" si="50"/>
        <v>53.18004375458478</v>
      </c>
      <c r="AB290" s="27">
        <f t="shared" si="51"/>
        <v>68.416265625194285</v>
      </c>
      <c r="AC290" s="2">
        <f t="shared" si="52"/>
        <v>232.66666666666666</v>
      </c>
      <c r="AD290" s="2">
        <f t="shared" si="53"/>
        <v>413</v>
      </c>
    </row>
    <row r="291" spans="1:30" x14ac:dyDescent="0.3">
      <c r="A291" s="1" t="s">
        <v>363</v>
      </c>
      <c r="B291" s="1" t="s">
        <v>413</v>
      </c>
      <c r="C291" s="1" t="s">
        <v>415</v>
      </c>
      <c r="D291" s="1" t="s">
        <v>415</v>
      </c>
      <c r="E291" s="2">
        <v>71002</v>
      </c>
      <c r="F291" s="18">
        <v>18</v>
      </c>
      <c r="G291" s="18">
        <v>22</v>
      </c>
      <c r="H291" s="18">
        <v>25</v>
      </c>
      <c r="I291" s="18">
        <v>36</v>
      </c>
      <c r="J291" s="18">
        <v>75</v>
      </c>
      <c r="K291" s="18">
        <v>77</v>
      </c>
      <c r="L291" s="11">
        <v>75</v>
      </c>
      <c r="M291" s="11">
        <v>50</v>
      </c>
      <c r="N291" s="11">
        <v>57</v>
      </c>
      <c r="O291" s="11">
        <v>94</v>
      </c>
      <c r="P291" s="18">
        <v>102</v>
      </c>
      <c r="Q291" s="18">
        <v>107</v>
      </c>
      <c r="R291" s="24">
        <v>110</v>
      </c>
      <c r="S291" s="18">
        <v>109</v>
      </c>
      <c r="T291" s="18">
        <v>36</v>
      </c>
      <c r="U291" s="18">
        <v>38.596491228070171</v>
      </c>
      <c r="V291" s="18">
        <v>26.595744680851062</v>
      </c>
      <c r="W291" s="11">
        <v>35.294117647058826</v>
      </c>
      <c r="X291" s="11">
        <v>70.09345794392523</v>
      </c>
      <c r="Y291" s="11">
        <v>70</v>
      </c>
      <c r="Z291" s="11">
        <v>68.807339449541288</v>
      </c>
      <c r="AA291" s="11">
        <f t="shared" si="50"/>
        <v>33.495451185326687</v>
      </c>
      <c r="AB291" s="27">
        <f t="shared" si="51"/>
        <v>69.633599131155506</v>
      </c>
      <c r="AC291" s="2">
        <f t="shared" si="52"/>
        <v>27.666666666666668</v>
      </c>
      <c r="AD291" s="2">
        <f t="shared" si="53"/>
        <v>75.666666666666671</v>
      </c>
    </row>
    <row r="292" spans="1:30" x14ac:dyDescent="0.3">
      <c r="A292" s="1" t="s">
        <v>363</v>
      </c>
      <c r="B292" s="1" t="s">
        <v>413</v>
      </c>
      <c r="C292" s="1" t="s">
        <v>416</v>
      </c>
      <c r="D292" s="1" t="s">
        <v>416</v>
      </c>
      <c r="E292" s="2">
        <v>71003</v>
      </c>
      <c r="F292" s="18">
        <v>25</v>
      </c>
      <c r="G292" s="18">
        <v>32</v>
      </c>
      <c r="H292" s="18">
        <v>38</v>
      </c>
      <c r="I292" s="18">
        <v>44</v>
      </c>
      <c r="J292" s="18">
        <v>80</v>
      </c>
      <c r="K292" s="18">
        <v>86</v>
      </c>
      <c r="L292" s="11">
        <v>88</v>
      </c>
      <c r="M292" s="11">
        <v>55</v>
      </c>
      <c r="N292" s="11">
        <v>58</v>
      </c>
      <c r="O292" s="11">
        <v>93</v>
      </c>
      <c r="P292" s="18">
        <v>100</v>
      </c>
      <c r="Q292" s="18">
        <v>128</v>
      </c>
      <c r="R292" s="24">
        <v>131</v>
      </c>
      <c r="S292" s="18">
        <v>128</v>
      </c>
      <c r="T292" s="18">
        <v>45.454545454545453</v>
      </c>
      <c r="U292" s="18">
        <v>55.172413793103445</v>
      </c>
      <c r="V292" s="18">
        <v>40.86021505376344</v>
      </c>
      <c r="W292" s="11">
        <v>44</v>
      </c>
      <c r="X292" s="11">
        <v>62.5</v>
      </c>
      <c r="Y292" s="11">
        <v>65.648854961832058</v>
      </c>
      <c r="Z292" s="11">
        <v>68.75</v>
      </c>
      <c r="AA292" s="11">
        <f t="shared" si="50"/>
        <v>46.677542948955626</v>
      </c>
      <c r="AB292" s="27">
        <f t="shared" si="51"/>
        <v>65.632951653944019</v>
      </c>
      <c r="AC292" s="2">
        <f t="shared" si="52"/>
        <v>38</v>
      </c>
      <c r="AD292" s="2">
        <f t="shared" si="53"/>
        <v>84.666666666666671</v>
      </c>
    </row>
    <row r="293" spans="1:30" x14ac:dyDescent="0.3">
      <c r="A293" s="1" t="s">
        <v>363</v>
      </c>
      <c r="B293" s="1" t="s">
        <v>413</v>
      </c>
      <c r="C293" s="1" t="s">
        <v>417</v>
      </c>
      <c r="D293" s="1" t="s">
        <v>417</v>
      </c>
      <c r="E293" s="2">
        <v>71004</v>
      </c>
      <c r="F293" s="18">
        <v>22</v>
      </c>
      <c r="G293" s="18">
        <v>27</v>
      </c>
      <c r="H293" s="18">
        <v>29</v>
      </c>
      <c r="I293" s="18">
        <v>32</v>
      </c>
      <c r="J293" s="18">
        <v>42</v>
      </c>
      <c r="K293" s="18">
        <v>44</v>
      </c>
      <c r="L293" s="11">
        <v>44</v>
      </c>
      <c r="M293" s="11">
        <v>41</v>
      </c>
      <c r="N293" s="11">
        <v>48</v>
      </c>
      <c r="O293" s="11">
        <v>64</v>
      </c>
      <c r="P293" s="18">
        <v>66</v>
      </c>
      <c r="Q293" s="18">
        <v>74</v>
      </c>
      <c r="R293" s="24">
        <v>76</v>
      </c>
      <c r="S293" s="18">
        <v>77</v>
      </c>
      <c r="T293" s="18">
        <v>53.658536585365859</v>
      </c>
      <c r="U293" s="18">
        <v>56.25</v>
      </c>
      <c r="V293" s="18">
        <v>45.3125</v>
      </c>
      <c r="W293" s="11">
        <v>48.484848484848484</v>
      </c>
      <c r="X293" s="11">
        <v>56.756756756756758</v>
      </c>
      <c r="Y293" s="11">
        <v>57.894736842105267</v>
      </c>
      <c r="Z293" s="11">
        <v>57.142857142857139</v>
      </c>
      <c r="AA293" s="11">
        <f t="shared" si="50"/>
        <v>50.015782828282831</v>
      </c>
      <c r="AB293" s="27">
        <f t="shared" si="51"/>
        <v>57.264783580573059</v>
      </c>
      <c r="AC293" s="2">
        <f t="shared" si="52"/>
        <v>29.333333333333332</v>
      </c>
      <c r="AD293" s="2">
        <f t="shared" si="53"/>
        <v>43.333333333333336</v>
      </c>
    </row>
    <row r="294" spans="1:30" x14ac:dyDescent="0.3">
      <c r="A294" s="1" t="s">
        <v>363</v>
      </c>
      <c r="B294" s="1" t="s">
        <v>413</v>
      </c>
      <c r="C294" s="1" t="s">
        <v>304</v>
      </c>
      <c r="D294" s="1" t="s">
        <v>304</v>
      </c>
      <c r="E294" s="2">
        <v>71005</v>
      </c>
      <c r="F294" s="18">
        <v>26</v>
      </c>
      <c r="G294" s="18">
        <v>37</v>
      </c>
      <c r="H294" s="18">
        <v>44</v>
      </c>
      <c r="I294" s="18">
        <v>43</v>
      </c>
      <c r="J294" s="18">
        <v>75</v>
      </c>
      <c r="K294" s="18">
        <v>70</v>
      </c>
      <c r="L294" s="11">
        <v>73</v>
      </c>
      <c r="M294" s="11">
        <v>65</v>
      </c>
      <c r="N294" s="11">
        <v>66</v>
      </c>
      <c r="O294" s="11">
        <v>90</v>
      </c>
      <c r="P294" s="18">
        <v>93</v>
      </c>
      <c r="Q294" s="18">
        <v>116</v>
      </c>
      <c r="R294" s="24">
        <v>114</v>
      </c>
      <c r="S294" s="18">
        <v>117</v>
      </c>
      <c r="T294" s="18">
        <v>40</v>
      </c>
      <c r="U294" s="18">
        <v>56.060606060606055</v>
      </c>
      <c r="V294" s="18">
        <v>48.888888888888886</v>
      </c>
      <c r="W294" s="11">
        <v>46.236559139784944</v>
      </c>
      <c r="X294" s="11">
        <v>64.65517241379311</v>
      </c>
      <c r="Y294" s="11">
        <v>61.403508771929829</v>
      </c>
      <c r="Z294" s="11">
        <v>62.393162393162392</v>
      </c>
      <c r="AA294" s="11">
        <f t="shared" si="50"/>
        <v>50.39535136309329</v>
      </c>
      <c r="AB294" s="27">
        <f t="shared" si="51"/>
        <v>62.817281192961779</v>
      </c>
      <c r="AC294" s="2">
        <f t="shared" si="52"/>
        <v>41.333333333333336</v>
      </c>
      <c r="AD294" s="2">
        <f t="shared" si="53"/>
        <v>72.666666666666671</v>
      </c>
    </row>
    <row r="295" spans="1:30" x14ac:dyDescent="0.3">
      <c r="A295" s="1" t="s">
        <v>363</v>
      </c>
      <c r="B295" s="1" t="s">
        <v>418</v>
      </c>
      <c r="C295" s="1" t="s">
        <v>356</v>
      </c>
      <c r="D295" s="1" t="s">
        <v>356</v>
      </c>
      <c r="E295" s="2">
        <v>71101</v>
      </c>
      <c r="F295" s="18">
        <v>29</v>
      </c>
      <c r="G295" s="18">
        <v>32</v>
      </c>
      <c r="H295" s="18">
        <v>50</v>
      </c>
      <c r="I295" s="18">
        <v>55</v>
      </c>
      <c r="J295" s="18">
        <v>151</v>
      </c>
      <c r="K295" s="18">
        <v>148</v>
      </c>
      <c r="L295" s="11">
        <v>153</v>
      </c>
      <c r="M295" s="11">
        <v>44</v>
      </c>
      <c r="N295" s="11">
        <v>46</v>
      </c>
      <c r="O295" s="11">
        <v>100</v>
      </c>
      <c r="P295" s="18">
        <v>102</v>
      </c>
      <c r="Q295" s="18">
        <v>179</v>
      </c>
      <c r="R295" s="24">
        <v>184</v>
      </c>
      <c r="S295" s="18">
        <v>192</v>
      </c>
      <c r="T295" s="18">
        <v>65.909090909090907</v>
      </c>
      <c r="U295" s="18">
        <v>69.565217391304344</v>
      </c>
      <c r="V295" s="18">
        <v>50</v>
      </c>
      <c r="W295" s="11">
        <v>53.921568627450981</v>
      </c>
      <c r="X295" s="11">
        <v>84.357541899441344</v>
      </c>
      <c r="Y295" s="11">
        <v>80.434782608695656</v>
      </c>
      <c r="Z295" s="11">
        <v>79.6875</v>
      </c>
      <c r="AA295" s="11">
        <f t="shared" si="50"/>
        <v>57.828928672918437</v>
      </c>
      <c r="AB295" s="27">
        <f t="shared" si="51"/>
        <v>81.493274836045671</v>
      </c>
      <c r="AC295" s="2">
        <f t="shared" si="52"/>
        <v>45.666666666666664</v>
      </c>
      <c r="AD295" s="2">
        <f t="shared" si="53"/>
        <v>150.66666666666666</v>
      </c>
    </row>
    <row r="296" spans="1:30" x14ac:dyDescent="0.3">
      <c r="A296" s="1" t="s">
        <v>363</v>
      </c>
      <c r="B296" s="1" t="s">
        <v>418</v>
      </c>
      <c r="C296" s="1" t="s">
        <v>419</v>
      </c>
      <c r="D296" s="1" t="s">
        <v>419</v>
      </c>
      <c r="E296" s="2">
        <v>71102</v>
      </c>
      <c r="F296" s="18">
        <v>28</v>
      </c>
      <c r="G296" s="18">
        <v>45</v>
      </c>
      <c r="H296" s="18">
        <v>56</v>
      </c>
      <c r="I296" s="18">
        <v>63</v>
      </c>
      <c r="J296" s="18">
        <v>79</v>
      </c>
      <c r="K296" s="18">
        <v>79</v>
      </c>
      <c r="L296" s="11">
        <v>80</v>
      </c>
      <c r="M296" s="11">
        <v>42</v>
      </c>
      <c r="N296" s="11">
        <v>68</v>
      </c>
      <c r="O296" s="11">
        <v>87</v>
      </c>
      <c r="P296" s="18">
        <v>95</v>
      </c>
      <c r="Q296" s="18">
        <v>97</v>
      </c>
      <c r="R296" s="24">
        <v>99</v>
      </c>
      <c r="S296" s="18">
        <v>100</v>
      </c>
      <c r="T296" s="18">
        <v>66.666666666666657</v>
      </c>
      <c r="U296" s="18">
        <v>66.17647058823529</v>
      </c>
      <c r="V296" s="18">
        <v>64.367816091954026</v>
      </c>
      <c r="W296" s="11">
        <v>66.315789473684205</v>
      </c>
      <c r="X296" s="11">
        <v>81.44329896907216</v>
      </c>
      <c r="Y296" s="11">
        <v>79.797979797979806</v>
      </c>
      <c r="Z296" s="11">
        <v>80</v>
      </c>
      <c r="AA296" s="11">
        <f t="shared" si="50"/>
        <v>65.620025384624512</v>
      </c>
      <c r="AB296" s="27">
        <f t="shared" si="51"/>
        <v>80.413759589017317</v>
      </c>
      <c r="AC296" s="2">
        <f t="shared" si="52"/>
        <v>54.666666666666664</v>
      </c>
      <c r="AD296" s="2">
        <f t="shared" si="53"/>
        <v>79.333333333333329</v>
      </c>
    </row>
    <row r="297" spans="1:30" x14ac:dyDescent="0.3">
      <c r="A297" s="1" t="s">
        <v>363</v>
      </c>
      <c r="B297" s="1" t="s">
        <v>418</v>
      </c>
      <c r="C297" s="1" t="s">
        <v>420</v>
      </c>
      <c r="D297" s="1" t="s">
        <v>420</v>
      </c>
      <c r="E297" s="2">
        <v>71103</v>
      </c>
      <c r="F297" s="18">
        <v>18</v>
      </c>
      <c r="G297" s="18">
        <v>20</v>
      </c>
      <c r="H297" s="18">
        <v>25</v>
      </c>
      <c r="I297" s="18">
        <v>26</v>
      </c>
      <c r="J297" s="18">
        <v>38</v>
      </c>
      <c r="K297" s="18">
        <v>38</v>
      </c>
      <c r="L297" s="11">
        <v>39</v>
      </c>
      <c r="M297" s="11">
        <v>21</v>
      </c>
      <c r="N297" s="11">
        <v>26</v>
      </c>
      <c r="O297" s="11">
        <v>40</v>
      </c>
      <c r="P297" s="18">
        <v>41</v>
      </c>
      <c r="Q297" s="18">
        <v>42</v>
      </c>
      <c r="R297" s="24">
        <v>44</v>
      </c>
      <c r="S297" s="18">
        <v>45</v>
      </c>
      <c r="T297" s="18">
        <v>85.714285714285708</v>
      </c>
      <c r="U297" s="18">
        <v>76.923076923076934</v>
      </c>
      <c r="V297" s="18">
        <v>62.5</v>
      </c>
      <c r="W297" s="11">
        <v>63.414634146341463</v>
      </c>
      <c r="X297" s="11">
        <v>90.476190476190482</v>
      </c>
      <c r="Y297" s="11">
        <v>86.36363636363636</v>
      </c>
      <c r="Z297" s="11">
        <v>86.666666666666671</v>
      </c>
      <c r="AA297" s="11">
        <f t="shared" si="50"/>
        <v>67.612570356472801</v>
      </c>
      <c r="AB297" s="27">
        <f t="shared" si="51"/>
        <v>87.835497835497847</v>
      </c>
      <c r="AC297" s="2">
        <f t="shared" si="52"/>
        <v>23.666666666666668</v>
      </c>
      <c r="AD297" s="2">
        <f t="shared" si="53"/>
        <v>38.333333333333336</v>
      </c>
    </row>
    <row r="298" spans="1:30" x14ac:dyDescent="0.3">
      <c r="A298" s="1" t="s">
        <v>363</v>
      </c>
      <c r="B298" s="1" t="s">
        <v>418</v>
      </c>
      <c r="C298" s="1" t="s">
        <v>421</v>
      </c>
      <c r="D298" s="1" t="s">
        <v>421</v>
      </c>
      <c r="E298" s="2">
        <v>71104</v>
      </c>
      <c r="F298" s="18">
        <v>84</v>
      </c>
      <c r="G298" s="18">
        <v>117</v>
      </c>
      <c r="H298" s="18">
        <v>143</v>
      </c>
      <c r="I298" s="18">
        <v>178</v>
      </c>
      <c r="J298" s="18">
        <v>284</v>
      </c>
      <c r="K298" s="18">
        <v>290</v>
      </c>
      <c r="L298" s="11">
        <v>296</v>
      </c>
      <c r="M298" s="11">
        <v>151</v>
      </c>
      <c r="N298" s="11">
        <v>245</v>
      </c>
      <c r="O298" s="11">
        <v>293</v>
      </c>
      <c r="P298" s="18">
        <v>302</v>
      </c>
      <c r="Q298" s="18">
        <v>371</v>
      </c>
      <c r="R298" s="24">
        <v>376</v>
      </c>
      <c r="S298" s="18">
        <v>387</v>
      </c>
      <c r="T298" s="18">
        <v>55.629139072847678</v>
      </c>
      <c r="U298" s="18">
        <v>47.755102040816325</v>
      </c>
      <c r="V298" s="18">
        <v>48.805460750853243</v>
      </c>
      <c r="W298" s="11">
        <v>58.940397350993379</v>
      </c>
      <c r="X298" s="11">
        <v>76.549865229110509</v>
      </c>
      <c r="Y298" s="11">
        <v>77.127659574468083</v>
      </c>
      <c r="Z298" s="11">
        <v>76.485788113695079</v>
      </c>
      <c r="AA298" s="11">
        <f t="shared" si="50"/>
        <v>51.833653380887654</v>
      </c>
      <c r="AB298" s="27">
        <f t="shared" si="51"/>
        <v>76.721104305757891</v>
      </c>
      <c r="AC298" s="2">
        <f t="shared" si="52"/>
        <v>146</v>
      </c>
      <c r="AD298" s="2">
        <f t="shared" si="53"/>
        <v>290</v>
      </c>
    </row>
    <row r="299" spans="1:30" x14ac:dyDescent="0.3">
      <c r="A299" s="1" t="s">
        <v>363</v>
      </c>
      <c r="B299" s="1" t="s">
        <v>418</v>
      </c>
      <c r="C299" s="1" t="s">
        <v>422</v>
      </c>
      <c r="D299" s="1" t="s">
        <v>422</v>
      </c>
      <c r="E299" s="2">
        <v>71105</v>
      </c>
      <c r="F299" s="18">
        <v>7</v>
      </c>
      <c r="G299" s="18">
        <v>8</v>
      </c>
      <c r="H299" s="18">
        <v>9</v>
      </c>
      <c r="I299" s="18">
        <v>18</v>
      </c>
      <c r="J299" s="18">
        <v>42</v>
      </c>
      <c r="K299" s="18">
        <v>37</v>
      </c>
      <c r="L299" s="11">
        <v>37</v>
      </c>
      <c r="M299" s="11">
        <v>25</v>
      </c>
      <c r="N299" s="11">
        <v>26</v>
      </c>
      <c r="O299" s="11">
        <v>44</v>
      </c>
      <c r="P299" s="18">
        <v>44</v>
      </c>
      <c r="Q299" s="18">
        <v>56</v>
      </c>
      <c r="R299" s="24">
        <v>61</v>
      </c>
      <c r="S299" s="18">
        <v>59</v>
      </c>
      <c r="T299" s="18">
        <v>28.000000000000004</v>
      </c>
      <c r="U299" s="18">
        <v>30.76923076923077</v>
      </c>
      <c r="V299" s="18">
        <v>20.454545454545457</v>
      </c>
      <c r="W299" s="11">
        <v>40.909090909090914</v>
      </c>
      <c r="X299" s="11">
        <v>75</v>
      </c>
      <c r="Y299" s="11">
        <v>60.655737704918032</v>
      </c>
      <c r="Z299" s="11">
        <v>62.711864406779661</v>
      </c>
      <c r="AA299" s="11">
        <f t="shared" si="50"/>
        <v>30.710955710955716</v>
      </c>
      <c r="AB299" s="27">
        <f t="shared" si="51"/>
        <v>66.122534037232569</v>
      </c>
      <c r="AC299" s="2">
        <f t="shared" si="52"/>
        <v>11.666666666666666</v>
      </c>
      <c r="AD299" s="2">
        <f t="shared" si="53"/>
        <v>38.666666666666664</v>
      </c>
    </row>
    <row r="300" spans="1:30" x14ac:dyDescent="0.3">
      <c r="A300" s="1" t="s">
        <v>363</v>
      </c>
      <c r="B300" s="1" t="s">
        <v>418</v>
      </c>
      <c r="C300" s="1" t="s">
        <v>423</v>
      </c>
      <c r="D300" s="1" t="s">
        <v>423</v>
      </c>
      <c r="E300" s="2">
        <v>71106</v>
      </c>
      <c r="F300" s="18">
        <v>29</v>
      </c>
      <c r="G300" s="18">
        <v>47</v>
      </c>
      <c r="H300" s="18">
        <v>56</v>
      </c>
      <c r="I300" s="18">
        <v>61</v>
      </c>
      <c r="J300" s="18">
        <v>113</v>
      </c>
      <c r="K300" s="18">
        <v>113</v>
      </c>
      <c r="L300" s="11">
        <v>114</v>
      </c>
      <c r="M300" s="11">
        <v>47</v>
      </c>
      <c r="N300" s="11">
        <v>90</v>
      </c>
      <c r="O300" s="11">
        <v>106</v>
      </c>
      <c r="P300" s="18">
        <v>112</v>
      </c>
      <c r="Q300" s="18">
        <v>152</v>
      </c>
      <c r="R300" s="24">
        <v>161</v>
      </c>
      <c r="S300" s="18">
        <v>170</v>
      </c>
      <c r="T300" s="18">
        <v>61.702127659574465</v>
      </c>
      <c r="U300" s="18">
        <v>52.222222222222229</v>
      </c>
      <c r="V300" s="18">
        <v>52.830188679245282</v>
      </c>
      <c r="W300" s="11">
        <v>54.464285714285708</v>
      </c>
      <c r="X300" s="11">
        <v>74.342105263157904</v>
      </c>
      <c r="Y300" s="11">
        <v>70.186335403726702</v>
      </c>
      <c r="Z300" s="11">
        <v>67.058823529411754</v>
      </c>
      <c r="AA300" s="11">
        <f t="shared" si="50"/>
        <v>53.172232205251078</v>
      </c>
      <c r="AB300" s="27">
        <f t="shared" si="51"/>
        <v>70.52908806543212</v>
      </c>
      <c r="AC300" s="2">
        <f t="shared" si="52"/>
        <v>54.666666666666664</v>
      </c>
      <c r="AD300" s="2">
        <f t="shared" si="53"/>
        <v>113.33333333333333</v>
      </c>
    </row>
    <row r="301" spans="1:30" x14ac:dyDescent="0.3">
      <c r="A301" s="1" t="s">
        <v>363</v>
      </c>
      <c r="B301" s="1" t="s">
        <v>424</v>
      </c>
      <c r="C301" s="1" t="s">
        <v>425</v>
      </c>
      <c r="D301" s="1" t="s">
        <v>425</v>
      </c>
      <c r="E301" s="2">
        <v>71201</v>
      </c>
      <c r="F301" s="18">
        <v>22</v>
      </c>
      <c r="G301" s="18">
        <v>40</v>
      </c>
      <c r="H301" s="18">
        <v>48</v>
      </c>
      <c r="I301" s="18">
        <v>53</v>
      </c>
      <c r="J301" s="18">
        <v>126</v>
      </c>
      <c r="K301" s="18">
        <v>126</v>
      </c>
      <c r="L301" s="11">
        <v>123</v>
      </c>
      <c r="M301" s="11">
        <v>46</v>
      </c>
      <c r="N301" s="11">
        <v>68</v>
      </c>
      <c r="O301" s="11">
        <v>87</v>
      </c>
      <c r="P301" s="18">
        <v>92</v>
      </c>
      <c r="Q301" s="18">
        <v>150</v>
      </c>
      <c r="R301" s="24">
        <v>149</v>
      </c>
      <c r="S301" s="18">
        <v>146</v>
      </c>
      <c r="T301" s="18">
        <v>47.826086956521742</v>
      </c>
      <c r="U301" s="18">
        <v>58.82352941176471</v>
      </c>
      <c r="V301" s="18">
        <v>55.172413793103445</v>
      </c>
      <c r="W301" s="11">
        <v>57.608695652173914</v>
      </c>
      <c r="X301" s="11">
        <v>84</v>
      </c>
      <c r="Y301" s="11">
        <v>84.56375838926175</v>
      </c>
      <c r="Z301" s="11">
        <v>84.246575342465761</v>
      </c>
      <c r="AA301" s="11">
        <f t="shared" si="50"/>
        <v>57.201546285680685</v>
      </c>
      <c r="AB301" s="27">
        <f t="shared" si="51"/>
        <v>84.27011124390917</v>
      </c>
      <c r="AC301" s="2">
        <f t="shared" si="52"/>
        <v>47</v>
      </c>
      <c r="AD301" s="2">
        <f t="shared" si="53"/>
        <v>125</v>
      </c>
    </row>
    <row r="302" spans="1:30" x14ac:dyDescent="0.3">
      <c r="A302" s="1" t="s">
        <v>363</v>
      </c>
      <c r="B302" s="1" t="s">
        <v>426</v>
      </c>
      <c r="C302" s="1" t="s">
        <v>427</v>
      </c>
      <c r="D302" s="1" t="s">
        <v>427</v>
      </c>
      <c r="E302" s="2">
        <v>71301</v>
      </c>
      <c r="F302" s="18">
        <v>45</v>
      </c>
      <c r="G302" s="18">
        <v>45</v>
      </c>
      <c r="H302" s="18">
        <v>56</v>
      </c>
      <c r="I302" s="18">
        <v>64</v>
      </c>
      <c r="J302" s="18">
        <v>111</v>
      </c>
      <c r="K302" s="18">
        <v>112</v>
      </c>
      <c r="L302" s="11">
        <v>114</v>
      </c>
      <c r="M302" s="11">
        <v>66</v>
      </c>
      <c r="N302" s="11">
        <v>65</v>
      </c>
      <c r="O302" s="11">
        <v>93</v>
      </c>
      <c r="P302" s="18">
        <v>104</v>
      </c>
      <c r="Q302" s="18">
        <v>144</v>
      </c>
      <c r="R302" s="24">
        <v>147</v>
      </c>
      <c r="S302" s="18">
        <v>149</v>
      </c>
      <c r="T302" s="18">
        <v>68.181818181818173</v>
      </c>
      <c r="U302" s="18">
        <v>69.230769230769226</v>
      </c>
      <c r="V302" s="18">
        <v>60.215053763440864</v>
      </c>
      <c r="W302" s="11">
        <v>61.53846153846154</v>
      </c>
      <c r="X302" s="11">
        <v>77.083333333333343</v>
      </c>
      <c r="Y302" s="11">
        <v>76.19047619047619</v>
      </c>
      <c r="Z302" s="11">
        <v>76.510067114093957</v>
      </c>
      <c r="AA302" s="11">
        <f t="shared" si="50"/>
        <v>63.661428177557212</v>
      </c>
      <c r="AB302" s="27">
        <f t="shared" si="51"/>
        <v>76.594625545967816</v>
      </c>
      <c r="AC302" s="2">
        <f t="shared" si="52"/>
        <v>55</v>
      </c>
      <c r="AD302" s="2">
        <f t="shared" si="53"/>
        <v>112.33333333333333</v>
      </c>
    </row>
    <row r="303" spans="1:30" x14ac:dyDescent="0.3">
      <c r="A303" s="1" t="s">
        <v>363</v>
      </c>
      <c r="B303" s="1" t="s">
        <v>426</v>
      </c>
      <c r="C303" s="1" t="s">
        <v>428</v>
      </c>
      <c r="D303" s="1" t="s">
        <v>428</v>
      </c>
      <c r="E303" s="2">
        <v>71302</v>
      </c>
      <c r="F303" s="18">
        <v>11</v>
      </c>
      <c r="G303" s="18">
        <v>12</v>
      </c>
      <c r="H303" s="18">
        <v>14</v>
      </c>
      <c r="I303" s="18">
        <v>16</v>
      </c>
      <c r="J303" s="18">
        <v>36</v>
      </c>
      <c r="K303" s="18">
        <v>34</v>
      </c>
      <c r="L303" s="11">
        <v>36</v>
      </c>
      <c r="M303" s="11">
        <v>20</v>
      </c>
      <c r="N303" s="11">
        <v>20</v>
      </c>
      <c r="O303" s="11">
        <v>24</v>
      </c>
      <c r="P303" s="18">
        <v>27</v>
      </c>
      <c r="Q303" s="18">
        <v>45</v>
      </c>
      <c r="R303" s="24">
        <v>45</v>
      </c>
      <c r="S303" s="18">
        <v>46</v>
      </c>
      <c r="T303" s="18">
        <v>55.000000000000007</v>
      </c>
      <c r="U303" s="18">
        <v>60</v>
      </c>
      <c r="V303" s="18">
        <v>58.333333333333336</v>
      </c>
      <c r="W303" s="11">
        <v>59.259259259259252</v>
      </c>
      <c r="X303" s="11">
        <v>80</v>
      </c>
      <c r="Y303" s="11">
        <v>75.555555555555557</v>
      </c>
      <c r="Z303" s="11">
        <v>78.260869565217391</v>
      </c>
      <c r="AA303" s="11">
        <f t="shared" si="50"/>
        <v>59.197530864197539</v>
      </c>
      <c r="AB303" s="27">
        <f t="shared" si="51"/>
        <v>77.938808373590973</v>
      </c>
      <c r="AC303" s="2">
        <f t="shared" si="52"/>
        <v>14</v>
      </c>
      <c r="AD303" s="2">
        <f t="shared" si="53"/>
        <v>35.333333333333336</v>
      </c>
    </row>
    <row r="304" spans="1:30" x14ac:dyDescent="0.3">
      <c r="A304" s="1" t="s">
        <v>363</v>
      </c>
      <c r="B304" s="1" t="s">
        <v>429</v>
      </c>
      <c r="C304" s="1" t="s">
        <v>430</v>
      </c>
      <c r="D304" s="1" t="s">
        <v>430</v>
      </c>
      <c r="E304" s="2">
        <v>71401</v>
      </c>
      <c r="F304" s="18">
        <v>21</v>
      </c>
      <c r="G304" s="18">
        <v>23</v>
      </c>
      <c r="H304" s="18">
        <v>30</v>
      </c>
      <c r="I304" s="18">
        <v>32</v>
      </c>
      <c r="J304" s="18">
        <v>62</v>
      </c>
      <c r="K304" s="18">
        <v>62</v>
      </c>
      <c r="L304" s="11">
        <v>60</v>
      </c>
      <c r="M304" s="11">
        <v>52</v>
      </c>
      <c r="N304" s="11">
        <v>52</v>
      </c>
      <c r="O304" s="11">
        <v>80</v>
      </c>
      <c r="P304" s="18">
        <v>83</v>
      </c>
      <c r="Q304" s="18">
        <v>85</v>
      </c>
      <c r="R304" s="24">
        <v>85</v>
      </c>
      <c r="S304" s="18">
        <v>84</v>
      </c>
      <c r="T304" s="18">
        <v>40.384615384615387</v>
      </c>
      <c r="U304" s="18">
        <v>44.230769230769226</v>
      </c>
      <c r="V304" s="18">
        <v>37.5</v>
      </c>
      <c r="W304" s="11">
        <v>38.554216867469883</v>
      </c>
      <c r="X304" s="11">
        <v>72.941176470588232</v>
      </c>
      <c r="Y304" s="11">
        <v>72.941176470588232</v>
      </c>
      <c r="Z304" s="11">
        <v>71.428571428571431</v>
      </c>
      <c r="AA304" s="11">
        <f t="shared" si="50"/>
        <v>40.094995366079701</v>
      </c>
      <c r="AB304" s="27">
        <f t="shared" si="51"/>
        <v>72.436974789915965</v>
      </c>
      <c r="AC304" s="2">
        <f t="shared" si="52"/>
        <v>28.333333333333332</v>
      </c>
      <c r="AD304" s="2">
        <f t="shared" si="53"/>
        <v>61.333333333333336</v>
      </c>
    </row>
    <row r="305" spans="1:30" x14ac:dyDescent="0.3">
      <c r="A305" s="1" t="s">
        <v>363</v>
      </c>
      <c r="B305" s="1" t="s">
        <v>429</v>
      </c>
      <c r="C305" s="1" t="s">
        <v>431</v>
      </c>
      <c r="D305" s="1" t="s">
        <v>431</v>
      </c>
      <c r="E305" s="2">
        <v>71402</v>
      </c>
      <c r="F305" s="18">
        <v>13</v>
      </c>
      <c r="G305" s="18">
        <v>20</v>
      </c>
      <c r="H305" s="18">
        <v>32</v>
      </c>
      <c r="I305" s="18">
        <v>45</v>
      </c>
      <c r="J305" s="18">
        <v>72</v>
      </c>
      <c r="K305" s="18">
        <v>75</v>
      </c>
      <c r="L305" s="11">
        <v>79</v>
      </c>
      <c r="M305" s="11">
        <v>32</v>
      </c>
      <c r="N305" s="11">
        <v>37</v>
      </c>
      <c r="O305" s="11">
        <v>62</v>
      </c>
      <c r="P305" s="18">
        <v>68</v>
      </c>
      <c r="Q305" s="18">
        <v>91</v>
      </c>
      <c r="R305" s="24">
        <v>94</v>
      </c>
      <c r="S305" s="18">
        <v>97</v>
      </c>
      <c r="T305" s="18">
        <v>40.625</v>
      </c>
      <c r="U305" s="18">
        <v>54.054054054054056</v>
      </c>
      <c r="V305" s="18">
        <v>51.612903225806448</v>
      </c>
      <c r="W305" s="11">
        <v>66.17647058823529</v>
      </c>
      <c r="X305" s="11">
        <v>79.120879120879124</v>
      </c>
      <c r="Y305" s="11">
        <v>79.787234042553195</v>
      </c>
      <c r="Z305" s="11">
        <v>81.44329896907216</v>
      </c>
      <c r="AA305" s="11">
        <f t="shared" si="50"/>
        <v>57.281142622698589</v>
      </c>
      <c r="AB305" s="27">
        <f t="shared" si="51"/>
        <v>80.117137377501493</v>
      </c>
      <c r="AC305" s="2">
        <f t="shared" si="52"/>
        <v>32.333333333333336</v>
      </c>
      <c r="AD305" s="2">
        <f t="shared" si="53"/>
        <v>75.333333333333329</v>
      </c>
    </row>
    <row r="306" spans="1:30" x14ac:dyDescent="0.3">
      <c r="A306" s="1" t="s">
        <v>363</v>
      </c>
      <c r="B306" s="1" t="s">
        <v>429</v>
      </c>
      <c r="C306" s="1" t="s">
        <v>432</v>
      </c>
      <c r="D306" s="1" t="s">
        <v>432</v>
      </c>
      <c r="E306" s="2">
        <v>71403</v>
      </c>
      <c r="F306" s="18">
        <v>6</v>
      </c>
      <c r="G306" s="18">
        <v>6</v>
      </c>
      <c r="H306" s="18">
        <v>9</v>
      </c>
      <c r="I306" s="18">
        <v>11</v>
      </c>
      <c r="J306" s="18">
        <v>39</v>
      </c>
      <c r="K306" s="18">
        <v>39</v>
      </c>
      <c r="L306" s="11">
        <v>36</v>
      </c>
      <c r="M306" s="11">
        <v>13</v>
      </c>
      <c r="N306" s="11">
        <v>13</v>
      </c>
      <c r="O306" s="11">
        <v>26</v>
      </c>
      <c r="P306" s="18">
        <v>26</v>
      </c>
      <c r="Q306" s="18">
        <v>41</v>
      </c>
      <c r="R306" s="24">
        <v>42</v>
      </c>
      <c r="S306" s="18">
        <v>42</v>
      </c>
      <c r="T306" s="18">
        <v>46.153846153846153</v>
      </c>
      <c r="U306" s="18">
        <v>46.153846153846153</v>
      </c>
      <c r="V306" s="18">
        <v>34.615384615384613</v>
      </c>
      <c r="W306" s="11">
        <v>42.307692307692307</v>
      </c>
      <c r="X306" s="11">
        <v>95.121951219512198</v>
      </c>
      <c r="Y306" s="11">
        <v>92.857142857142861</v>
      </c>
      <c r="Z306" s="11">
        <v>85.714285714285708</v>
      </c>
      <c r="AA306" s="11">
        <f t="shared" si="50"/>
        <v>41.025641025641029</v>
      </c>
      <c r="AB306" s="27">
        <f t="shared" si="51"/>
        <v>91.231126596980246</v>
      </c>
      <c r="AC306" s="2">
        <f t="shared" si="52"/>
        <v>8.6666666666666661</v>
      </c>
      <c r="AD306" s="2">
        <f t="shared" si="53"/>
        <v>38</v>
      </c>
    </row>
    <row r="307" spans="1:30" x14ac:dyDescent="0.3">
      <c r="A307" s="1" t="s">
        <v>363</v>
      </c>
      <c r="B307" s="1" t="s">
        <v>433</v>
      </c>
      <c r="C307" s="1" t="s">
        <v>434</v>
      </c>
      <c r="D307" s="1" t="s">
        <v>434</v>
      </c>
      <c r="E307" s="2">
        <v>71501</v>
      </c>
      <c r="F307" s="18">
        <v>35</v>
      </c>
      <c r="G307" s="18">
        <v>45</v>
      </c>
      <c r="H307" s="18">
        <v>53</v>
      </c>
      <c r="I307" s="18">
        <v>55</v>
      </c>
      <c r="J307" s="18">
        <v>142</v>
      </c>
      <c r="K307" s="18">
        <v>145</v>
      </c>
      <c r="L307" s="11">
        <v>151</v>
      </c>
      <c r="M307" s="11">
        <v>41</v>
      </c>
      <c r="N307" s="11">
        <v>58</v>
      </c>
      <c r="O307" s="11">
        <v>93</v>
      </c>
      <c r="P307" s="18">
        <v>105</v>
      </c>
      <c r="Q307" s="18">
        <v>178</v>
      </c>
      <c r="R307" s="24">
        <v>184</v>
      </c>
      <c r="S307" s="18">
        <v>187</v>
      </c>
      <c r="T307" s="18">
        <v>85.365853658536579</v>
      </c>
      <c r="U307" s="18">
        <v>77.58620689655173</v>
      </c>
      <c r="V307" s="18">
        <v>56.98924731182796</v>
      </c>
      <c r="W307" s="11">
        <v>52.380952380952387</v>
      </c>
      <c r="X307" s="11">
        <v>79.775280898876403</v>
      </c>
      <c r="Y307" s="11">
        <v>78.804347826086953</v>
      </c>
      <c r="Z307" s="11">
        <v>80.748663101604279</v>
      </c>
      <c r="AA307" s="11">
        <f t="shared" si="50"/>
        <v>62.318802196444018</v>
      </c>
      <c r="AB307" s="27">
        <f t="shared" si="51"/>
        <v>79.776097275522545</v>
      </c>
      <c r="AC307" s="2">
        <f t="shared" si="52"/>
        <v>51</v>
      </c>
      <c r="AD307" s="2">
        <f t="shared" si="53"/>
        <v>146</v>
      </c>
    </row>
    <row r="308" spans="1:30" x14ac:dyDescent="0.3">
      <c r="A308" s="1" t="s">
        <v>363</v>
      </c>
      <c r="B308" s="1" t="s">
        <v>433</v>
      </c>
      <c r="C308" s="1" t="s">
        <v>435</v>
      </c>
      <c r="D308" s="1" t="s">
        <v>436</v>
      </c>
      <c r="E308" s="2">
        <v>71502</v>
      </c>
      <c r="F308" s="18">
        <v>13</v>
      </c>
      <c r="G308" s="18">
        <v>15</v>
      </c>
      <c r="H308" s="18">
        <v>15</v>
      </c>
      <c r="I308" s="18">
        <v>16</v>
      </c>
      <c r="J308" s="18">
        <v>29</v>
      </c>
      <c r="K308" s="18">
        <v>32</v>
      </c>
      <c r="L308" s="11">
        <v>38</v>
      </c>
      <c r="M308" s="11">
        <v>20</v>
      </c>
      <c r="N308" s="11">
        <v>23</v>
      </c>
      <c r="O308" s="11">
        <v>26</v>
      </c>
      <c r="P308" s="18">
        <v>26</v>
      </c>
      <c r="Q308" s="18">
        <v>34</v>
      </c>
      <c r="R308" s="24">
        <v>41</v>
      </c>
      <c r="S308" s="18">
        <v>43</v>
      </c>
      <c r="T308" s="18">
        <v>65</v>
      </c>
      <c r="U308" s="18">
        <v>65.217391304347828</v>
      </c>
      <c r="V308" s="18">
        <v>57.692307692307686</v>
      </c>
      <c r="W308" s="11">
        <v>61.53846153846154</v>
      </c>
      <c r="X308" s="11">
        <v>85.294117647058826</v>
      </c>
      <c r="Y308" s="11">
        <v>78.048780487804876</v>
      </c>
      <c r="Z308" s="11">
        <v>88.372093023255815</v>
      </c>
      <c r="AA308" s="11">
        <f t="shared" si="50"/>
        <v>61.482720178372354</v>
      </c>
      <c r="AB308" s="27">
        <f t="shared" si="51"/>
        <v>83.904997052706506</v>
      </c>
      <c r="AC308" s="2">
        <f t="shared" si="52"/>
        <v>15.333333333333334</v>
      </c>
      <c r="AD308" s="2">
        <f t="shared" si="53"/>
        <v>33</v>
      </c>
    </row>
    <row r="309" spans="1:30" x14ac:dyDescent="0.3">
      <c r="A309" s="1" t="s">
        <v>363</v>
      </c>
      <c r="B309" s="1" t="s">
        <v>433</v>
      </c>
      <c r="C309" s="1" t="s">
        <v>361</v>
      </c>
      <c r="D309" s="1" t="s">
        <v>361</v>
      </c>
      <c r="E309" s="2">
        <v>71503</v>
      </c>
      <c r="F309" s="18">
        <v>20</v>
      </c>
      <c r="G309" s="18">
        <v>29</v>
      </c>
      <c r="H309" s="18">
        <v>35</v>
      </c>
      <c r="I309" s="18">
        <v>41</v>
      </c>
      <c r="J309" s="18">
        <v>66</v>
      </c>
      <c r="K309" s="18">
        <v>68</v>
      </c>
      <c r="L309" s="11">
        <v>72</v>
      </c>
      <c r="M309" s="11">
        <v>29</v>
      </c>
      <c r="N309" s="11">
        <v>41</v>
      </c>
      <c r="O309" s="11">
        <v>60</v>
      </c>
      <c r="P309" s="18">
        <v>60</v>
      </c>
      <c r="Q309" s="18">
        <v>76</v>
      </c>
      <c r="R309" s="24">
        <v>80</v>
      </c>
      <c r="S309" s="18">
        <v>82</v>
      </c>
      <c r="T309" s="18">
        <v>68.965517241379317</v>
      </c>
      <c r="U309" s="18">
        <v>70.731707317073173</v>
      </c>
      <c r="V309" s="18">
        <v>58.333333333333336</v>
      </c>
      <c r="W309" s="11">
        <v>68.333333333333329</v>
      </c>
      <c r="X309" s="11">
        <v>86.842105263157904</v>
      </c>
      <c r="Y309" s="11">
        <v>85</v>
      </c>
      <c r="Z309" s="11">
        <v>87.804878048780495</v>
      </c>
      <c r="AA309" s="11">
        <f t="shared" si="50"/>
        <v>65.799457994579939</v>
      </c>
      <c r="AB309" s="27">
        <f t="shared" si="51"/>
        <v>86.5489944373128</v>
      </c>
      <c r="AC309" s="2">
        <f t="shared" si="52"/>
        <v>35</v>
      </c>
      <c r="AD309" s="2">
        <f t="shared" si="53"/>
        <v>68.666666666666671</v>
      </c>
    </row>
    <row r="310" spans="1:30" x14ac:dyDescent="0.3">
      <c r="A310" s="1" t="s">
        <v>437</v>
      </c>
      <c r="B310" s="1" t="s">
        <v>168</v>
      </c>
      <c r="C310" s="1" t="s">
        <v>438</v>
      </c>
      <c r="D310" s="1" t="s">
        <v>438</v>
      </c>
      <c r="E310" s="2">
        <v>80101</v>
      </c>
      <c r="F310" s="18">
        <v>171</v>
      </c>
      <c r="G310" s="18">
        <v>184</v>
      </c>
      <c r="H310" s="18">
        <v>198</v>
      </c>
      <c r="I310" s="18">
        <v>210</v>
      </c>
      <c r="J310" s="18">
        <v>337</v>
      </c>
      <c r="K310" s="18">
        <v>342</v>
      </c>
      <c r="L310" s="11">
        <v>355</v>
      </c>
      <c r="M310" s="11">
        <v>364</v>
      </c>
      <c r="N310" s="11">
        <v>371</v>
      </c>
      <c r="O310" s="11">
        <v>445</v>
      </c>
      <c r="P310" s="18">
        <v>490</v>
      </c>
      <c r="Q310" s="18">
        <v>583</v>
      </c>
      <c r="R310" s="24">
        <v>596</v>
      </c>
      <c r="S310" s="18">
        <v>610</v>
      </c>
      <c r="T310" s="18">
        <v>46.978021978021978</v>
      </c>
      <c r="U310" s="18">
        <v>49.595687331536389</v>
      </c>
      <c r="V310" s="18">
        <v>44.49438202247191</v>
      </c>
      <c r="W310" s="11">
        <v>42.857142857142854</v>
      </c>
      <c r="X310" s="11">
        <v>57.804459691252141</v>
      </c>
      <c r="Y310" s="11">
        <v>57.382550335570471</v>
      </c>
      <c r="Z310" s="11">
        <v>58.196721311475407</v>
      </c>
      <c r="AA310" s="11">
        <f t="shared" si="50"/>
        <v>45.649070737050387</v>
      </c>
      <c r="AB310" s="27">
        <f t="shared" si="51"/>
        <v>57.794577112766007</v>
      </c>
      <c r="AC310" s="2">
        <f t="shared" si="52"/>
        <v>197.33333333333334</v>
      </c>
      <c r="AD310" s="2">
        <f t="shared" si="53"/>
        <v>344.66666666666669</v>
      </c>
    </row>
    <row r="311" spans="1:30" x14ac:dyDescent="0.3">
      <c r="A311" s="1" t="s">
        <v>437</v>
      </c>
      <c r="B311" s="1" t="s">
        <v>168</v>
      </c>
      <c r="C311" s="1" t="s">
        <v>419</v>
      </c>
      <c r="D311" s="1" t="s">
        <v>419</v>
      </c>
      <c r="E311" s="2">
        <v>80102</v>
      </c>
      <c r="F311" s="18">
        <v>3</v>
      </c>
      <c r="G311" s="18">
        <v>4</v>
      </c>
      <c r="H311" s="18">
        <v>3</v>
      </c>
      <c r="I311" s="18">
        <v>3</v>
      </c>
      <c r="J311" s="18">
        <v>17</v>
      </c>
      <c r="K311" s="18">
        <v>17</v>
      </c>
      <c r="L311" s="11">
        <v>23</v>
      </c>
      <c r="M311" s="11">
        <v>12</v>
      </c>
      <c r="N311" s="11">
        <v>12</v>
      </c>
      <c r="O311" s="11">
        <v>12</v>
      </c>
      <c r="P311" s="18">
        <v>12</v>
      </c>
      <c r="Q311" s="18">
        <v>35</v>
      </c>
      <c r="R311" s="24">
        <v>39</v>
      </c>
      <c r="S311" s="18">
        <v>47</v>
      </c>
      <c r="T311" s="18">
        <v>25</v>
      </c>
      <c r="U311" s="18">
        <v>33.333333333333329</v>
      </c>
      <c r="V311" s="18">
        <v>25</v>
      </c>
      <c r="W311" s="11">
        <v>25</v>
      </c>
      <c r="X311" s="11">
        <v>48.571428571428569</v>
      </c>
      <c r="Y311" s="11">
        <v>43.589743589743591</v>
      </c>
      <c r="Z311" s="11">
        <v>48.936170212765958</v>
      </c>
      <c r="AA311" s="11">
        <f t="shared" si="50"/>
        <v>27.777777777777775</v>
      </c>
      <c r="AB311" s="27">
        <f t="shared" si="51"/>
        <v>47.032447457979373</v>
      </c>
      <c r="AC311" s="2">
        <f t="shared" si="52"/>
        <v>3.3333333333333335</v>
      </c>
      <c r="AD311" s="2">
        <f t="shared" si="53"/>
        <v>19</v>
      </c>
    </row>
    <row r="312" spans="1:30" x14ac:dyDescent="0.3">
      <c r="A312" s="1" t="s">
        <v>437</v>
      </c>
      <c r="B312" s="1" t="s">
        <v>439</v>
      </c>
      <c r="C312" s="1" t="s">
        <v>440</v>
      </c>
      <c r="D312" s="1" t="s">
        <v>440</v>
      </c>
      <c r="E312" s="2">
        <v>80201</v>
      </c>
      <c r="F312" s="18">
        <v>37</v>
      </c>
      <c r="G312" s="18">
        <v>50</v>
      </c>
      <c r="H312" s="18">
        <v>57</v>
      </c>
      <c r="I312" s="18">
        <v>55</v>
      </c>
      <c r="J312" s="18">
        <v>155</v>
      </c>
      <c r="K312" s="18">
        <v>178</v>
      </c>
      <c r="L312" s="11">
        <v>196</v>
      </c>
      <c r="M312" s="11">
        <v>266</v>
      </c>
      <c r="N312" s="11">
        <v>269</v>
      </c>
      <c r="O312" s="11">
        <v>283</v>
      </c>
      <c r="P312" s="18">
        <v>293</v>
      </c>
      <c r="Q312" s="18">
        <v>387</v>
      </c>
      <c r="R312" s="24">
        <v>418</v>
      </c>
      <c r="S312" s="18">
        <v>437</v>
      </c>
      <c r="T312" s="18">
        <v>13.909774436090224</v>
      </c>
      <c r="U312" s="18">
        <v>18.587360594795538</v>
      </c>
      <c r="V312" s="18">
        <v>20.141342756183743</v>
      </c>
      <c r="W312" s="11">
        <v>18.771331058020476</v>
      </c>
      <c r="X312" s="11">
        <v>40.05167958656331</v>
      </c>
      <c r="Y312" s="11">
        <v>42.58373205741627</v>
      </c>
      <c r="Z312" s="11">
        <v>44.851258581235697</v>
      </c>
      <c r="AA312" s="11">
        <f t="shared" si="50"/>
        <v>19.16667813633325</v>
      </c>
      <c r="AB312" s="27">
        <f t="shared" si="51"/>
        <v>42.495556741738426</v>
      </c>
      <c r="AC312" s="2">
        <f t="shared" si="52"/>
        <v>54</v>
      </c>
      <c r="AD312" s="2">
        <f t="shared" si="53"/>
        <v>176.33333333333334</v>
      </c>
    </row>
    <row r="313" spans="1:30" x14ac:dyDescent="0.3">
      <c r="A313" s="1" t="s">
        <v>437</v>
      </c>
      <c r="B313" s="1" t="s">
        <v>439</v>
      </c>
      <c r="C313" s="1" t="s">
        <v>441</v>
      </c>
      <c r="D313" s="1" t="s">
        <v>441</v>
      </c>
      <c r="E313" s="2">
        <v>80202</v>
      </c>
      <c r="F313" s="18">
        <v>45</v>
      </c>
      <c r="G313" s="18">
        <v>52</v>
      </c>
      <c r="H313" s="18">
        <v>60</v>
      </c>
      <c r="I313" s="18">
        <v>87</v>
      </c>
      <c r="J313" s="18">
        <v>282</v>
      </c>
      <c r="K313" s="18">
        <v>270</v>
      </c>
      <c r="L313" s="11">
        <v>278</v>
      </c>
      <c r="M313" s="11">
        <v>199</v>
      </c>
      <c r="N313" s="11">
        <v>194</v>
      </c>
      <c r="O313" s="11">
        <v>206</v>
      </c>
      <c r="P313" s="18">
        <v>237</v>
      </c>
      <c r="Q313" s="18">
        <v>363</v>
      </c>
      <c r="R313" s="24">
        <v>361</v>
      </c>
      <c r="S313" s="18">
        <v>361</v>
      </c>
      <c r="T313" s="18">
        <v>22.613065326633166</v>
      </c>
      <c r="U313" s="18">
        <v>26.804123711340207</v>
      </c>
      <c r="V313" s="18">
        <v>29.126213592233007</v>
      </c>
      <c r="W313" s="11">
        <v>36.708860759493675</v>
      </c>
      <c r="X313" s="11">
        <v>77.685950413223139</v>
      </c>
      <c r="Y313" s="11">
        <v>74.79224376731301</v>
      </c>
      <c r="Z313" s="11">
        <v>77.00831024930747</v>
      </c>
      <c r="AA313" s="11">
        <f t="shared" si="50"/>
        <v>30.879732687688961</v>
      </c>
      <c r="AB313" s="27">
        <f t="shared" si="51"/>
        <v>76.495501476614535</v>
      </c>
      <c r="AC313" s="2">
        <f t="shared" si="52"/>
        <v>66.333333333333329</v>
      </c>
      <c r="AD313" s="2">
        <f t="shared" si="53"/>
        <v>276.66666666666669</v>
      </c>
    </row>
    <row r="314" spans="1:30" x14ac:dyDescent="0.3">
      <c r="A314" s="1" t="s">
        <v>437</v>
      </c>
      <c r="B314" s="1" t="s">
        <v>442</v>
      </c>
      <c r="C314" s="1" t="s">
        <v>443</v>
      </c>
      <c r="D314" s="1" t="s">
        <v>443</v>
      </c>
      <c r="E314" s="2">
        <v>80301</v>
      </c>
      <c r="F314" s="18">
        <v>8</v>
      </c>
      <c r="G314" s="18">
        <v>7</v>
      </c>
      <c r="H314" s="18">
        <v>7</v>
      </c>
      <c r="I314" s="18">
        <v>9</v>
      </c>
      <c r="J314" s="18">
        <v>69</v>
      </c>
      <c r="K314" s="18">
        <v>70</v>
      </c>
      <c r="L314" s="11">
        <v>78</v>
      </c>
      <c r="M314" s="11">
        <v>46</v>
      </c>
      <c r="N314" s="11">
        <v>25</v>
      </c>
      <c r="O314" s="11">
        <v>29</v>
      </c>
      <c r="P314" s="18">
        <v>29</v>
      </c>
      <c r="Q314" s="18">
        <v>84</v>
      </c>
      <c r="R314" s="24">
        <v>85</v>
      </c>
      <c r="S314" s="18">
        <v>89</v>
      </c>
      <c r="T314" s="18">
        <v>17.391304347826086</v>
      </c>
      <c r="U314" s="18">
        <v>28.000000000000004</v>
      </c>
      <c r="V314" s="18">
        <v>24.137931034482758</v>
      </c>
      <c r="W314" s="11">
        <v>31.03448275862069</v>
      </c>
      <c r="X314" s="11">
        <v>82.142857142857139</v>
      </c>
      <c r="Y314" s="11">
        <v>82.35294117647058</v>
      </c>
      <c r="Z314" s="11">
        <v>87.640449438202253</v>
      </c>
      <c r="AA314" s="11">
        <f t="shared" si="50"/>
        <v>27.724137931034488</v>
      </c>
      <c r="AB314" s="27">
        <f t="shared" si="51"/>
        <v>84.045415919176662</v>
      </c>
      <c r="AC314" s="2">
        <f t="shared" si="52"/>
        <v>7.666666666666667</v>
      </c>
      <c r="AD314" s="2">
        <f t="shared" si="53"/>
        <v>72.333333333333329</v>
      </c>
    </row>
    <row r="315" spans="1:30" x14ac:dyDescent="0.3">
      <c r="A315" s="1" t="s">
        <v>437</v>
      </c>
      <c r="B315" s="1" t="s">
        <v>442</v>
      </c>
      <c r="C315" s="1" t="s">
        <v>444</v>
      </c>
      <c r="D315" s="1" t="s">
        <v>444</v>
      </c>
      <c r="E315" s="2">
        <v>80302</v>
      </c>
      <c r="F315" s="18">
        <v>27</v>
      </c>
      <c r="G315" s="18">
        <v>38</v>
      </c>
      <c r="H315" s="18">
        <v>65</v>
      </c>
      <c r="I315" s="18">
        <v>86</v>
      </c>
      <c r="J315" s="18">
        <v>183</v>
      </c>
      <c r="K315" s="18">
        <v>187</v>
      </c>
      <c r="L315" s="11">
        <v>200</v>
      </c>
      <c r="M315" s="11">
        <v>101</v>
      </c>
      <c r="N315" s="11">
        <v>103</v>
      </c>
      <c r="O315" s="11">
        <v>166</v>
      </c>
      <c r="P315" s="18">
        <v>176</v>
      </c>
      <c r="Q315" s="18">
        <v>243</v>
      </c>
      <c r="R315" s="24">
        <v>248</v>
      </c>
      <c r="S315" s="18">
        <v>255</v>
      </c>
      <c r="T315" s="18">
        <v>26.732673267326735</v>
      </c>
      <c r="U315" s="18">
        <v>36.893203883495147</v>
      </c>
      <c r="V315" s="18">
        <v>39.156626506024097</v>
      </c>
      <c r="W315" s="11">
        <v>48.863636363636367</v>
      </c>
      <c r="X315" s="11">
        <v>75.308641975308646</v>
      </c>
      <c r="Y315" s="11">
        <v>75.403225806451616</v>
      </c>
      <c r="Z315" s="11">
        <v>78.431372549019613</v>
      </c>
      <c r="AA315" s="11">
        <f t="shared" si="50"/>
        <v>41.637822251051865</v>
      </c>
      <c r="AB315" s="27">
        <f t="shared" si="51"/>
        <v>76.381080110259958</v>
      </c>
      <c r="AC315" s="2">
        <f t="shared" si="52"/>
        <v>63</v>
      </c>
      <c r="AD315" s="2">
        <f t="shared" si="53"/>
        <v>190</v>
      </c>
    </row>
    <row r="316" spans="1:30" x14ac:dyDescent="0.3">
      <c r="A316" s="1" t="s">
        <v>437</v>
      </c>
      <c r="B316" s="1" t="s">
        <v>442</v>
      </c>
      <c r="C316" s="1" t="s">
        <v>392</v>
      </c>
      <c r="D316" s="1" t="s">
        <v>392</v>
      </c>
      <c r="E316" s="2">
        <v>80303</v>
      </c>
      <c r="F316" s="18">
        <v>2</v>
      </c>
      <c r="G316" s="18">
        <v>6</v>
      </c>
      <c r="H316" s="18">
        <v>14</v>
      </c>
      <c r="I316" s="18">
        <v>16</v>
      </c>
      <c r="J316" s="18">
        <v>52</v>
      </c>
      <c r="K316" s="18">
        <v>53</v>
      </c>
      <c r="L316" s="11">
        <v>61</v>
      </c>
      <c r="M316" s="11">
        <v>19</v>
      </c>
      <c r="N316" s="11">
        <v>20</v>
      </c>
      <c r="O316" s="11">
        <v>43</v>
      </c>
      <c r="P316" s="18">
        <v>44</v>
      </c>
      <c r="Q316" s="18">
        <v>62</v>
      </c>
      <c r="R316" s="24">
        <v>69</v>
      </c>
      <c r="S316" s="18">
        <v>70</v>
      </c>
      <c r="T316" s="18">
        <v>10.526315789473683</v>
      </c>
      <c r="U316" s="18">
        <v>30</v>
      </c>
      <c r="V316" s="18">
        <v>32.558139534883722</v>
      </c>
      <c r="W316" s="11">
        <v>36.363636363636367</v>
      </c>
      <c r="X316" s="11">
        <v>83.870967741935488</v>
      </c>
      <c r="Y316" s="11">
        <v>76.811594202898547</v>
      </c>
      <c r="Z316" s="11">
        <v>87.142857142857139</v>
      </c>
      <c r="AA316" s="11">
        <f t="shared" si="50"/>
        <v>32.973925299506696</v>
      </c>
      <c r="AB316" s="27">
        <f t="shared" si="51"/>
        <v>82.608473029230396</v>
      </c>
      <c r="AC316" s="2">
        <f t="shared" si="52"/>
        <v>12</v>
      </c>
      <c r="AD316" s="2">
        <f t="shared" si="53"/>
        <v>55.333333333333336</v>
      </c>
    </row>
    <row r="317" spans="1:30" x14ac:dyDescent="0.3">
      <c r="A317" s="1" t="s">
        <v>437</v>
      </c>
      <c r="B317" s="1" t="s">
        <v>442</v>
      </c>
      <c r="C317" s="1" t="s">
        <v>445</v>
      </c>
      <c r="D317" s="1" t="s">
        <v>446</v>
      </c>
      <c r="E317" s="2">
        <v>80304</v>
      </c>
      <c r="F317" s="18">
        <v>15</v>
      </c>
      <c r="G317" s="18">
        <v>16</v>
      </c>
      <c r="H317" s="18">
        <v>20</v>
      </c>
      <c r="I317" s="18">
        <v>37</v>
      </c>
      <c r="J317" s="18">
        <v>95</v>
      </c>
      <c r="K317" s="18">
        <v>106</v>
      </c>
      <c r="L317" s="11">
        <v>108</v>
      </c>
      <c r="M317" s="11">
        <v>56</v>
      </c>
      <c r="N317" s="11">
        <v>58</v>
      </c>
      <c r="O317" s="11">
        <v>90</v>
      </c>
      <c r="P317" s="18">
        <v>90</v>
      </c>
      <c r="Q317" s="18">
        <v>114</v>
      </c>
      <c r="R317" s="24">
        <v>125</v>
      </c>
      <c r="S317" s="18">
        <v>127</v>
      </c>
      <c r="T317" s="18">
        <v>26.785714285714285</v>
      </c>
      <c r="U317" s="18">
        <v>27.586206896551722</v>
      </c>
      <c r="V317" s="18">
        <v>22.222222222222221</v>
      </c>
      <c r="W317" s="11">
        <v>41.111111111111107</v>
      </c>
      <c r="X317" s="11">
        <v>83.333333333333343</v>
      </c>
      <c r="Y317" s="11">
        <v>84.8</v>
      </c>
      <c r="Z317" s="11">
        <v>85.039370078740163</v>
      </c>
      <c r="AA317" s="11">
        <f t="shared" si="50"/>
        <v>30.306513409961685</v>
      </c>
      <c r="AB317" s="27">
        <f t="shared" si="51"/>
        <v>84.390901137357829</v>
      </c>
      <c r="AC317" s="2">
        <f t="shared" si="52"/>
        <v>24.333333333333332</v>
      </c>
      <c r="AD317" s="2">
        <f t="shared" si="53"/>
        <v>103</v>
      </c>
    </row>
    <row r="318" spans="1:30" x14ac:dyDescent="0.3">
      <c r="A318" s="1" t="s">
        <v>437</v>
      </c>
      <c r="B318" s="1" t="s">
        <v>447</v>
      </c>
      <c r="C318" s="1" t="s">
        <v>448</v>
      </c>
      <c r="D318" s="1" t="s">
        <v>449</v>
      </c>
      <c r="E318" s="2">
        <v>80401</v>
      </c>
      <c r="F318" s="18">
        <v>18</v>
      </c>
      <c r="G318" s="18">
        <v>34</v>
      </c>
      <c r="H318" s="18">
        <v>32</v>
      </c>
      <c r="I318" s="18">
        <v>31</v>
      </c>
      <c r="J318" s="18">
        <v>76</v>
      </c>
      <c r="K318" s="18">
        <v>81</v>
      </c>
      <c r="L318" s="11">
        <v>85</v>
      </c>
      <c r="M318" s="11">
        <v>66</v>
      </c>
      <c r="N318" s="11">
        <v>68</v>
      </c>
      <c r="O318" s="11">
        <v>75</v>
      </c>
      <c r="P318" s="18">
        <v>75</v>
      </c>
      <c r="Q318" s="18">
        <v>98</v>
      </c>
      <c r="R318" s="24">
        <v>102</v>
      </c>
      <c r="S318" s="18">
        <v>104</v>
      </c>
      <c r="T318" s="18">
        <v>27.27272727272727</v>
      </c>
      <c r="U318" s="18">
        <v>50</v>
      </c>
      <c r="V318" s="18">
        <v>42.666666666666671</v>
      </c>
      <c r="W318" s="11">
        <v>41.333333333333336</v>
      </c>
      <c r="X318" s="11">
        <v>77.551020408163268</v>
      </c>
      <c r="Y318" s="11">
        <v>79.411764705882348</v>
      </c>
      <c r="Z318" s="11">
        <v>81.730769230769226</v>
      </c>
      <c r="AA318" s="11">
        <f t="shared" si="50"/>
        <v>44.666666666666664</v>
      </c>
      <c r="AB318" s="27">
        <f t="shared" si="51"/>
        <v>79.564518114938281</v>
      </c>
      <c r="AC318" s="2">
        <f t="shared" si="52"/>
        <v>32.333333333333336</v>
      </c>
      <c r="AD318" s="2">
        <f t="shared" si="53"/>
        <v>80.666666666666671</v>
      </c>
    </row>
    <row r="319" spans="1:30" x14ac:dyDescent="0.3">
      <c r="A319" s="1" t="s">
        <v>437</v>
      </c>
      <c r="B319" s="1" t="s">
        <v>447</v>
      </c>
      <c r="C319" s="1" t="s">
        <v>450</v>
      </c>
      <c r="D319" s="1" t="s">
        <v>450</v>
      </c>
      <c r="E319" s="2">
        <v>80402</v>
      </c>
      <c r="F319" s="18">
        <v>3</v>
      </c>
      <c r="G319" s="18">
        <v>4</v>
      </c>
      <c r="H319" s="18">
        <v>4</v>
      </c>
      <c r="I319" s="18">
        <v>3</v>
      </c>
      <c r="J319" s="18">
        <v>22</v>
      </c>
      <c r="K319" s="18">
        <v>21</v>
      </c>
      <c r="L319" s="11">
        <v>25</v>
      </c>
      <c r="M319" s="11">
        <v>33</v>
      </c>
      <c r="N319" s="11">
        <v>11</v>
      </c>
      <c r="O319" s="11">
        <v>24</v>
      </c>
      <c r="P319" s="18">
        <v>24</v>
      </c>
      <c r="Q319" s="18">
        <v>27</v>
      </c>
      <c r="R319" s="24">
        <v>27</v>
      </c>
      <c r="S319" s="18">
        <v>28</v>
      </c>
      <c r="T319" s="18">
        <v>9.0909090909090917</v>
      </c>
      <c r="U319" s="18">
        <v>36.363636363636367</v>
      </c>
      <c r="V319" s="18">
        <v>16.666666666666664</v>
      </c>
      <c r="W319" s="11">
        <v>12.5</v>
      </c>
      <c r="X319" s="11">
        <v>81.481481481481481</v>
      </c>
      <c r="Y319" s="11">
        <v>77.777777777777786</v>
      </c>
      <c r="Z319" s="11">
        <v>89.285714285714292</v>
      </c>
      <c r="AA319" s="11">
        <f t="shared" si="50"/>
        <v>21.843434343434343</v>
      </c>
      <c r="AB319" s="27">
        <f t="shared" si="51"/>
        <v>82.848324514991191</v>
      </c>
      <c r="AC319" s="2">
        <f t="shared" si="52"/>
        <v>3.6666666666666665</v>
      </c>
      <c r="AD319" s="2">
        <f t="shared" si="53"/>
        <v>22.666666666666668</v>
      </c>
    </row>
    <row r="320" spans="1:30" x14ac:dyDescent="0.3">
      <c r="A320" s="1" t="s">
        <v>437</v>
      </c>
      <c r="B320" s="1" t="s">
        <v>451</v>
      </c>
      <c r="C320" s="1" t="s">
        <v>375</v>
      </c>
      <c r="D320" s="1" t="s">
        <v>375</v>
      </c>
      <c r="E320" s="2">
        <v>80501</v>
      </c>
      <c r="F320" s="18">
        <v>14</v>
      </c>
      <c r="G320" s="18">
        <v>33</v>
      </c>
      <c r="H320" s="18">
        <v>44</v>
      </c>
      <c r="I320" s="18">
        <v>46</v>
      </c>
      <c r="J320" s="18">
        <v>135</v>
      </c>
      <c r="K320" s="18">
        <v>144</v>
      </c>
      <c r="L320" s="11">
        <v>148</v>
      </c>
      <c r="M320" s="11">
        <v>71</v>
      </c>
      <c r="N320" s="11">
        <v>73</v>
      </c>
      <c r="O320" s="11">
        <v>120</v>
      </c>
      <c r="P320" s="18">
        <v>124</v>
      </c>
      <c r="Q320" s="18">
        <v>165</v>
      </c>
      <c r="R320" s="24">
        <v>179</v>
      </c>
      <c r="S320" s="18">
        <v>185</v>
      </c>
      <c r="T320" s="18">
        <v>19.718309859154928</v>
      </c>
      <c r="U320" s="18">
        <v>45.205479452054789</v>
      </c>
      <c r="V320" s="18">
        <v>36.666666666666664</v>
      </c>
      <c r="W320" s="11">
        <v>37.096774193548384</v>
      </c>
      <c r="X320" s="11">
        <v>81.818181818181827</v>
      </c>
      <c r="Y320" s="11">
        <v>80.44692737430168</v>
      </c>
      <c r="Z320" s="11">
        <v>80</v>
      </c>
      <c r="AA320" s="11">
        <f t="shared" si="50"/>
        <v>39.656306770756608</v>
      </c>
      <c r="AB320" s="27">
        <f t="shared" si="51"/>
        <v>80.755036397494507</v>
      </c>
      <c r="AC320" s="2">
        <f t="shared" si="52"/>
        <v>41</v>
      </c>
      <c r="AD320" s="2">
        <f t="shared" si="53"/>
        <v>142.33333333333334</v>
      </c>
    </row>
    <row r="321" spans="1:30" x14ac:dyDescent="0.3">
      <c r="A321" s="1" t="s">
        <v>437</v>
      </c>
      <c r="B321" s="1" t="s">
        <v>452</v>
      </c>
      <c r="C321" s="1" t="s">
        <v>453</v>
      </c>
      <c r="D321" s="1" t="s">
        <v>453</v>
      </c>
      <c r="E321" s="2">
        <v>80601</v>
      </c>
      <c r="F321" s="18">
        <v>0</v>
      </c>
      <c r="G321" s="18">
        <v>1</v>
      </c>
      <c r="H321" s="18">
        <v>2</v>
      </c>
      <c r="I321" s="18">
        <v>2</v>
      </c>
      <c r="J321" s="18">
        <v>23</v>
      </c>
      <c r="K321" s="18">
        <v>21</v>
      </c>
      <c r="L321" s="11">
        <v>19</v>
      </c>
      <c r="M321" s="11">
        <v>6</v>
      </c>
      <c r="N321" s="11">
        <v>7</v>
      </c>
      <c r="O321" s="11">
        <v>23</v>
      </c>
      <c r="P321" s="18">
        <v>22</v>
      </c>
      <c r="Q321" s="18">
        <v>30</v>
      </c>
      <c r="R321" s="24">
        <v>29</v>
      </c>
      <c r="S321" s="18">
        <v>25</v>
      </c>
      <c r="T321" s="18">
        <v>0</v>
      </c>
      <c r="U321" s="18">
        <v>14.285714285714285</v>
      </c>
      <c r="V321" s="18">
        <v>8.695652173913043</v>
      </c>
      <c r="W321" s="11">
        <v>9.0909090909090917</v>
      </c>
      <c r="X321" s="11">
        <v>76.666666666666671</v>
      </c>
      <c r="Y321" s="11">
        <v>72.41379310344827</v>
      </c>
      <c r="Z321" s="11">
        <v>76</v>
      </c>
      <c r="AA321" s="11">
        <f t="shared" si="50"/>
        <v>10.690758516845472</v>
      </c>
      <c r="AB321" s="27">
        <f t="shared" si="51"/>
        <v>75.026819923371647</v>
      </c>
      <c r="AC321" s="2">
        <f t="shared" si="52"/>
        <v>1.6666666666666667</v>
      </c>
      <c r="AD321" s="2">
        <f t="shared" si="53"/>
        <v>21</v>
      </c>
    </row>
    <row r="322" spans="1:30" x14ac:dyDescent="0.3">
      <c r="A322" s="1" t="s">
        <v>437</v>
      </c>
      <c r="B322" s="1" t="s">
        <v>452</v>
      </c>
      <c r="C322" s="1" t="s">
        <v>454</v>
      </c>
      <c r="D322" s="1" t="s">
        <v>454</v>
      </c>
      <c r="E322" s="2">
        <v>80602</v>
      </c>
      <c r="F322" s="18">
        <v>2</v>
      </c>
      <c r="G322" s="18">
        <v>9</v>
      </c>
      <c r="H322" s="18">
        <v>12</v>
      </c>
      <c r="I322" s="18">
        <v>14</v>
      </c>
      <c r="J322" s="18">
        <v>78</v>
      </c>
      <c r="K322" s="18">
        <v>87</v>
      </c>
      <c r="L322" s="11">
        <v>89</v>
      </c>
      <c r="M322" s="11">
        <v>16</v>
      </c>
      <c r="N322" s="11">
        <v>20</v>
      </c>
      <c r="O322" s="11">
        <v>57</v>
      </c>
      <c r="P322" s="18">
        <v>62</v>
      </c>
      <c r="Q322" s="18">
        <v>125</v>
      </c>
      <c r="R322" s="24">
        <v>138</v>
      </c>
      <c r="S322" s="18">
        <v>144</v>
      </c>
      <c r="T322" s="18">
        <v>12.5</v>
      </c>
      <c r="U322" s="18">
        <v>45</v>
      </c>
      <c r="V322" s="18">
        <v>21.052631578947366</v>
      </c>
      <c r="W322" s="11">
        <v>22.58064516129032</v>
      </c>
      <c r="X322" s="11">
        <v>62.4</v>
      </c>
      <c r="Y322" s="11">
        <v>63.04347826086957</v>
      </c>
      <c r="Z322" s="11">
        <v>61.805555555555557</v>
      </c>
      <c r="AA322" s="11">
        <f t="shared" si="50"/>
        <v>29.544425580079231</v>
      </c>
      <c r="AB322" s="27">
        <f t="shared" si="51"/>
        <v>62.416344605475047</v>
      </c>
      <c r="AC322" s="2">
        <f t="shared" si="52"/>
        <v>11.666666666666666</v>
      </c>
      <c r="AD322" s="2">
        <f t="shared" si="53"/>
        <v>84.666666666666671</v>
      </c>
    </row>
    <row r="323" spans="1:30" x14ac:dyDescent="0.3">
      <c r="A323" s="1" t="s">
        <v>437</v>
      </c>
      <c r="B323" s="1" t="s">
        <v>455</v>
      </c>
      <c r="C323" s="1" t="s">
        <v>456</v>
      </c>
      <c r="D323" s="1" t="s">
        <v>456</v>
      </c>
      <c r="E323" s="2">
        <v>80701</v>
      </c>
      <c r="F323" s="18">
        <v>3</v>
      </c>
      <c r="G323" s="18">
        <v>5</v>
      </c>
      <c r="H323" s="18">
        <v>7</v>
      </c>
      <c r="I323" s="18">
        <v>8</v>
      </c>
      <c r="J323" s="18">
        <v>23</v>
      </c>
      <c r="K323" s="18">
        <v>23</v>
      </c>
      <c r="L323" s="11">
        <v>24</v>
      </c>
      <c r="M323" s="11">
        <v>22</v>
      </c>
      <c r="N323" s="11">
        <v>21</v>
      </c>
      <c r="O323" s="11">
        <v>28</v>
      </c>
      <c r="P323" s="18">
        <v>27</v>
      </c>
      <c r="Q323" s="18">
        <v>34</v>
      </c>
      <c r="R323" s="24">
        <v>33</v>
      </c>
      <c r="S323" s="18">
        <v>33</v>
      </c>
      <c r="T323" s="18">
        <v>13.636363636363635</v>
      </c>
      <c r="U323" s="18">
        <v>23.809523809523807</v>
      </c>
      <c r="V323" s="18">
        <v>25</v>
      </c>
      <c r="W323" s="11">
        <v>29.629629629629626</v>
      </c>
      <c r="X323" s="11">
        <v>67.64705882352942</v>
      </c>
      <c r="Y323" s="11">
        <v>69.696969696969703</v>
      </c>
      <c r="Z323" s="11">
        <v>72.727272727272734</v>
      </c>
      <c r="AA323" s="11">
        <f t="shared" ref="AA323:AA344" si="54">AVERAGE(U323:W323)</f>
        <v>26.146384479717813</v>
      </c>
      <c r="AB323" s="27">
        <f t="shared" ref="AB323:AB344" si="55">AVERAGE(X323:Z323)</f>
        <v>70.023767082590624</v>
      </c>
      <c r="AC323" s="2">
        <f t="shared" ref="AC323:AC344" si="56">AVERAGE(G323:I323)</f>
        <v>6.666666666666667</v>
      </c>
      <c r="AD323" s="2">
        <f t="shared" ref="AD323:AD344" si="57">AVERAGE(J323:L323)</f>
        <v>23.333333333333332</v>
      </c>
    </row>
    <row r="324" spans="1:30" x14ac:dyDescent="0.3">
      <c r="A324" s="1" t="s">
        <v>437</v>
      </c>
      <c r="B324" s="1" t="s">
        <v>455</v>
      </c>
      <c r="C324" s="1" t="s">
        <v>420</v>
      </c>
      <c r="D324" s="1" t="s">
        <v>420</v>
      </c>
      <c r="E324" s="2">
        <v>80702</v>
      </c>
      <c r="F324" s="18">
        <v>3</v>
      </c>
      <c r="G324" s="18">
        <v>4</v>
      </c>
      <c r="H324" s="18">
        <v>5</v>
      </c>
      <c r="I324" s="18">
        <v>8</v>
      </c>
      <c r="J324" s="18">
        <v>25</v>
      </c>
      <c r="K324" s="18">
        <v>24</v>
      </c>
      <c r="L324" s="11">
        <v>32</v>
      </c>
      <c r="M324" s="11">
        <v>15</v>
      </c>
      <c r="N324" s="11">
        <v>15</v>
      </c>
      <c r="O324" s="11">
        <v>16</v>
      </c>
      <c r="P324" s="18">
        <v>17</v>
      </c>
      <c r="Q324" s="18">
        <v>28</v>
      </c>
      <c r="R324" s="24">
        <v>28</v>
      </c>
      <c r="S324" s="18">
        <v>37</v>
      </c>
      <c r="T324" s="18">
        <v>20</v>
      </c>
      <c r="U324" s="18">
        <v>26.666666666666668</v>
      </c>
      <c r="V324" s="18">
        <v>31.25</v>
      </c>
      <c r="W324" s="11">
        <v>47.058823529411761</v>
      </c>
      <c r="X324" s="11">
        <v>89.285714285714292</v>
      </c>
      <c r="Y324" s="11">
        <v>85.714285714285708</v>
      </c>
      <c r="Z324" s="11">
        <v>86.486486486486484</v>
      </c>
      <c r="AA324" s="11">
        <f t="shared" si="54"/>
        <v>34.991830065359473</v>
      </c>
      <c r="AB324" s="27">
        <f t="shared" si="55"/>
        <v>87.162162162162147</v>
      </c>
      <c r="AC324" s="2">
        <f t="shared" si="56"/>
        <v>5.666666666666667</v>
      </c>
      <c r="AD324" s="2">
        <f t="shared" si="57"/>
        <v>27</v>
      </c>
    </row>
    <row r="325" spans="1:30" x14ac:dyDescent="0.3">
      <c r="A325" s="1" t="s">
        <v>437</v>
      </c>
      <c r="B325" s="1" t="s">
        <v>455</v>
      </c>
      <c r="C325" s="1" t="s">
        <v>457</v>
      </c>
      <c r="D325" s="1" t="s">
        <v>457</v>
      </c>
      <c r="E325" s="2">
        <v>80703</v>
      </c>
      <c r="F325" s="18">
        <v>0</v>
      </c>
      <c r="G325" s="18">
        <v>0</v>
      </c>
      <c r="H325" s="18">
        <v>0</v>
      </c>
      <c r="I325" s="18">
        <v>1</v>
      </c>
      <c r="J325" s="18">
        <v>2</v>
      </c>
      <c r="K325" s="18">
        <v>4</v>
      </c>
      <c r="L325" s="11">
        <v>5</v>
      </c>
      <c r="M325" s="11">
        <v>3</v>
      </c>
      <c r="N325" s="11">
        <v>4</v>
      </c>
      <c r="O325" s="11">
        <v>4</v>
      </c>
      <c r="P325" s="18">
        <v>3</v>
      </c>
      <c r="Q325" s="18">
        <v>7</v>
      </c>
      <c r="R325" s="24">
        <v>9</v>
      </c>
      <c r="S325" s="18">
        <v>9</v>
      </c>
      <c r="T325" s="18">
        <v>0</v>
      </c>
      <c r="U325" s="18">
        <v>0</v>
      </c>
      <c r="V325" s="18">
        <v>0</v>
      </c>
      <c r="W325" s="11">
        <v>33.333333333333329</v>
      </c>
      <c r="X325" s="11">
        <v>28.571428571428569</v>
      </c>
      <c r="Y325" s="11">
        <v>44.444444444444443</v>
      </c>
      <c r="Z325" s="11">
        <v>55.555555555555557</v>
      </c>
      <c r="AA325" s="11">
        <f t="shared" si="54"/>
        <v>11.111111111111109</v>
      </c>
      <c r="AB325" s="27">
        <f t="shared" si="55"/>
        <v>42.857142857142854</v>
      </c>
      <c r="AC325" s="2">
        <f t="shared" si="56"/>
        <v>0.33333333333333331</v>
      </c>
      <c r="AD325" s="2">
        <f t="shared" si="57"/>
        <v>3.6666666666666665</v>
      </c>
    </row>
    <row r="326" spans="1:30" x14ac:dyDescent="0.3">
      <c r="A326" s="1" t="s">
        <v>437</v>
      </c>
      <c r="B326" s="1" t="s">
        <v>458</v>
      </c>
      <c r="C326" s="1" t="s">
        <v>459</v>
      </c>
      <c r="D326" s="1" t="s">
        <v>459</v>
      </c>
      <c r="E326" s="2">
        <v>80801</v>
      </c>
      <c r="F326" s="18">
        <v>5</v>
      </c>
      <c r="G326" s="18">
        <v>19</v>
      </c>
      <c r="H326" s="18">
        <v>23</v>
      </c>
      <c r="I326" s="18">
        <v>27</v>
      </c>
      <c r="J326" s="18">
        <v>80</v>
      </c>
      <c r="K326" s="18">
        <v>83</v>
      </c>
      <c r="L326" s="11">
        <v>89</v>
      </c>
      <c r="M326" s="11">
        <v>62</v>
      </c>
      <c r="N326" s="11">
        <v>64</v>
      </c>
      <c r="O326" s="11">
        <v>76</v>
      </c>
      <c r="P326" s="18">
        <v>77</v>
      </c>
      <c r="Q326" s="18">
        <v>105</v>
      </c>
      <c r="R326" s="24">
        <v>109</v>
      </c>
      <c r="S326" s="18">
        <v>113</v>
      </c>
      <c r="T326" s="18">
        <v>8.064516129032258</v>
      </c>
      <c r="U326" s="18">
        <v>29.6875</v>
      </c>
      <c r="V326" s="18">
        <v>30.263157894736842</v>
      </c>
      <c r="W326" s="11">
        <v>35.064935064935064</v>
      </c>
      <c r="X326" s="11">
        <v>76.19047619047619</v>
      </c>
      <c r="Y326" s="11">
        <v>76.146788990825684</v>
      </c>
      <c r="Z326" s="11">
        <v>78.761061946902657</v>
      </c>
      <c r="AA326" s="11">
        <f t="shared" si="54"/>
        <v>31.671864319890634</v>
      </c>
      <c r="AB326" s="27">
        <f t="shared" si="55"/>
        <v>77.032775709401506</v>
      </c>
      <c r="AC326" s="2">
        <f t="shared" si="56"/>
        <v>23</v>
      </c>
      <c r="AD326" s="2">
        <f t="shared" si="57"/>
        <v>84</v>
      </c>
    </row>
    <row r="327" spans="1:30" x14ac:dyDescent="0.3">
      <c r="A327" s="1" t="s">
        <v>437</v>
      </c>
      <c r="B327" s="1" t="s">
        <v>458</v>
      </c>
      <c r="C327" s="1" t="s">
        <v>460</v>
      </c>
      <c r="D327" s="1" t="s">
        <v>460</v>
      </c>
      <c r="E327" s="2">
        <v>80802</v>
      </c>
      <c r="F327" s="18">
        <v>4</v>
      </c>
      <c r="G327" s="18">
        <v>6</v>
      </c>
      <c r="H327" s="18">
        <v>7</v>
      </c>
      <c r="I327" s="18">
        <v>9</v>
      </c>
      <c r="J327" s="18">
        <v>44</v>
      </c>
      <c r="K327" s="18">
        <v>47</v>
      </c>
      <c r="L327" s="11">
        <v>49</v>
      </c>
      <c r="M327" s="11">
        <v>21</v>
      </c>
      <c r="N327" s="11">
        <v>20</v>
      </c>
      <c r="O327" s="11">
        <v>28</v>
      </c>
      <c r="P327" s="18">
        <v>28</v>
      </c>
      <c r="Q327" s="18">
        <v>50</v>
      </c>
      <c r="R327" s="24">
        <v>54</v>
      </c>
      <c r="S327" s="18">
        <v>55</v>
      </c>
      <c r="T327" s="18">
        <v>19.047619047619047</v>
      </c>
      <c r="U327" s="18">
        <v>30</v>
      </c>
      <c r="V327" s="18">
        <v>25</v>
      </c>
      <c r="W327" s="11">
        <v>32.142857142857146</v>
      </c>
      <c r="X327" s="11">
        <v>88</v>
      </c>
      <c r="Y327" s="11">
        <v>87.037037037037038</v>
      </c>
      <c r="Z327" s="11">
        <v>89.090909090909093</v>
      </c>
      <c r="AA327" s="11">
        <f t="shared" si="54"/>
        <v>29.047619047619047</v>
      </c>
      <c r="AB327" s="27">
        <f t="shared" si="55"/>
        <v>88.042648709315372</v>
      </c>
      <c r="AC327" s="2">
        <f t="shared" si="56"/>
        <v>7.333333333333333</v>
      </c>
      <c r="AD327" s="2">
        <f t="shared" si="57"/>
        <v>46.666666666666664</v>
      </c>
    </row>
    <row r="328" spans="1:30" x14ac:dyDescent="0.3">
      <c r="A328" s="1" t="s">
        <v>437</v>
      </c>
      <c r="B328" s="1" t="s">
        <v>458</v>
      </c>
      <c r="C328" s="1" t="s">
        <v>461</v>
      </c>
      <c r="D328" s="1" t="s">
        <v>461</v>
      </c>
      <c r="E328" s="2">
        <v>80803</v>
      </c>
      <c r="F328" s="18">
        <v>1</v>
      </c>
      <c r="G328" s="18">
        <v>3</v>
      </c>
      <c r="H328" s="18">
        <v>3</v>
      </c>
      <c r="I328" s="18">
        <v>6</v>
      </c>
      <c r="J328" s="18">
        <v>21</v>
      </c>
      <c r="K328" s="18">
        <v>21</v>
      </c>
      <c r="L328" s="11">
        <v>22</v>
      </c>
      <c r="M328" s="11">
        <v>25</v>
      </c>
      <c r="N328" s="11">
        <v>24</v>
      </c>
      <c r="O328" s="11">
        <v>22</v>
      </c>
      <c r="P328" s="18">
        <v>24</v>
      </c>
      <c r="Q328" s="18">
        <v>23</v>
      </c>
      <c r="R328" s="24">
        <v>24</v>
      </c>
      <c r="S328" s="18">
        <v>23</v>
      </c>
      <c r="T328" s="18">
        <v>4</v>
      </c>
      <c r="U328" s="18">
        <v>12.5</v>
      </c>
      <c r="V328" s="18">
        <v>13.636363636363635</v>
      </c>
      <c r="W328" s="11">
        <v>25</v>
      </c>
      <c r="X328" s="11">
        <v>91.304347826086953</v>
      </c>
      <c r="Y328" s="11">
        <v>87.5</v>
      </c>
      <c r="Z328" s="11">
        <v>95.652173913043484</v>
      </c>
      <c r="AA328" s="11">
        <f t="shared" si="54"/>
        <v>17.045454545454543</v>
      </c>
      <c r="AB328" s="27">
        <f t="shared" si="55"/>
        <v>91.485507246376812</v>
      </c>
      <c r="AC328" s="2">
        <f t="shared" si="56"/>
        <v>4</v>
      </c>
      <c r="AD328" s="2">
        <f t="shared" si="57"/>
        <v>21.333333333333332</v>
      </c>
    </row>
    <row r="329" spans="1:30" x14ac:dyDescent="0.3">
      <c r="A329" s="1" t="s">
        <v>437</v>
      </c>
      <c r="B329" s="1" t="s">
        <v>451</v>
      </c>
      <c r="C329" s="1" t="s">
        <v>462</v>
      </c>
      <c r="D329" s="1" t="s">
        <v>462</v>
      </c>
      <c r="E329" s="2">
        <v>80901</v>
      </c>
      <c r="F329" s="18">
        <v>16</v>
      </c>
      <c r="G329" s="18">
        <v>33.5</v>
      </c>
      <c r="H329" s="18">
        <v>38</v>
      </c>
      <c r="I329" s="18">
        <v>38.5</v>
      </c>
      <c r="J329" s="18">
        <v>105.5</v>
      </c>
      <c r="K329" s="18">
        <v>112.5</v>
      </c>
      <c r="L329" s="11">
        <v>116.5</v>
      </c>
      <c r="M329" s="11">
        <v>68.5</v>
      </c>
      <c r="N329" s="11">
        <v>70.5</v>
      </c>
      <c r="O329" s="11">
        <v>97.5</v>
      </c>
      <c r="P329" s="18">
        <v>99.5</v>
      </c>
      <c r="Q329" s="18">
        <v>131.5</v>
      </c>
      <c r="R329" s="24">
        <v>140.5</v>
      </c>
      <c r="S329" s="18">
        <v>144.5</v>
      </c>
      <c r="T329" s="18">
        <f>(F329/M329)*100</f>
        <v>23.357664233576642</v>
      </c>
      <c r="U329" s="18">
        <f t="shared" ref="U329:Z329" si="58">(G329/N329)*100</f>
        <v>47.5177304964539</v>
      </c>
      <c r="V329" s="18">
        <f t="shared" si="58"/>
        <v>38.974358974358978</v>
      </c>
      <c r="W329" s="18">
        <f t="shared" si="58"/>
        <v>38.693467336683419</v>
      </c>
      <c r="X329" s="18">
        <f t="shared" si="58"/>
        <v>80.228136882129277</v>
      </c>
      <c r="Y329" s="18">
        <f t="shared" si="58"/>
        <v>80.071174377224196</v>
      </c>
      <c r="Z329" s="18">
        <f t="shared" si="58"/>
        <v>80.622837370242223</v>
      </c>
      <c r="AA329" s="11">
        <f t="shared" si="54"/>
        <v>41.728518935832106</v>
      </c>
      <c r="AB329" s="27">
        <f t="shared" si="55"/>
        <v>80.307382876531904</v>
      </c>
      <c r="AC329" s="2">
        <f t="shared" si="56"/>
        <v>36.666666666666664</v>
      </c>
      <c r="AD329" s="2">
        <f t="shared" si="57"/>
        <v>111.5</v>
      </c>
    </row>
    <row r="330" spans="1:30" x14ac:dyDescent="0.3">
      <c r="A330" s="1" t="s">
        <v>463</v>
      </c>
      <c r="B330" s="1" t="s">
        <v>464</v>
      </c>
      <c r="C330" s="1" t="s">
        <v>465</v>
      </c>
      <c r="D330" s="1" t="s">
        <v>465</v>
      </c>
      <c r="E330" s="2">
        <v>90101</v>
      </c>
      <c r="F330" s="18">
        <v>48</v>
      </c>
      <c r="G330" s="18">
        <v>62</v>
      </c>
      <c r="H330" s="18">
        <v>80</v>
      </c>
      <c r="I330" s="18">
        <v>97</v>
      </c>
      <c r="J330" s="18">
        <v>221</v>
      </c>
      <c r="K330" s="18">
        <v>232</v>
      </c>
      <c r="L330" s="11">
        <v>241</v>
      </c>
      <c r="M330" s="11">
        <v>99</v>
      </c>
      <c r="N330" s="11">
        <v>110</v>
      </c>
      <c r="O330" s="11">
        <v>139</v>
      </c>
      <c r="P330" s="18">
        <v>156</v>
      </c>
      <c r="Q330" s="18">
        <v>292</v>
      </c>
      <c r="R330" s="24">
        <v>301</v>
      </c>
      <c r="S330" s="18">
        <v>310</v>
      </c>
      <c r="T330" s="18">
        <v>48.484848484848484</v>
      </c>
      <c r="U330" s="18">
        <v>56.36363636363636</v>
      </c>
      <c r="V330" s="18">
        <v>57.553956834532372</v>
      </c>
      <c r="W330" s="11">
        <v>62.179487179487182</v>
      </c>
      <c r="X330" s="11">
        <v>75.684931506849324</v>
      </c>
      <c r="Y330" s="11">
        <v>77.076411960132901</v>
      </c>
      <c r="Z330" s="11">
        <v>77.741935483870975</v>
      </c>
      <c r="AA330" s="11">
        <f t="shared" si="54"/>
        <v>58.699026792551969</v>
      </c>
      <c r="AB330" s="27">
        <f t="shared" si="55"/>
        <v>76.834426316951067</v>
      </c>
      <c r="AC330" s="2">
        <f t="shared" si="56"/>
        <v>79.666666666666671</v>
      </c>
      <c r="AD330" s="2">
        <f t="shared" si="57"/>
        <v>231.33333333333334</v>
      </c>
    </row>
    <row r="331" spans="1:30" x14ac:dyDescent="0.3">
      <c r="A331" s="1" t="s">
        <v>463</v>
      </c>
      <c r="B331" s="1" t="s">
        <v>464</v>
      </c>
      <c r="C331" s="1" t="s">
        <v>466</v>
      </c>
      <c r="D331" s="1" t="s">
        <v>466</v>
      </c>
      <c r="E331" s="2">
        <v>90102</v>
      </c>
      <c r="F331" s="18">
        <v>8</v>
      </c>
      <c r="G331" s="18">
        <v>13</v>
      </c>
      <c r="H331" s="18">
        <v>24</v>
      </c>
      <c r="I331" s="18">
        <v>19</v>
      </c>
      <c r="J331" s="18">
        <v>24</v>
      </c>
      <c r="K331" s="18">
        <v>28</v>
      </c>
      <c r="L331" s="11">
        <v>32</v>
      </c>
      <c r="M331" s="11">
        <v>16</v>
      </c>
      <c r="N331" s="11">
        <v>16</v>
      </c>
      <c r="O331" s="11">
        <v>30</v>
      </c>
      <c r="P331" s="18">
        <v>23</v>
      </c>
      <c r="Q331" s="18">
        <v>32</v>
      </c>
      <c r="R331" s="24">
        <v>36</v>
      </c>
      <c r="S331" s="18">
        <v>42</v>
      </c>
      <c r="T331" s="18">
        <v>50</v>
      </c>
      <c r="U331" s="18">
        <v>81.25</v>
      </c>
      <c r="V331" s="18">
        <v>80</v>
      </c>
      <c r="W331" s="11">
        <v>82.608695652173907</v>
      </c>
      <c r="X331" s="11">
        <v>75</v>
      </c>
      <c r="Y331" s="11">
        <v>77.777777777777786</v>
      </c>
      <c r="Z331" s="11">
        <v>76.19047619047619</v>
      </c>
      <c r="AA331" s="11">
        <f t="shared" si="54"/>
        <v>81.286231884057969</v>
      </c>
      <c r="AB331" s="27">
        <f t="shared" si="55"/>
        <v>76.32275132275133</v>
      </c>
      <c r="AC331" s="2">
        <f t="shared" si="56"/>
        <v>18.666666666666668</v>
      </c>
      <c r="AD331" s="2">
        <f t="shared" si="57"/>
        <v>28</v>
      </c>
    </row>
    <row r="332" spans="1:30" x14ac:dyDescent="0.3">
      <c r="A332" s="1" t="s">
        <v>463</v>
      </c>
      <c r="B332" s="1" t="s">
        <v>464</v>
      </c>
      <c r="C332" s="1" t="s">
        <v>467</v>
      </c>
      <c r="D332" s="1" t="s">
        <v>467</v>
      </c>
      <c r="E332" s="2">
        <v>90103</v>
      </c>
      <c r="F332" s="18">
        <v>2</v>
      </c>
      <c r="G332" s="18">
        <v>4</v>
      </c>
      <c r="H332" s="18">
        <v>5</v>
      </c>
      <c r="I332" s="18">
        <v>8</v>
      </c>
      <c r="J332" s="18">
        <v>26</v>
      </c>
      <c r="K332" s="18">
        <v>25</v>
      </c>
      <c r="L332" s="11">
        <v>28</v>
      </c>
      <c r="M332" s="11">
        <v>8</v>
      </c>
      <c r="N332" s="11">
        <v>8</v>
      </c>
      <c r="O332" s="11">
        <v>10</v>
      </c>
      <c r="P332" s="18">
        <v>12</v>
      </c>
      <c r="Q332" s="18">
        <v>29</v>
      </c>
      <c r="R332" s="24">
        <v>30</v>
      </c>
      <c r="S332" s="18">
        <v>32</v>
      </c>
      <c r="T332" s="18">
        <v>25</v>
      </c>
      <c r="U332" s="18">
        <v>50</v>
      </c>
      <c r="V332" s="18">
        <v>50</v>
      </c>
      <c r="W332" s="11">
        <v>66.666666666666657</v>
      </c>
      <c r="X332" s="11">
        <v>89.65517241379311</v>
      </c>
      <c r="Y332" s="11">
        <v>83.333333333333343</v>
      </c>
      <c r="Z332" s="11">
        <v>87.5</v>
      </c>
      <c r="AA332" s="11">
        <f t="shared" si="54"/>
        <v>55.55555555555555</v>
      </c>
      <c r="AB332" s="27">
        <f t="shared" si="55"/>
        <v>86.829501915708818</v>
      </c>
      <c r="AC332" s="2">
        <f t="shared" si="56"/>
        <v>5.666666666666667</v>
      </c>
      <c r="AD332" s="2">
        <f t="shared" si="57"/>
        <v>26.333333333333332</v>
      </c>
    </row>
    <row r="333" spans="1:30" x14ac:dyDescent="0.3">
      <c r="A333" s="1" t="s">
        <v>463</v>
      </c>
      <c r="B333" s="1" t="s">
        <v>464</v>
      </c>
      <c r="C333" s="1" t="s">
        <v>468</v>
      </c>
      <c r="D333" s="1" t="s">
        <v>468</v>
      </c>
      <c r="E333" s="2">
        <v>90104</v>
      </c>
      <c r="F333" s="18">
        <v>1</v>
      </c>
      <c r="G333" s="18">
        <v>2</v>
      </c>
      <c r="H333" s="18">
        <v>7</v>
      </c>
      <c r="I333" s="18">
        <v>10</v>
      </c>
      <c r="J333" s="18">
        <v>42</v>
      </c>
      <c r="K333" s="18">
        <v>46</v>
      </c>
      <c r="L333" s="11">
        <v>49</v>
      </c>
      <c r="M333" s="11">
        <v>4</v>
      </c>
      <c r="N333" s="11">
        <v>6</v>
      </c>
      <c r="O333" s="11">
        <v>11</v>
      </c>
      <c r="P333" s="18">
        <v>16</v>
      </c>
      <c r="Q333" s="18">
        <v>53</v>
      </c>
      <c r="R333" s="24">
        <v>55</v>
      </c>
      <c r="S333" s="18">
        <v>54</v>
      </c>
      <c r="T333" s="18">
        <v>25</v>
      </c>
      <c r="U333" s="18">
        <v>33.333333333333329</v>
      </c>
      <c r="V333" s="18">
        <v>63.636363636363633</v>
      </c>
      <c r="W333" s="11">
        <v>62.5</v>
      </c>
      <c r="X333" s="11">
        <v>79.245283018867923</v>
      </c>
      <c r="Y333" s="11">
        <v>83.636363636363626</v>
      </c>
      <c r="Z333" s="11">
        <v>90.740740740740748</v>
      </c>
      <c r="AA333" s="11">
        <f t="shared" si="54"/>
        <v>53.156565656565654</v>
      </c>
      <c r="AB333" s="27">
        <f t="shared" si="55"/>
        <v>84.540795798657427</v>
      </c>
      <c r="AC333" s="2">
        <f t="shared" si="56"/>
        <v>6.333333333333333</v>
      </c>
      <c r="AD333" s="2">
        <f t="shared" si="57"/>
        <v>45.666666666666664</v>
      </c>
    </row>
    <row r="334" spans="1:30" x14ac:dyDescent="0.3">
      <c r="A334" s="1" t="s">
        <v>463</v>
      </c>
      <c r="B334" s="1" t="s">
        <v>469</v>
      </c>
      <c r="C334" s="1" t="s">
        <v>470</v>
      </c>
      <c r="D334" s="1" t="s">
        <v>470</v>
      </c>
      <c r="E334" s="2">
        <v>90201</v>
      </c>
      <c r="F334" s="18">
        <v>5</v>
      </c>
      <c r="G334" s="18">
        <v>5</v>
      </c>
      <c r="H334" s="18">
        <v>6</v>
      </c>
      <c r="I334" s="18">
        <v>6</v>
      </c>
      <c r="J334" s="18">
        <v>76</v>
      </c>
      <c r="K334" s="18">
        <v>77</v>
      </c>
      <c r="L334" s="11">
        <v>77</v>
      </c>
      <c r="M334" s="11">
        <v>20</v>
      </c>
      <c r="N334" s="11">
        <v>21</v>
      </c>
      <c r="O334" s="11">
        <v>24</v>
      </c>
      <c r="P334" s="18">
        <v>27</v>
      </c>
      <c r="Q334" s="18">
        <v>89</v>
      </c>
      <c r="R334" s="24">
        <v>89</v>
      </c>
      <c r="S334" s="18">
        <v>90</v>
      </c>
      <c r="T334" s="18">
        <v>25</v>
      </c>
      <c r="U334" s="18">
        <v>23.809523809523807</v>
      </c>
      <c r="V334" s="18">
        <v>25</v>
      </c>
      <c r="W334" s="11">
        <v>22.222222222222221</v>
      </c>
      <c r="X334" s="11">
        <v>85.393258426966284</v>
      </c>
      <c r="Y334" s="11">
        <v>86.516853932584269</v>
      </c>
      <c r="Z334" s="11">
        <v>85.555555555555557</v>
      </c>
      <c r="AA334" s="11">
        <f t="shared" si="54"/>
        <v>23.677248677248674</v>
      </c>
      <c r="AB334" s="27">
        <f t="shared" si="55"/>
        <v>85.82188930503537</v>
      </c>
      <c r="AC334" s="2">
        <f t="shared" si="56"/>
        <v>5.666666666666667</v>
      </c>
      <c r="AD334" s="2">
        <f t="shared" si="57"/>
        <v>76.666666666666671</v>
      </c>
    </row>
    <row r="335" spans="1:30" x14ac:dyDescent="0.3">
      <c r="A335" s="1" t="s">
        <v>463</v>
      </c>
      <c r="B335" s="1" t="s">
        <v>469</v>
      </c>
      <c r="C335" s="1" t="s">
        <v>304</v>
      </c>
      <c r="D335" s="1" t="s">
        <v>304</v>
      </c>
      <c r="E335" s="2">
        <v>90202</v>
      </c>
      <c r="F335" s="18">
        <v>0</v>
      </c>
      <c r="G335" s="18">
        <v>2</v>
      </c>
      <c r="H335" s="18">
        <v>2</v>
      </c>
      <c r="I335" s="18">
        <v>2</v>
      </c>
      <c r="J335" s="18">
        <v>12</v>
      </c>
      <c r="K335" s="18">
        <v>12</v>
      </c>
      <c r="L335" s="11">
        <v>12</v>
      </c>
      <c r="M335" s="11">
        <v>1</v>
      </c>
      <c r="N335" s="11">
        <v>3</v>
      </c>
      <c r="O335" s="11">
        <v>3</v>
      </c>
      <c r="P335" s="18">
        <v>3</v>
      </c>
      <c r="Q335" s="18">
        <v>13</v>
      </c>
      <c r="R335" s="24">
        <v>13</v>
      </c>
      <c r="S335" s="18">
        <v>13</v>
      </c>
      <c r="T335" s="18">
        <v>0</v>
      </c>
      <c r="U335" s="18">
        <v>66.666666666666657</v>
      </c>
      <c r="V335" s="18">
        <v>66.666666666666657</v>
      </c>
      <c r="W335" s="11">
        <v>66.666666666666657</v>
      </c>
      <c r="X335" s="11">
        <v>92.307692307692307</v>
      </c>
      <c r="Y335" s="11">
        <v>92.307692307692307</v>
      </c>
      <c r="Z335" s="11">
        <v>92.307692307692307</v>
      </c>
      <c r="AA335" s="11">
        <f t="shared" si="54"/>
        <v>66.666666666666657</v>
      </c>
      <c r="AB335" s="27">
        <f t="shared" si="55"/>
        <v>92.307692307692307</v>
      </c>
      <c r="AC335" s="2">
        <f t="shared" si="56"/>
        <v>2</v>
      </c>
      <c r="AD335" s="2">
        <f t="shared" si="57"/>
        <v>12</v>
      </c>
    </row>
    <row r="336" spans="1:30" x14ac:dyDescent="0.3">
      <c r="A336" s="1" t="s">
        <v>463</v>
      </c>
      <c r="B336" s="1" t="s">
        <v>469</v>
      </c>
      <c r="C336" s="1" t="s">
        <v>471</v>
      </c>
      <c r="D336" s="1" t="s">
        <v>471</v>
      </c>
      <c r="E336" s="2">
        <v>90203</v>
      </c>
      <c r="F336" s="18">
        <v>8</v>
      </c>
      <c r="G336" s="18">
        <v>11</v>
      </c>
      <c r="H336" s="18">
        <v>17</v>
      </c>
      <c r="I336" s="18">
        <v>23</v>
      </c>
      <c r="J336" s="18">
        <v>65</v>
      </c>
      <c r="K336" s="18">
        <v>65</v>
      </c>
      <c r="L336" s="11">
        <v>71</v>
      </c>
      <c r="M336" s="11">
        <v>15</v>
      </c>
      <c r="N336" s="11">
        <v>18</v>
      </c>
      <c r="O336" s="11">
        <v>28</v>
      </c>
      <c r="P336" s="18">
        <v>36</v>
      </c>
      <c r="Q336" s="18">
        <v>80</v>
      </c>
      <c r="R336" s="24">
        <v>81</v>
      </c>
      <c r="S336" s="18">
        <v>86</v>
      </c>
      <c r="T336" s="18">
        <v>53.333333333333336</v>
      </c>
      <c r="U336" s="18">
        <v>61.111111111111114</v>
      </c>
      <c r="V336" s="18">
        <v>60.714285714285708</v>
      </c>
      <c r="W336" s="11">
        <v>63.888888888888886</v>
      </c>
      <c r="X336" s="11">
        <v>81.25</v>
      </c>
      <c r="Y336" s="11">
        <v>80.246913580246911</v>
      </c>
      <c r="Z336" s="11">
        <v>82.558139534883722</v>
      </c>
      <c r="AA336" s="11">
        <f t="shared" si="54"/>
        <v>61.904761904761905</v>
      </c>
      <c r="AB336" s="27">
        <f t="shared" si="55"/>
        <v>81.35168437171022</v>
      </c>
      <c r="AC336" s="2">
        <f t="shared" si="56"/>
        <v>17</v>
      </c>
      <c r="AD336" s="2">
        <f t="shared" si="57"/>
        <v>67</v>
      </c>
    </row>
    <row r="337" spans="1:30" x14ac:dyDescent="0.3">
      <c r="A337" s="1" t="s">
        <v>463</v>
      </c>
      <c r="B337" s="1" t="s">
        <v>472</v>
      </c>
      <c r="C337" s="1" t="s">
        <v>473</v>
      </c>
      <c r="D337" s="1" t="s">
        <v>473</v>
      </c>
      <c r="E337" s="2">
        <v>90301</v>
      </c>
      <c r="F337" s="18">
        <v>1</v>
      </c>
      <c r="G337" s="18">
        <v>1</v>
      </c>
      <c r="H337" s="18">
        <v>4</v>
      </c>
      <c r="I337" s="18">
        <v>4</v>
      </c>
      <c r="J337" s="18">
        <v>40</v>
      </c>
      <c r="K337" s="18">
        <v>42</v>
      </c>
      <c r="L337" s="11">
        <v>47</v>
      </c>
      <c r="M337" s="11">
        <v>40</v>
      </c>
      <c r="N337" s="11">
        <v>39</v>
      </c>
      <c r="O337" s="11">
        <v>50</v>
      </c>
      <c r="P337" s="18">
        <v>55</v>
      </c>
      <c r="Q337" s="18">
        <v>64</v>
      </c>
      <c r="R337" s="24">
        <v>64</v>
      </c>
      <c r="S337" s="18">
        <v>65</v>
      </c>
      <c r="T337" s="18">
        <v>2.5</v>
      </c>
      <c r="U337" s="18">
        <v>2.5641025641025639</v>
      </c>
      <c r="V337" s="18">
        <v>8</v>
      </c>
      <c r="W337" s="11">
        <v>7.2727272727272725</v>
      </c>
      <c r="X337" s="11">
        <v>62.5</v>
      </c>
      <c r="Y337" s="11">
        <v>65.625</v>
      </c>
      <c r="Z337" s="11">
        <v>72.307692307692307</v>
      </c>
      <c r="AA337" s="11">
        <f t="shared" si="54"/>
        <v>5.9456099456099452</v>
      </c>
      <c r="AB337" s="27">
        <f t="shared" si="55"/>
        <v>66.810897435897445</v>
      </c>
      <c r="AC337" s="2">
        <f t="shared" si="56"/>
        <v>3</v>
      </c>
      <c r="AD337" s="2">
        <f t="shared" si="57"/>
        <v>43</v>
      </c>
    </row>
    <row r="338" spans="1:30" x14ac:dyDescent="0.3">
      <c r="A338" s="1" t="s">
        <v>463</v>
      </c>
      <c r="B338" s="1" t="s">
        <v>472</v>
      </c>
      <c r="C338" s="1" t="s">
        <v>359</v>
      </c>
      <c r="D338" s="1" t="s">
        <v>359</v>
      </c>
      <c r="E338" s="2">
        <v>90302</v>
      </c>
      <c r="F338" s="18">
        <v>5</v>
      </c>
      <c r="G338" s="18">
        <v>6</v>
      </c>
      <c r="H338" s="18">
        <v>4</v>
      </c>
      <c r="I338" s="18">
        <v>4</v>
      </c>
      <c r="J338" s="18">
        <v>49</v>
      </c>
      <c r="K338" s="18">
        <v>52</v>
      </c>
      <c r="L338" s="11">
        <v>51</v>
      </c>
      <c r="M338" s="11">
        <v>13</v>
      </c>
      <c r="N338" s="11">
        <v>16</v>
      </c>
      <c r="O338" s="11">
        <v>22</v>
      </c>
      <c r="P338" s="18">
        <v>25</v>
      </c>
      <c r="Q338" s="18">
        <v>63</v>
      </c>
      <c r="R338" s="24">
        <v>67</v>
      </c>
      <c r="S338" s="18">
        <v>69</v>
      </c>
      <c r="T338" s="18">
        <v>38.461538461538467</v>
      </c>
      <c r="U338" s="18">
        <v>37.5</v>
      </c>
      <c r="V338" s="18">
        <v>18.181818181818183</v>
      </c>
      <c r="W338" s="11">
        <v>16</v>
      </c>
      <c r="X338" s="11">
        <v>77.777777777777786</v>
      </c>
      <c r="Y338" s="11">
        <v>77.611940298507463</v>
      </c>
      <c r="Z338" s="11">
        <v>73.91304347826086</v>
      </c>
      <c r="AA338" s="11">
        <f t="shared" si="54"/>
        <v>23.893939393939394</v>
      </c>
      <c r="AB338" s="27">
        <f t="shared" si="55"/>
        <v>76.434253851515379</v>
      </c>
      <c r="AC338" s="2">
        <f t="shared" si="56"/>
        <v>4.666666666666667</v>
      </c>
      <c r="AD338" s="2">
        <f t="shared" si="57"/>
        <v>50.666666666666664</v>
      </c>
    </row>
    <row r="339" spans="1:30" x14ac:dyDescent="0.3">
      <c r="A339" s="1" t="s">
        <v>463</v>
      </c>
      <c r="B339" s="1" t="s">
        <v>472</v>
      </c>
      <c r="C339" s="1" t="s">
        <v>474</v>
      </c>
      <c r="D339" s="1" t="s">
        <v>474</v>
      </c>
      <c r="E339" s="2">
        <v>90303</v>
      </c>
      <c r="F339" s="18">
        <v>1</v>
      </c>
      <c r="G339" s="18">
        <v>1</v>
      </c>
      <c r="H339" s="18">
        <v>3</v>
      </c>
      <c r="I339" s="18">
        <v>5</v>
      </c>
      <c r="J339" s="18">
        <v>46</v>
      </c>
      <c r="K339" s="18">
        <v>58</v>
      </c>
      <c r="L339" s="11">
        <v>66</v>
      </c>
      <c r="M339" s="11">
        <v>7</v>
      </c>
      <c r="N339" s="11">
        <v>7</v>
      </c>
      <c r="O339" s="11">
        <v>9</v>
      </c>
      <c r="P339" s="18">
        <v>10</v>
      </c>
      <c r="Q339" s="18">
        <v>50</v>
      </c>
      <c r="R339" s="24">
        <v>61</v>
      </c>
      <c r="S339" s="18">
        <v>71</v>
      </c>
      <c r="T339" s="18">
        <v>14.285714285714285</v>
      </c>
      <c r="U339" s="18">
        <v>14.285714285714285</v>
      </c>
      <c r="V339" s="18">
        <v>33.333333333333329</v>
      </c>
      <c r="W339" s="11">
        <v>50</v>
      </c>
      <c r="X339" s="11">
        <v>92</v>
      </c>
      <c r="Y339" s="11">
        <v>95.081967213114751</v>
      </c>
      <c r="Z339" s="11">
        <v>92.957746478873233</v>
      </c>
      <c r="AA339" s="11">
        <f t="shared" si="54"/>
        <v>32.539682539682538</v>
      </c>
      <c r="AB339" s="27">
        <f t="shared" si="55"/>
        <v>93.346571230662661</v>
      </c>
      <c r="AC339" s="2">
        <f t="shared" si="56"/>
        <v>3</v>
      </c>
      <c r="AD339" s="2">
        <f t="shared" si="57"/>
        <v>56.666666666666664</v>
      </c>
    </row>
    <row r="340" spans="1:30" x14ac:dyDescent="0.3">
      <c r="A340" s="1" t="s">
        <v>463</v>
      </c>
      <c r="B340" s="1" t="s">
        <v>475</v>
      </c>
      <c r="C340" s="1" t="s">
        <v>392</v>
      </c>
      <c r="D340" s="1" t="s">
        <v>392</v>
      </c>
      <c r="E340" s="2">
        <v>90401</v>
      </c>
      <c r="F340" s="18">
        <v>0</v>
      </c>
      <c r="G340" s="18">
        <v>0</v>
      </c>
      <c r="H340" s="18">
        <v>5</v>
      </c>
      <c r="I340" s="18">
        <v>6</v>
      </c>
      <c r="J340" s="18">
        <v>28</v>
      </c>
      <c r="K340" s="18">
        <v>30</v>
      </c>
      <c r="L340" s="11">
        <v>31</v>
      </c>
      <c r="M340" s="11">
        <v>3</v>
      </c>
      <c r="N340" s="11">
        <v>3</v>
      </c>
      <c r="O340" s="11">
        <v>9</v>
      </c>
      <c r="P340" s="18">
        <v>14</v>
      </c>
      <c r="Q340" s="18">
        <v>34</v>
      </c>
      <c r="R340" s="24">
        <v>36</v>
      </c>
      <c r="S340" s="18">
        <v>37</v>
      </c>
      <c r="T340" s="18">
        <v>0</v>
      </c>
      <c r="U340" s="18">
        <v>0</v>
      </c>
      <c r="V340" s="18">
        <v>55.555555555555557</v>
      </c>
      <c r="W340" s="11">
        <v>42.857142857142854</v>
      </c>
      <c r="X340" s="11">
        <v>82.35294117647058</v>
      </c>
      <c r="Y340" s="11">
        <v>83.333333333333343</v>
      </c>
      <c r="Z340" s="11">
        <v>83.78378378378379</v>
      </c>
      <c r="AA340" s="11">
        <f t="shared" si="54"/>
        <v>32.804232804232804</v>
      </c>
      <c r="AB340" s="27">
        <f t="shared" si="55"/>
        <v>83.156686097862575</v>
      </c>
      <c r="AC340" s="2">
        <f t="shared" si="56"/>
        <v>3.6666666666666665</v>
      </c>
      <c r="AD340" s="2">
        <f t="shared" si="57"/>
        <v>29.666666666666668</v>
      </c>
    </row>
    <row r="341" spans="1:30" x14ac:dyDescent="0.3">
      <c r="A341" s="1" t="s">
        <v>463</v>
      </c>
      <c r="B341" s="1" t="s">
        <v>475</v>
      </c>
      <c r="C341" s="1" t="s">
        <v>98</v>
      </c>
      <c r="D341" s="1" t="s">
        <v>98</v>
      </c>
      <c r="E341" s="2">
        <v>90402</v>
      </c>
      <c r="F341" s="18">
        <v>1</v>
      </c>
      <c r="G341" s="18">
        <v>0</v>
      </c>
      <c r="H341" s="18">
        <v>1</v>
      </c>
      <c r="I341" s="18">
        <v>1</v>
      </c>
      <c r="J341" s="18">
        <v>14</v>
      </c>
      <c r="K341" s="18">
        <v>12</v>
      </c>
      <c r="L341" s="11">
        <v>14</v>
      </c>
      <c r="M341" s="11">
        <v>1</v>
      </c>
      <c r="N341" s="11">
        <v>0</v>
      </c>
      <c r="O341" s="11">
        <v>4</v>
      </c>
      <c r="P341" s="18">
        <v>5</v>
      </c>
      <c r="Q341" s="18">
        <v>15</v>
      </c>
      <c r="R341" s="24">
        <v>14</v>
      </c>
      <c r="S341" s="18">
        <v>15</v>
      </c>
      <c r="T341" s="18">
        <v>100</v>
      </c>
      <c r="U341" s="18"/>
      <c r="V341" s="18">
        <v>25</v>
      </c>
      <c r="W341" s="11">
        <v>20</v>
      </c>
      <c r="X341" s="11">
        <v>93.333333333333329</v>
      </c>
      <c r="Y341" s="11">
        <v>85.714285714285708</v>
      </c>
      <c r="Z341" s="11">
        <v>93.333333333333329</v>
      </c>
      <c r="AA341" s="11">
        <f t="shared" si="54"/>
        <v>22.5</v>
      </c>
      <c r="AB341" s="27">
        <f t="shared" si="55"/>
        <v>90.793650793650784</v>
      </c>
      <c r="AC341" s="2">
        <f t="shared" si="56"/>
        <v>0.66666666666666663</v>
      </c>
      <c r="AD341" s="2">
        <f t="shared" si="57"/>
        <v>13.333333333333334</v>
      </c>
    </row>
    <row r="342" spans="1:30" x14ac:dyDescent="0.3">
      <c r="A342" s="1" t="s">
        <v>463</v>
      </c>
      <c r="B342" s="1" t="s">
        <v>476</v>
      </c>
      <c r="C342" s="1" t="s">
        <v>477</v>
      </c>
      <c r="D342" s="1" t="s">
        <v>477</v>
      </c>
      <c r="E342" s="2">
        <v>90501</v>
      </c>
      <c r="F342" s="18">
        <v>0</v>
      </c>
      <c r="G342" s="18">
        <v>1</v>
      </c>
      <c r="H342" s="18">
        <v>1</v>
      </c>
      <c r="I342" s="18">
        <v>1</v>
      </c>
      <c r="J342" s="18">
        <v>37</v>
      </c>
      <c r="K342" s="18">
        <v>43</v>
      </c>
      <c r="L342" s="11">
        <v>43</v>
      </c>
      <c r="M342" s="11">
        <v>4</v>
      </c>
      <c r="N342" s="11">
        <v>5</v>
      </c>
      <c r="O342" s="11">
        <v>6</v>
      </c>
      <c r="P342" s="18">
        <v>6</v>
      </c>
      <c r="Q342" s="18">
        <v>39</v>
      </c>
      <c r="R342" s="24">
        <v>44</v>
      </c>
      <c r="S342" s="18">
        <v>44</v>
      </c>
      <c r="T342" s="18">
        <v>0</v>
      </c>
      <c r="U342" s="18">
        <v>20</v>
      </c>
      <c r="V342" s="18">
        <v>16.666666666666664</v>
      </c>
      <c r="W342" s="11">
        <v>16.666666666666664</v>
      </c>
      <c r="X342" s="11">
        <v>94.871794871794862</v>
      </c>
      <c r="Y342" s="11">
        <v>97.727272727272734</v>
      </c>
      <c r="Z342" s="11">
        <v>97.727272727272734</v>
      </c>
      <c r="AA342" s="11">
        <f t="shared" si="54"/>
        <v>17.777777777777775</v>
      </c>
      <c r="AB342" s="27">
        <f t="shared" si="55"/>
        <v>96.775446775446781</v>
      </c>
      <c r="AC342" s="2">
        <f t="shared" si="56"/>
        <v>1</v>
      </c>
      <c r="AD342" s="2">
        <f t="shared" si="57"/>
        <v>41</v>
      </c>
    </row>
    <row r="343" spans="1:30" x14ac:dyDescent="0.3">
      <c r="A343" s="1" t="s">
        <v>463</v>
      </c>
      <c r="B343" s="1" t="s">
        <v>476</v>
      </c>
      <c r="C343" s="1" t="s">
        <v>478</v>
      </c>
      <c r="D343" s="1" t="s">
        <v>479</v>
      </c>
      <c r="E343" s="2">
        <v>90502</v>
      </c>
      <c r="F343" s="18">
        <v>1</v>
      </c>
      <c r="G343" s="18">
        <v>0</v>
      </c>
      <c r="H343" s="18">
        <v>2</v>
      </c>
      <c r="I343" s="18">
        <v>3</v>
      </c>
      <c r="J343" s="18">
        <v>13</v>
      </c>
      <c r="K343" s="18">
        <v>15</v>
      </c>
      <c r="L343" s="11">
        <v>16</v>
      </c>
      <c r="M343" s="11">
        <v>7</v>
      </c>
      <c r="N343" s="11">
        <v>8</v>
      </c>
      <c r="O343" s="11">
        <v>11</v>
      </c>
      <c r="P343" s="18">
        <v>11</v>
      </c>
      <c r="Q343" s="18">
        <v>14</v>
      </c>
      <c r="R343" s="24">
        <v>16</v>
      </c>
      <c r="S343" s="18">
        <v>17</v>
      </c>
      <c r="T343" s="18">
        <v>14.285714285714285</v>
      </c>
      <c r="U343" s="18">
        <v>0</v>
      </c>
      <c r="V343" s="18">
        <v>18.181818181818183</v>
      </c>
      <c r="W343" s="11">
        <v>27.27272727272727</v>
      </c>
      <c r="X343" s="11">
        <v>92.857142857142861</v>
      </c>
      <c r="Y343" s="11">
        <v>93.75</v>
      </c>
      <c r="Z343" s="11">
        <v>94.117647058823522</v>
      </c>
      <c r="AA343" s="11">
        <f t="shared" si="54"/>
        <v>15.15151515151515</v>
      </c>
      <c r="AB343" s="27">
        <f t="shared" si="55"/>
        <v>93.574929971988794</v>
      </c>
      <c r="AC343" s="2">
        <f t="shared" si="56"/>
        <v>1.6666666666666667</v>
      </c>
      <c r="AD343" s="2">
        <f t="shared" si="57"/>
        <v>14.666666666666666</v>
      </c>
    </row>
    <row r="344" spans="1:30" x14ac:dyDescent="0.3">
      <c r="A344" s="1" t="s">
        <v>463</v>
      </c>
      <c r="B344" s="1" t="s">
        <v>476</v>
      </c>
      <c r="C344" s="1" t="s">
        <v>480</v>
      </c>
      <c r="D344" s="1" t="s">
        <v>480</v>
      </c>
      <c r="E344" s="2">
        <v>90503</v>
      </c>
      <c r="F344" s="18">
        <v>0</v>
      </c>
      <c r="G344" s="18">
        <v>0</v>
      </c>
      <c r="H344" s="18">
        <v>1</v>
      </c>
      <c r="I344" s="18">
        <v>1</v>
      </c>
      <c r="J344" s="18">
        <v>18</v>
      </c>
      <c r="K344" s="18">
        <v>16</v>
      </c>
      <c r="L344" s="11">
        <v>16</v>
      </c>
      <c r="M344" s="11">
        <v>2</v>
      </c>
      <c r="N344" s="11">
        <v>4</v>
      </c>
      <c r="O344" s="11">
        <v>5</v>
      </c>
      <c r="P344" s="18">
        <v>5</v>
      </c>
      <c r="Q344" s="18">
        <v>20</v>
      </c>
      <c r="R344" s="24">
        <v>19</v>
      </c>
      <c r="S344" s="18">
        <v>18</v>
      </c>
      <c r="T344" s="18">
        <v>0</v>
      </c>
      <c r="U344" s="18">
        <v>0</v>
      </c>
      <c r="V344" s="18">
        <v>20</v>
      </c>
      <c r="W344" s="11">
        <v>20</v>
      </c>
      <c r="X344" s="11">
        <v>90</v>
      </c>
      <c r="Y344" s="11">
        <v>84.210526315789465</v>
      </c>
      <c r="Z344" s="11">
        <v>88.888888888888886</v>
      </c>
      <c r="AA344" s="11">
        <f t="shared" si="54"/>
        <v>13.333333333333334</v>
      </c>
      <c r="AB344" s="27">
        <f t="shared" si="55"/>
        <v>87.699805068226127</v>
      </c>
      <c r="AC344" s="2">
        <f t="shared" si="56"/>
        <v>0.66666666666666663</v>
      </c>
      <c r="AD344" s="2">
        <f t="shared" si="57"/>
        <v>16.666666666666668</v>
      </c>
    </row>
    <row r="347" spans="1:30" x14ac:dyDescent="0.3">
      <c r="O34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topLeftCell="A319" workbookViewId="0">
      <selection activeCell="H10" sqref="H10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3" t="s">
        <v>520</v>
      </c>
      <c r="D1" s="3" t="s">
        <v>521</v>
      </c>
    </row>
    <row r="2" spans="1:4" x14ac:dyDescent="0.3">
      <c r="A2" s="2">
        <v>10101</v>
      </c>
      <c r="B2" s="1" t="s">
        <v>6</v>
      </c>
      <c r="C2" s="4">
        <v>84.366281733221498</v>
      </c>
      <c r="D2" s="4">
        <v>81.891568963976013</v>
      </c>
    </row>
    <row r="3" spans="1:4" x14ac:dyDescent="0.3">
      <c r="A3" s="2">
        <v>10102</v>
      </c>
      <c r="B3" s="1" t="s">
        <v>7</v>
      </c>
      <c r="C3" s="4">
        <v>86.257470128437873</v>
      </c>
      <c r="D3" s="4">
        <v>80.920829085966702</v>
      </c>
    </row>
    <row r="4" spans="1:4" x14ac:dyDescent="0.3">
      <c r="A4" s="2">
        <v>10103</v>
      </c>
      <c r="B4" s="1" t="s">
        <v>8</v>
      </c>
      <c r="C4" s="4">
        <v>79.200875752599885</v>
      </c>
      <c r="D4" s="4">
        <v>78.839678839678854</v>
      </c>
    </row>
    <row r="5" spans="1:4" x14ac:dyDescent="0.3">
      <c r="A5" s="2">
        <v>10201</v>
      </c>
      <c r="B5" s="1" t="s">
        <v>10</v>
      </c>
      <c r="C5" s="4">
        <v>71.955182218074029</v>
      </c>
      <c r="D5" s="4">
        <v>89.6875</v>
      </c>
    </row>
    <row r="6" spans="1:4" x14ac:dyDescent="0.3">
      <c r="A6" s="2">
        <v>10202</v>
      </c>
      <c r="B6" s="1" t="s">
        <v>11</v>
      </c>
      <c r="C6" s="4">
        <v>74.267040149393083</v>
      </c>
      <c r="D6" s="4">
        <v>85.256410256410263</v>
      </c>
    </row>
    <row r="7" spans="1:4" x14ac:dyDescent="0.3">
      <c r="A7" s="2">
        <v>10301</v>
      </c>
      <c r="B7" s="1" t="s">
        <v>14</v>
      </c>
      <c r="C7" s="4">
        <v>77.192817817817811</v>
      </c>
      <c r="D7" s="4">
        <v>86.605026078710281</v>
      </c>
    </row>
    <row r="8" spans="1:4" x14ac:dyDescent="0.3">
      <c r="A8" s="2">
        <v>10302</v>
      </c>
      <c r="B8" s="1" t="s">
        <v>16</v>
      </c>
      <c r="C8" s="4">
        <v>87.515151515151516</v>
      </c>
      <c r="D8" s="4">
        <v>82.222222222222214</v>
      </c>
    </row>
    <row r="9" spans="1:4" x14ac:dyDescent="0.3">
      <c r="A9" s="2">
        <v>10303</v>
      </c>
      <c r="B9" s="1" t="s">
        <v>17</v>
      </c>
      <c r="C9" s="4">
        <v>83.471226328369184</v>
      </c>
      <c r="D9" s="4">
        <v>76.543209876543202</v>
      </c>
    </row>
    <row r="10" spans="1:4" x14ac:dyDescent="0.3">
      <c r="A10" s="2">
        <v>10304</v>
      </c>
      <c r="B10" s="1" t="s">
        <v>19</v>
      </c>
      <c r="C10" s="4">
        <v>78.944722543105286</v>
      </c>
      <c r="D10" s="4">
        <v>91.013731956885167</v>
      </c>
    </row>
    <row r="11" spans="1:4" x14ac:dyDescent="0.3">
      <c r="A11" s="2">
        <v>10401</v>
      </c>
      <c r="B11" s="1" t="s">
        <v>21</v>
      </c>
      <c r="C11" s="4">
        <v>72.058746393915555</v>
      </c>
      <c r="D11" s="4">
        <v>78.146735433948209</v>
      </c>
    </row>
    <row r="12" spans="1:4" x14ac:dyDescent="0.3">
      <c r="A12" s="2">
        <v>10402</v>
      </c>
      <c r="B12" s="1" t="s">
        <v>20</v>
      </c>
      <c r="C12" s="4">
        <v>79.232804232804241</v>
      </c>
      <c r="D12" s="4">
        <v>73.156462585034021</v>
      </c>
    </row>
    <row r="13" spans="1:4" x14ac:dyDescent="0.3">
      <c r="A13" s="2">
        <v>10403</v>
      </c>
      <c r="B13" s="1" t="s">
        <v>23</v>
      </c>
      <c r="C13" s="4">
        <v>79.146301726946888</v>
      </c>
      <c r="D13" s="4">
        <v>75.054466230936811</v>
      </c>
    </row>
    <row r="14" spans="1:4" x14ac:dyDescent="0.3">
      <c r="A14" s="2">
        <v>10404</v>
      </c>
      <c r="B14" s="1" t="s">
        <v>25</v>
      </c>
      <c r="C14" s="4">
        <v>63.845410628019323</v>
      </c>
      <c r="D14" s="4">
        <v>72.947454844006572</v>
      </c>
    </row>
    <row r="15" spans="1:4" x14ac:dyDescent="0.3">
      <c r="A15" s="2">
        <v>10405</v>
      </c>
      <c r="B15" s="1" t="s">
        <v>27</v>
      </c>
      <c r="C15" s="4">
        <v>72.599067599067595</v>
      </c>
      <c r="D15" s="4">
        <v>80.618686868686865</v>
      </c>
    </row>
    <row r="16" spans="1:4" x14ac:dyDescent="0.3">
      <c r="A16" s="2">
        <v>10501</v>
      </c>
      <c r="B16" s="1" t="s">
        <v>29</v>
      </c>
      <c r="C16" s="4">
        <v>73.136010175252508</v>
      </c>
      <c r="D16" s="4">
        <v>74.010469526200538</v>
      </c>
    </row>
    <row r="17" spans="1:4" x14ac:dyDescent="0.3">
      <c r="A17" s="2">
        <v>10502</v>
      </c>
      <c r="B17" s="1" t="s">
        <v>30</v>
      </c>
      <c r="C17" s="4">
        <v>71.036451471234088</v>
      </c>
      <c r="D17" s="4">
        <v>75.444104018047668</v>
      </c>
    </row>
    <row r="18" spans="1:4" x14ac:dyDescent="0.3">
      <c r="A18" s="2">
        <v>10601</v>
      </c>
      <c r="B18" s="1" t="s">
        <v>32</v>
      </c>
      <c r="C18" s="4">
        <v>78.525540896674912</v>
      </c>
      <c r="D18" s="4">
        <v>82.541663515114848</v>
      </c>
    </row>
    <row r="19" spans="1:4" x14ac:dyDescent="0.3">
      <c r="A19" s="2">
        <v>10602</v>
      </c>
      <c r="B19" s="1" t="s">
        <v>31</v>
      </c>
      <c r="C19" s="4">
        <v>89.421960153667484</v>
      </c>
      <c r="D19" s="4">
        <v>81.124497991967857</v>
      </c>
    </row>
    <row r="20" spans="1:4" x14ac:dyDescent="0.3">
      <c r="A20" s="2">
        <v>10701</v>
      </c>
      <c r="B20" s="1" t="s">
        <v>34</v>
      </c>
      <c r="C20" s="4">
        <v>75.441840376297307</v>
      </c>
      <c r="D20" s="4">
        <v>73.125410714544842</v>
      </c>
    </row>
    <row r="21" spans="1:4" x14ac:dyDescent="0.3">
      <c r="A21" s="2">
        <v>10702</v>
      </c>
      <c r="B21" s="1" t="s">
        <v>35</v>
      </c>
      <c r="C21" s="4">
        <v>58.869299401336015</v>
      </c>
      <c r="D21" s="4">
        <v>71.109261228939133</v>
      </c>
    </row>
    <row r="22" spans="1:4" x14ac:dyDescent="0.3">
      <c r="A22" s="2">
        <v>10703</v>
      </c>
      <c r="B22" s="1" t="s">
        <v>36</v>
      </c>
      <c r="C22" s="4">
        <v>72.666040100250626</v>
      </c>
      <c r="D22" s="4">
        <v>84.489821642402475</v>
      </c>
    </row>
    <row r="23" spans="1:4" x14ac:dyDescent="0.3">
      <c r="A23" s="2">
        <v>10704</v>
      </c>
      <c r="B23" s="1" t="s">
        <v>37</v>
      </c>
      <c r="C23" s="4">
        <v>60</v>
      </c>
      <c r="D23" s="4">
        <v>78.936373915148934</v>
      </c>
    </row>
    <row r="24" spans="1:4" x14ac:dyDescent="0.3">
      <c r="A24" s="2">
        <v>10801</v>
      </c>
      <c r="B24" s="1" t="s">
        <v>39</v>
      </c>
      <c r="C24" s="4">
        <v>67.532917532917537</v>
      </c>
      <c r="D24" s="4">
        <v>70.62844400859251</v>
      </c>
    </row>
    <row r="25" spans="1:4" x14ac:dyDescent="0.3">
      <c r="A25" s="2">
        <v>10901</v>
      </c>
      <c r="B25" s="1" t="s">
        <v>41</v>
      </c>
      <c r="C25" s="4">
        <v>61.673414304993251</v>
      </c>
      <c r="D25" s="4">
        <v>87.111569774108474</v>
      </c>
    </row>
    <row r="26" spans="1:4" x14ac:dyDescent="0.3">
      <c r="A26" s="2">
        <v>10902</v>
      </c>
      <c r="B26" s="1" t="s">
        <v>42</v>
      </c>
      <c r="C26" s="4">
        <v>67.862472272635614</v>
      </c>
      <c r="D26" s="4">
        <v>85.932601880877755</v>
      </c>
    </row>
    <row r="27" spans="1:4" x14ac:dyDescent="0.3">
      <c r="A27" s="2">
        <v>10903</v>
      </c>
      <c r="B27" s="1" t="s">
        <v>43</v>
      </c>
      <c r="C27" s="4">
        <v>75.185185185185176</v>
      </c>
      <c r="D27" s="4">
        <v>80</v>
      </c>
    </row>
    <row r="28" spans="1:4" x14ac:dyDescent="0.3">
      <c r="A28" s="2">
        <v>11001</v>
      </c>
      <c r="B28" s="1" t="s">
        <v>45</v>
      </c>
      <c r="C28" s="4">
        <v>71.349868717179291</v>
      </c>
      <c r="D28" s="4">
        <v>82.170657940403586</v>
      </c>
    </row>
    <row r="29" spans="1:4" x14ac:dyDescent="0.3">
      <c r="A29" s="2">
        <v>11002</v>
      </c>
      <c r="B29" s="1" t="s">
        <v>46</v>
      </c>
      <c r="C29" s="4">
        <v>80.586080586080584</v>
      </c>
      <c r="D29" s="4">
        <v>83.333333333333329</v>
      </c>
    </row>
    <row r="30" spans="1:4" x14ac:dyDescent="0.3">
      <c r="A30" s="2">
        <v>11003</v>
      </c>
      <c r="B30" s="1" t="s">
        <v>48</v>
      </c>
      <c r="C30" s="4">
        <v>66.390168970814116</v>
      </c>
      <c r="D30" s="4">
        <v>82.859709921704521</v>
      </c>
    </row>
    <row r="31" spans="1:4" x14ac:dyDescent="0.3">
      <c r="A31" s="2">
        <v>20101</v>
      </c>
      <c r="B31" s="1" t="s">
        <v>52</v>
      </c>
      <c r="C31" s="4">
        <v>90.338075873230665</v>
      </c>
      <c r="D31" s="4">
        <v>86.550801053731618</v>
      </c>
    </row>
    <row r="32" spans="1:4" x14ac:dyDescent="0.3">
      <c r="A32" s="2">
        <v>20102</v>
      </c>
      <c r="B32" s="1" t="s">
        <v>53</v>
      </c>
      <c r="C32" s="4">
        <v>61.527811917120921</v>
      </c>
      <c r="D32" s="4">
        <v>77.380759466320967</v>
      </c>
    </row>
    <row r="33" spans="1:4" x14ac:dyDescent="0.3">
      <c r="A33" s="2">
        <v>20103</v>
      </c>
      <c r="B33" s="1" t="s">
        <v>54</v>
      </c>
      <c r="C33" s="4">
        <v>69.272346838739892</v>
      </c>
      <c r="D33" s="4">
        <v>76.16238235707263</v>
      </c>
    </row>
    <row r="34" spans="1:4" x14ac:dyDescent="0.3">
      <c r="A34" s="2">
        <v>20104</v>
      </c>
      <c r="B34" s="1" t="s">
        <v>55</v>
      </c>
      <c r="C34" s="4">
        <v>70.452511174462401</v>
      </c>
      <c r="D34" s="4">
        <v>70.235130509199834</v>
      </c>
    </row>
    <row r="35" spans="1:4" x14ac:dyDescent="0.3">
      <c r="A35" s="2">
        <v>20105</v>
      </c>
      <c r="B35" s="1" t="s">
        <v>56</v>
      </c>
      <c r="C35" s="4">
        <v>78.563609713358531</v>
      </c>
      <c r="D35" s="4">
        <v>78.301495864840746</v>
      </c>
    </row>
    <row r="36" spans="1:4" x14ac:dyDescent="0.3">
      <c r="A36" s="2">
        <v>20201</v>
      </c>
      <c r="B36" s="1" t="s">
        <v>58</v>
      </c>
      <c r="C36" s="4">
        <v>74.834419127767248</v>
      </c>
      <c r="D36" s="4">
        <v>86.479014037954997</v>
      </c>
    </row>
    <row r="37" spans="1:4" x14ac:dyDescent="0.3">
      <c r="A37" s="2">
        <v>20202</v>
      </c>
      <c r="B37" s="1" t="s">
        <v>59</v>
      </c>
      <c r="C37" s="4">
        <v>64.208375041708379</v>
      </c>
      <c r="D37" s="4">
        <v>75.376171563341131</v>
      </c>
    </row>
    <row r="38" spans="1:4" x14ac:dyDescent="0.3">
      <c r="A38" s="2">
        <v>20203</v>
      </c>
      <c r="B38" s="1" t="s">
        <v>61</v>
      </c>
      <c r="C38" s="4">
        <v>73.529411764705884</v>
      </c>
      <c r="D38" s="4">
        <v>85.799035965888038</v>
      </c>
    </row>
    <row r="39" spans="1:4" x14ac:dyDescent="0.3">
      <c r="A39" s="2">
        <v>20204</v>
      </c>
      <c r="B39" s="1" t="s">
        <v>62</v>
      </c>
      <c r="C39" s="4">
        <v>76.363636363636374</v>
      </c>
      <c r="D39" s="4">
        <v>83.050847457627128</v>
      </c>
    </row>
    <row r="40" spans="1:4" x14ac:dyDescent="0.3">
      <c r="A40" s="2">
        <v>20205</v>
      </c>
      <c r="B40" s="1" t="s">
        <v>63</v>
      </c>
      <c r="C40" s="4">
        <v>81.216931216931215</v>
      </c>
      <c r="D40" s="4">
        <v>82.584170632822136</v>
      </c>
    </row>
    <row r="41" spans="1:4" x14ac:dyDescent="0.3">
      <c r="A41" s="2">
        <v>20206</v>
      </c>
      <c r="B41" s="1" t="s">
        <v>64</v>
      </c>
      <c r="C41" s="4">
        <v>94.117647058823522</v>
      </c>
      <c r="D41" s="4">
        <v>85.714285714285708</v>
      </c>
    </row>
    <row r="42" spans="1:4" x14ac:dyDescent="0.3">
      <c r="A42" s="2">
        <v>20301</v>
      </c>
      <c r="B42" s="1" t="s">
        <v>66</v>
      </c>
      <c r="C42" s="4">
        <v>64.305120167189145</v>
      </c>
      <c r="D42" s="4">
        <v>66.221727298147769</v>
      </c>
    </row>
    <row r="43" spans="1:4" x14ac:dyDescent="0.3">
      <c r="A43" s="2">
        <v>20302</v>
      </c>
      <c r="B43" s="1" t="s">
        <v>68</v>
      </c>
      <c r="C43" s="4">
        <v>63.921415560759819</v>
      </c>
      <c r="D43" s="4">
        <v>74.206349206349202</v>
      </c>
    </row>
    <row r="44" spans="1:4" x14ac:dyDescent="0.3">
      <c r="A44" s="2">
        <v>20303</v>
      </c>
      <c r="B44" s="1" t="s">
        <v>69</v>
      </c>
      <c r="C44" s="4">
        <v>46.479163769526728</v>
      </c>
      <c r="D44" s="4">
        <v>70.817964149356115</v>
      </c>
    </row>
    <row r="45" spans="1:4" x14ac:dyDescent="0.3">
      <c r="A45" s="2">
        <v>20304</v>
      </c>
      <c r="B45" s="1" t="s">
        <v>70</v>
      </c>
      <c r="C45" s="4">
        <v>62.258687258687253</v>
      </c>
      <c r="D45" s="4">
        <v>73.214245590383101</v>
      </c>
    </row>
    <row r="46" spans="1:4" x14ac:dyDescent="0.3">
      <c r="A46" s="2">
        <v>20305</v>
      </c>
      <c r="B46" s="1" t="s">
        <v>71</v>
      </c>
      <c r="C46" s="4">
        <v>80.490196078431367</v>
      </c>
      <c r="D46" s="4">
        <v>83.523266856600188</v>
      </c>
    </row>
    <row r="47" spans="1:4" x14ac:dyDescent="0.3">
      <c r="A47" s="2">
        <v>20306</v>
      </c>
      <c r="B47" s="1" t="s">
        <v>72</v>
      </c>
      <c r="C47" s="4">
        <v>76.388888888888886</v>
      </c>
      <c r="D47" s="4">
        <v>75.054466230936825</v>
      </c>
    </row>
    <row r="48" spans="1:4" x14ac:dyDescent="0.3">
      <c r="A48" s="2">
        <v>20307</v>
      </c>
      <c r="B48" s="1" t="s">
        <v>73</v>
      </c>
      <c r="C48" s="4">
        <v>66.666666666666671</v>
      </c>
      <c r="D48" s="4">
        <v>44.444444444444436</v>
      </c>
    </row>
    <row r="49" spans="1:4" x14ac:dyDescent="0.3">
      <c r="A49" s="2">
        <v>20308</v>
      </c>
      <c r="B49" s="1" t="s">
        <v>74</v>
      </c>
      <c r="C49" s="4">
        <v>51.042776878643139</v>
      </c>
      <c r="D49" s="4">
        <v>71.264367816091962</v>
      </c>
    </row>
    <row r="50" spans="1:4" x14ac:dyDescent="0.3">
      <c r="A50" s="2">
        <v>20401</v>
      </c>
      <c r="B50" s="1" t="s">
        <v>76</v>
      </c>
      <c r="C50" s="4">
        <v>63.845874640772358</v>
      </c>
      <c r="D50" s="4">
        <v>78.786377708978321</v>
      </c>
    </row>
    <row r="51" spans="1:4" x14ac:dyDescent="0.3">
      <c r="A51" s="2">
        <v>20402</v>
      </c>
      <c r="B51" s="1" t="s">
        <v>77</v>
      </c>
      <c r="C51" s="4">
        <v>55.85435341532903</v>
      </c>
      <c r="D51" s="4">
        <v>78.711212649076899</v>
      </c>
    </row>
    <row r="52" spans="1:4" x14ac:dyDescent="0.3">
      <c r="A52" s="2">
        <v>20403</v>
      </c>
      <c r="B52" s="1" t="s">
        <v>78</v>
      </c>
      <c r="C52" s="4">
        <v>49.982363315696652</v>
      </c>
      <c r="D52" s="4">
        <v>72.64692378328742</v>
      </c>
    </row>
    <row r="53" spans="1:4" x14ac:dyDescent="0.3">
      <c r="A53" s="2">
        <v>20404</v>
      </c>
      <c r="B53" s="1" t="s">
        <v>80</v>
      </c>
      <c r="C53" s="4">
        <v>60.606060606060609</v>
      </c>
      <c r="D53" s="4">
        <v>86.287683031869093</v>
      </c>
    </row>
    <row r="54" spans="1:4" x14ac:dyDescent="0.3">
      <c r="A54" s="2">
        <v>20405</v>
      </c>
      <c r="B54" s="1" t="s">
        <v>81</v>
      </c>
      <c r="C54" s="4">
        <v>68.518518518518519</v>
      </c>
      <c r="D54" s="4">
        <v>74.125584200211065</v>
      </c>
    </row>
    <row r="55" spans="1:4" x14ac:dyDescent="0.3">
      <c r="A55" s="2">
        <v>20501</v>
      </c>
      <c r="B55" s="1" t="s">
        <v>83</v>
      </c>
      <c r="C55" s="4">
        <v>69.060846560846571</v>
      </c>
      <c r="D55" s="4">
        <v>80.303030303030312</v>
      </c>
    </row>
    <row r="56" spans="1:4" x14ac:dyDescent="0.3">
      <c r="A56" s="2">
        <v>20502</v>
      </c>
      <c r="B56" s="1" t="s">
        <v>84</v>
      </c>
      <c r="C56" s="4">
        <v>73.166891587944221</v>
      </c>
      <c r="D56" s="4">
        <v>80.955886219044118</v>
      </c>
    </row>
    <row r="57" spans="1:4" x14ac:dyDescent="0.3">
      <c r="A57" s="2">
        <v>20503</v>
      </c>
      <c r="B57" s="1" t="s">
        <v>85</v>
      </c>
      <c r="C57" s="4">
        <v>35.115864527629235</v>
      </c>
      <c r="D57" s="4">
        <v>84.248956261534872</v>
      </c>
    </row>
    <row r="58" spans="1:4" x14ac:dyDescent="0.3">
      <c r="A58" s="2">
        <v>20601</v>
      </c>
      <c r="B58" s="1" t="s">
        <v>87</v>
      </c>
      <c r="C58" s="4">
        <v>57.965084654343322</v>
      </c>
      <c r="D58" s="4">
        <v>73.463911656829637</v>
      </c>
    </row>
    <row r="59" spans="1:4" x14ac:dyDescent="0.3">
      <c r="A59" s="2">
        <v>20602</v>
      </c>
      <c r="B59" s="1" t="s">
        <v>88</v>
      </c>
      <c r="C59" s="4">
        <v>61.327411327411319</v>
      </c>
      <c r="D59" s="4">
        <v>80.982647072312986</v>
      </c>
    </row>
    <row r="60" spans="1:4" x14ac:dyDescent="0.3">
      <c r="A60" s="2">
        <v>20603</v>
      </c>
      <c r="B60" s="1" t="s">
        <v>89</v>
      </c>
      <c r="C60" s="4">
        <v>52.68336314847943</v>
      </c>
      <c r="D60" s="4">
        <v>69.393939393939391</v>
      </c>
    </row>
    <row r="61" spans="1:4" x14ac:dyDescent="0.3">
      <c r="A61" s="2">
        <v>20604</v>
      </c>
      <c r="B61" s="1" t="s">
        <v>90</v>
      </c>
      <c r="C61" s="4">
        <v>63.888888888888886</v>
      </c>
      <c r="D61" s="4">
        <v>81.111111111111114</v>
      </c>
    </row>
    <row r="62" spans="1:4" x14ac:dyDescent="0.3">
      <c r="A62" s="2">
        <v>20605</v>
      </c>
      <c r="B62" s="1" t="s">
        <v>91</v>
      </c>
      <c r="C62" s="4">
        <v>59.854096520763186</v>
      </c>
      <c r="D62" s="4">
        <v>79.770114942528735</v>
      </c>
    </row>
    <row r="63" spans="1:4" x14ac:dyDescent="0.3">
      <c r="A63" s="2">
        <v>20606</v>
      </c>
      <c r="B63" s="1" t="s">
        <v>92</v>
      </c>
      <c r="C63" s="4">
        <v>83.299390667811721</v>
      </c>
      <c r="D63" s="4">
        <v>91.22040072859744</v>
      </c>
    </row>
    <row r="64" spans="1:4" x14ac:dyDescent="0.3">
      <c r="A64" s="2">
        <v>20607</v>
      </c>
      <c r="B64" s="1" t="s">
        <v>93</v>
      </c>
      <c r="C64" s="4">
        <v>72.33432085465482</v>
      </c>
      <c r="D64" s="4">
        <v>86.158039779535102</v>
      </c>
    </row>
    <row r="65" spans="1:4" x14ac:dyDescent="0.3">
      <c r="A65" s="2">
        <v>20608</v>
      </c>
      <c r="B65" s="1" t="s">
        <v>94</v>
      </c>
      <c r="C65" s="4">
        <v>49.389527458492978</v>
      </c>
      <c r="D65" s="4">
        <v>80.421810140120002</v>
      </c>
    </row>
    <row r="66" spans="1:4" x14ac:dyDescent="0.3">
      <c r="A66" s="2">
        <v>20701</v>
      </c>
      <c r="B66" s="1" t="s">
        <v>96</v>
      </c>
      <c r="C66" s="4">
        <v>50.520454504333344</v>
      </c>
      <c r="D66" s="4">
        <v>81.885369532428356</v>
      </c>
    </row>
    <row r="67" spans="1:4" x14ac:dyDescent="0.3">
      <c r="A67" s="2">
        <v>20702</v>
      </c>
      <c r="B67" s="1" t="s">
        <v>97</v>
      </c>
      <c r="C67" s="4">
        <v>52.746806039488966</v>
      </c>
      <c r="D67" s="4">
        <v>76.169188669188671</v>
      </c>
    </row>
    <row r="68" spans="1:4" x14ac:dyDescent="0.3">
      <c r="A68" s="2">
        <v>20801</v>
      </c>
      <c r="B68" s="1" t="s">
        <v>99</v>
      </c>
      <c r="C68" s="4">
        <v>73.146237596471281</v>
      </c>
      <c r="D68" s="4">
        <v>76.45262727033105</v>
      </c>
    </row>
    <row r="69" spans="1:4" x14ac:dyDescent="0.3">
      <c r="A69" s="2">
        <v>20802</v>
      </c>
      <c r="B69" s="1" t="s">
        <v>100</v>
      </c>
      <c r="C69" s="4">
        <v>78.002582213108539</v>
      </c>
      <c r="D69" s="4">
        <v>73.449131513647657</v>
      </c>
    </row>
    <row r="70" spans="1:4" x14ac:dyDescent="0.3">
      <c r="A70" s="2">
        <v>20803</v>
      </c>
      <c r="B70" s="1" t="s">
        <v>102</v>
      </c>
      <c r="C70" s="4">
        <v>66.877840149692602</v>
      </c>
      <c r="D70" s="4">
        <v>70.617319787131109</v>
      </c>
    </row>
    <row r="71" spans="1:4" x14ac:dyDescent="0.3">
      <c r="A71" s="2">
        <v>20804</v>
      </c>
      <c r="B71" s="1" t="s">
        <v>103</v>
      </c>
      <c r="C71" s="4">
        <v>66.148904006046862</v>
      </c>
      <c r="D71" s="4">
        <v>78.232618583495778</v>
      </c>
    </row>
    <row r="72" spans="1:4" x14ac:dyDescent="0.3">
      <c r="A72" s="2">
        <v>20805</v>
      </c>
      <c r="B72" s="1" t="s">
        <v>104</v>
      </c>
      <c r="C72" s="4">
        <v>44.45976002341235</v>
      </c>
      <c r="D72" s="4">
        <v>75.799086757990878</v>
      </c>
    </row>
    <row r="73" spans="1:4" x14ac:dyDescent="0.3">
      <c r="A73" s="2">
        <v>20806</v>
      </c>
      <c r="B73" s="1" t="s">
        <v>106</v>
      </c>
      <c r="C73" s="4">
        <v>70.100529100529101</v>
      </c>
      <c r="D73" s="4">
        <v>79.037605442895952</v>
      </c>
    </row>
    <row r="74" spans="1:4" x14ac:dyDescent="0.3">
      <c r="A74" s="2">
        <v>20807</v>
      </c>
      <c r="B74" s="1" t="s">
        <v>108</v>
      </c>
      <c r="C74" s="4">
        <v>62.667323193638985</v>
      </c>
      <c r="D74" s="4">
        <v>72.222222222222214</v>
      </c>
    </row>
    <row r="75" spans="1:4" x14ac:dyDescent="0.3">
      <c r="A75" s="2">
        <v>20901</v>
      </c>
      <c r="B75" s="1" t="s">
        <v>110</v>
      </c>
      <c r="C75" s="4">
        <v>77.5599128540305</v>
      </c>
      <c r="D75" s="4">
        <v>74.391466208476515</v>
      </c>
    </row>
    <row r="76" spans="1:4" x14ac:dyDescent="0.3">
      <c r="A76" s="2">
        <v>20902</v>
      </c>
      <c r="B76" s="1" t="s">
        <v>111</v>
      </c>
      <c r="C76" s="4">
        <v>60.825923867741039</v>
      </c>
      <c r="D76" s="4">
        <v>80.993069092484305</v>
      </c>
    </row>
    <row r="77" spans="1:4" x14ac:dyDescent="0.3">
      <c r="A77" s="2">
        <v>20903</v>
      </c>
      <c r="B77" s="1" t="s">
        <v>112</v>
      </c>
      <c r="C77" s="4">
        <v>47.032679738562088</v>
      </c>
      <c r="D77" s="4">
        <v>72.280980081085843</v>
      </c>
    </row>
    <row r="78" spans="1:4" x14ac:dyDescent="0.3">
      <c r="A78" s="2">
        <v>20904</v>
      </c>
      <c r="B78" s="1" t="s">
        <v>113</v>
      </c>
      <c r="C78" s="4">
        <v>64.444444444444443</v>
      </c>
      <c r="D78" s="4">
        <v>83.333333333333329</v>
      </c>
    </row>
    <row r="79" spans="1:4" x14ac:dyDescent="0.3">
      <c r="A79" s="2">
        <v>20905</v>
      </c>
      <c r="B79" s="1" t="s">
        <v>114</v>
      </c>
      <c r="C79" s="4">
        <v>54.204413472706158</v>
      </c>
      <c r="D79" s="4">
        <v>77.6753134957344</v>
      </c>
    </row>
    <row r="80" spans="1:4" x14ac:dyDescent="0.3">
      <c r="A80" s="2">
        <v>21001</v>
      </c>
      <c r="B80" s="1" t="s">
        <v>115</v>
      </c>
      <c r="C80" s="4">
        <v>58.46924439557754</v>
      </c>
      <c r="D80" s="4">
        <v>74.318330826487724</v>
      </c>
    </row>
    <row r="81" spans="1:4" x14ac:dyDescent="0.3">
      <c r="A81" s="2">
        <v>21002</v>
      </c>
      <c r="B81" s="1" t="s">
        <v>116</v>
      </c>
      <c r="C81" s="4">
        <v>55.973364669016838</v>
      </c>
      <c r="D81" s="4">
        <v>86.856024461066497</v>
      </c>
    </row>
    <row r="82" spans="1:4" x14ac:dyDescent="0.3">
      <c r="A82" s="2">
        <v>21003</v>
      </c>
      <c r="B82" s="1" t="s">
        <v>117</v>
      </c>
      <c r="C82" s="4">
        <v>62.586704936431715</v>
      </c>
      <c r="D82" s="4">
        <v>79.299256899592947</v>
      </c>
    </row>
    <row r="83" spans="1:4" x14ac:dyDescent="0.3">
      <c r="A83" s="2">
        <v>21004</v>
      </c>
      <c r="B83" s="1" t="s">
        <v>118</v>
      </c>
      <c r="C83" s="4">
        <v>44.976536463603871</v>
      </c>
      <c r="D83" s="4">
        <v>64.216422088470082</v>
      </c>
    </row>
    <row r="84" spans="1:4" x14ac:dyDescent="0.3">
      <c r="A84" s="2">
        <v>21005</v>
      </c>
      <c r="B84" s="1" t="s">
        <v>119</v>
      </c>
      <c r="C84" s="4">
        <v>66.865857217168454</v>
      </c>
      <c r="D84" s="4">
        <v>76.134813948957728</v>
      </c>
    </row>
    <row r="85" spans="1:4" x14ac:dyDescent="0.3">
      <c r="A85" s="2">
        <v>21006</v>
      </c>
      <c r="B85" s="1" t="s">
        <v>120</v>
      </c>
      <c r="C85" s="4">
        <v>77.056277056277054</v>
      </c>
      <c r="D85" s="4">
        <v>71.474358974358978</v>
      </c>
    </row>
    <row r="86" spans="1:4" x14ac:dyDescent="0.3">
      <c r="A86" s="2">
        <v>21101</v>
      </c>
      <c r="B86" s="1" t="s">
        <v>122</v>
      </c>
      <c r="C86" s="4">
        <v>76.7214158390629</v>
      </c>
      <c r="D86" s="4">
        <v>81.102755196995972</v>
      </c>
    </row>
    <row r="87" spans="1:4" x14ac:dyDescent="0.3">
      <c r="A87" s="2">
        <v>21102</v>
      </c>
      <c r="B87" s="1" t="s">
        <v>124</v>
      </c>
      <c r="C87" s="4">
        <v>55.033281115892713</v>
      </c>
      <c r="D87" s="4">
        <v>73.706866561788033</v>
      </c>
    </row>
    <row r="88" spans="1:4" x14ac:dyDescent="0.3">
      <c r="A88" s="2">
        <v>21103</v>
      </c>
      <c r="B88" s="1" t="s">
        <v>126</v>
      </c>
      <c r="C88" s="4">
        <v>71.19675456389453</v>
      </c>
      <c r="D88" s="4">
        <v>83.550730930670142</v>
      </c>
    </row>
    <row r="89" spans="1:4" x14ac:dyDescent="0.3">
      <c r="A89" s="2">
        <v>21104</v>
      </c>
      <c r="B89" s="1" t="s">
        <v>127</v>
      </c>
      <c r="C89" s="4">
        <v>51.131058265542158</v>
      </c>
      <c r="D89" s="4">
        <v>75.014867421782313</v>
      </c>
    </row>
    <row r="90" spans="1:4" x14ac:dyDescent="0.3">
      <c r="A90" s="2">
        <v>21105</v>
      </c>
      <c r="B90" s="1" t="s">
        <v>128</v>
      </c>
      <c r="C90" s="4">
        <v>59.333999333999337</v>
      </c>
      <c r="D90" s="4">
        <v>80.747753478178637</v>
      </c>
    </row>
    <row r="91" spans="1:4" x14ac:dyDescent="0.3">
      <c r="A91" s="2">
        <v>21201</v>
      </c>
      <c r="B91" s="1" t="s">
        <v>130</v>
      </c>
      <c r="C91" s="4">
        <v>70.768789417595897</v>
      </c>
      <c r="D91" s="4">
        <v>72.404387385303423</v>
      </c>
    </row>
    <row r="92" spans="1:4" x14ac:dyDescent="0.3">
      <c r="A92" s="2">
        <v>21202</v>
      </c>
      <c r="B92" s="1" t="s">
        <v>131</v>
      </c>
      <c r="C92" s="4">
        <v>72.260763752539148</v>
      </c>
      <c r="D92" s="4">
        <v>75.45244878578211</v>
      </c>
    </row>
    <row r="93" spans="1:4" x14ac:dyDescent="0.3">
      <c r="A93" s="2">
        <v>21203</v>
      </c>
      <c r="B93" s="1" t="s">
        <v>132</v>
      </c>
      <c r="C93" s="4">
        <v>79.376770975686966</v>
      </c>
      <c r="D93" s="4">
        <v>77.04757603131587</v>
      </c>
    </row>
    <row r="94" spans="1:4" x14ac:dyDescent="0.3">
      <c r="A94" s="2">
        <v>21204</v>
      </c>
      <c r="B94" s="1" t="s">
        <v>133</v>
      </c>
      <c r="C94" s="4">
        <v>62.645502645502638</v>
      </c>
      <c r="D94" s="4">
        <v>74.965198048220444</v>
      </c>
    </row>
    <row r="95" spans="1:4" x14ac:dyDescent="0.3">
      <c r="A95" s="2">
        <v>21301</v>
      </c>
      <c r="B95" s="1" t="s">
        <v>135</v>
      </c>
      <c r="C95" s="4">
        <v>58.640060656189689</v>
      </c>
      <c r="D95" s="4">
        <v>74.318260162778628</v>
      </c>
    </row>
    <row r="96" spans="1:4" x14ac:dyDescent="0.3">
      <c r="A96" s="2">
        <v>21302</v>
      </c>
      <c r="B96" s="1" t="s">
        <v>137</v>
      </c>
      <c r="C96" s="4">
        <v>57.116920842411048</v>
      </c>
      <c r="D96" s="4">
        <v>68.560370496004822</v>
      </c>
    </row>
    <row r="97" spans="1:4" x14ac:dyDescent="0.3">
      <c r="A97" s="2">
        <v>21303</v>
      </c>
      <c r="B97" s="1" t="s">
        <v>138</v>
      </c>
      <c r="C97" s="4">
        <v>69.828617437313085</v>
      </c>
      <c r="D97" s="4">
        <v>82.053877208500595</v>
      </c>
    </row>
    <row r="98" spans="1:4" x14ac:dyDescent="0.3">
      <c r="A98" s="2">
        <v>21304</v>
      </c>
      <c r="B98" s="1" t="s">
        <v>139</v>
      </c>
      <c r="C98" s="4">
        <v>66.851783693888947</v>
      </c>
      <c r="D98" s="4">
        <v>75.155056349746616</v>
      </c>
    </row>
    <row r="99" spans="1:4" x14ac:dyDescent="0.3">
      <c r="A99" s="2">
        <v>21305</v>
      </c>
      <c r="B99" s="1" t="s">
        <v>140</v>
      </c>
      <c r="C99" s="4">
        <v>75.006670478368576</v>
      </c>
      <c r="D99" s="4">
        <v>71.313495620628743</v>
      </c>
    </row>
    <row r="100" spans="1:4" x14ac:dyDescent="0.3">
      <c r="A100" s="2">
        <v>21306</v>
      </c>
      <c r="B100" s="1" t="s">
        <v>141</v>
      </c>
      <c r="C100" s="4">
        <v>80.668702529167646</v>
      </c>
      <c r="D100" s="4">
        <v>80.940426543751826</v>
      </c>
    </row>
    <row r="101" spans="1:4" x14ac:dyDescent="0.3">
      <c r="A101" s="2">
        <v>21307</v>
      </c>
      <c r="B101" s="1" t="s">
        <v>142</v>
      </c>
      <c r="C101" s="4">
        <v>81.144781144781163</v>
      </c>
      <c r="D101" s="4">
        <v>60.606060606060602</v>
      </c>
    </row>
    <row r="102" spans="1:4" x14ac:dyDescent="0.3">
      <c r="A102" s="2">
        <v>21401</v>
      </c>
      <c r="B102" s="1" t="s">
        <v>144</v>
      </c>
      <c r="C102" s="4">
        <v>55.080220931266261</v>
      </c>
      <c r="D102" s="4">
        <v>74.497833321362734</v>
      </c>
    </row>
    <row r="103" spans="1:4" x14ac:dyDescent="0.3">
      <c r="A103" s="2">
        <v>21402</v>
      </c>
      <c r="B103" s="1" t="s">
        <v>145</v>
      </c>
      <c r="C103" s="4">
        <v>71.01237658183841</v>
      </c>
      <c r="D103" s="4">
        <v>83.511301430044526</v>
      </c>
    </row>
    <row r="104" spans="1:4" x14ac:dyDescent="0.3">
      <c r="A104" s="2">
        <v>21501</v>
      </c>
      <c r="B104" s="1" t="s">
        <v>147</v>
      </c>
      <c r="C104" s="4">
        <v>65.047619047619051</v>
      </c>
      <c r="D104" s="4">
        <v>83.38720103425986</v>
      </c>
    </row>
    <row r="105" spans="1:4" x14ac:dyDescent="0.3">
      <c r="A105" s="2">
        <v>21502</v>
      </c>
      <c r="B105" s="1" t="s">
        <v>148</v>
      </c>
      <c r="C105" s="4">
        <v>43.673687423687426</v>
      </c>
      <c r="D105" s="4">
        <v>80.083632019115882</v>
      </c>
    </row>
    <row r="106" spans="1:4" x14ac:dyDescent="0.3">
      <c r="A106" s="2">
        <v>21601</v>
      </c>
      <c r="B106" s="1" t="s">
        <v>150</v>
      </c>
      <c r="C106" s="4">
        <v>44.243141707281048</v>
      </c>
      <c r="D106" s="4">
        <v>80.639070102928471</v>
      </c>
    </row>
    <row r="107" spans="1:4" x14ac:dyDescent="0.3">
      <c r="A107" s="2">
        <v>21602</v>
      </c>
      <c r="B107" s="1" t="s">
        <v>152</v>
      </c>
      <c r="C107" s="4">
        <v>37.407407407407412</v>
      </c>
      <c r="D107" s="4">
        <v>78.650793650793659</v>
      </c>
    </row>
    <row r="108" spans="1:4" x14ac:dyDescent="0.3">
      <c r="A108" s="2">
        <v>21701</v>
      </c>
      <c r="B108" s="1" t="s">
        <v>154</v>
      </c>
      <c r="C108" s="4">
        <v>64.965395462495721</v>
      </c>
      <c r="D108" s="4">
        <v>76.14310357184975</v>
      </c>
    </row>
    <row r="109" spans="1:4" x14ac:dyDescent="0.3">
      <c r="A109" s="2">
        <v>21702</v>
      </c>
      <c r="B109" s="1" t="s">
        <v>155</v>
      </c>
      <c r="C109" s="4">
        <v>81.851851851851848</v>
      </c>
      <c r="D109" s="4">
        <v>77.739211922976423</v>
      </c>
    </row>
    <row r="110" spans="1:4" x14ac:dyDescent="0.3">
      <c r="A110" s="2">
        <v>21703</v>
      </c>
      <c r="B110" s="1" t="s">
        <v>156</v>
      </c>
      <c r="C110" s="4">
        <v>68.434343434343432</v>
      </c>
      <c r="D110" s="4">
        <v>100</v>
      </c>
    </row>
    <row r="111" spans="1:4" x14ac:dyDescent="0.3">
      <c r="A111" s="2">
        <v>21801</v>
      </c>
      <c r="B111" s="1" t="s">
        <v>158</v>
      </c>
      <c r="C111" s="4">
        <v>61.913967258794848</v>
      </c>
      <c r="D111" s="4">
        <v>74.76555839727196</v>
      </c>
    </row>
    <row r="112" spans="1:4" x14ac:dyDescent="0.3">
      <c r="A112" s="2">
        <v>21802</v>
      </c>
      <c r="B112" s="1" t="s">
        <v>160</v>
      </c>
      <c r="C112" s="4">
        <v>46.245059288537554</v>
      </c>
      <c r="D112" s="4">
        <v>58.232323232323232</v>
      </c>
    </row>
    <row r="113" spans="1:4" x14ac:dyDescent="0.3">
      <c r="A113" s="2">
        <v>21803</v>
      </c>
      <c r="B113" s="1" t="s">
        <v>161</v>
      </c>
      <c r="C113" s="4">
        <v>75</v>
      </c>
      <c r="D113" s="4">
        <v>78.75</v>
      </c>
    </row>
    <row r="114" spans="1:4" x14ac:dyDescent="0.3">
      <c r="A114" s="2">
        <v>21901</v>
      </c>
      <c r="B114" s="1" t="s">
        <v>163</v>
      </c>
      <c r="C114" s="4">
        <v>43.777777777777779</v>
      </c>
      <c r="D114" s="4">
        <v>66.918312040263274</v>
      </c>
    </row>
    <row r="115" spans="1:4" x14ac:dyDescent="0.3">
      <c r="A115" s="2">
        <v>21902</v>
      </c>
      <c r="B115" s="1" t="s">
        <v>164</v>
      </c>
      <c r="C115" s="4">
        <v>68.888888888888872</v>
      </c>
      <c r="D115" s="4">
        <v>69.362745098039213</v>
      </c>
    </row>
    <row r="116" spans="1:4" x14ac:dyDescent="0.3">
      <c r="A116" s="2">
        <v>22001</v>
      </c>
      <c r="B116" s="1" t="s">
        <v>165</v>
      </c>
      <c r="C116" s="4">
        <v>60.763899466869766</v>
      </c>
      <c r="D116" s="4">
        <v>76.755596202421387</v>
      </c>
    </row>
    <row r="117" spans="1:4" x14ac:dyDescent="0.3">
      <c r="A117" s="2">
        <v>22002</v>
      </c>
      <c r="B117" s="1" t="s">
        <v>166</v>
      </c>
      <c r="C117" s="4">
        <v>54.166666666666664</v>
      </c>
      <c r="D117" s="4">
        <v>73.281596452328174</v>
      </c>
    </row>
    <row r="118" spans="1:4" x14ac:dyDescent="0.3">
      <c r="A118" s="2">
        <v>30101</v>
      </c>
      <c r="B118" s="1" t="s">
        <v>167</v>
      </c>
      <c r="C118" s="4">
        <v>79.612717351850463</v>
      </c>
      <c r="D118" s="4">
        <v>83.015241257734985</v>
      </c>
    </row>
    <row r="119" spans="1:4" x14ac:dyDescent="0.3">
      <c r="A119" s="2">
        <v>30201</v>
      </c>
      <c r="B119" s="1" t="s">
        <v>170</v>
      </c>
      <c r="C119" s="4">
        <v>70.724984608405435</v>
      </c>
      <c r="D119" s="4">
        <v>79.933652611770881</v>
      </c>
    </row>
    <row r="120" spans="1:4" x14ac:dyDescent="0.3">
      <c r="A120" s="2">
        <v>30202</v>
      </c>
      <c r="B120" s="1" t="s">
        <v>171</v>
      </c>
      <c r="C120" s="4">
        <v>48.717948717948723</v>
      </c>
      <c r="D120" s="4">
        <v>68.979200875752596</v>
      </c>
    </row>
    <row r="121" spans="1:4" x14ac:dyDescent="0.3">
      <c r="A121" s="2">
        <v>30203</v>
      </c>
      <c r="B121" s="1" t="s">
        <v>172</v>
      </c>
      <c r="C121" s="4">
        <v>70.370370370370367</v>
      </c>
      <c r="D121" s="4">
        <v>83.683446397368684</v>
      </c>
    </row>
    <row r="122" spans="1:4" x14ac:dyDescent="0.3">
      <c r="A122" s="2">
        <v>30301</v>
      </c>
      <c r="B122" s="1" t="s">
        <v>174</v>
      </c>
      <c r="C122" s="4">
        <v>68.102399909716397</v>
      </c>
      <c r="D122" s="4">
        <v>82.111013728465807</v>
      </c>
    </row>
    <row r="123" spans="1:4" x14ac:dyDescent="0.3">
      <c r="A123" s="2">
        <v>30302</v>
      </c>
      <c r="B123" s="1" t="s">
        <v>176</v>
      </c>
      <c r="C123" s="4">
        <v>60.036950299245376</v>
      </c>
      <c r="D123" s="4">
        <v>79.071664848662209</v>
      </c>
    </row>
    <row r="124" spans="1:4" x14ac:dyDescent="0.3">
      <c r="A124" s="2">
        <v>30303</v>
      </c>
      <c r="B124" s="1" t="s">
        <v>177</v>
      </c>
      <c r="C124" s="4">
        <v>49.090909090909093</v>
      </c>
      <c r="D124" s="4">
        <v>79.33224183224182</v>
      </c>
    </row>
    <row r="125" spans="1:4" x14ac:dyDescent="0.3">
      <c r="A125" s="2">
        <v>30401</v>
      </c>
      <c r="B125" s="1" t="s">
        <v>179</v>
      </c>
      <c r="C125" s="4">
        <v>72.130482715174423</v>
      </c>
      <c r="D125" s="4">
        <v>78.301762220301541</v>
      </c>
    </row>
    <row r="126" spans="1:4" x14ac:dyDescent="0.3">
      <c r="A126" s="2">
        <v>30402</v>
      </c>
      <c r="B126" s="1" t="s">
        <v>180</v>
      </c>
      <c r="C126" s="4">
        <v>58.280723905723903</v>
      </c>
      <c r="D126" s="4">
        <v>78.540138224348752</v>
      </c>
    </row>
    <row r="127" spans="1:4" x14ac:dyDescent="0.3">
      <c r="A127" s="2">
        <v>30403</v>
      </c>
      <c r="B127" s="1" t="s">
        <v>182</v>
      </c>
      <c r="C127" s="4">
        <v>71.563599798893918</v>
      </c>
      <c r="D127" s="4">
        <v>75.348924068196951</v>
      </c>
    </row>
    <row r="128" spans="1:4" x14ac:dyDescent="0.3">
      <c r="A128" s="2">
        <v>30404</v>
      </c>
      <c r="B128" s="1" t="s">
        <v>183</v>
      </c>
      <c r="C128" s="4">
        <v>48.29059829059829</v>
      </c>
      <c r="D128" s="4">
        <v>75.2002002002002</v>
      </c>
    </row>
    <row r="129" spans="1:4" x14ac:dyDescent="0.3">
      <c r="A129" s="2">
        <v>30501</v>
      </c>
      <c r="B129" s="1" t="s">
        <v>184</v>
      </c>
      <c r="C129" s="4">
        <v>80.512820512820511</v>
      </c>
      <c r="D129" s="4">
        <v>83.210008211660565</v>
      </c>
    </row>
    <row r="130" spans="1:4" x14ac:dyDescent="0.3">
      <c r="A130" s="2">
        <v>30502</v>
      </c>
      <c r="B130" s="1" t="s">
        <v>185</v>
      </c>
      <c r="C130" s="4">
        <v>71.730650302078871</v>
      </c>
      <c r="D130" s="4">
        <v>73.566748566748572</v>
      </c>
    </row>
    <row r="131" spans="1:4" x14ac:dyDescent="0.3">
      <c r="A131" s="2">
        <v>30601</v>
      </c>
      <c r="B131" s="1" t="s">
        <v>186</v>
      </c>
      <c r="C131" s="4">
        <v>47.058823529411768</v>
      </c>
      <c r="D131" s="4">
        <v>70.404040404040401</v>
      </c>
    </row>
    <row r="132" spans="1:4" x14ac:dyDescent="0.3">
      <c r="A132" s="2">
        <v>30602</v>
      </c>
      <c r="B132" s="1" t="s">
        <v>188</v>
      </c>
      <c r="C132" s="4">
        <v>65.17030772844727</v>
      </c>
      <c r="D132" s="4">
        <v>71.834130781499198</v>
      </c>
    </row>
    <row r="133" spans="1:4" x14ac:dyDescent="0.3">
      <c r="A133" s="2">
        <v>30701</v>
      </c>
      <c r="B133" s="1" t="s">
        <v>189</v>
      </c>
      <c r="C133" s="4">
        <v>67.767522937070808</v>
      </c>
      <c r="D133" s="4">
        <v>78.26921155423571</v>
      </c>
    </row>
    <row r="134" spans="1:4" x14ac:dyDescent="0.3">
      <c r="A134" s="2">
        <v>30702</v>
      </c>
      <c r="B134" s="1" t="s">
        <v>190</v>
      </c>
      <c r="C134" s="4">
        <v>68.71612466124661</v>
      </c>
      <c r="D134" s="4">
        <v>76.762337785355683</v>
      </c>
    </row>
    <row r="135" spans="1:4" x14ac:dyDescent="0.3">
      <c r="A135" s="2">
        <v>30703</v>
      </c>
      <c r="B135" s="1" t="s">
        <v>192</v>
      </c>
      <c r="C135" s="4">
        <v>68.9245395127748</v>
      </c>
      <c r="D135" s="4">
        <v>78.623188405797109</v>
      </c>
    </row>
    <row r="136" spans="1:4" x14ac:dyDescent="0.3">
      <c r="A136" s="2">
        <v>30801</v>
      </c>
      <c r="B136" s="1" t="s">
        <v>194</v>
      </c>
      <c r="C136" s="4">
        <v>80.444341413124803</v>
      </c>
      <c r="D136" s="4">
        <v>84.244470415097609</v>
      </c>
    </row>
    <row r="137" spans="1:4" x14ac:dyDescent="0.3">
      <c r="A137" s="2">
        <v>30802</v>
      </c>
      <c r="B137" s="1" t="s">
        <v>195</v>
      </c>
      <c r="C137" s="4">
        <v>75.356125356125361</v>
      </c>
      <c r="D137" s="4">
        <v>84.946236559139791</v>
      </c>
    </row>
    <row r="138" spans="1:4" x14ac:dyDescent="0.3">
      <c r="A138" s="2">
        <v>30803</v>
      </c>
      <c r="B138" s="1" t="s">
        <v>196</v>
      </c>
      <c r="C138" s="4">
        <v>85.868488809665266</v>
      </c>
      <c r="D138" s="4">
        <v>86.236236236236252</v>
      </c>
    </row>
    <row r="139" spans="1:4" x14ac:dyDescent="0.3">
      <c r="A139" s="2">
        <v>30901</v>
      </c>
      <c r="B139" s="1" t="s">
        <v>197</v>
      </c>
      <c r="C139" s="4">
        <v>76.606303692599425</v>
      </c>
      <c r="D139" s="4">
        <v>80.065267372095931</v>
      </c>
    </row>
    <row r="140" spans="1:4" x14ac:dyDescent="0.3">
      <c r="A140" s="2">
        <v>30902</v>
      </c>
      <c r="B140" s="1" t="s">
        <v>198</v>
      </c>
      <c r="C140" s="4">
        <v>69.786981336865438</v>
      </c>
      <c r="D140" s="4">
        <v>76.519404019404021</v>
      </c>
    </row>
    <row r="141" spans="1:4" x14ac:dyDescent="0.3">
      <c r="A141" s="2">
        <v>30903</v>
      </c>
      <c r="B141" s="1" t="s">
        <v>199</v>
      </c>
      <c r="C141" s="4">
        <v>81.458302419743006</v>
      </c>
      <c r="D141" s="4">
        <v>81.174916032302562</v>
      </c>
    </row>
    <row r="142" spans="1:4" x14ac:dyDescent="0.3">
      <c r="A142" s="2">
        <v>30904</v>
      </c>
      <c r="B142" s="1" t="s">
        <v>200</v>
      </c>
      <c r="C142" s="4">
        <v>64.860647594695706</v>
      </c>
      <c r="D142" s="4">
        <v>70.438788264875214</v>
      </c>
    </row>
    <row r="143" spans="1:4" x14ac:dyDescent="0.3">
      <c r="A143" s="2">
        <v>30905</v>
      </c>
      <c r="B143" s="1" t="s">
        <v>201</v>
      </c>
      <c r="C143" s="4">
        <v>76.913234054907619</v>
      </c>
      <c r="D143" s="4">
        <v>82.219573736141498</v>
      </c>
    </row>
    <row r="144" spans="1:4" x14ac:dyDescent="0.3">
      <c r="A144" s="2">
        <v>31001</v>
      </c>
      <c r="B144" s="1" t="s">
        <v>203</v>
      </c>
      <c r="C144" s="4">
        <v>79.645981863864179</v>
      </c>
      <c r="D144" s="4">
        <v>81.867706839329131</v>
      </c>
    </row>
    <row r="145" spans="1:4" x14ac:dyDescent="0.3">
      <c r="A145" s="2">
        <v>31002</v>
      </c>
      <c r="B145" s="1" t="s">
        <v>204</v>
      </c>
      <c r="C145" s="4">
        <v>73.469341393070195</v>
      </c>
      <c r="D145" s="4">
        <v>80.272720687656957</v>
      </c>
    </row>
    <row r="146" spans="1:4" x14ac:dyDescent="0.3">
      <c r="A146" s="2">
        <v>31003</v>
      </c>
      <c r="B146" s="1" t="s">
        <v>205</v>
      </c>
      <c r="C146" s="4">
        <v>70.906618650774689</v>
      </c>
      <c r="D146" s="4">
        <v>79.509055796858135</v>
      </c>
    </row>
    <row r="147" spans="1:4" x14ac:dyDescent="0.3">
      <c r="A147" s="2">
        <v>31101</v>
      </c>
      <c r="B147" s="1" t="s">
        <v>206</v>
      </c>
      <c r="C147" s="4">
        <v>56.353135313531347</v>
      </c>
      <c r="D147" s="4">
        <v>73.210845398333177</v>
      </c>
    </row>
    <row r="148" spans="1:4" x14ac:dyDescent="0.3">
      <c r="A148" s="2">
        <v>31201</v>
      </c>
      <c r="B148" s="1" t="s">
        <v>208</v>
      </c>
      <c r="C148" s="4">
        <v>60.208235935795535</v>
      </c>
      <c r="D148" s="4">
        <v>78.268084455026539</v>
      </c>
    </row>
    <row r="149" spans="1:4" x14ac:dyDescent="0.3">
      <c r="A149" s="2">
        <v>31202</v>
      </c>
      <c r="B149" s="1" t="s">
        <v>209</v>
      </c>
      <c r="C149" s="4">
        <v>58.80077369439072</v>
      </c>
      <c r="D149" s="4">
        <v>74.447286160841145</v>
      </c>
    </row>
    <row r="150" spans="1:4" x14ac:dyDescent="0.3">
      <c r="A150" s="2">
        <v>31203</v>
      </c>
      <c r="B150" s="1" t="s">
        <v>210</v>
      </c>
      <c r="C150" s="4">
        <v>64.86402486402487</v>
      </c>
      <c r="D150" s="4">
        <v>78.403292181069958</v>
      </c>
    </row>
    <row r="151" spans="1:4" x14ac:dyDescent="0.3">
      <c r="A151" s="2">
        <v>31204</v>
      </c>
      <c r="B151" s="1" t="s">
        <v>211</v>
      </c>
      <c r="C151" s="4">
        <v>76.811518543267638</v>
      </c>
      <c r="D151" s="4">
        <v>76.35575531718996</v>
      </c>
    </row>
    <row r="152" spans="1:4" x14ac:dyDescent="0.3">
      <c r="A152" s="2">
        <v>31205</v>
      </c>
      <c r="B152" s="1" t="s">
        <v>212</v>
      </c>
      <c r="C152" s="4">
        <v>69.132396403194363</v>
      </c>
      <c r="D152" s="4">
        <v>80.062759973056586</v>
      </c>
    </row>
    <row r="153" spans="1:4" x14ac:dyDescent="0.3">
      <c r="A153" s="2">
        <v>31206</v>
      </c>
      <c r="B153" s="1" t="s">
        <v>213</v>
      </c>
      <c r="C153" s="4">
        <v>71.574133504492934</v>
      </c>
      <c r="D153" s="4">
        <v>76.305764717112496</v>
      </c>
    </row>
    <row r="154" spans="1:4" x14ac:dyDescent="0.3">
      <c r="A154" s="2">
        <v>31301</v>
      </c>
      <c r="B154" s="1" t="s">
        <v>214</v>
      </c>
      <c r="C154" s="4">
        <v>73.34233280088894</v>
      </c>
      <c r="D154" s="4">
        <v>79.193354660496198</v>
      </c>
    </row>
    <row r="155" spans="1:4" x14ac:dyDescent="0.3">
      <c r="A155" s="2">
        <v>31302</v>
      </c>
      <c r="B155" s="1" t="s">
        <v>215</v>
      </c>
      <c r="C155" s="4">
        <v>76.666666666666671</v>
      </c>
      <c r="D155" s="4">
        <v>78.306878306878318</v>
      </c>
    </row>
    <row r="156" spans="1:4" x14ac:dyDescent="0.3">
      <c r="A156" s="2">
        <v>31303</v>
      </c>
      <c r="B156" s="1" t="s">
        <v>216</v>
      </c>
      <c r="C156" s="4">
        <v>63.703703703703695</v>
      </c>
      <c r="D156" s="4">
        <v>68.350168350168346</v>
      </c>
    </row>
    <row r="157" spans="1:4" x14ac:dyDescent="0.3">
      <c r="A157" s="2">
        <v>31304</v>
      </c>
      <c r="B157" s="1" t="s">
        <v>217</v>
      </c>
      <c r="C157" s="4">
        <v>71.574133504492934</v>
      </c>
      <c r="D157" s="4">
        <v>76.305764717112496</v>
      </c>
    </row>
    <row r="158" spans="1:4" x14ac:dyDescent="0.3">
      <c r="A158" s="2">
        <v>31401</v>
      </c>
      <c r="B158" s="1" t="s">
        <v>219</v>
      </c>
      <c r="C158" s="4">
        <v>80.341303887458778</v>
      </c>
      <c r="D158" s="4">
        <v>82.396858733063951</v>
      </c>
    </row>
    <row r="159" spans="1:4" x14ac:dyDescent="0.3">
      <c r="A159" s="2">
        <v>31402</v>
      </c>
      <c r="B159" s="1" t="s">
        <v>221</v>
      </c>
      <c r="C159" s="4">
        <v>69.752003315833107</v>
      </c>
      <c r="D159" s="4">
        <v>72.025771231279705</v>
      </c>
    </row>
    <row r="160" spans="1:4" x14ac:dyDescent="0.3">
      <c r="A160" s="2">
        <v>31403</v>
      </c>
      <c r="B160" s="1" t="s">
        <v>222</v>
      </c>
      <c r="C160" s="4">
        <v>78.412177805216857</v>
      </c>
      <c r="D160" s="4">
        <v>73.499516356659214</v>
      </c>
    </row>
    <row r="161" spans="1:4" x14ac:dyDescent="0.3">
      <c r="A161" s="2">
        <v>31404</v>
      </c>
      <c r="B161" s="1" t="s">
        <v>224</v>
      </c>
      <c r="C161" s="4"/>
      <c r="D161" s="4"/>
    </row>
    <row r="162" spans="1:4" x14ac:dyDescent="0.3">
      <c r="A162" s="2">
        <v>31405</v>
      </c>
      <c r="B162" s="1" t="s">
        <v>225</v>
      </c>
      <c r="C162" s="4"/>
      <c r="D162" s="4"/>
    </row>
    <row r="163" spans="1:4" x14ac:dyDescent="0.3">
      <c r="A163" s="2">
        <v>31501</v>
      </c>
      <c r="B163" s="1" t="s">
        <v>227</v>
      </c>
      <c r="C163" s="4">
        <v>54.938271604938272</v>
      </c>
      <c r="D163" s="4">
        <v>68.983957219251337</v>
      </c>
    </row>
    <row r="164" spans="1:4" x14ac:dyDescent="0.3">
      <c r="A164" s="2">
        <v>31601</v>
      </c>
      <c r="B164" s="1" t="s">
        <v>228</v>
      </c>
      <c r="C164" s="4">
        <v>70.190633389678837</v>
      </c>
      <c r="D164" s="4">
        <v>81.426035049223458</v>
      </c>
    </row>
    <row r="165" spans="1:4" x14ac:dyDescent="0.3">
      <c r="A165" s="2">
        <v>31602</v>
      </c>
      <c r="B165" s="1" t="s">
        <v>229</v>
      </c>
      <c r="C165" s="4">
        <v>65.137614678899084</v>
      </c>
      <c r="D165" s="4">
        <v>73.611225980757027</v>
      </c>
    </row>
    <row r="166" spans="1:4" x14ac:dyDescent="0.3">
      <c r="A166" s="2">
        <v>40101</v>
      </c>
      <c r="B166" s="1" t="s">
        <v>230</v>
      </c>
      <c r="C166" s="4">
        <v>86.937672803987539</v>
      </c>
      <c r="D166" s="4">
        <v>82.847829727522196</v>
      </c>
    </row>
    <row r="167" spans="1:4" x14ac:dyDescent="0.3">
      <c r="A167" s="2">
        <v>40102</v>
      </c>
      <c r="B167" s="1" t="s">
        <v>231</v>
      </c>
      <c r="C167" s="4">
        <v>60.150664770884781</v>
      </c>
      <c r="D167" s="4">
        <v>63.897020714560377</v>
      </c>
    </row>
    <row r="168" spans="1:4" x14ac:dyDescent="0.3">
      <c r="A168" s="2">
        <v>40103</v>
      </c>
      <c r="B168" s="1" t="s">
        <v>232</v>
      </c>
      <c r="C168" s="4">
        <v>49.554367201426025</v>
      </c>
      <c r="D168" s="4">
        <v>58.777315640060728</v>
      </c>
    </row>
    <row r="169" spans="1:4" x14ac:dyDescent="0.3">
      <c r="A169" s="2">
        <v>40104</v>
      </c>
      <c r="B169" s="1" t="s">
        <v>233</v>
      </c>
      <c r="C169" s="4">
        <v>63.525290498974705</v>
      </c>
      <c r="D169" s="4">
        <v>69.982563732563733</v>
      </c>
    </row>
    <row r="170" spans="1:4" x14ac:dyDescent="0.3">
      <c r="A170" s="2">
        <v>40201</v>
      </c>
      <c r="B170" s="1" t="s">
        <v>236</v>
      </c>
      <c r="C170" s="4">
        <v>55.552638850511187</v>
      </c>
      <c r="D170" s="4">
        <v>73.663217656204822</v>
      </c>
    </row>
    <row r="171" spans="1:4" x14ac:dyDescent="0.3">
      <c r="A171" s="2">
        <v>40202</v>
      </c>
      <c r="B171" s="1" t="s">
        <v>237</v>
      </c>
      <c r="C171" s="4">
        <v>49.210526315789473</v>
      </c>
      <c r="D171" s="4">
        <v>59.743589743589745</v>
      </c>
    </row>
    <row r="172" spans="1:4" x14ac:dyDescent="0.3">
      <c r="A172" s="2">
        <v>40301</v>
      </c>
      <c r="B172" s="1" t="s">
        <v>239</v>
      </c>
      <c r="C172" s="4">
        <v>46.885604816639301</v>
      </c>
      <c r="D172" s="4">
        <v>65.633477633477625</v>
      </c>
    </row>
    <row r="173" spans="1:4" x14ac:dyDescent="0.3">
      <c r="A173" s="2">
        <v>40302</v>
      </c>
      <c r="B173" s="1" t="s">
        <v>240</v>
      </c>
      <c r="C173" s="4">
        <v>36.944444444444443</v>
      </c>
      <c r="D173" s="4">
        <v>75.151515151515156</v>
      </c>
    </row>
    <row r="174" spans="1:4" x14ac:dyDescent="0.3">
      <c r="A174" s="2">
        <v>40401</v>
      </c>
      <c r="B174" s="1" t="s">
        <v>242</v>
      </c>
      <c r="C174" s="4">
        <v>38.451825951825953</v>
      </c>
      <c r="D174" s="4">
        <v>73.141025641025649</v>
      </c>
    </row>
    <row r="175" spans="1:4" x14ac:dyDescent="0.3">
      <c r="A175" s="2">
        <v>40402</v>
      </c>
      <c r="B175" s="1" t="s">
        <v>243</v>
      </c>
      <c r="C175" s="4">
        <v>35.930735930735928</v>
      </c>
      <c r="D175" s="4">
        <v>63.063063063063062</v>
      </c>
    </row>
    <row r="176" spans="1:4" x14ac:dyDescent="0.3">
      <c r="A176" s="2">
        <v>40501</v>
      </c>
      <c r="B176" s="1" t="s">
        <v>245</v>
      </c>
      <c r="C176" s="4">
        <v>73.80952380952381</v>
      </c>
      <c r="D176" s="4">
        <v>89.743589743589737</v>
      </c>
    </row>
    <row r="177" spans="1:4" x14ac:dyDescent="0.3">
      <c r="A177" s="2">
        <v>40502</v>
      </c>
      <c r="B177" s="1" t="s">
        <v>246</v>
      </c>
      <c r="C177" s="4">
        <v>22.222222222222218</v>
      </c>
      <c r="D177" s="4">
        <v>58.928571428571423</v>
      </c>
    </row>
    <row r="178" spans="1:4" x14ac:dyDescent="0.3">
      <c r="A178" s="2">
        <v>40503</v>
      </c>
      <c r="B178" s="1" t="s">
        <v>247</v>
      </c>
      <c r="C178" s="4"/>
      <c r="D178" s="4"/>
    </row>
    <row r="179" spans="1:4" x14ac:dyDescent="0.3">
      <c r="A179" s="2">
        <v>40504</v>
      </c>
      <c r="B179" s="1" t="s">
        <v>248</v>
      </c>
      <c r="C179" s="4"/>
      <c r="D179" s="4"/>
    </row>
    <row r="180" spans="1:4" x14ac:dyDescent="0.3">
      <c r="A180" s="2">
        <v>40505</v>
      </c>
      <c r="B180" s="1" t="s">
        <v>249</v>
      </c>
      <c r="C180" s="4"/>
      <c r="D180" s="4"/>
    </row>
    <row r="181" spans="1:4" x14ac:dyDescent="0.3">
      <c r="A181" s="2">
        <v>40601</v>
      </c>
      <c r="B181" s="1" t="s">
        <v>250</v>
      </c>
      <c r="C181" s="4">
        <v>60.254515599343186</v>
      </c>
      <c r="D181" s="4">
        <v>75.350538508433246</v>
      </c>
    </row>
    <row r="182" spans="1:4" x14ac:dyDescent="0.3">
      <c r="A182" s="2">
        <v>40602</v>
      </c>
      <c r="B182" s="1" t="s">
        <v>252</v>
      </c>
      <c r="C182" s="4">
        <v>55.653435357882984</v>
      </c>
      <c r="D182" s="4">
        <v>78.812993321190049</v>
      </c>
    </row>
    <row r="183" spans="1:4" x14ac:dyDescent="0.3">
      <c r="A183" s="2">
        <v>40603</v>
      </c>
      <c r="B183" s="1" t="s">
        <v>253</v>
      </c>
      <c r="C183" s="4"/>
      <c r="D183" s="4">
        <v>46.969696969696969</v>
      </c>
    </row>
    <row r="184" spans="1:4" x14ac:dyDescent="0.3">
      <c r="A184" s="2">
        <v>40701</v>
      </c>
      <c r="B184" s="1" t="s">
        <v>255</v>
      </c>
      <c r="C184" s="4">
        <v>62.905545855159232</v>
      </c>
      <c r="D184" s="4">
        <v>79.55097763305919</v>
      </c>
    </row>
    <row r="185" spans="1:4" x14ac:dyDescent="0.3">
      <c r="A185" s="2">
        <v>40702</v>
      </c>
      <c r="B185" s="1" t="s">
        <v>257</v>
      </c>
      <c r="C185" s="4">
        <v>65.596405228758172</v>
      </c>
      <c r="D185" s="4">
        <v>70.056497175141246</v>
      </c>
    </row>
    <row r="186" spans="1:4" x14ac:dyDescent="0.3">
      <c r="A186" s="2">
        <v>40801</v>
      </c>
      <c r="B186" s="1" t="s">
        <v>259</v>
      </c>
      <c r="C186" s="4">
        <v>30</v>
      </c>
      <c r="D186" s="4">
        <v>60.32439934079278</v>
      </c>
    </row>
    <row r="187" spans="1:4" x14ac:dyDescent="0.3">
      <c r="A187" s="2">
        <v>40802</v>
      </c>
      <c r="B187" s="1" t="s">
        <v>260</v>
      </c>
      <c r="C187" s="4">
        <v>38.961038961038959</v>
      </c>
      <c r="D187" s="4">
        <v>69.646464646464651</v>
      </c>
    </row>
    <row r="188" spans="1:4" x14ac:dyDescent="0.3">
      <c r="A188" s="2">
        <v>40901</v>
      </c>
      <c r="B188" s="1" t="s">
        <v>261</v>
      </c>
      <c r="C188" s="4">
        <v>46.349206349206348</v>
      </c>
      <c r="D188" s="4">
        <v>80.846774193548384</v>
      </c>
    </row>
    <row r="189" spans="1:4" x14ac:dyDescent="0.3">
      <c r="A189" s="2">
        <v>40902</v>
      </c>
      <c r="B189" s="1" t="s">
        <v>262</v>
      </c>
      <c r="C189" s="4">
        <v>44.444444444444436</v>
      </c>
      <c r="D189" s="4">
        <v>66.666666666666671</v>
      </c>
    </row>
    <row r="190" spans="1:4" x14ac:dyDescent="0.3">
      <c r="A190" s="2">
        <v>40903</v>
      </c>
      <c r="B190" s="1" t="s">
        <v>263</v>
      </c>
      <c r="C190" s="4">
        <v>34.798534798534796</v>
      </c>
      <c r="D190" s="4">
        <v>88.157894736842096</v>
      </c>
    </row>
    <row r="191" spans="1:4" x14ac:dyDescent="0.3">
      <c r="A191" s="2">
        <v>41001</v>
      </c>
      <c r="B191" s="1" t="s">
        <v>265</v>
      </c>
      <c r="C191" s="4">
        <v>48.301059554256483</v>
      </c>
      <c r="D191" s="4">
        <v>65.45311268715524</v>
      </c>
    </row>
    <row r="192" spans="1:4" x14ac:dyDescent="0.3">
      <c r="A192" s="2">
        <v>41101</v>
      </c>
      <c r="B192" s="1" t="s">
        <v>267</v>
      </c>
      <c r="C192" s="4">
        <v>56.363636363636353</v>
      </c>
      <c r="D192" s="4">
        <v>65.76628352490421</v>
      </c>
    </row>
    <row r="193" spans="1:4" x14ac:dyDescent="0.3">
      <c r="A193" s="2">
        <v>41201</v>
      </c>
      <c r="B193" s="1" t="s">
        <v>269</v>
      </c>
      <c r="C193" s="4">
        <v>42.845117845117841</v>
      </c>
      <c r="D193" s="4">
        <v>53.153153153153148</v>
      </c>
    </row>
    <row r="194" spans="1:4" x14ac:dyDescent="0.3">
      <c r="A194" s="2">
        <v>41202</v>
      </c>
      <c r="B194" s="1" t="s">
        <v>271</v>
      </c>
      <c r="C194" s="4">
        <v>35.694444444444443</v>
      </c>
      <c r="D194" s="4">
        <v>59.25925925925926</v>
      </c>
    </row>
    <row r="195" spans="1:4" x14ac:dyDescent="0.3">
      <c r="A195" s="2">
        <v>41301</v>
      </c>
      <c r="B195" s="1" t="s">
        <v>208</v>
      </c>
      <c r="C195" s="4">
        <v>37.194163860830528</v>
      </c>
      <c r="D195" s="4">
        <v>66.666666666666671</v>
      </c>
    </row>
    <row r="196" spans="1:4" x14ac:dyDescent="0.3">
      <c r="A196" s="2">
        <v>41401</v>
      </c>
      <c r="B196" s="1" t="s">
        <v>274</v>
      </c>
      <c r="C196" s="4">
        <v>59.785238959467627</v>
      </c>
      <c r="D196" s="4">
        <v>71.81429681429681</v>
      </c>
    </row>
    <row r="197" spans="1:4" x14ac:dyDescent="0.3">
      <c r="A197" s="2">
        <v>41501</v>
      </c>
      <c r="B197" s="1" t="s">
        <v>276</v>
      </c>
      <c r="C197" s="4">
        <v>22.61904761904762</v>
      </c>
      <c r="D197" s="4">
        <v>89.629629629629633</v>
      </c>
    </row>
    <row r="198" spans="1:4" x14ac:dyDescent="0.3">
      <c r="A198" s="2">
        <v>41502</v>
      </c>
      <c r="B198" s="1" t="s">
        <v>277</v>
      </c>
      <c r="C198" s="4">
        <v>27.777777777777775</v>
      </c>
      <c r="D198" s="4">
        <v>70</v>
      </c>
    </row>
    <row r="199" spans="1:4" x14ac:dyDescent="0.3">
      <c r="A199" s="2">
        <v>41503</v>
      </c>
      <c r="B199" s="1" t="s">
        <v>238</v>
      </c>
      <c r="C199" s="4"/>
      <c r="D199" s="4">
        <v>100</v>
      </c>
    </row>
    <row r="200" spans="1:4" x14ac:dyDescent="0.3">
      <c r="A200" s="2">
        <v>41601</v>
      </c>
      <c r="B200" s="1" t="s">
        <v>279</v>
      </c>
      <c r="C200" s="4">
        <v>31.818181818181817</v>
      </c>
      <c r="D200" s="4">
        <v>63.704146730462526</v>
      </c>
    </row>
    <row r="201" spans="1:4" x14ac:dyDescent="0.3">
      <c r="A201" s="2">
        <v>50101</v>
      </c>
      <c r="B201" s="1" t="s">
        <v>281</v>
      </c>
      <c r="C201" s="4">
        <v>80.218507541364247</v>
      </c>
      <c r="D201" s="4">
        <v>76.705072878324287</v>
      </c>
    </row>
    <row r="202" spans="1:4" x14ac:dyDescent="0.3">
      <c r="A202" s="2">
        <v>50102</v>
      </c>
      <c r="B202" s="1" t="s">
        <v>283</v>
      </c>
      <c r="C202" s="4">
        <v>51.854431831212018</v>
      </c>
      <c r="D202" s="4">
        <v>56.53783977652818</v>
      </c>
    </row>
    <row r="203" spans="1:4" x14ac:dyDescent="0.3">
      <c r="A203" s="2">
        <v>50103</v>
      </c>
      <c r="B203" s="1" t="s">
        <v>284</v>
      </c>
      <c r="C203" s="4">
        <v>64.550932124832627</v>
      </c>
      <c r="D203" s="4">
        <v>71.367521367521363</v>
      </c>
    </row>
    <row r="204" spans="1:4" x14ac:dyDescent="0.3">
      <c r="A204" s="2">
        <v>50104</v>
      </c>
      <c r="B204" s="1" t="s">
        <v>286</v>
      </c>
      <c r="C204" s="4">
        <v>59.516026469010193</v>
      </c>
      <c r="D204" s="4">
        <v>61.073381073381078</v>
      </c>
    </row>
    <row r="205" spans="1:4" x14ac:dyDescent="0.3">
      <c r="A205" s="2">
        <v>50201</v>
      </c>
      <c r="B205" s="1" t="s">
        <v>289</v>
      </c>
      <c r="C205" s="4">
        <v>56.27252956773021</v>
      </c>
      <c r="D205" s="4">
        <v>79.420620261364874</v>
      </c>
    </row>
    <row r="206" spans="1:4" x14ac:dyDescent="0.3">
      <c r="A206" s="2">
        <v>50202</v>
      </c>
      <c r="B206" s="1" t="s">
        <v>290</v>
      </c>
      <c r="C206" s="4">
        <v>44.334975369458128</v>
      </c>
      <c r="D206" s="4">
        <v>73.891855694571589</v>
      </c>
    </row>
    <row r="207" spans="1:4" x14ac:dyDescent="0.3">
      <c r="A207" s="2">
        <v>50203</v>
      </c>
      <c r="B207" s="1" t="s">
        <v>291</v>
      </c>
      <c r="C207" s="4">
        <v>79.657179305906766</v>
      </c>
      <c r="D207" s="4">
        <v>82.903570467735122</v>
      </c>
    </row>
    <row r="208" spans="1:4" x14ac:dyDescent="0.3">
      <c r="A208" s="2">
        <v>50204</v>
      </c>
      <c r="B208" s="1" t="s">
        <v>292</v>
      </c>
      <c r="C208" s="4">
        <v>10.606060606060606</v>
      </c>
      <c r="D208" s="4">
        <v>65.990181992337156</v>
      </c>
    </row>
    <row r="209" spans="1:4" x14ac:dyDescent="0.3">
      <c r="A209" s="2">
        <v>50301</v>
      </c>
      <c r="B209" s="1" t="s">
        <v>294</v>
      </c>
      <c r="C209" s="4">
        <v>54.739973476014086</v>
      </c>
      <c r="D209" s="4">
        <v>69.326287011979943</v>
      </c>
    </row>
    <row r="210" spans="1:4" x14ac:dyDescent="0.3">
      <c r="A210" s="2">
        <v>50302</v>
      </c>
      <c r="B210" s="1" t="s">
        <v>296</v>
      </c>
      <c r="C210" s="4">
        <v>65.177031640446287</v>
      </c>
      <c r="D210" s="4">
        <v>68.013838013838011</v>
      </c>
    </row>
    <row r="211" spans="1:4" x14ac:dyDescent="0.3">
      <c r="A211" s="2">
        <v>50303</v>
      </c>
      <c r="B211" s="1" t="s">
        <v>297</v>
      </c>
      <c r="C211" s="4">
        <v>57.711598746081506</v>
      </c>
      <c r="D211" s="4">
        <v>65.588533739218676</v>
      </c>
    </row>
    <row r="212" spans="1:4" x14ac:dyDescent="0.3">
      <c r="A212" s="2">
        <v>50401</v>
      </c>
      <c r="B212" s="1" t="s">
        <v>298</v>
      </c>
      <c r="C212" s="4">
        <v>62.915434238963655</v>
      </c>
      <c r="D212" s="4">
        <v>77.609427609427598</v>
      </c>
    </row>
    <row r="213" spans="1:4" x14ac:dyDescent="0.3">
      <c r="A213" s="2">
        <v>50402</v>
      </c>
      <c r="B213" s="1" t="s">
        <v>299</v>
      </c>
      <c r="C213" s="4">
        <v>59.173297966401414</v>
      </c>
      <c r="D213" s="4">
        <v>68.671291723659621</v>
      </c>
    </row>
    <row r="214" spans="1:4" x14ac:dyDescent="0.3">
      <c r="A214" s="2">
        <v>50403</v>
      </c>
      <c r="B214" s="1" t="s">
        <v>300</v>
      </c>
      <c r="C214" s="4">
        <v>57.788980857689957</v>
      </c>
      <c r="D214" s="4">
        <v>80.589995694982576</v>
      </c>
    </row>
    <row r="215" spans="1:4" x14ac:dyDescent="0.3">
      <c r="A215" s="2">
        <v>50404</v>
      </c>
      <c r="B215" s="1" t="s">
        <v>301</v>
      </c>
      <c r="C215" s="4">
        <v>53.792569659442727</v>
      </c>
      <c r="D215" s="4">
        <v>68.705384559043083</v>
      </c>
    </row>
    <row r="216" spans="1:4" x14ac:dyDescent="0.3">
      <c r="A216" s="2">
        <v>50405</v>
      </c>
      <c r="B216" s="1" t="s">
        <v>302</v>
      </c>
      <c r="C216" s="4">
        <v>62.915434238963655</v>
      </c>
      <c r="D216" s="4">
        <v>77.609427609427598</v>
      </c>
    </row>
    <row r="217" spans="1:4" x14ac:dyDescent="0.3">
      <c r="A217" s="2">
        <v>50501</v>
      </c>
      <c r="B217" s="1" t="s">
        <v>304</v>
      </c>
      <c r="C217" s="4">
        <v>60.968442335621603</v>
      </c>
      <c r="D217" s="4">
        <v>88.348556877984095</v>
      </c>
    </row>
    <row r="218" spans="1:4" x14ac:dyDescent="0.3">
      <c r="A218" s="2">
        <v>50502</v>
      </c>
      <c r="B218" s="1" t="s">
        <v>305</v>
      </c>
      <c r="C218" s="4">
        <v>66.6851368970013</v>
      </c>
      <c r="D218" s="4">
        <v>80.066268471331767</v>
      </c>
    </row>
    <row r="219" spans="1:4" x14ac:dyDescent="0.3">
      <c r="A219" s="2">
        <v>50601</v>
      </c>
      <c r="B219" s="1" t="s">
        <v>307</v>
      </c>
      <c r="C219" s="4">
        <v>33.310212729892363</v>
      </c>
      <c r="D219" s="4">
        <v>53.745393531385751</v>
      </c>
    </row>
    <row r="220" spans="1:4" x14ac:dyDescent="0.3">
      <c r="A220" s="2">
        <v>50602</v>
      </c>
      <c r="B220" s="1" t="s">
        <v>308</v>
      </c>
      <c r="C220" s="4">
        <v>52.637258901928782</v>
      </c>
      <c r="D220" s="4">
        <v>59.11360799001249</v>
      </c>
    </row>
    <row r="221" spans="1:4" x14ac:dyDescent="0.3">
      <c r="A221" s="2">
        <v>50701</v>
      </c>
      <c r="B221" s="1" t="s">
        <v>310</v>
      </c>
      <c r="C221" s="4">
        <v>52.219227313566932</v>
      </c>
      <c r="D221" s="4">
        <v>84.117910496551261</v>
      </c>
    </row>
    <row r="222" spans="1:4" x14ac:dyDescent="0.3">
      <c r="A222" s="2">
        <v>50702</v>
      </c>
      <c r="B222" s="1" t="s">
        <v>312</v>
      </c>
      <c r="C222" s="4">
        <v>62.829566854990581</v>
      </c>
      <c r="D222" s="4">
        <v>80.894538606403032</v>
      </c>
    </row>
    <row r="223" spans="1:4" x14ac:dyDescent="0.3">
      <c r="A223" s="2">
        <v>50801</v>
      </c>
      <c r="B223" s="1" t="s">
        <v>314</v>
      </c>
      <c r="C223" s="4">
        <v>64.389406527562144</v>
      </c>
      <c r="D223" s="4">
        <v>70.487803055835499</v>
      </c>
    </row>
    <row r="224" spans="1:4" x14ac:dyDescent="0.3">
      <c r="A224" s="2">
        <v>50802</v>
      </c>
      <c r="B224" s="1" t="s">
        <v>315</v>
      </c>
      <c r="C224" s="4">
        <v>67.04005988110147</v>
      </c>
      <c r="D224" s="4">
        <v>77.300511957360257</v>
      </c>
    </row>
    <row r="225" spans="1:4" x14ac:dyDescent="0.3">
      <c r="A225" s="2">
        <v>50901</v>
      </c>
      <c r="B225" s="1" t="s">
        <v>317</v>
      </c>
      <c r="C225" s="4">
        <v>42.6225244517344</v>
      </c>
      <c r="D225" s="4">
        <v>58.922161519499866</v>
      </c>
    </row>
    <row r="226" spans="1:4" x14ac:dyDescent="0.3">
      <c r="A226" s="2">
        <v>50902</v>
      </c>
      <c r="B226" s="1" t="s">
        <v>319</v>
      </c>
      <c r="C226" s="4">
        <v>71.30952380952381</v>
      </c>
      <c r="D226" s="4">
        <v>66.666666666666657</v>
      </c>
    </row>
    <row r="227" spans="1:4" x14ac:dyDescent="0.3">
      <c r="A227" s="2">
        <v>51001</v>
      </c>
      <c r="B227" s="1" t="s">
        <v>322</v>
      </c>
      <c r="C227" s="4">
        <v>33.738095238095241</v>
      </c>
      <c r="D227" s="4">
        <v>62.878787878787875</v>
      </c>
    </row>
    <row r="228" spans="1:4" x14ac:dyDescent="0.3">
      <c r="A228" s="2">
        <v>51002</v>
      </c>
      <c r="B228" s="1" t="s">
        <v>324</v>
      </c>
      <c r="C228" s="4">
        <v>37.142857142857139</v>
      </c>
      <c r="D228" s="4">
        <v>55.55555555555555</v>
      </c>
    </row>
    <row r="229" spans="1:4" x14ac:dyDescent="0.3">
      <c r="A229" s="2">
        <v>51003</v>
      </c>
      <c r="B229" s="1" t="s">
        <v>325</v>
      </c>
      <c r="C229" s="4">
        <v>35.555555555555557</v>
      </c>
      <c r="D229" s="4">
        <v>69.032057267351391</v>
      </c>
    </row>
    <row r="230" spans="1:4" x14ac:dyDescent="0.3">
      <c r="A230" s="2">
        <v>51101</v>
      </c>
      <c r="B230" s="1" t="s">
        <v>327</v>
      </c>
      <c r="C230" s="4">
        <v>48.657687405862596</v>
      </c>
      <c r="D230" s="4">
        <v>66.535105454578684</v>
      </c>
    </row>
    <row r="231" spans="1:4" x14ac:dyDescent="0.3">
      <c r="A231" s="2">
        <v>51102</v>
      </c>
      <c r="B231" s="1" t="s">
        <v>329</v>
      </c>
      <c r="C231" s="4">
        <v>55.907830907830906</v>
      </c>
      <c r="D231" s="4">
        <v>59.370440590158303</v>
      </c>
    </row>
    <row r="232" spans="1:4" x14ac:dyDescent="0.3">
      <c r="A232" s="2">
        <v>51103</v>
      </c>
      <c r="B232" s="1" t="s">
        <v>330</v>
      </c>
      <c r="C232" s="4">
        <v>46.428571428571431</v>
      </c>
      <c r="D232" s="4">
        <v>67.767203852922094</v>
      </c>
    </row>
    <row r="233" spans="1:4" x14ac:dyDescent="0.3">
      <c r="A233" s="2">
        <v>51201</v>
      </c>
      <c r="B233" s="1" t="s">
        <v>332</v>
      </c>
      <c r="C233" s="4">
        <v>68.787941691167489</v>
      </c>
      <c r="D233" s="4">
        <v>73.203081855868859</v>
      </c>
    </row>
    <row r="234" spans="1:4" x14ac:dyDescent="0.3">
      <c r="A234" s="2">
        <v>51202</v>
      </c>
      <c r="B234" s="1" t="s">
        <v>333</v>
      </c>
      <c r="C234" s="4">
        <v>42.268253445707472</v>
      </c>
      <c r="D234" s="4">
        <v>60.16339869281046</v>
      </c>
    </row>
    <row r="235" spans="1:4" x14ac:dyDescent="0.3">
      <c r="A235" s="2">
        <v>51203</v>
      </c>
      <c r="B235" s="1" t="s">
        <v>334</v>
      </c>
      <c r="C235" s="4">
        <v>59.664209664209665</v>
      </c>
      <c r="D235" s="4">
        <v>58.073593073593067</v>
      </c>
    </row>
    <row r="236" spans="1:4" x14ac:dyDescent="0.3">
      <c r="A236" s="2">
        <v>51204</v>
      </c>
      <c r="B236" s="1" t="s">
        <v>335</v>
      </c>
      <c r="C236" s="4">
        <v>42.268253445707472</v>
      </c>
      <c r="D236" s="4">
        <v>60.16339869281046</v>
      </c>
    </row>
    <row r="237" spans="1:4" x14ac:dyDescent="0.3">
      <c r="A237" s="2">
        <v>51301</v>
      </c>
      <c r="B237" s="1" t="s">
        <v>337</v>
      </c>
      <c r="C237" s="4">
        <v>47.16450216450216</v>
      </c>
      <c r="D237" s="4">
        <v>81.081081081081081</v>
      </c>
    </row>
    <row r="238" spans="1:4" x14ac:dyDescent="0.3">
      <c r="A238" s="2">
        <v>51302</v>
      </c>
      <c r="B238" s="1" t="s">
        <v>338</v>
      </c>
      <c r="C238" s="4">
        <v>55.243521910188576</v>
      </c>
      <c r="D238" s="4">
        <v>83.075684380032214</v>
      </c>
    </row>
    <row r="239" spans="1:4" x14ac:dyDescent="0.3">
      <c r="A239" s="2">
        <v>51401</v>
      </c>
      <c r="B239" s="1" t="s">
        <v>340</v>
      </c>
      <c r="C239" s="4">
        <v>34.865196078431374</v>
      </c>
      <c r="D239" s="4">
        <v>47.295265190002034</v>
      </c>
    </row>
    <row r="240" spans="1:4" x14ac:dyDescent="0.3">
      <c r="A240" s="2">
        <v>51402</v>
      </c>
      <c r="B240" s="1" t="s">
        <v>341</v>
      </c>
      <c r="C240" s="4">
        <v>47.121212121212125</v>
      </c>
      <c r="D240" s="4">
        <v>44.44444444444445</v>
      </c>
    </row>
    <row r="241" spans="1:4" x14ac:dyDescent="0.3">
      <c r="A241" s="2">
        <v>51501</v>
      </c>
      <c r="B241" s="1" t="s">
        <v>343</v>
      </c>
      <c r="C241" s="4">
        <v>63.217354058039056</v>
      </c>
      <c r="D241" s="4">
        <v>76.122085456510717</v>
      </c>
    </row>
    <row r="242" spans="1:4" x14ac:dyDescent="0.3">
      <c r="A242" s="2">
        <v>51601</v>
      </c>
      <c r="B242" s="1" t="s">
        <v>345</v>
      </c>
      <c r="C242" s="4">
        <v>6.193588546529722</v>
      </c>
      <c r="D242" s="4">
        <v>48.484848484848477</v>
      </c>
    </row>
    <row r="243" spans="1:4" x14ac:dyDescent="0.3">
      <c r="A243" s="2">
        <v>60101</v>
      </c>
      <c r="B243" s="1" t="s">
        <v>346</v>
      </c>
      <c r="C243" s="4">
        <v>73.861755102760938</v>
      </c>
      <c r="D243" s="4">
        <v>76.975711835571431</v>
      </c>
    </row>
    <row r="244" spans="1:4" x14ac:dyDescent="0.3">
      <c r="A244" s="2">
        <v>60201</v>
      </c>
      <c r="B244" s="1" t="s">
        <v>348</v>
      </c>
      <c r="C244" s="4">
        <v>42.822576042915024</v>
      </c>
      <c r="D244" s="4">
        <v>67.827956989247312</v>
      </c>
    </row>
    <row r="245" spans="1:4" x14ac:dyDescent="0.3">
      <c r="A245" s="2">
        <v>60202</v>
      </c>
      <c r="B245" s="1" t="s">
        <v>349</v>
      </c>
      <c r="C245" s="4">
        <v>65.94093368470044</v>
      </c>
      <c r="D245" s="4">
        <v>74.795013795857116</v>
      </c>
    </row>
    <row r="246" spans="1:4" x14ac:dyDescent="0.3">
      <c r="A246" s="2">
        <v>60301</v>
      </c>
      <c r="B246" s="1" t="s">
        <v>351</v>
      </c>
      <c r="C246" s="4">
        <v>73.167467080387695</v>
      </c>
      <c r="D246" s="4">
        <v>81.635361413357089</v>
      </c>
    </row>
    <row r="247" spans="1:4" x14ac:dyDescent="0.3">
      <c r="A247" s="2">
        <v>60302</v>
      </c>
      <c r="B247" s="1" t="s">
        <v>352</v>
      </c>
      <c r="C247" s="4">
        <v>35.005472170106316</v>
      </c>
      <c r="D247" s="4">
        <v>71.525731276862061</v>
      </c>
    </row>
    <row r="248" spans="1:4" x14ac:dyDescent="0.3">
      <c r="A248" s="2">
        <v>60303</v>
      </c>
      <c r="B248" s="1" t="s">
        <v>353</v>
      </c>
      <c r="C248" s="4">
        <v>64.939331190319152</v>
      </c>
      <c r="D248" s="4">
        <v>77.9079003657166</v>
      </c>
    </row>
    <row r="249" spans="1:4" x14ac:dyDescent="0.3">
      <c r="A249" s="2">
        <v>60401</v>
      </c>
      <c r="B249" s="1" t="s">
        <v>355</v>
      </c>
      <c r="C249" s="4">
        <v>48.147576412472993</v>
      </c>
      <c r="D249" s="4">
        <v>69.747578738656301</v>
      </c>
    </row>
    <row r="250" spans="1:4" x14ac:dyDescent="0.3">
      <c r="A250" s="2">
        <v>60402</v>
      </c>
      <c r="B250" s="1" t="s">
        <v>357</v>
      </c>
      <c r="C250" s="4">
        <v>41.049382716049386</v>
      </c>
      <c r="D250" s="4">
        <v>68.847838437150656</v>
      </c>
    </row>
    <row r="251" spans="1:4" x14ac:dyDescent="0.3">
      <c r="A251" s="2">
        <v>60501</v>
      </c>
      <c r="B251" s="1" t="s">
        <v>359</v>
      </c>
      <c r="C251" s="4">
        <v>48.443112534266</v>
      </c>
      <c r="D251" s="4">
        <v>69.364578351991653</v>
      </c>
    </row>
    <row r="252" spans="1:4" x14ac:dyDescent="0.3">
      <c r="A252" s="2">
        <v>60502</v>
      </c>
      <c r="B252" s="1" t="s">
        <v>361</v>
      </c>
      <c r="C252" s="4">
        <v>28.45719095719096</v>
      </c>
      <c r="D252" s="4">
        <v>65.955145719489977</v>
      </c>
    </row>
    <row r="253" spans="1:4" x14ac:dyDescent="0.3">
      <c r="A253" s="2">
        <v>60601</v>
      </c>
      <c r="B253" s="1" t="s">
        <v>213</v>
      </c>
      <c r="C253" s="4">
        <v>49.742571616186488</v>
      </c>
      <c r="D253" s="4">
        <v>76.631070041345552</v>
      </c>
    </row>
    <row r="254" spans="1:4" x14ac:dyDescent="0.3">
      <c r="A254" s="2">
        <v>70101</v>
      </c>
      <c r="B254" s="1" t="s">
        <v>365</v>
      </c>
      <c r="C254" s="4">
        <v>75.265559365598151</v>
      </c>
      <c r="D254" s="4">
        <v>79.553430533833009</v>
      </c>
    </row>
    <row r="255" spans="1:4" x14ac:dyDescent="0.3">
      <c r="A255" s="2">
        <v>70102</v>
      </c>
      <c r="B255" s="1" t="s">
        <v>366</v>
      </c>
      <c r="C255" s="4">
        <v>81.470459164818919</v>
      </c>
      <c r="D255" s="4">
        <v>89.075580574911214</v>
      </c>
    </row>
    <row r="256" spans="1:4" x14ac:dyDescent="0.3">
      <c r="A256" s="2">
        <v>70103</v>
      </c>
      <c r="B256" s="1" t="s">
        <v>367</v>
      </c>
      <c r="C256" s="4">
        <v>63.524011299435024</v>
      </c>
      <c r="D256" s="4">
        <v>71.263151602104259</v>
      </c>
    </row>
    <row r="257" spans="1:4" x14ac:dyDescent="0.3">
      <c r="A257" s="2">
        <v>70104</v>
      </c>
      <c r="B257" s="1" t="s">
        <v>369</v>
      </c>
      <c r="C257" s="4">
        <v>74.457697713231639</v>
      </c>
      <c r="D257" s="4">
        <v>77.810179419718878</v>
      </c>
    </row>
    <row r="258" spans="1:4" x14ac:dyDescent="0.3">
      <c r="A258" s="2">
        <v>70105</v>
      </c>
      <c r="B258" s="1" t="s">
        <v>370</v>
      </c>
      <c r="C258" s="4">
        <v>57.805410426100075</v>
      </c>
      <c r="D258" s="4">
        <v>63.074033398101996</v>
      </c>
    </row>
    <row r="259" spans="1:4" x14ac:dyDescent="0.3">
      <c r="A259" s="2">
        <v>70201</v>
      </c>
      <c r="B259" s="1" t="s">
        <v>371</v>
      </c>
      <c r="C259" s="4">
        <v>65.599992490656376</v>
      </c>
      <c r="D259" s="4">
        <v>73.927942947743659</v>
      </c>
    </row>
    <row r="260" spans="1:4" x14ac:dyDescent="0.3">
      <c r="A260" s="2">
        <v>70202</v>
      </c>
      <c r="B260" s="1" t="s">
        <v>372</v>
      </c>
      <c r="C260" s="4">
        <v>56.676510682276792</v>
      </c>
      <c r="D260" s="4">
        <v>61.987832484436893</v>
      </c>
    </row>
    <row r="261" spans="1:4" x14ac:dyDescent="0.3">
      <c r="A261" s="2">
        <v>70301</v>
      </c>
      <c r="B261" s="1" t="s">
        <v>374</v>
      </c>
      <c r="C261" s="4">
        <v>53.930284980369578</v>
      </c>
      <c r="D261" s="4">
        <v>82.222246381538426</v>
      </c>
    </row>
    <row r="262" spans="1:4" x14ac:dyDescent="0.3">
      <c r="A262" s="2">
        <v>70302</v>
      </c>
      <c r="B262" s="1" t="s">
        <v>376</v>
      </c>
      <c r="C262" s="4">
        <v>39.268737798149566</v>
      </c>
      <c r="D262" s="4">
        <v>72.735597735597722</v>
      </c>
    </row>
    <row r="263" spans="1:4" x14ac:dyDescent="0.3">
      <c r="A263" s="2">
        <v>70303</v>
      </c>
      <c r="B263" s="1" t="s">
        <v>378</v>
      </c>
      <c r="C263" s="4">
        <v>31.815114709851553</v>
      </c>
      <c r="D263" s="4">
        <v>78.516260162601625</v>
      </c>
    </row>
    <row r="264" spans="1:4" x14ac:dyDescent="0.3">
      <c r="A264" s="2">
        <v>70401</v>
      </c>
      <c r="B264" s="1" t="s">
        <v>380</v>
      </c>
      <c r="C264" s="4">
        <v>24.124914207275225</v>
      </c>
      <c r="D264" s="4">
        <v>53.139235492176674</v>
      </c>
    </row>
    <row r="265" spans="1:4" x14ac:dyDescent="0.3">
      <c r="A265" s="2">
        <v>70402</v>
      </c>
      <c r="B265" s="1" t="s">
        <v>381</v>
      </c>
      <c r="C265" s="4">
        <v>44.142765066065095</v>
      </c>
      <c r="D265" s="4">
        <v>67.00378705515692</v>
      </c>
    </row>
    <row r="266" spans="1:4" x14ac:dyDescent="0.3">
      <c r="A266" s="2">
        <v>70403</v>
      </c>
      <c r="B266" s="1" t="s">
        <v>382</v>
      </c>
      <c r="C266" s="4">
        <v>57.656851596513292</v>
      </c>
      <c r="D266" s="4">
        <v>72.692183915556356</v>
      </c>
    </row>
    <row r="267" spans="1:4" x14ac:dyDescent="0.3">
      <c r="A267" s="2">
        <v>70404</v>
      </c>
      <c r="B267" s="1" t="s">
        <v>383</v>
      </c>
      <c r="C267" s="4">
        <v>55.670995670995673</v>
      </c>
      <c r="D267" s="4">
        <v>71.063980346604708</v>
      </c>
    </row>
    <row r="268" spans="1:4" x14ac:dyDescent="0.3">
      <c r="A268" s="2">
        <v>70501</v>
      </c>
      <c r="B268" s="1" t="s">
        <v>385</v>
      </c>
      <c r="C268" s="4">
        <v>46.827368138843546</v>
      </c>
      <c r="D268" s="4">
        <v>77.63864042933811</v>
      </c>
    </row>
    <row r="269" spans="1:4" x14ac:dyDescent="0.3">
      <c r="A269" s="2">
        <v>70502</v>
      </c>
      <c r="B269" s="1" t="s">
        <v>387</v>
      </c>
      <c r="C269" s="4">
        <v>61.040485312899108</v>
      </c>
      <c r="D269" s="4">
        <v>72.981740481740488</v>
      </c>
    </row>
    <row r="270" spans="1:4" x14ac:dyDescent="0.3">
      <c r="A270" s="2">
        <v>70503</v>
      </c>
      <c r="B270" s="1" t="s">
        <v>388</v>
      </c>
      <c r="C270" s="4">
        <v>47.487878787878792</v>
      </c>
      <c r="D270" s="4">
        <v>85.026133211251178</v>
      </c>
    </row>
    <row r="271" spans="1:4" x14ac:dyDescent="0.3">
      <c r="A271" s="2">
        <v>70601</v>
      </c>
      <c r="B271" s="1" t="s">
        <v>390</v>
      </c>
      <c r="C271" s="4">
        <v>40.502719884163177</v>
      </c>
      <c r="D271" s="4">
        <v>55.376446053730369</v>
      </c>
    </row>
    <row r="272" spans="1:4" x14ac:dyDescent="0.3">
      <c r="A272" s="2">
        <v>70602</v>
      </c>
      <c r="B272" s="1" t="s">
        <v>391</v>
      </c>
      <c r="C272" s="4">
        <v>43.504529978648513</v>
      </c>
      <c r="D272" s="4">
        <v>64.379558129558134</v>
      </c>
    </row>
    <row r="273" spans="1:4" x14ac:dyDescent="0.3">
      <c r="A273" s="2">
        <v>70603</v>
      </c>
      <c r="B273" s="1" t="s">
        <v>393</v>
      </c>
      <c r="C273" s="4">
        <v>57.777777777777771</v>
      </c>
      <c r="D273" s="4">
        <v>59.434737156511346</v>
      </c>
    </row>
    <row r="274" spans="1:4" x14ac:dyDescent="0.3">
      <c r="A274" s="2">
        <v>70701</v>
      </c>
      <c r="B274" s="1" t="s">
        <v>395</v>
      </c>
      <c r="C274" s="4">
        <v>50.1990346817933</v>
      </c>
      <c r="D274" s="4">
        <v>75.113292716453387</v>
      </c>
    </row>
    <row r="275" spans="1:4" x14ac:dyDescent="0.3">
      <c r="A275" s="2">
        <v>70702</v>
      </c>
      <c r="B275" s="1" t="s">
        <v>396</v>
      </c>
      <c r="C275" s="4">
        <v>34.126137948002956</v>
      </c>
      <c r="D275" s="4">
        <v>79.384720027207081</v>
      </c>
    </row>
    <row r="276" spans="1:4" x14ac:dyDescent="0.3">
      <c r="A276" s="2">
        <v>70703</v>
      </c>
      <c r="B276" s="1" t="s">
        <v>397</v>
      </c>
      <c r="C276" s="4">
        <v>55.725122713074519</v>
      </c>
      <c r="D276" s="4">
        <v>71.066476218278879</v>
      </c>
    </row>
    <row r="277" spans="1:4" x14ac:dyDescent="0.3">
      <c r="A277" s="2">
        <v>70704</v>
      </c>
      <c r="B277" s="1" t="s">
        <v>398</v>
      </c>
      <c r="C277" s="4">
        <v>41.600529100529094</v>
      </c>
      <c r="D277" s="4">
        <v>59.145981087470453</v>
      </c>
    </row>
    <row r="278" spans="1:4" x14ac:dyDescent="0.3">
      <c r="A278" s="2">
        <v>70705</v>
      </c>
      <c r="B278" s="1" t="s">
        <v>399</v>
      </c>
      <c r="C278" s="4">
        <v>37.104972522720317</v>
      </c>
      <c r="D278" s="4">
        <v>72.941528014419163</v>
      </c>
    </row>
    <row r="279" spans="1:4" x14ac:dyDescent="0.3">
      <c r="A279" s="2">
        <v>70706</v>
      </c>
      <c r="B279" s="1" t="s">
        <v>400</v>
      </c>
      <c r="C279" s="4">
        <v>58.60928854273201</v>
      </c>
      <c r="D279" s="4">
        <v>70.81237059214773</v>
      </c>
    </row>
    <row r="280" spans="1:4" x14ac:dyDescent="0.3">
      <c r="A280" s="2">
        <v>70707</v>
      </c>
      <c r="B280" s="1" t="s">
        <v>401</v>
      </c>
      <c r="C280" s="4">
        <v>57.93434343434344</v>
      </c>
      <c r="D280" s="4">
        <v>78.696581196581192</v>
      </c>
    </row>
    <row r="281" spans="1:4" x14ac:dyDescent="0.3">
      <c r="A281" s="2">
        <v>70801</v>
      </c>
      <c r="B281" s="1" t="s">
        <v>402</v>
      </c>
      <c r="C281" s="4">
        <v>61.700823572591055</v>
      </c>
      <c r="D281" s="4">
        <v>77.912622961642569</v>
      </c>
    </row>
    <row r="282" spans="1:4" x14ac:dyDescent="0.3">
      <c r="A282" s="2">
        <v>70802</v>
      </c>
      <c r="B282" s="1" t="s">
        <v>403</v>
      </c>
      <c r="C282" s="4">
        <v>21.616161616161619</v>
      </c>
      <c r="D282" s="4">
        <v>53.675213675213676</v>
      </c>
    </row>
    <row r="283" spans="1:4" x14ac:dyDescent="0.3">
      <c r="A283" s="2">
        <v>70803</v>
      </c>
      <c r="B283" s="1" t="s">
        <v>404</v>
      </c>
      <c r="C283" s="4">
        <v>23.882783882783883</v>
      </c>
      <c r="D283" s="4">
        <v>63.226010101010097</v>
      </c>
    </row>
    <row r="284" spans="1:4" x14ac:dyDescent="0.3">
      <c r="A284" s="2">
        <v>70804</v>
      </c>
      <c r="B284" s="1" t="s">
        <v>406</v>
      </c>
      <c r="C284" s="4">
        <v>44.444444444444436</v>
      </c>
      <c r="D284" s="4">
        <v>100</v>
      </c>
    </row>
    <row r="285" spans="1:4" x14ac:dyDescent="0.3">
      <c r="A285" s="2">
        <v>70805</v>
      </c>
      <c r="B285" s="1" t="s">
        <v>407</v>
      </c>
      <c r="C285" s="4">
        <v>17.962962962962962</v>
      </c>
      <c r="D285" s="4">
        <v>39.682539682539684</v>
      </c>
    </row>
    <row r="286" spans="1:4" x14ac:dyDescent="0.3">
      <c r="A286" s="2">
        <v>70901</v>
      </c>
      <c r="B286" s="1" t="s">
        <v>409</v>
      </c>
      <c r="C286" s="4">
        <v>66.265856950067473</v>
      </c>
      <c r="D286" s="4">
        <v>82.155925782427133</v>
      </c>
    </row>
    <row r="287" spans="1:4" x14ac:dyDescent="0.3">
      <c r="A287" s="2">
        <v>70902</v>
      </c>
      <c r="B287" s="1" t="s">
        <v>410</v>
      </c>
      <c r="C287" s="4">
        <v>69.566019869356566</v>
      </c>
      <c r="D287" s="4">
        <v>90.102355522437492</v>
      </c>
    </row>
    <row r="288" spans="1:4" x14ac:dyDescent="0.3">
      <c r="A288" s="2">
        <v>70903</v>
      </c>
      <c r="B288" s="1" t="s">
        <v>411</v>
      </c>
      <c r="C288" s="4">
        <v>54.213263588263594</v>
      </c>
      <c r="D288" s="4">
        <v>92.432137106050149</v>
      </c>
    </row>
    <row r="289" spans="1:4" x14ac:dyDescent="0.3">
      <c r="A289" s="2">
        <v>70904</v>
      </c>
      <c r="B289" s="1" t="s">
        <v>412</v>
      </c>
      <c r="C289" s="4">
        <v>52.314814814814817</v>
      </c>
      <c r="D289" s="4">
        <v>85.925925925925924</v>
      </c>
    </row>
    <row r="290" spans="1:4" x14ac:dyDescent="0.3">
      <c r="A290" s="2">
        <v>71001</v>
      </c>
      <c r="B290" s="1" t="s">
        <v>414</v>
      </c>
      <c r="C290" s="4">
        <v>53.18004375458478</v>
      </c>
      <c r="D290" s="4">
        <v>68.416265625194285</v>
      </c>
    </row>
    <row r="291" spans="1:4" x14ac:dyDescent="0.3">
      <c r="A291" s="2">
        <v>71002</v>
      </c>
      <c r="B291" s="1" t="s">
        <v>415</v>
      </c>
      <c r="C291" s="4">
        <v>33.495451185326687</v>
      </c>
      <c r="D291" s="4">
        <v>69.633599131155506</v>
      </c>
    </row>
    <row r="292" spans="1:4" x14ac:dyDescent="0.3">
      <c r="A292" s="2">
        <v>71003</v>
      </c>
      <c r="B292" s="1" t="s">
        <v>416</v>
      </c>
      <c r="C292" s="4">
        <v>46.677542948955626</v>
      </c>
      <c r="D292" s="4">
        <v>65.632951653944019</v>
      </c>
    </row>
    <row r="293" spans="1:4" x14ac:dyDescent="0.3">
      <c r="A293" s="2">
        <v>71004</v>
      </c>
      <c r="B293" s="1" t="s">
        <v>417</v>
      </c>
      <c r="C293" s="4">
        <v>50.015782828282831</v>
      </c>
      <c r="D293" s="4">
        <v>57.264783580573059</v>
      </c>
    </row>
    <row r="294" spans="1:4" x14ac:dyDescent="0.3">
      <c r="A294" s="2">
        <v>71005</v>
      </c>
      <c r="B294" s="1" t="s">
        <v>304</v>
      </c>
      <c r="C294" s="4">
        <v>50.39535136309329</v>
      </c>
      <c r="D294" s="4">
        <v>62.817281192961779</v>
      </c>
    </row>
    <row r="295" spans="1:4" x14ac:dyDescent="0.3">
      <c r="A295" s="2">
        <v>71101</v>
      </c>
      <c r="B295" s="1" t="s">
        <v>356</v>
      </c>
      <c r="C295" s="4">
        <v>57.828928672918437</v>
      </c>
      <c r="D295" s="4">
        <v>81.493274836045671</v>
      </c>
    </row>
    <row r="296" spans="1:4" x14ac:dyDescent="0.3">
      <c r="A296" s="2">
        <v>71102</v>
      </c>
      <c r="B296" s="1" t="s">
        <v>419</v>
      </c>
      <c r="C296" s="4">
        <v>65.620025384624512</v>
      </c>
      <c r="D296" s="4">
        <v>80.413759589017317</v>
      </c>
    </row>
    <row r="297" spans="1:4" x14ac:dyDescent="0.3">
      <c r="A297" s="2">
        <v>71103</v>
      </c>
      <c r="B297" s="1" t="s">
        <v>420</v>
      </c>
      <c r="C297" s="4">
        <v>67.612570356472801</v>
      </c>
      <c r="D297" s="4">
        <v>87.835497835497847</v>
      </c>
    </row>
    <row r="298" spans="1:4" x14ac:dyDescent="0.3">
      <c r="A298" s="2">
        <v>71104</v>
      </c>
      <c r="B298" s="1" t="s">
        <v>421</v>
      </c>
      <c r="C298" s="4">
        <v>51.833653380887654</v>
      </c>
      <c r="D298" s="4">
        <v>76.721104305757891</v>
      </c>
    </row>
    <row r="299" spans="1:4" x14ac:dyDescent="0.3">
      <c r="A299" s="2">
        <v>71105</v>
      </c>
      <c r="B299" s="1" t="s">
        <v>422</v>
      </c>
      <c r="C299" s="4">
        <v>30.710955710955716</v>
      </c>
      <c r="D299" s="4">
        <v>66.122534037232569</v>
      </c>
    </row>
    <row r="300" spans="1:4" x14ac:dyDescent="0.3">
      <c r="A300" s="2">
        <v>71106</v>
      </c>
      <c r="B300" s="1" t="s">
        <v>423</v>
      </c>
      <c r="C300" s="4">
        <v>53.172232205251078</v>
      </c>
      <c r="D300" s="4">
        <v>70.52908806543212</v>
      </c>
    </row>
    <row r="301" spans="1:4" x14ac:dyDescent="0.3">
      <c r="A301" s="2">
        <v>71201</v>
      </c>
      <c r="B301" s="1" t="s">
        <v>425</v>
      </c>
      <c r="C301" s="4">
        <v>57.201546285680685</v>
      </c>
      <c r="D301" s="4">
        <v>84.27011124390917</v>
      </c>
    </row>
    <row r="302" spans="1:4" x14ac:dyDescent="0.3">
      <c r="A302" s="2">
        <v>71301</v>
      </c>
      <c r="B302" s="1" t="s">
        <v>427</v>
      </c>
      <c r="C302" s="4">
        <v>63.661428177557212</v>
      </c>
      <c r="D302" s="4">
        <v>76.594625545967816</v>
      </c>
    </row>
    <row r="303" spans="1:4" x14ac:dyDescent="0.3">
      <c r="A303" s="2">
        <v>71302</v>
      </c>
      <c r="B303" s="1" t="s">
        <v>428</v>
      </c>
      <c r="C303" s="4">
        <v>59.197530864197539</v>
      </c>
      <c r="D303" s="4">
        <v>77.938808373590973</v>
      </c>
    </row>
    <row r="304" spans="1:4" x14ac:dyDescent="0.3">
      <c r="A304" s="2">
        <v>71401</v>
      </c>
      <c r="B304" s="1" t="s">
        <v>430</v>
      </c>
      <c r="C304" s="4">
        <v>40.094995366079701</v>
      </c>
      <c r="D304" s="4">
        <v>72.436974789915965</v>
      </c>
    </row>
    <row r="305" spans="1:4" x14ac:dyDescent="0.3">
      <c r="A305" s="2">
        <v>71402</v>
      </c>
      <c r="B305" s="1" t="s">
        <v>431</v>
      </c>
      <c r="C305" s="4">
        <v>57.281142622698589</v>
      </c>
      <c r="D305" s="4">
        <v>80.117137377501493</v>
      </c>
    </row>
    <row r="306" spans="1:4" x14ac:dyDescent="0.3">
      <c r="A306" s="2">
        <v>71403</v>
      </c>
      <c r="B306" s="1" t="s">
        <v>432</v>
      </c>
      <c r="C306" s="4">
        <v>41.025641025641029</v>
      </c>
      <c r="D306" s="4">
        <v>91.231126596980246</v>
      </c>
    </row>
    <row r="307" spans="1:4" x14ac:dyDescent="0.3">
      <c r="A307" s="2">
        <v>71501</v>
      </c>
      <c r="B307" s="1" t="s">
        <v>434</v>
      </c>
      <c r="C307" s="4">
        <v>62.318802196444018</v>
      </c>
      <c r="D307" s="4">
        <v>79.776097275522545</v>
      </c>
    </row>
    <row r="308" spans="1:4" x14ac:dyDescent="0.3">
      <c r="A308" s="2">
        <v>71502</v>
      </c>
      <c r="B308" s="1" t="s">
        <v>435</v>
      </c>
      <c r="C308" s="4">
        <v>61.482720178372354</v>
      </c>
      <c r="D308" s="4">
        <v>83.904997052706506</v>
      </c>
    </row>
    <row r="309" spans="1:4" x14ac:dyDescent="0.3">
      <c r="A309" s="2">
        <v>71503</v>
      </c>
      <c r="B309" s="1" t="s">
        <v>361</v>
      </c>
      <c r="C309" s="4">
        <v>65.799457994579939</v>
      </c>
      <c r="D309" s="4">
        <v>86.5489944373128</v>
      </c>
    </row>
    <row r="310" spans="1:4" x14ac:dyDescent="0.3">
      <c r="A310" s="2">
        <v>80101</v>
      </c>
      <c r="B310" s="1" t="s">
        <v>438</v>
      </c>
      <c r="C310" s="4">
        <v>45.649070737050387</v>
      </c>
      <c r="D310" s="4">
        <v>57.794577112766007</v>
      </c>
    </row>
    <row r="311" spans="1:4" x14ac:dyDescent="0.3">
      <c r="A311" s="2">
        <v>80102</v>
      </c>
      <c r="B311" s="1" t="s">
        <v>419</v>
      </c>
      <c r="C311" s="4">
        <v>27.777777777777775</v>
      </c>
      <c r="D311" s="4">
        <v>47.032447457979373</v>
      </c>
    </row>
    <row r="312" spans="1:4" x14ac:dyDescent="0.3">
      <c r="A312" s="2">
        <v>80201</v>
      </c>
      <c r="B312" s="1" t="s">
        <v>440</v>
      </c>
      <c r="C312" s="4">
        <v>19.16667813633325</v>
      </c>
      <c r="D312" s="4">
        <v>42.495556741738426</v>
      </c>
    </row>
    <row r="313" spans="1:4" x14ac:dyDescent="0.3">
      <c r="A313" s="2">
        <v>80202</v>
      </c>
      <c r="B313" s="1" t="s">
        <v>441</v>
      </c>
      <c r="C313" s="4">
        <v>30.879732687688961</v>
      </c>
      <c r="D313" s="4">
        <v>76.495501476614535</v>
      </c>
    </row>
    <row r="314" spans="1:4" x14ac:dyDescent="0.3">
      <c r="A314" s="2">
        <v>80301</v>
      </c>
      <c r="B314" s="1" t="s">
        <v>443</v>
      </c>
      <c r="C314" s="4">
        <v>27.724137931034488</v>
      </c>
      <c r="D314" s="4">
        <v>84.045415919176662</v>
      </c>
    </row>
    <row r="315" spans="1:4" x14ac:dyDescent="0.3">
      <c r="A315" s="2">
        <v>80302</v>
      </c>
      <c r="B315" s="1" t="s">
        <v>444</v>
      </c>
      <c r="C315" s="4">
        <v>41.637822251051865</v>
      </c>
      <c r="D315" s="4">
        <v>76.381080110259958</v>
      </c>
    </row>
    <row r="316" spans="1:4" x14ac:dyDescent="0.3">
      <c r="A316" s="2">
        <v>80303</v>
      </c>
      <c r="B316" s="1" t="s">
        <v>392</v>
      </c>
      <c r="C316" s="4">
        <v>32.973925299506696</v>
      </c>
      <c r="D316" s="4">
        <v>82.608473029230396</v>
      </c>
    </row>
    <row r="317" spans="1:4" x14ac:dyDescent="0.3">
      <c r="A317" s="2">
        <v>80304</v>
      </c>
      <c r="B317" s="1" t="s">
        <v>445</v>
      </c>
      <c r="C317" s="4">
        <v>30.306513409961685</v>
      </c>
      <c r="D317" s="4">
        <v>84.390901137357829</v>
      </c>
    </row>
    <row r="318" spans="1:4" x14ac:dyDescent="0.3">
      <c r="A318" s="2">
        <v>80401</v>
      </c>
      <c r="B318" s="1" t="s">
        <v>448</v>
      </c>
      <c r="C318" s="4">
        <v>44.666666666666664</v>
      </c>
      <c r="D318" s="4">
        <v>79.564518114938281</v>
      </c>
    </row>
    <row r="319" spans="1:4" x14ac:dyDescent="0.3">
      <c r="A319" s="2">
        <v>80402</v>
      </c>
      <c r="B319" s="1" t="s">
        <v>450</v>
      </c>
      <c r="C319" s="4">
        <v>21.843434343434343</v>
      </c>
      <c r="D319" s="4">
        <v>82.848324514991191</v>
      </c>
    </row>
    <row r="320" spans="1:4" x14ac:dyDescent="0.3">
      <c r="A320" s="2">
        <v>80501</v>
      </c>
      <c r="B320" s="1" t="s">
        <v>375</v>
      </c>
      <c r="C320" s="4">
        <v>39.656306770756608</v>
      </c>
      <c r="D320" s="4">
        <v>80.755036397494507</v>
      </c>
    </row>
    <row r="321" spans="1:4" x14ac:dyDescent="0.3">
      <c r="A321" s="2">
        <v>80601</v>
      </c>
      <c r="B321" s="1" t="s">
        <v>453</v>
      </c>
      <c r="C321" s="4">
        <v>10.690758516845472</v>
      </c>
      <c r="D321" s="4">
        <v>75.026819923371647</v>
      </c>
    </row>
    <row r="322" spans="1:4" x14ac:dyDescent="0.3">
      <c r="A322" s="2">
        <v>80602</v>
      </c>
      <c r="B322" s="1" t="s">
        <v>454</v>
      </c>
      <c r="C322" s="4">
        <v>29.544425580079231</v>
      </c>
      <c r="D322" s="4">
        <v>62.416344605475047</v>
      </c>
    </row>
    <row r="323" spans="1:4" x14ac:dyDescent="0.3">
      <c r="A323" s="2">
        <v>80701</v>
      </c>
      <c r="B323" s="1" t="s">
        <v>456</v>
      </c>
      <c r="C323" s="4">
        <v>26.146384479717813</v>
      </c>
      <c r="D323" s="4">
        <v>70.023767082590624</v>
      </c>
    </row>
    <row r="324" spans="1:4" x14ac:dyDescent="0.3">
      <c r="A324" s="2">
        <v>80702</v>
      </c>
      <c r="B324" s="1" t="s">
        <v>420</v>
      </c>
      <c r="C324" s="4">
        <v>34.991830065359473</v>
      </c>
      <c r="D324" s="4">
        <v>87.162162162162147</v>
      </c>
    </row>
    <row r="325" spans="1:4" x14ac:dyDescent="0.3">
      <c r="A325" s="2">
        <v>80703</v>
      </c>
      <c r="B325" s="1" t="s">
        <v>457</v>
      </c>
      <c r="C325" s="4">
        <v>11.111111111111109</v>
      </c>
      <c r="D325" s="4">
        <v>42.857142857142854</v>
      </c>
    </row>
    <row r="326" spans="1:4" x14ac:dyDescent="0.3">
      <c r="A326" s="2">
        <v>80801</v>
      </c>
      <c r="B326" s="1" t="s">
        <v>459</v>
      </c>
      <c r="C326" s="4">
        <v>31.671864319890634</v>
      </c>
      <c r="D326" s="4">
        <v>77.032775709401506</v>
      </c>
    </row>
    <row r="327" spans="1:4" x14ac:dyDescent="0.3">
      <c r="A327" s="2">
        <v>80802</v>
      </c>
      <c r="B327" s="1" t="s">
        <v>460</v>
      </c>
      <c r="C327" s="4">
        <v>29.047619047619047</v>
      </c>
      <c r="D327" s="4">
        <v>88.042648709315372</v>
      </c>
    </row>
    <row r="328" spans="1:4" x14ac:dyDescent="0.3">
      <c r="A328" s="2">
        <v>80803</v>
      </c>
      <c r="B328" s="1" t="s">
        <v>461</v>
      </c>
      <c r="C328" s="4">
        <v>17.045454545454543</v>
      </c>
      <c r="D328" s="4">
        <v>91.485507246376812</v>
      </c>
    </row>
    <row r="329" spans="1:4" x14ac:dyDescent="0.3">
      <c r="A329" s="2">
        <v>80901</v>
      </c>
      <c r="B329" s="1" t="s">
        <v>462</v>
      </c>
      <c r="C329" s="4">
        <v>41.728518935832106</v>
      </c>
      <c r="D329" s="4">
        <v>80.307382876531904</v>
      </c>
    </row>
    <row r="330" spans="1:4" x14ac:dyDescent="0.3">
      <c r="A330" s="2">
        <v>90101</v>
      </c>
      <c r="B330" s="1" t="s">
        <v>465</v>
      </c>
      <c r="C330" s="4">
        <v>58.699026792551969</v>
      </c>
      <c r="D330" s="4">
        <v>76.834426316951067</v>
      </c>
    </row>
    <row r="331" spans="1:4" x14ac:dyDescent="0.3">
      <c r="A331" s="2">
        <v>90102</v>
      </c>
      <c r="B331" s="1" t="s">
        <v>466</v>
      </c>
      <c r="C331" s="4">
        <v>81.286231884057969</v>
      </c>
      <c r="D331" s="4">
        <v>76.32275132275133</v>
      </c>
    </row>
    <row r="332" spans="1:4" x14ac:dyDescent="0.3">
      <c r="A332" s="2">
        <v>90103</v>
      </c>
      <c r="B332" s="1" t="s">
        <v>467</v>
      </c>
      <c r="C332" s="4">
        <v>55.55555555555555</v>
      </c>
      <c r="D332" s="4">
        <v>86.829501915708818</v>
      </c>
    </row>
    <row r="333" spans="1:4" x14ac:dyDescent="0.3">
      <c r="A333" s="2">
        <v>90104</v>
      </c>
      <c r="B333" s="1" t="s">
        <v>468</v>
      </c>
      <c r="C333" s="4">
        <v>53.156565656565654</v>
      </c>
      <c r="D333" s="4">
        <v>84.540795798657427</v>
      </c>
    </row>
    <row r="334" spans="1:4" x14ac:dyDescent="0.3">
      <c r="A334" s="2">
        <v>90201</v>
      </c>
      <c r="B334" s="1" t="s">
        <v>470</v>
      </c>
      <c r="C334" s="4">
        <v>23.677248677248674</v>
      </c>
      <c r="D334" s="4">
        <v>85.82188930503537</v>
      </c>
    </row>
    <row r="335" spans="1:4" x14ac:dyDescent="0.3">
      <c r="A335" s="2">
        <v>90202</v>
      </c>
      <c r="B335" s="1" t="s">
        <v>304</v>
      </c>
      <c r="C335" s="4">
        <v>66.666666666666657</v>
      </c>
      <c r="D335" s="4">
        <v>92.307692307692307</v>
      </c>
    </row>
    <row r="336" spans="1:4" x14ac:dyDescent="0.3">
      <c r="A336" s="2">
        <v>90203</v>
      </c>
      <c r="B336" s="1" t="s">
        <v>471</v>
      </c>
      <c r="C336" s="4">
        <v>61.904761904761905</v>
      </c>
      <c r="D336" s="4">
        <v>81.35168437171022</v>
      </c>
    </row>
    <row r="337" spans="1:4" x14ac:dyDescent="0.3">
      <c r="A337" s="2">
        <v>90301</v>
      </c>
      <c r="B337" s="1" t="s">
        <v>473</v>
      </c>
      <c r="C337" s="4">
        <v>5.9456099456099452</v>
      </c>
      <c r="D337" s="4">
        <v>66.810897435897445</v>
      </c>
    </row>
    <row r="338" spans="1:4" x14ac:dyDescent="0.3">
      <c r="A338" s="2">
        <v>90302</v>
      </c>
      <c r="B338" s="1" t="s">
        <v>359</v>
      </c>
      <c r="C338" s="4">
        <v>23.893939393939394</v>
      </c>
      <c r="D338" s="4">
        <v>76.434253851515379</v>
      </c>
    </row>
    <row r="339" spans="1:4" x14ac:dyDescent="0.3">
      <c r="A339" s="2">
        <v>90303</v>
      </c>
      <c r="B339" s="1" t="s">
        <v>474</v>
      </c>
      <c r="C339" s="4">
        <v>32.539682539682538</v>
      </c>
      <c r="D339" s="4">
        <v>93.346571230662661</v>
      </c>
    </row>
    <row r="340" spans="1:4" x14ac:dyDescent="0.3">
      <c r="A340" s="2">
        <v>90401</v>
      </c>
      <c r="B340" s="1" t="s">
        <v>392</v>
      </c>
      <c r="C340" s="4">
        <v>32.804232804232804</v>
      </c>
      <c r="D340" s="4">
        <v>83.156686097862575</v>
      </c>
    </row>
    <row r="341" spans="1:4" x14ac:dyDescent="0.3">
      <c r="A341" s="2">
        <v>90402</v>
      </c>
      <c r="B341" s="1" t="s">
        <v>98</v>
      </c>
      <c r="C341" s="4">
        <v>22.5</v>
      </c>
      <c r="D341" s="4">
        <v>90.793650793650784</v>
      </c>
    </row>
    <row r="342" spans="1:4" x14ac:dyDescent="0.3">
      <c r="A342" s="2">
        <v>90501</v>
      </c>
      <c r="B342" s="1" t="s">
        <v>477</v>
      </c>
      <c r="C342" s="4">
        <v>17.777777777777775</v>
      </c>
      <c r="D342" s="4">
        <v>96.775446775446781</v>
      </c>
    </row>
    <row r="343" spans="1:4" x14ac:dyDescent="0.3">
      <c r="A343" s="2">
        <v>90502</v>
      </c>
      <c r="B343" s="1" t="s">
        <v>478</v>
      </c>
      <c r="C343" s="4">
        <v>15.15151515151515</v>
      </c>
      <c r="D343" s="4">
        <v>93.574929971988794</v>
      </c>
    </row>
    <row r="344" spans="1:4" x14ac:dyDescent="0.3">
      <c r="A344" s="2">
        <v>90503</v>
      </c>
      <c r="B344" s="1" t="s">
        <v>480</v>
      </c>
      <c r="C344" s="4">
        <v>13.333333333333334</v>
      </c>
      <c r="D344" s="4">
        <v>87.699805068226127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A2" sqref="A2:A344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1" t="s">
        <v>522</v>
      </c>
      <c r="D1" s="1" t="s">
        <v>523</v>
      </c>
    </row>
    <row r="2" spans="1:4" x14ac:dyDescent="0.3">
      <c r="A2" s="2">
        <v>10101</v>
      </c>
      <c r="B2" s="1" t="s">
        <v>6</v>
      </c>
      <c r="C2" s="2">
        <v>1099.6666666666667</v>
      </c>
      <c r="D2" s="2">
        <v>1483.3333333333333</v>
      </c>
    </row>
    <row r="3" spans="1:4" x14ac:dyDescent="0.3">
      <c r="A3" s="2">
        <v>10102</v>
      </c>
      <c r="B3" s="1" t="s">
        <v>7</v>
      </c>
      <c r="C3" s="2">
        <v>75</v>
      </c>
      <c r="D3" s="2">
        <v>87.666666666666671</v>
      </c>
    </row>
    <row r="4" spans="1:4" x14ac:dyDescent="0.3">
      <c r="A4" s="2">
        <v>10103</v>
      </c>
      <c r="B4" s="1" t="s">
        <v>8</v>
      </c>
      <c r="C4" s="2">
        <v>82.333333333333329</v>
      </c>
      <c r="D4" s="2">
        <v>76</v>
      </c>
    </row>
    <row r="5" spans="1:4" x14ac:dyDescent="0.3">
      <c r="A5" s="2">
        <v>10201</v>
      </c>
      <c r="B5" s="1" t="s">
        <v>10</v>
      </c>
      <c r="C5" s="2">
        <v>30.666666666666668</v>
      </c>
      <c r="D5" s="2">
        <v>58</v>
      </c>
    </row>
    <row r="6" spans="1:4" x14ac:dyDescent="0.3">
      <c r="A6" s="2">
        <v>10202</v>
      </c>
      <c r="B6" s="1" t="s">
        <v>11</v>
      </c>
      <c r="C6" s="2">
        <v>43.333333333333336</v>
      </c>
      <c r="D6" s="2">
        <v>88.666666666666671</v>
      </c>
    </row>
    <row r="7" spans="1:4" x14ac:dyDescent="0.3">
      <c r="A7" s="2">
        <v>10301</v>
      </c>
      <c r="B7" s="1" t="s">
        <v>14</v>
      </c>
      <c r="C7" s="2">
        <v>27</v>
      </c>
      <c r="D7" s="2">
        <v>32.333333333333336</v>
      </c>
    </row>
    <row r="8" spans="1:4" x14ac:dyDescent="0.3">
      <c r="A8" s="2">
        <v>10302</v>
      </c>
      <c r="B8" s="1" t="s">
        <v>16</v>
      </c>
      <c r="C8" s="2">
        <v>25.666666666666668</v>
      </c>
      <c r="D8" s="2">
        <v>37</v>
      </c>
    </row>
    <row r="9" spans="1:4" x14ac:dyDescent="0.3">
      <c r="A9" s="2">
        <v>10303</v>
      </c>
      <c r="B9" s="1" t="s">
        <v>17</v>
      </c>
      <c r="C9" s="2">
        <v>37.333333333333336</v>
      </c>
      <c r="D9" s="2">
        <v>41.333333333333336</v>
      </c>
    </row>
    <row r="10" spans="1:4" x14ac:dyDescent="0.3">
      <c r="A10" s="2">
        <v>10304</v>
      </c>
      <c r="B10" s="1" t="s">
        <v>19</v>
      </c>
      <c r="C10" s="2">
        <v>35.666666666666664</v>
      </c>
      <c r="D10" s="2">
        <v>53.666666666666664</v>
      </c>
    </row>
    <row r="11" spans="1:4" x14ac:dyDescent="0.3">
      <c r="A11" s="2">
        <v>10401</v>
      </c>
      <c r="B11" s="1" t="s">
        <v>21</v>
      </c>
      <c r="C11" s="2">
        <v>27.333333333333332</v>
      </c>
      <c r="D11" s="2">
        <v>45.333333333333336</v>
      </c>
    </row>
    <row r="12" spans="1:4" x14ac:dyDescent="0.3">
      <c r="A12" s="2">
        <v>10402</v>
      </c>
      <c r="B12" s="1" t="s">
        <v>20</v>
      </c>
      <c r="C12" s="2">
        <v>25.333333333333332</v>
      </c>
      <c r="D12" s="2">
        <v>36.333333333333336</v>
      </c>
    </row>
    <row r="13" spans="1:4" x14ac:dyDescent="0.3">
      <c r="A13" s="2">
        <v>10403</v>
      </c>
      <c r="B13" s="1" t="s">
        <v>23</v>
      </c>
      <c r="C13" s="2">
        <v>20.666666666666668</v>
      </c>
      <c r="D13" s="2">
        <v>26</v>
      </c>
    </row>
    <row r="14" spans="1:4" x14ac:dyDescent="0.3">
      <c r="A14" s="2">
        <v>10404</v>
      </c>
      <c r="B14" s="1" t="s">
        <v>25</v>
      </c>
      <c r="C14" s="2">
        <v>13.333333333333334</v>
      </c>
      <c r="D14" s="2">
        <v>20.666666666666668</v>
      </c>
    </row>
    <row r="15" spans="1:4" x14ac:dyDescent="0.3">
      <c r="A15" s="2">
        <v>10405</v>
      </c>
      <c r="B15" s="1" t="s">
        <v>27</v>
      </c>
      <c r="C15" s="2">
        <v>13</v>
      </c>
      <c r="D15" s="2">
        <v>26.333333333333332</v>
      </c>
    </row>
    <row r="16" spans="1:4" x14ac:dyDescent="0.3">
      <c r="A16" s="2">
        <v>10501</v>
      </c>
      <c r="B16" s="1" t="s">
        <v>29</v>
      </c>
      <c r="C16" s="2">
        <v>110.66666666666667</v>
      </c>
      <c r="D16" s="2">
        <v>143.33333333333334</v>
      </c>
    </row>
    <row r="17" spans="1:4" x14ac:dyDescent="0.3">
      <c r="A17" s="2">
        <v>10502</v>
      </c>
      <c r="B17" s="1" t="s">
        <v>30</v>
      </c>
      <c r="C17" s="2">
        <v>25.333333333333332</v>
      </c>
      <c r="D17" s="2">
        <v>57.333333333333336</v>
      </c>
    </row>
    <row r="18" spans="1:4" x14ac:dyDescent="0.3">
      <c r="A18" s="2">
        <v>10601</v>
      </c>
      <c r="B18" s="1" t="s">
        <v>32</v>
      </c>
      <c r="C18" s="2">
        <v>66.333333333333329</v>
      </c>
      <c r="D18" s="2">
        <v>94.666666666666671</v>
      </c>
    </row>
    <row r="19" spans="1:4" x14ac:dyDescent="0.3">
      <c r="A19" s="2">
        <v>10602</v>
      </c>
      <c r="B19" s="1" t="s">
        <v>31</v>
      </c>
      <c r="C19" s="2">
        <v>38.333333333333336</v>
      </c>
      <c r="D19" s="2">
        <v>67.333333333333329</v>
      </c>
    </row>
    <row r="20" spans="1:4" x14ac:dyDescent="0.3">
      <c r="A20" s="2">
        <v>10701</v>
      </c>
      <c r="B20" s="1" t="s">
        <v>34</v>
      </c>
      <c r="C20" s="2">
        <v>56.333333333333336</v>
      </c>
      <c r="D20" s="2">
        <v>68</v>
      </c>
    </row>
    <row r="21" spans="1:4" x14ac:dyDescent="0.3">
      <c r="A21" s="2">
        <v>10702</v>
      </c>
      <c r="B21" s="1" t="s">
        <v>35</v>
      </c>
      <c r="C21" s="2">
        <v>69</v>
      </c>
      <c r="D21" s="2">
        <v>179.66666666666666</v>
      </c>
    </row>
    <row r="22" spans="1:4" x14ac:dyDescent="0.3">
      <c r="A22" s="2">
        <v>10703</v>
      </c>
      <c r="B22" s="1" t="s">
        <v>36</v>
      </c>
      <c r="C22" s="2">
        <v>39.666666666666664</v>
      </c>
      <c r="D22" s="2">
        <v>71</v>
      </c>
    </row>
    <row r="23" spans="1:4" x14ac:dyDescent="0.3">
      <c r="A23" s="2">
        <v>10704</v>
      </c>
      <c r="B23" s="1" t="s">
        <v>37</v>
      </c>
      <c r="C23" s="2">
        <v>8</v>
      </c>
      <c r="D23" s="2">
        <v>71.666666666666671</v>
      </c>
    </row>
    <row r="24" spans="1:4" x14ac:dyDescent="0.3">
      <c r="A24" s="2">
        <v>10801</v>
      </c>
      <c r="B24" s="1" t="s">
        <v>39</v>
      </c>
      <c r="C24" s="2">
        <v>44.333333333333336</v>
      </c>
      <c r="D24" s="2">
        <v>58.666666666666664</v>
      </c>
    </row>
    <row r="25" spans="1:4" x14ac:dyDescent="0.3">
      <c r="A25" s="2">
        <v>10901</v>
      </c>
      <c r="B25" s="1" t="s">
        <v>41</v>
      </c>
      <c r="C25" s="2">
        <v>10.333333333333334</v>
      </c>
      <c r="D25" s="2">
        <v>15.666666666666666</v>
      </c>
    </row>
    <row r="26" spans="1:4" x14ac:dyDescent="0.3">
      <c r="A26" s="2">
        <v>10902</v>
      </c>
      <c r="B26" s="1" t="s">
        <v>42</v>
      </c>
      <c r="C26" s="2">
        <v>32</v>
      </c>
      <c r="D26" s="2">
        <v>75.333333333333329</v>
      </c>
    </row>
    <row r="27" spans="1:4" x14ac:dyDescent="0.3">
      <c r="A27" s="2">
        <v>10903</v>
      </c>
      <c r="B27" s="1" t="s">
        <v>43</v>
      </c>
      <c r="C27" s="2">
        <v>7</v>
      </c>
      <c r="D27" s="2">
        <v>12</v>
      </c>
    </row>
    <row r="28" spans="1:4" x14ac:dyDescent="0.3">
      <c r="A28" s="2">
        <v>11001</v>
      </c>
      <c r="B28" s="1" t="s">
        <v>45</v>
      </c>
      <c r="C28" s="2">
        <v>39.666666666666664</v>
      </c>
      <c r="D28" s="2">
        <v>67.666666666666671</v>
      </c>
    </row>
    <row r="29" spans="1:4" x14ac:dyDescent="0.3">
      <c r="A29" s="2">
        <v>11002</v>
      </c>
      <c r="B29" s="1" t="s">
        <v>46</v>
      </c>
      <c r="C29" s="2">
        <v>11</v>
      </c>
      <c r="D29" s="2">
        <v>15</v>
      </c>
    </row>
    <row r="30" spans="1:4" x14ac:dyDescent="0.3">
      <c r="A30" s="2">
        <v>11003</v>
      </c>
      <c r="B30" s="1" t="s">
        <v>48</v>
      </c>
      <c r="C30" s="2">
        <v>22.333333333333332</v>
      </c>
      <c r="D30" s="2">
        <v>44.666666666666664</v>
      </c>
    </row>
    <row r="31" spans="1:4" x14ac:dyDescent="0.3">
      <c r="A31" s="2">
        <v>20101</v>
      </c>
      <c r="B31" s="1" t="s">
        <v>52</v>
      </c>
      <c r="C31" s="2">
        <v>2527.6666666666665</v>
      </c>
      <c r="D31" s="2">
        <v>2859.3333333333335</v>
      </c>
    </row>
    <row r="32" spans="1:4" x14ac:dyDescent="0.3">
      <c r="A32" s="2">
        <v>20102</v>
      </c>
      <c r="B32" s="1" t="s">
        <v>53</v>
      </c>
      <c r="C32" s="2">
        <v>50.666666666666664</v>
      </c>
      <c r="D32" s="2">
        <v>100.33333333333333</v>
      </c>
    </row>
    <row r="33" spans="1:4" x14ac:dyDescent="0.3">
      <c r="A33" s="2">
        <v>20103</v>
      </c>
      <c r="B33" s="1" t="s">
        <v>54</v>
      </c>
      <c r="C33" s="2">
        <v>67.333333333333329</v>
      </c>
      <c r="D33" s="2">
        <v>90.333333333333329</v>
      </c>
    </row>
    <row r="34" spans="1:4" x14ac:dyDescent="0.3">
      <c r="A34" s="2">
        <v>20104</v>
      </c>
      <c r="B34" s="1" t="s">
        <v>55</v>
      </c>
      <c r="C34" s="2">
        <v>74.333333333333329</v>
      </c>
      <c r="D34" s="2">
        <v>139.33333333333334</v>
      </c>
    </row>
    <row r="35" spans="1:4" x14ac:dyDescent="0.3">
      <c r="A35" s="2">
        <v>20105</v>
      </c>
      <c r="B35" s="1" t="s">
        <v>56</v>
      </c>
      <c r="C35" s="2">
        <v>3562</v>
      </c>
      <c r="D35" s="2">
        <v>4935.666666666667</v>
      </c>
    </row>
    <row r="36" spans="1:4" x14ac:dyDescent="0.3">
      <c r="A36" s="2">
        <v>20201</v>
      </c>
      <c r="B36" s="1" t="s">
        <v>58</v>
      </c>
      <c r="C36" s="2">
        <v>316</v>
      </c>
      <c r="D36" s="2">
        <v>364.66666666666669</v>
      </c>
    </row>
    <row r="37" spans="1:4" x14ac:dyDescent="0.3">
      <c r="A37" s="2">
        <v>20202</v>
      </c>
      <c r="B37" s="1" t="s">
        <v>59</v>
      </c>
      <c r="C37" s="2">
        <v>63.666666666666664</v>
      </c>
      <c r="D37" s="2">
        <v>86.666666666666671</v>
      </c>
    </row>
    <row r="38" spans="1:4" x14ac:dyDescent="0.3">
      <c r="A38" s="2">
        <v>20203</v>
      </c>
      <c r="B38" s="1" t="s">
        <v>61</v>
      </c>
      <c r="C38" s="2">
        <v>8.3333333333333339</v>
      </c>
      <c r="D38" s="2">
        <v>26</v>
      </c>
    </row>
    <row r="39" spans="1:4" x14ac:dyDescent="0.3">
      <c r="A39" s="2">
        <v>20204</v>
      </c>
      <c r="B39" s="1" t="s">
        <v>62</v>
      </c>
      <c r="C39" s="2">
        <v>14</v>
      </c>
      <c r="D39" s="2">
        <v>49</v>
      </c>
    </row>
    <row r="40" spans="1:4" x14ac:dyDescent="0.3">
      <c r="A40" s="2">
        <v>20205</v>
      </c>
      <c r="B40" s="1" t="s">
        <v>63</v>
      </c>
      <c r="C40" s="2">
        <v>19.333333333333332</v>
      </c>
      <c r="D40" s="2">
        <v>50.666666666666664</v>
      </c>
    </row>
    <row r="41" spans="1:4" x14ac:dyDescent="0.3">
      <c r="A41" s="2">
        <v>20206</v>
      </c>
      <c r="B41" s="1" t="s">
        <v>64</v>
      </c>
      <c r="C41" s="2">
        <v>5.333333333333333</v>
      </c>
      <c r="D41" s="2">
        <v>12</v>
      </c>
    </row>
    <row r="42" spans="1:4" x14ac:dyDescent="0.3">
      <c r="A42" s="2">
        <v>20301</v>
      </c>
      <c r="B42" s="1" t="s">
        <v>66</v>
      </c>
      <c r="C42" s="2">
        <v>52.666666666666664</v>
      </c>
      <c r="D42" s="2">
        <v>73.333333333333329</v>
      </c>
    </row>
    <row r="43" spans="1:4" x14ac:dyDescent="0.3">
      <c r="A43" s="2">
        <v>20302</v>
      </c>
      <c r="B43" s="1" t="s">
        <v>68</v>
      </c>
      <c r="C43" s="2">
        <v>48.666666666666664</v>
      </c>
      <c r="D43" s="2">
        <v>62.333333333333336</v>
      </c>
    </row>
    <row r="44" spans="1:4" x14ac:dyDescent="0.3">
      <c r="A44" s="2">
        <v>20303</v>
      </c>
      <c r="B44" s="1" t="s">
        <v>69</v>
      </c>
      <c r="C44" s="2">
        <v>38.666666666666664</v>
      </c>
      <c r="D44" s="2">
        <v>72</v>
      </c>
    </row>
    <row r="45" spans="1:4" x14ac:dyDescent="0.3">
      <c r="A45" s="2">
        <v>20304</v>
      </c>
      <c r="B45" s="1" t="s">
        <v>70</v>
      </c>
      <c r="C45" s="2">
        <v>21</v>
      </c>
      <c r="D45" s="2">
        <v>32.666666666666664</v>
      </c>
    </row>
    <row r="46" spans="1:4" x14ac:dyDescent="0.3">
      <c r="A46" s="2">
        <v>20305</v>
      </c>
      <c r="B46" s="1" t="s">
        <v>71</v>
      </c>
      <c r="C46" s="2">
        <v>11.333333333333334</v>
      </c>
      <c r="D46" s="2">
        <v>22</v>
      </c>
    </row>
    <row r="47" spans="1:4" x14ac:dyDescent="0.3">
      <c r="A47" s="2">
        <v>20306</v>
      </c>
      <c r="B47" s="1" t="s">
        <v>72</v>
      </c>
      <c r="C47" s="2">
        <v>11</v>
      </c>
      <c r="D47" s="2">
        <v>13</v>
      </c>
    </row>
    <row r="48" spans="1:4" x14ac:dyDescent="0.3">
      <c r="A48" s="2">
        <v>20307</v>
      </c>
      <c r="B48" s="1" t="s">
        <v>73</v>
      </c>
      <c r="C48" s="2">
        <v>3.3333333333333335</v>
      </c>
      <c r="D48" s="2">
        <v>4</v>
      </c>
    </row>
    <row r="49" spans="1:4" x14ac:dyDescent="0.3">
      <c r="A49" s="2">
        <v>20308</v>
      </c>
      <c r="B49" s="1" t="s">
        <v>74</v>
      </c>
      <c r="C49" s="2">
        <v>21.333333333333332</v>
      </c>
      <c r="D49" s="2">
        <v>41.333333333333336</v>
      </c>
    </row>
    <row r="50" spans="1:4" x14ac:dyDescent="0.3">
      <c r="A50" s="2">
        <v>20401</v>
      </c>
      <c r="B50" s="1" t="s">
        <v>76</v>
      </c>
      <c r="C50" s="2">
        <v>77.666666666666671</v>
      </c>
      <c r="D50" s="2">
        <v>78</v>
      </c>
    </row>
    <row r="51" spans="1:4" x14ac:dyDescent="0.3">
      <c r="A51" s="2">
        <v>20402</v>
      </c>
      <c r="B51" s="1" t="s">
        <v>77</v>
      </c>
      <c r="C51" s="2">
        <v>57.666666666666664</v>
      </c>
      <c r="D51" s="2">
        <v>102.33333333333333</v>
      </c>
    </row>
    <row r="52" spans="1:4" x14ac:dyDescent="0.3">
      <c r="A52" s="2">
        <v>20403</v>
      </c>
      <c r="B52" s="1" t="s">
        <v>78</v>
      </c>
      <c r="C52" s="2">
        <v>48.333333333333336</v>
      </c>
      <c r="D52" s="2">
        <v>87.666666666666671</v>
      </c>
    </row>
    <row r="53" spans="1:4" x14ac:dyDescent="0.3">
      <c r="A53" s="2">
        <v>20404</v>
      </c>
      <c r="B53" s="1" t="s">
        <v>80</v>
      </c>
      <c r="C53" s="2">
        <v>6.666666666666667</v>
      </c>
      <c r="D53" s="2">
        <v>37.666666666666664</v>
      </c>
    </row>
    <row r="54" spans="1:4" x14ac:dyDescent="0.3">
      <c r="A54" s="2">
        <v>20405</v>
      </c>
      <c r="B54" s="1" t="s">
        <v>81</v>
      </c>
      <c r="C54" s="2">
        <v>12.333333333333334</v>
      </c>
      <c r="D54" s="2">
        <v>49.666666666666664</v>
      </c>
    </row>
    <row r="55" spans="1:4" x14ac:dyDescent="0.3">
      <c r="A55" s="2">
        <v>20501</v>
      </c>
      <c r="B55" s="1" t="s">
        <v>83</v>
      </c>
      <c r="C55" s="2">
        <v>41</v>
      </c>
      <c r="D55" s="2">
        <v>70.666666666666671</v>
      </c>
    </row>
    <row r="56" spans="1:4" x14ac:dyDescent="0.3">
      <c r="A56" s="2">
        <v>20502</v>
      </c>
      <c r="B56" s="1" t="s">
        <v>84</v>
      </c>
      <c r="C56" s="2">
        <v>34.333333333333336</v>
      </c>
      <c r="D56" s="2">
        <v>62.333333333333336</v>
      </c>
    </row>
    <row r="57" spans="1:4" x14ac:dyDescent="0.3">
      <c r="A57" s="2">
        <v>20503</v>
      </c>
      <c r="B57" s="1" t="s">
        <v>85</v>
      </c>
      <c r="C57" s="2">
        <v>10.666666666666666</v>
      </c>
      <c r="D57" s="2">
        <v>44.666666666666664</v>
      </c>
    </row>
    <row r="58" spans="1:4" x14ac:dyDescent="0.3">
      <c r="A58" s="2">
        <v>20601</v>
      </c>
      <c r="B58" s="1" t="s">
        <v>87</v>
      </c>
      <c r="C58" s="2">
        <v>49.666666666666664</v>
      </c>
      <c r="D58" s="2">
        <v>99.666666666666671</v>
      </c>
    </row>
    <row r="59" spans="1:4" x14ac:dyDescent="0.3">
      <c r="A59" s="2">
        <v>20602</v>
      </c>
      <c r="B59" s="1" t="s">
        <v>88</v>
      </c>
      <c r="C59" s="2">
        <v>39.333333333333336</v>
      </c>
      <c r="D59" s="2">
        <v>89.666666666666671</v>
      </c>
    </row>
    <row r="60" spans="1:4" x14ac:dyDescent="0.3">
      <c r="A60" s="2">
        <v>20603</v>
      </c>
      <c r="B60" s="1" t="s">
        <v>89</v>
      </c>
      <c r="C60" s="2">
        <v>18.333333333333332</v>
      </c>
      <c r="D60" s="2">
        <v>37</v>
      </c>
    </row>
    <row r="61" spans="1:4" x14ac:dyDescent="0.3">
      <c r="A61" s="2">
        <v>20604</v>
      </c>
      <c r="B61" s="1" t="s">
        <v>90</v>
      </c>
      <c r="C61" s="2">
        <v>10</v>
      </c>
      <c r="D61" s="2">
        <v>20</v>
      </c>
    </row>
    <row r="62" spans="1:4" x14ac:dyDescent="0.3">
      <c r="A62" s="2">
        <v>20605</v>
      </c>
      <c r="B62" s="1" t="s">
        <v>91</v>
      </c>
      <c r="C62" s="2">
        <v>15.666666666666666</v>
      </c>
      <c r="D62" s="2">
        <v>23.666666666666668</v>
      </c>
    </row>
    <row r="63" spans="1:4" x14ac:dyDescent="0.3">
      <c r="A63" s="2">
        <v>20606</v>
      </c>
      <c r="B63" s="1" t="s">
        <v>92</v>
      </c>
      <c r="C63" s="2">
        <v>42</v>
      </c>
      <c r="D63" s="2">
        <v>55.333333333333336</v>
      </c>
    </row>
    <row r="64" spans="1:4" x14ac:dyDescent="0.3">
      <c r="A64" s="2">
        <v>20607</v>
      </c>
      <c r="B64" s="1" t="s">
        <v>93</v>
      </c>
      <c r="C64" s="2">
        <v>47.666666666666664</v>
      </c>
      <c r="D64" s="2">
        <v>91.333333333333329</v>
      </c>
    </row>
    <row r="65" spans="1:4" x14ac:dyDescent="0.3">
      <c r="A65" s="2">
        <v>20608</v>
      </c>
      <c r="B65" s="1" t="s">
        <v>94</v>
      </c>
      <c r="C65" s="2">
        <v>20.333333333333332</v>
      </c>
      <c r="D65" s="2">
        <v>57.666666666666664</v>
      </c>
    </row>
    <row r="66" spans="1:4" x14ac:dyDescent="0.3">
      <c r="A66" s="2">
        <v>20701</v>
      </c>
      <c r="B66" s="1" t="s">
        <v>96</v>
      </c>
      <c r="C66" s="2">
        <v>37</v>
      </c>
      <c r="D66" s="2">
        <v>127.66666666666667</v>
      </c>
    </row>
    <row r="67" spans="1:4" x14ac:dyDescent="0.3">
      <c r="A67" s="2">
        <v>20702</v>
      </c>
      <c r="B67" s="1" t="s">
        <v>97</v>
      </c>
      <c r="C67" s="2">
        <v>17.666666666666668</v>
      </c>
      <c r="D67" s="2">
        <v>56.666666666666664</v>
      </c>
    </row>
    <row r="68" spans="1:4" x14ac:dyDescent="0.3">
      <c r="A68" s="2">
        <v>20801</v>
      </c>
      <c r="B68" s="1" t="s">
        <v>99</v>
      </c>
      <c r="C68" s="2">
        <v>229.33333333333334</v>
      </c>
      <c r="D68" s="2">
        <v>409</v>
      </c>
    </row>
    <row r="69" spans="1:4" x14ac:dyDescent="0.3">
      <c r="A69" s="2">
        <v>20802</v>
      </c>
      <c r="B69" s="1" t="s">
        <v>100</v>
      </c>
      <c r="C69" s="2">
        <v>39.666666666666664</v>
      </c>
      <c r="D69" s="2">
        <v>47</v>
      </c>
    </row>
    <row r="70" spans="1:4" x14ac:dyDescent="0.3">
      <c r="A70" s="2">
        <v>20803</v>
      </c>
      <c r="B70" s="1" t="s">
        <v>102</v>
      </c>
      <c r="C70" s="2">
        <v>51.666666666666664</v>
      </c>
      <c r="D70" s="2">
        <v>73</v>
      </c>
    </row>
    <row r="71" spans="1:4" x14ac:dyDescent="0.3">
      <c r="A71" s="2">
        <v>20804</v>
      </c>
      <c r="B71" s="1" t="s">
        <v>103</v>
      </c>
      <c r="C71" s="2">
        <v>26.333333333333332</v>
      </c>
      <c r="D71" s="2">
        <v>43</v>
      </c>
    </row>
    <row r="72" spans="1:4" x14ac:dyDescent="0.3">
      <c r="A72" s="2">
        <v>20805</v>
      </c>
      <c r="B72" s="1" t="s">
        <v>104</v>
      </c>
      <c r="C72" s="2">
        <v>27.333333333333332</v>
      </c>
      <c r="D72" s="2">
        <v>55.333333333333336</v>
      </c>
    </row>
    <row r="73" spans="1:4" x14ac:dyDescent="0.3">
      <c r="A73" s="2">
        <v>20806</v>
      </c>
      <c r="B73" s="1" t="s">
        <v>106</v>
      </c>
      <c r="C73" s="2">
        <v>82</v>
      </c>
      <c r="D73" s="2">
        <v>114.33333333333333</v>
      </c>
    </row>
    <row r="74" spans="1:4" x14ac:dyDescent="0.3">
      <c r="A74" s="2">
        <v>20807</v>
      </c>
      <c r="B74" s="1" t="s">
        <v>108</v>
      </c>
      <c r="C74" s="2">
        <v>21</v>
      </c>
      <c r="D74" s="2">
        <v>34.666666666666664</v>
      </c>
    </row>
    <row r="75" spans="1:4" x14ac:dyDescent="0.3">
      <c r="A75" s="2">
        <v>20901</v>
      </c>
      <c r="B75" s="1" t="s">
        <v>110</v>
      </c>
      <c r="C75" s="2">
        <v>49.666666666666664</v>
      </c>
      <c r="D75" s="2">
        <v>71.666666666666671</v>
      </c>
    </row>
    <row r="76" spans="1:4" x14ac:dyDescent="0.3">
      <c r="A76" s="2">
        <v>20902</v>
      </c>
      <c r="B76" s="1" t="s">
        <v>111</v>
      </c>
      <c r="C76" s="2">
        <v>32.333333333333336</v>
      </c>
      <c r="D76" s="2">
        <v>62.666666666666664</v>
      </c>
    </row>
    <row r="77" spans="1:4" x14ac:dyDescent="0.3">
      <c r="A77" s="2">
        <v>20903</v>
      </c>
      <c r="B77" s="1" t="s">
        <v>112</v>
      </c>
      <c r="C77" s="2">
        <v>21</v>
      </c>
      <c r="D77" s="2">
        <v>44.333333333333336</v>
      </c>
    </row>
    <row r="78" spans="1:4" x14ac:dyDescent="0.3">
      <c r="A78" s="2">
        <v>20904</v>
      </c>
      <c r="B78" s="1" t="s">
        <v>113</v>
      </c>
      <c r="C78" s="2">
        <v>8.3333333333333339</v>
      </c>
      <c r="D78" s="2">
        <v>13.333333333333334</v>
      </c>
    </row>
    <row r="79" spans="1:4" x14ac:dyDescent="0.3">
      <c r="A79" s="2">
        <v>20905</v>
      </c>
      <c r="B79" s="1" t="s">
        <v>114</v>
      </c>
      <c r="C79" s="2">
        <v>39.333333333333336</v>
      </c>
      <c r="D79" s="2">
        <v>73</v>
      </c>
    </row>
    <row r="80" spans="1:4" x14ac:dyDescent="0.3">
      <c r="A80" s="2">
        <v>21001</v>
      </c>
      <c r="B80" s="1" t="s">
        <v>115</v>
      </c>
      <c r="C80" s="2">
        <v>50.666666666666664</v>
      </c>
      <c r="D80" s="2">
        <v>98.333333333333329</v>
      </c>
    </row>
    <row r="81" spans="1:4" x14ac:dyDescent="0.3">
      <c r="A81" s="2">
        <v>21002</v>
      </c>
      <c r="B81" s="1" t="s">
        <v>116</v>
      </c>
      <c r="C81" s="2">
        <v>17.666666666666668</v>
      </c>
      <c r="D81" s="2">
        <v>44</v>
      </c>
    </row>
    <row r="82" spans="1:4" x14ac:dyDescent="0.3">
      <c r="A82" s="2">
        <v>21003</v>
      </c>
      <c r="B82" s="1" t="s">
        <v>117</v>
      </c>
      <c r="C82" s="2">
        <v>30.333333333333332</v>
      </c>
      <c r="D82" s="2">
        <v>75.333333333333329</v>
      </c>
    </row>
    <row r="83" spans="1:4" x14ac:dyDescent="0.3">
      <c r="A83" s="2">
        <v>21004</v>
      </c>
      <c r="B83" s="1" t="s">
        <v>118</v>
      </c>
      <c r="C83" s="2">
        <v>47.333333333333336</v>
      </c>
      <c r="D83" s="2">
        <v>99.333333333333329</v>
      </c>
    </row>
    <row r="84" spans="1:4" x14ac:dyDescent="0.3">
      <c r="A84" s="2">
        <v>21005</v>
      </c>
      <c r="B84" s="1" t="s">
        <v>119</v>
      </c>
      <c r="C84" s="2">
        <v>24.666666666666668</v>
      </c>
      <c r="D84" s="2">
        <v>44.666666666666664</v>
      </c>
    </row>
    <row r="85" spans="1:4" x14ac:dyDescent="0.3">
      <c r="A85" s="2">
        <v>21006</v>
      </c>
      <c r="B85" s="1" t="s">
        <v>120</v>
      </c>
      <c r="C85" s="2">
        <v>7.333333333333333</v>
      </c>
      <c r="D85" s="2">
        <v>10.666666666666666</v>
      </c>
    </row>
    <row r="86" spans="1:4" x14ac:dyDescent="0.3">
      <c r="A86" s="2">
        <v>21101</v>
      </c>
      <c r="B86" s="1" t="s">
        <v>122</v>
      </c>
      <c r="C86" s="2">
        <v>58</v>
      </c>
      <c r="D86" s="2">
        <v>101.33333333333333</v>
      </c>
    </row>
    <row r="87" spans="1:4" x14ac:dyDescent="0.3">
      <c r="A87" s="2">
        <v>21102</v>
      </c>
      <c r="B87" s="1" t="s">
        <v>124</v>
      </c>
      <c r="C87" s="2">
        <v>33</v>
      </c>
      <c r="D87" s="2">
        <v>83</v>
      </c>
    </row>
    <row r="88" spans="1:4" x14ac:dyDescent="0.3">
      <c r="A88" s="2">
        <v>21103</v>
      </c>
      <c r="B88" s="1" t="s">
        <v>126</v>
      </c>
      <c r="C88" s="2">
        <v>23</v>
      </c>
      <c r="D88" s="2">
        <v>40.666666666666664</v>
      </c>
    </row>
    <row r="89" spans="1:4" x14ac:dyDescent="0.3">
      <c r="A89" s="2">
        <v>21104</v>
      </c>
      <c r="B89" s="1" t="s">
        <v>127</v>
      </c>
      <c r="C89" s="2">
        <v>63.666666666666664</v>
      </c>
      <c r="D89" s="2">
        <v>173.33333333333334</v>
      </c>
    </row>
    <row r="90" spans="1:4" x14ac:dyDescent="0.3">
      <c r="A90" s="2">
        <v>21105</v>
      </c>
      <c r="B90" s="1" t="s">
        <v>128</v>
      </c>
      <c r="C90" s="2">
        <v>84.666666666666671</v>
      </c>
      <c r="D90" s="2">
        <v>250.66666666666666</v>
      </c>
    </row>
    <row r="91" spans="1:4" x14ac:dyDescent="0.3">
      <c r="A91" s="2">
        <v>21201</v>
      </c>
      <c r="B91" s="1" t="s">
        <v>130</v>
      </c>
      <c r="C91" s="2">
        <v>148</v>
      </c>
      <c r="D91" s="2">
        <v>190.66666666666666</v>
      </c>
    </row>
    <row r="92" spans="1:4" x14ac:dyDescent="0.3">
      <c r="A92" s="2">
        <v>21202</v>
      </c>
      <c r="B92" s="1" t="s">
        <v>131</v>
      </c>
      <c r="C92" s="2">
        <v>86</v>
      </c>
      <c r="D92" s="2">
        <v>142.33333333333334</v>
      </c>
    </row>
    <row r="93" spans="1:4" x14ac:dyDescent="0.3">
      <c r="A93" s="2">
        <v>21203</v>
      </c>
      <c r="B93" s="1" t="s">
        <v>132</v>
      </c>
      <c r="C93" s="2">
        <v>116.66666666666667</v>
      </c>
      <c r="D93" s="2">
        <v>125.33333333333333</v>
      </c>
    </row>
    <row r="94" spans="1:4" x14ac:dyDescent="0.3">
      <c r="A94" s="2">
        <v>21204</v>
      </c>
      <c r="B94" s="1" t="s">
        <v>133</v>
      </c>
      <c r="C94" s="2">
        <v>30.333333333333332</v>
      </c>
      <c r="D94" s="2">
        <v>49</v>
      </c>
    </row>
    <row r="95" spans="1:4" x14ac:dyDescent="0.3">
      <c r="A95" s="2">
        <v>21301</v>
      </c>
      <c r="B95" s="1" t="s">
        <v>135</v>
      </c>
      <c r="C95" s="2">
        <v>84</v>
      </c>
      <c r="D95" s="2">
        <v>131.33333333333334</v>
      </c>
    </row>
    <row r="96" spans="1:4" x14ac:dyDescent="0.3">
      <c r="A96" s="2">
        <v>21302</v>
      </c>
      <c r="B96" s="1" t="s">
        <v>137</v>
      </c>
      <c r="C96" s="2">
        <v>26</v>
      </c>
      <c r="D96" s="2">
        <v>45</v>
      </c>
    </row>
    <row r="97" spans="1:4" x14ac:dyDescent="0.3">
      <c r="A97" s="2">
        <v>21303</v>
      </c>
      <c r="B97" s="1" t="s">
        <v>138</v>
      </c>
      <c r="C97" s="2">
        <v>39.333333333333336</v>
      </c>
      <c r="D97" s="2">
        <v>58</v>
      </c>
    </row>
    <row r="98" spans="1:4" x14ac:dyDescent="0.3">
      <c r="A98" s="2">
        <v>21304</v>
      </c>
      <c r="B98" s="1" t="s">
        <v>139</v>
      </c>
      <c r="C98" s="2">
        <v>57</v>
      </c>
      <c r="D98" s="2">
        <v>85.666666666666671</v>
      </c>
    </row>
    <row r="99" spans="1:4" x14ac:dyDescent="0.3">
      <c r="A99" s="2">
        <v>21305</v>
      </c>
      <c r="B99" s="1" t="s">
        <v>140</v>
      </c>
      <c r="C99" s="2">
        <v>105.66666666666667</v>
      </c>
      <c r="D99" s="2">
        <v>155</v>
      </c>
    </row>
    <row r="100" spans="1:4" x14ac:dyDescent="0.3">
      <c r="A100" s="2">
        <v>21306</v>
      </c>
      <c r="B100" s="1" t="s">
        <v>141</v>
      </c>
      <c r="C100" s="2">
        <v>40.666666666666664</v>
      </c>
      <c r="D100" s="2">
        <v>53.666666666666664</v>
      </c>
    </row>
    <row r="101" spans="1:4" x14ac:dyDescent="0.3">
      <c r="A101" s="2">
        <v>21307</v>
      </c>
      <c r="B101" s="1" t="s">
        <v>142</v>
      </c>
      <c r="C101" s="2">
        <v>8.3333333333333339</v>
      </c>
      <c r="D101" s="2">
        <v>6.666666666666667</v>
      </c>
    </row>
    <row r="102" spans="1:4" x14ac:dyDescent="0.3">
      <c r="A102" s="2">
        <v>21401</v>
      </c>
      <c r="B102" s="1" t="s">
        <v>144</v>
      </c>
      <c r="C102" s="2">
        <v>42</v>
      </c>
      <c r="D102" s="2">
        <v>87.666666666666671</v>
      </c>
    </row>
    <row r="103" spans="1:4" x14ac:dyDescent="0.3">
      <c r="A103" s="2">
        <v>21402</v>
      </c>
      <c r="B103" s="1" t="s">
        <v>145</v>
      </c>
      <c r="C103" s="2">
        <v>43</v>
      </c>
      <c r="D103" s="2">
        <v>77.666666666666671</v>
      </c>
    </row>
    <row r="104" spans="1:4" x14ac:dyDescent="0.3">
      <c r="A104" s="2">
        <v>21501</v>
      </c>
      <c r="B104" s="1" t="s">
        <v>147</v>
      </c>
      <c r="C104" s="2">
        <v>26.333333333333332</v>
      </c>
      <c r="D104" s="2">
        <v>98.666666666666671</v>
      </c>
    </row>
    <row r="105" spans="1:4" x14ac:dyDescent="0.3">
      <c r="A105" s="2">
        <v>21502</v>
      </c>
      <c r="B105" s="1" t="s">
        <v>148</v>
      </c>
      <c r="C105" s="2">
        <v>17.666666666666668</v>
      </c>
      <c r="D105" s="2">
        <v>73.666666666666671</v>
      </c>
    </row>
    <row r="106" spans="1:4" x14ac:dyDescent="0.3">
      <c r="A106" s="2">
        <v>21601</v>
      </c>
      <c r="B106" s="1" t="s">
        <v>150</v>
      </c>
      <c r="C106" s="2">
        <v>23.333333333333332</v>
      </c>
      <c r="D106" s="2">
        <v>75.333333333333329</v>
      </c>
    </row>
    <row r="107" spans="1:4" x14ac:dyDescent="0.3">
      <c r="A107" s="2">
        <v>21602</v>
      </c>
      <c r="B107" s="1" t="s">
        <v>152</v>
      </c>
      <c r="C107" s="2">
        <v>2.6666666666666665</v>
      </c>
      <c r="D107" s="2">
        <v>16</v>
      </c>
    </row>
    <row r="108" spans="1:4" x14ac:dyDescent="0.3">
      <c r="A108" s="2">
        <v>21701</v>
      </c>
      <c r="B108" s="1" t="s">
        <v>154</v>
      </c>
      <c r="C108" s="2">
        <v>61</v>
      </c>
      <c r="D108" s="2">
        <v>101</v>
      </c>
    </row>
    <row r="109" spans="1:4" x14ac:dyDescent="0.3">
      <c r="A109" s="2">
        <v>21702</v>
      </c>
      <c r="B109" s="1" t="s">
        <v>155</v>
      </c>
      <c r="C109" s="2">
        <v>32.333333333333336</v>
      </c>
      <c r="D109" s="2">
        <v>44.333333333333336</v>
      </c>
    </row>
    <row r="110" spans="1:4" x14ac:dyDescent="0.3">
      <c r="A110" s="2">
        <v>21703</v>
      </c>
      <c r="B110" s="1" t="s">
        <v>156</v>
      </c>
      <c r="C110" s="2">
        <v>7</v>
      </c>
      <c r="D110" s="2">
        <v>10</v>
      </c>
    </row>
    <row r="111" spans="1:4" x14ac:dyDescent="0.3">
      <c r="A111" s="2">
        <v>21801</v>
      </c>
      <c r="B111" s="1" t="s">
        <v>158</v>
      </c>
      <c r="C111" s="2">
        <v>33</v>
      </c>
      <c r="D111" s="2">
        <v>51.333333333333336</v>
      </c>
    </row>
    <row r="112" spans="1:4" x14ac:dyDescent="0.3">
      <c r="A112" s="2">
        <v>21802</v>
      </c>
      <c r="B112" s="1" t="s">
        <v>160</v>
      </c>
      <c r="C112" s="2">
        <v>18.333333333333332</v>
      </c>
      <c r="D112" s="2">
        <v>26</v>
      </c>
    </row>
    <row r="113" spans="1:4" x14ac:dyDescent="0.3">
      <c r="A113" s="2">
        <v>21803</v>
      </c>
      <c r="B113" s="1" t="s">
        <v>161</v>
      </c>
      <c r="C113" s="2">
        <v>5</v>
      </c>
      <c r="D113" s="2">
        <v>12.333333333333334</v>
      </c>
    </row>
    <row r="114" spans="1:4" x14ac:dyDescent="0.3">
      <c r="A114" s="2">
        <v>21901</v>
      </c>
      <c r="B114" s="1" t="s">
        <v>163</v>
      </c>
      <c r="C114" s="2">
        <v>14</v>
      </c>
      <c r="D114" s="2">
        <v>27.666666666666668</v>
      </c>
    </row>
    <row r="115" spans="1:4" x14ac:dyDescent="0.3">
      <c r="A115" s="2">
        <v>21902</v>
      </c>
      <c r="B115" s="1" t="s">
        <v>164</v>
      </c>
      <c r="C115" s="2">
        <v>9</v>
      </c>
      <c r="D115" s="2">
        <v>11.333333333333334</v>
      </c>
    </row>
    <row r="116" spans="1:4" x14ac:dyDescent="0.3">
      <c r="A116" s="2">
        <v>22001</v>
      </c>
      <c r="B116" s="1" t="s">
        <v>165</v>
      </c>
      <c r="C116" s="2">
        <v>151.33333333333334</v>
      </c>
      <c r="D116" s="2">
        <v>268.66666666666669</v>
      </c>
    </row>
    <row r="117" spans="1:4" x14ac:dyDescent="0.3">
      <c r="A117" s="2">
        <v>22002</v>
      </c>
      <c r="B117" s="1" t="s">
        <v>166</v>
      </c>
      <c r="C117" s="2">
        <v>12.333333333333334</v>
      </c>
      <c r="D117" s="2">
        <v>63</v>
      </c>
    </row>
    <row r="118" spans="1:4" x14ac:dyDescent="0.3">
      <c r="A118" s="2">
        <v>30101</v>
      </c>
      <c r="B118" s="1" t="s">
        <v>167</v>
      </c>
      <c r="C118" s="2">
        <v>2115</v>
      </c>
      <c r="D118" s="2">
        <v>2748.6666666666665</v>
      </c>
    </row>
    <row r="119" spans="1:4" x14ac:dyDescent="0.3">
      <c r="A119" s="2">
        <v>30201</v>
      </c>
      <c r="B119" s="1" t="s">
        <v>170</v>
      </c>
      <c r="C119" s="2">
        <v>81.333333333333329</v>
      </c>
      <c r="D119" s="2">
        <v>168.66666666666666</v>
      </c>
    </row>
    <row r="120" spans="1:4" x14ac:dyDescent="0.3">
      <c r="A120" s="2">
        <v>30202</v>
      </c>
      <c r="B120" s="1" t="s">
        <v>171</v>
      </c>
      <c r="C120" s="2">
        <v>10.333333333333334</v>
      </c>
      <c r="D120" s="2">
        <v>19.333333333333332</v>
      </c>
    </row>
    <row r="121" spans="1:4" x14ac:dyDescent="0.3">
      <c r="A121" s="2">
        <v>30203</v>
      </c>
      <c r="B121" s="1" t="s">
        <v>172</v>
      </c>
      <c r="C121" s="2">
        <v>10.333333333333334</v>
      </c>
      <c r="D121" s="2">
        <v>39.333333333333336</v>
      </c>
    </row>
    <row r="122" spans="1:4" x14ac:dyDescent="0.3">
      <c r="A122" s="2">
        <v>30301</v>
      </c>
      <c r="B122" s="1" t="s">
        <v>174</v>
      </c>
      <c r="C122" s="2">
        <v>76</v>
      </c>
      <c r="D122" s="2">
        <v>157</v>
      </c>
    </row>
    <row r="123" spans="1:4" x14ac:dyDescent="0.3">
      <c r="A123" s="2">
        <v>30302</v>
      </c>
      <c r="B123" s="1" t="s">
        <v>176</v>
      </c>
      <c r="C123" s="2">
        <v>41.333333333333336</v>
      </c>
      <c r="D123" s="2">
        <v>53</v>
      </c>
    </row>
    <row r="124" spans="1:4" x14ac:dyDescent="0.3">
      <c r="A124" s="2">
        <v>30303</v>
      </c>
      <c r="B124" s="1" t="s">
        <v>177</v>
      </c>
      <c r="C124" s="2">
        <v>9</v>
      </c>
      <c r="D124" s="2">
        <v>75.666666666666671</v>
      </c>
    </row>
    <row r="125" spans="1:4" x14ac:dyDescent="0.3">
      <c r="A125" s="2">
        <v>30401</v>
      </c>
      <c r="B125" s="1" t="s">
        <v>179</v>
      </c>
      <c r="C125" s="2">
        <v>54.333333333333336</v>
      </c>
      <c r="D125" s="2">
        <v>72</v>
      </c>
    </row>
    <row r="126" spans="1:4" x14ac:dyDescent="0.3">
      <c r="A126" s="2">
        <v>30402</v>
      </c>
      <c r="B126" s="1" t="s">
        <v>180</v>
      </c>
      <c r="C126" s="2">
        <v>16</v>
      </c>
      <c r="D126" s="2">
        <v>42.333333333333336</v>
      </c>
    </row>
    <row r="127" spans="1:4" x14ac:dyDescent="0.3">
      <c r="A127" s="2">
        <v>30403</v>
      </c>
      <c r="B127" s="1" t="s">
        <v>182</v>
      </c>
      <c r="C127" s="2">
        <v>34.666666666666664</v>
      </c>
      <c r="D127" s="2">
        <v>74.333333333333329</v>
      </c>
    </row>
    <row r="128" spans="1:4" x14ac:dyDescent="0.3">
      <c r="A128" s="2">
        <v>30404</v>
      </c>
      <c r="B128" s="1" t="s">
        <v>183</v>
      </c>
      <c r="C128" s="2">
        <v>18.666666666666668</v>
      </c>
      <c r="D128" s="2">
        <v>27.333333333333332</v>
      </c>
    </row>
    <row r="129" spans="1:4" x14ac:dyDescent="0.3">
      <c r="A129" s="2">
        <v>30501</v>
      </c>
      <c r="B129" s="1" t="s">
        <v>184</v>
      </c>
      <c r="C129" s="2">
        <v>55</v>
      </c>
      <c r="D129" s="2">
        <v>72.666666666666671</v>
      </c>
    </row>
    <row r="130" spans="1:4" x14ac:dyDescent="0.3">
      <c r="A130" s="2">
        <v>30502</v>
      </c>
      <c r="B130" s="1" t="s">
        <v>185</v>
      </c>
      <c r="C130" s="2">
        <v>34.666666666666664</v>
      </c>
      <c r="D130" s="2">
        <v>55.666666666666664</v>
      </c>
    </row>
    <row r="131" spans="1:4" x14ac:dyDescent="0.3">
      <c r="A131" s="2">
        <v>30601</v>
      </c>
      <c r="B131" s="1" t="s">
        <v>186</v>
      </c>
      <c r="C131" s="2">
        <v>19.333333333333332</v>
      </c>
      <c r="D131" s="2">
        <v>46</v>
      </c>
    </row>
    <row r="132" spans="1:4" x14ac:dyDescent="0.3">
      <c r="A132" s="2">
        <v>30602</v>
      </c>
      <c r="B132" s="1" t="s">
        <v>188</v>
      </c>
      <c r="C132" s="2">
        <v>22.333333333333332</v>
      </c>
      <c r="D132" s="2">
        <v>40</v>
      </c>
    </row>
    <row r="133" spans="1:4" x14ac:dyDescent="0.3">
      <c r="A133" s="2">
        <v>30701</v>
      </c>
      <c r="B133" s="1" t="s">
        <v>189</v>
      </c>
      <c r="C133" s="2">
        <v>78</v>
      </c>
      <c r="D133" s="2">
        <v>127.33333333333333</v>
      </c>
    </row>
    <row r="134" spans="1:4" x14ac:dyDescent="0.3">
      <c r="A134" s="2">
        <v>30702</v>
      </c>
      <c r="B134" s="1" t="s">
        <v>190</v>
      </c>
      <c r="C134" s="2">
        <v>26.333333333333332</v>
      </c>
      <c r="D134" s="2">
        <v>36.333333333333336</v>
      </c>
    </row>
    <row r="135" spans="1:4" x14ac:dyDescent="0.3">
      <c r="A135" s="2">
        <v>30703</v>
      </c>
      <c r="B135" s="1" t="s">
        <v>192</v>
      </c>
      <c r="C135" s="2">
        <v>10</v>
      </c>
      <c r="D135" s="2">
        <v>18.333333333333332</v>
      </c>
    </row>
    <row r="136" spans="1:4" x14ac:dyDescent="0.3">
      <c r="A136" s="2">
        <v>30801</v>
      </c>
      <c r="B136" s="1" t="s">
        <v>194</v>
      </c>
      <c r="C136" s="2">
        <v>103.66666666666667</v>
      </c>
      <c r="D136" s="2">
        <v>128.33333333333334</v>
      </c>
    </row>
    <row r="137" spans="1:4" x14ac:dyDescent="0.3">
      <c r="A137" s="2">
        <v>30802</v>
      </c>
      <c r="B137" s="1" t="s">
        <v>195</v>
      </c>
      <c r="C137" s="2">
        <v>17.666666666666668</v>
      </c>
      <c r="D137" s="2">
        <v>26.333333333333332</v>
      </c>
    </row>
    <row r="138" spans="1:4" x14ac:dyDescent="0.3">
      <c r="A138" s="2">
        <v>30803</v>
      </c>
      <c r="B138" s="1" t="s">
        <v>196</v>
      </c>
      <c r="C138" s="2">
        <v>19</v>
      </c>
      <c r="D138" s="2">
        <v>31.333333333333332</v>
      </c>
    </row>
    <row r="139" spans="1:4" x14ac:dyDescent="0.3">
      <c r="A139" s="2">
        <v>30901</v>
      </c>
      <c r="B139" s="1" t="s">
        <v>197</v>
      </c>
      <c r="C139" s="2">
        <v>496.66666666666669</v>
      </c>
      <c r="D139" s="2">
        <v>672.33333333333337</v>
      </c>
    </row>
    <row r="140" spans="1:4" x14ac:dyDescent="0.3">
      <c r="A140" s="2">
        <v>30902</v>
      </c>
      <c r="B140" s="1" t="s">
        <v>198</v>
      </c>
      <c r="C140" s="2">
        <v>144.33333333333334</v>
      </c>
      <c r="D140" s="2">
        <v>275.66666666666669</v>
      </c>
    </row>
    <row r="141" spans="1:4" x14ac:dyDescent="0.3">
      <c r="A141" s="2">
        <v>30903</v>
      </c>
      <c r="B141" s="1" t="s">
        <v>199</v>
      </c>
      <c r="C141" s="2">
        <v>174</v>
      </c>
      <c r="D141" s="2">
        <v>291.66666666666669</v>
      </c>
    </row>
    <row r="142" spans="1:4" x14ac:dyDescent="0.3">
      <c r="A142" s="2">
        <v>30904</v>
      </c>
      <c r="B142" s="1" t="s">
        <v>200</v>
      </c>
      <c r="C142" s="2">
        <v>146.66666666666666</v>
      </c>
      <c r="D142" s="2">
        <v>221.66666666666666</v>
      </c>
    </row>
    <row r="143" spans="1:4" x14ac:dyDescent="0.3">
      <c r="A143" s="2">
        <v>30905</v>
      </c>
      <c r="B143" s="1" t="s">
        <v>201</v>
      </c>
      <c r="C143" s="2">
        <v>151.66666666666666</v>
      </c>
      <c r="D143" s="2">
        <v>229.66666666666666</v>
      </c>
    </row>
    <row r="144" spans="1:4" x14ac:dyDescent="0.3">
      <c r="A144" s="2">
        <v>31001</v>
      </c>
      <c r="B144" s="1" t="s">
        <v>203</v>
      </c>
      <c r="C144" s="2">
        <v>368.33333333333331</v>
      </c>
      <c r="D144" s="2">
        <v>705</v>
      </c>
    </row>
    <row r="145" spans="1:4" x14ac:dyDescent="0.3">
      <c r="A145" s="2">
        <v>31002</v>
      </c>
      <c r="B145" s="1" t="s">
        <v>204</v>
      </c>
      <c r="C145" s="2">
        <v>81.333333333333329</v>
      </c>
      <c r="D145" s="2">
        <v>129</v>
      </c>
    </row>
    <row r="146" spans="1:4" x14ac:dyDescent="0.3">
      <c r="A146" s="2">
        <v>31003</v>
      </c>
      <c r="B146" s="1" t="s">
        <v>205</v>
      </c>
      <c r="C146" s="2">
        <v>214.33333333333334</v>
      </c>
      <c r="D146" s="2">
        <v>522.33333333333337</v>
      </c>
    </row>
    <row r="147" spans="1:4" x14ac:dyDescent="0.3">
      <c r="A147" s="2">
        <v>31101</v>
      </c>
      <c r="B147" s="1" t="s">
        <v>206</v>
      </c>
      <c r="C147" s="2">
        <v>45.666666666666664</v>
      </c>
      <c r="D147" s="2">
        <v>115.66666666666667</v>
      </c>
    </row>
    <row r="148" spans="1:4" x14ac:dyDescent="0.3">
      <c r="A148" s="2">
        <v>31201</v>
      </c>
      <c r="B148" s="1" t="s">
        <v>208</v>
      </c>
      <c r="C148" s="2">
        <v>24.333333333333332</v>
      </c>
      <c r="D148" s="2">
        <v>71.666666666666671</v>
      </c>
    </row>
    <row r="149" spans="1:4" x14ac:dyDescent="0.3">
      <c r="A149" s="2">
        <v>31202</v>
      </c>
      <c r="B149" s="1" t="s">
        <v>209</v>
      </c>
      <c r="C149" s="2">
        <v>24.666666666666668</v>
      </c>
      <c r="D149" s="2">
        <v>69.333333333333329</v>
      </c>
    </row>
    <row r="150" spans="1:4" x14ac:dyDescent="0.3">
      <c r="A150" s="2">
        <v>31203</v>
      </c>
      <c r="B150" s="1" t="s">
        <v>210</v>
      </c>
      <c r="C150" s="2">
        <v>29.666666666666668</v>
      </c>
      <c r="D150" s="2">
        <v>61.666666666666664</v>
      </c>
    </row>
    <row r="151" spans="1:4" x14ac:dyDescent="0.3">
      <c r="A151" s="2">
        <v>31204</v>
      </c>
      <c r="B151" s="1" t="s">
        <v>211</v>
      </c>
      <c r="C151" s="2">
        <v>73.666666666666671</v>
      </c>
      <c r="D151" s="2">
        <v>165.66666666666666</v>
      </c>
    </row>
    <row r="152" spans="1:4" x14ac:dyDescent="0.3">
      <c r="A152" s="2">
        <v>31205</v>
      </c>
      <c r="B152" s="1" t="s">
        <v>212</v>
      </c>
      <c r="C152" s="2">
        <v>179.66666666666666</v>
      </c>
      <c r="D152" s="2">
        <v>366.33333333333331</v>
      </c>
    </row>
    <row r="153" spans="1:4" x14ac:dyDescent="0.3">
      <c r="A153" s="2">
        <v>31206</v>
      </c>
      <c r="B153" s="1" t="s">
        <v>213</v>
      </c>
      <c r="C153" s="2">
        <v>96.333333333333329</v>
      </c>
      <c r="D153" s="2">
        <v>233</v>
      </c>
    </row>
    <row r="154" spans="1:4" x14ac:dyDescent="0.3">
      <c r="A154" s="2">
        <v>31301</v>
      </c>
      <c r="B154" s="1" t="s">
        <v>214</v>
      </c>
      <c r="C154" s="2">
        <v>71.666666666666671</v>
      </c>
      <c r="D154" s="2">
        <v>158.66666666666666</v>
      </c>
    </row>
    <row r="155" spans="1:4" x14ac:dyDescent="0.3">
      <c r="A155" s="2">
        <v>31302</v>
      </c>
      <c r="B155" s="1" t="s">
        <v>215</v>
      </c>
      <c r="C155" s="2">
        <v>9.6666666666666661</v>
      </c>
      <c r="D155" s="2">
        <v>21.666666666666668</v>
      </c>
    </row>
    <row r="156" spans="1:4" x14ac:dyDescent="0.3">
      <c r="A156" s="2">
        <v>31303</v>
      </c>
      <c r="B156" s="1" t="s">
        <v>216</v>
      </c>
      <c r="C156" s="2">
        <v>4.666666666666667</v>
      </c>
      <c r="D156" s="2">
        <v>7</v>
      </c>
    </row>
    <row r="157" spans="1:4" x14ac:dyDescent="0.3">
      <c r="A157" s="2">
        <v>31304</v>
      </c>
      <c r="B157" s="1" t="s">
        <v>217</v>
      </c>
      <c r="C157" s="2">
        <v>96.333333333333329</v>
      </c>
      <c r="D157" s="2">
        <v>233</v>
      </c>
    </row>
    <row r="158" spans="1:4" x14ac:dyDescent="0.3">
      <c r="A158" s="2">
        <v>31401</v>
      </c>
      <c r="B158" s="1" t="s">
        <v>219</v>
      </c>
      <c r="C158" s="2">
        <v>142.33333333333334</v>
      </c>
      <c r="D158" s="2">
        <v>188.66666666666666</v>
      </c>
    </row>
    <row r="159" spans="1:4" x14ac:dyDescent="0.3">
      <c r="A159" s="2">
        <v>31402</v>
      </c>
      <c r="B159" s="1" t="s">
        <v>221</v>
      </c>
      <c r="C159" s="2">
        <v>36.666666666666664</v>
      </c>
      <c r="D159" s="2">
        <v>44.666666666666664</v>
      </c>
    </row>
    <row r="160" spans="1:4" x14ac:dyDescent="0.3">
      <c r="A160" s="2">
        <v>31403</v>
      </c>
      <c r="B160" s="1" t="s">
        <v>222</v>
      </c>
      <c r="C160" s="2">
        <v>63.666666666666664</v>
      </c>
      <c r="D160" s="2">
        <v>73.666666666666671</v>
      </c>
    </row>
    <row r="161" spans="1:4" x14ac:dyDescent="0.3">
      <c r="A161" s="2">
        <v>31404</v>
      </c>
      <c r="B161" s="1" t="s">
        <v>224</v>
      </c>
      <c r="C161" s="2"/>
      <c r="D161" s="2"/>
    </row>
    <row r="162" spans="1:4" x14ac:dyDescent="0.3">
      <c r="A162" s="2">
        <v>31405</v>
      </c>
      <c r="B162" s="1" t="s">
        <v>225</v>
      </c>
      <c r="C162" s="2">
        <v>0</v>
      </c>
      <c r="D162" s="2">
        <v>0</v>
      </c>
    </row>
    <row r="163" spans="1:4" x14ac:dyDescent="0.3">
      <c r="A163" s="2">
        <v>31501</v>
      </c>
      <c r="B163" s="1" t="s">
        <v>227</v>
      </c>
      <c r="C163" s="2">
        <v>13.333333333333334</v>
      </c>
      <c r="D163" s="2">
        <v>23</v>
      </c>
    </row>
    <row r="164" spans="1:4" x14ac:dyDescent="0.3">
      <c r="A164" s="2">
        <v>31601</v>
      </c>
      <c r="B164" s="1" t="s">
        <v>228</v>
      </c>
      <c r="C164" s="2">
        <v>123.33333333333333</v>
      </c>
      <c r="D164" s="2">
        <v>130</v>
      </c>
    </row>
    <row r="165" spans="1:4" x14ac:dyDescent="0.3">
      <c r="A165" s="2">
        <v>31602</v>
      </c>
      <c r="B165" s="1" t="s">
        <v>229</v>
      </c>
      <c r="C165" s="2">
        <v>23.666666666666668</v>
      </c>
      <c r="D165" s="2">
        <v>163.33333333333334</v>
      </c>
    </row>
    <row r="166" spans="1:4" x14ac:dyDescent="0.3">
      <c r="A166" s="2">
        <v>40101</v>
      </c>
      <c r="B166" s="1" t="s">
        <v>230</v>
      </c>
      <c r="C166" s="2">
        <v>1239</v>
      </c>
      <c r="D166" s="2">
        <v>1677</v>
      </c>
    </row>
    <row r="167" spans="1:4" x14ac:dyDescent="0.3">
      <c r="A167" s="2">
        <v>40102</v>
      </c>
      <c r="B167" s="1" t="s">
        <v>231</v>
      </c>
      <c r="C167" s="2">
        <v>87.666666666666671</v>
      </c>
      <c r="D167" s="2">
        <v>135.66666666666666</v>
      </c>
    </row>
    <row r="168" spans="1:4" x14ac:dyDescent="0.3">
      <c r="A168" s="2">
        <v>40103</v>
      </c>
      <c r="B168" s="1" t="s">
        <v>232</v>
      </c>
      <c r="C168" s="2">
        <v>7.333333333333333</v>
      </c>
      <c r="D168" s="2">
        <v>18.333333333333332</v>
      </c>
    </row>
    <row r="169" spans="1:4" x14ac:dyDescent="0.3">
      <c r="A169" s="2">
        <v>40104</v>
      </c>
      <c r="B169" s="1" t="s">
        <v>233</v>
      </c>
      <c r="C169" s="2">
        <v>42.666666666666664</v>
      </c>
      <c r="D169" s="2">
        <v>77</v>
      </c>
    </row>
    <row r="170" spans="1:4" x14ac:dyDescent="0.3">
      <c r="A170" s="2">
        <v>40201</v>
      </c>
      <c r="B170" s="1" t="s">
        <v>236</v>
      </c>
      <c r="C170" s="2">
        <v>93</v>
      </c>
      <c r="D170" s="2">
        <v>192.66666666666666</v>
      </c>
    </row>
    <row r="171" spans="1:4" x14ac:dyDescent="0.3">
      <c r="A171" s="2">
        <v>40202</v>
      </c>
      <c r="B171" s="1" t="s">
        <v>237</v>
      </c>
      <c r="C171" s="2">
        <v>8.6666666666666661</v>
      </c>
      <c r="D171" s="2">
        <v>15.333333333333334</v>
      </c>
    </row>
    <row r="172" spans="1:4" x14ac:dyDescent="0.3">
      <c r="A172" s="2">
        <v>40301</v>
      </c>
      <c r="B172" s="1" t="s">
        <v>239</v>
      </c>
      <c r="C172" s="2">
        <v>24</v>
      </c>
      <c r="D172" s="2">
        <v>50.333333333333336</v>
      </c>
    </row>
    <row r="173" spans="1:4" x14ac:dyDescent="0.3">
      <c r="A173" s="2">
        <v>40302</v>
      </c>
      <c r="B173" s="1" t="s">
        <v>240</v>
      </c>
      <c r="C173" s="2">
        <v>3.3333333333333335</v>
      </c>
      <c r="D173" s="2">
        <v>8</v>
      </c>
    </row>
    <row r="174" spans="1:4" x14ac:dyDescent="0.3">
      <c r="A174" s="2">
        <v>40401</v>
      </c>
      <c r="B174" s="1" t="s">
        <v>242</v>
      </c>
      <c r="C174" s="2">
        <v>11.666666666666666</v>
      </c>
      <c r="D174" s="2">
        <v>29</v>
      </c>
    </row>
    <row r="175" spans="1:4" x14ac:dyDescent="0.3">
      <c r="A175" s="2">
        <v>40402</v>
      </c>
      <c r="B175" s="1" t="s">
        <v>243</v>
      </c>
      <c r="C175" s="2">
        <v>10.333333333333334</v>
      </c>
      <c r="D175" s="2">
        <v>23.333333333333332</v>
      </c>
    </row>
    <row r="176" spans="1:4" x14ac:dyDescent="0.3">
      <c r="A176" s="2">
        <v>40501</v>
      </c>
      <c r="B176" s="1" t="s">
        <v>245</v>
      </c>
      <c r="C176" s="2">
        <v>11.333333333333334</v>
      </c>
      <c r="D176" s="2">
        <v>11.666666666666666</v>
      </c>
    </row>
    <row r="177" spans="1:4" x14ac:dyDescent="0.3">
      <c r="A177" s="2">
        <v>40502</v>
      </c>
      <c r="B177" s="1" t="s">
        <v>246</v>
      </c>
      <c r="C177" s="2">
        <v>1.3333333333333333</v>
      </c>
      <c r="D177" s="2">
        <v>4.333333333333333</v>
      </c>
    </row>
    <row r="178" spans="1:4" x14ac:dyDescent="0.3">
      <c r="A178" s="2">
        <v>40503</v>
      </c>
      <c r="B178" s="1" t="s">
        <v>247</v>
      </c>
      <c r="C178" s="2"/>
      <c r="D178" s="2"/>
    </row>
    <row r="179" spans="1:4" x14ac:dyDescent="0.3">
      <c r="A179" s="2">
        <v>40504</v>
      </c>
      <c r="B179" s="1" t="s">
        <v>248</v>
      </c>
      <c r="C179" s="2"/>
      <c r="D179" s="2"/>
    </row>
    <row r="180" spans="1:4" x14ac:dyDescent="0.3">
      <c r="A180" s="2">
        <v>40505</v>
      </c>
      <c r="B180" s="1" t="s">
        <v>249</v>
      </c>
      <c r="C180" s="2"/>
      <c r="D180" s="2"/>
    </row>
    <row r="181" spans="1:4" x14ac:dyDescent="0.3">
      <c r="A181" s="2">
        <v>40601</v>
      </c>
      <c r="B181" s="1" t="s">
        <v>250</v>
      </c>
      <c r="C181" s="2">
        <v>15.333333333333334</v>
      </c>
      <c r="D181" s="2">
        <v>27.666666666666668</v>
      </c>
    </row>
    <row r="182" spans="1:4" x14ac:dyDescent="0.3">
      <c r="A182" s="2">
        <v>40602</v>
      </c>
      <c r="B182" s="1" t="s">
        <v>252</v>
      </c>
      <c r="C182" s="2">
        <v>26.333333333333332</v>
      </c>
      <c r="D182" s="2">
        <v>48.333333333333336</v>
      </c>
    </row>
    <row r="183" spans="1:4" x14ac:dyDescent="0.3">
      <c r="A183" s="2">
        <v>40603</v>
      </c>
      <c r="B183" s="1" t="s">
        <v>253</v>
      </c>
      <c r="C183" s="2">
        <v>0</v>
      </c>
      <c r="D183" s="2">
        <v>5.333333333333333</v>
      </c>
    </row>
    <row r="184" spans="1:4" x14ac:dyDescent="0.3">
      <c r="A184" s="2">
        <v>40701</v>
      </c>
      <c r="B184" s="1" t="s">
        <v>255</v>
      </c>
      <c r="C184" s="2">
        <v>119.33333333333333</v>
      </c>
      <c r="D184" s="2">
        <v>180</v>
      </c>
    </row>
    <row r="185" spans="1:4" x14ac:dyDescent="0.3">
      <c r="A185" s="2">
        <v>40702</v>
      </c>
      <c r="B185" s="1" t="s">
        <v>257</v>
      </c>
      <c r="C185" s="2">
        <v>30.333333333333332</v>
      </c>
      <c r="D185" s="2">
        <v>41.333333333333336</v>
      </c>
    </row>
    <row r="186" spans="1:4" x14ac:dyDescent="0.3">
      <c r="A186" s="2">
        <v>40801</v>
      </c>
      <c r="B186" s="1" t="s">
        <v>259</v>
      </c>
      <c r="C186" s="2">
        <v>12.666666666666666</v>
      </c>
      <c r="D186" s="2">
        <v>37</v>
      </c>
    </row>
    <row r="187" spans="1:4" x14ac:dyDescent="0.3">
      <c r="A187" s="2">
        <v>40802</v>
      </c>
      <c r="B187" s="1" t="s">
        <v>260</v>
      </c>
      <c r="C187" s="2">
        <v>5</v>
      </c>
      <c r="D187" s="2">
        <v>14</v>
      </c>
    </row>
    <row r="188" spans="1:4" x14ac:dyDescent="0.3">
      <c r="A188" s="2">
        <v>40901</v>
      </c>
      <c r="B188" s="1" t="s">
        <v>261</v>
      </c>
      <c r="C188" s="2">
        <v>8.6666666666666661</v>
      </c>
      <c r="D188" s="2">
        <v>25.333333333333332</v>
      </c>
    </row>
    <row r="189" spans="1:4" x14ac:dyDescent="0.3">
      <c r="A189" s="2">
        <v>40902</v>
      </c>
      <c r="B189" s="1" t="s">
        <v>262</v>
      </c>
      <c r="C189" s="2">
        <v>2.3333333333333335</v>
      </c>
      <c r="D189" s="2">
        <v>4.666666666666667</v>
      </c>
    </row>
    <row r="190" spans="1:4" x14ac:dyDescent="0.3">
      <c r="A190" s="2">
        <v>40903</v>
      </c>
      <c r="B190" s="1" t="s">
        <v>263</v>
      </c>
      <c r="C190" s="2">
        <v>3.6666666666666665</v>
      </c>
      <c r="D190" s="2">
        <v>17.333333333333332</v>
      </c>
    </row>
    <row r="191" spans="1:4" x14ac:dyDescent="0.3">
      <c r="A191" s="2">
        <v>41001</v>
      </c>
      <c r="B191" s="1" t="s">
        <v>265</v>
      </c>
      <c r="C191" s="2">
        <v>14.333333333333334</v>
      </c>
      <c r="D191" s="2">
        <v>30.333333333333332</v>
      </c>
    </row>
    <row r="192" spans="1:4" x14ac:dyDescent="0.3">
      <c r="A192" s="2">
        <v>41101</v>
      </c>
      <c r="B192" s="1" t="s">
        <v>267</v>
      </c>
      <c r="C192" s="2">
        <v>30</v>
      </c>
      <c r="D192" s="2">
        <v>39</v>
      </c>
    </row>
    <row r="193" spans="1:4" x14ac:dyDescent="0.3">
      <c r="A193" s="2">
        <v>41201</v>
      </c>
      <c r="B193" s="1" t="s">
        <v>269</v>
      </c>
      <c r="C193" s="2">
        <v>13.666666666666666</v>
      </c>
      <c r="D193" s="2">
        <v>19.666666666666668</v>
      </c>
    </row>
    <row r="194" spans="1:4" x14ac:dyDescent="0.3">
      <c r="A194" s="2">
        <v>41202</v>
      </c>
      <c r="B194" s="1" t="s">
        <v>271</v>
      </c>
      <c r="C194" s="2">
        <v>5</v>
      </c>
      <c r="D194" s="2">
        <v>10.666666666666666</v>
      </c>
    </row>
    <row r="195" spans="1:4" x14ac:dyDescent="0.3">
      <c r="A195" s="2">
        <v>41301</v>
      </c>
      <c r="B195" s="1" t="s">
        <v>208</v>
      </c>
      <c r="C195" s="2">
        <v>18.333333333333332</v>
      </c>
      <c r="D195" s="2">
        <v>43.333333333333336</v>
      </c>
    </row>
    <row r="196" spans="1:4" x14ac:dyDescent="0.3">
      <c r="A196" s="2">
        <v>41401</v>
      </c>
      <c r="B196" s="1" t="s">
        <v>274</v>
      </c>
      <c r="C196" s="2">
        <v>29</v>
      </c>
      <c r="D196" s="2">
        <v>47.666666666666664</v>
      </c>
    </row>
    <row r="197" spans="1:4" x14ac:dyDescent="0.3">
      <c r="A197" s="2">
        <v>41501</v>
      </c>
      <c r="B197" s="1" t="s">
        <v>276</v>
      </c>
      <c r="C197" s="2">
        <v>1.6666666666666667</v>
      </c>
      <c r="D197" s="2">
        <v>8.6666666666666661</v>
      </c>
    </row>
    <row r="198" spans="1:4" x14ac:dyDescent="0.3">
      <c r="A198" s="2">
        <v>41502</v>
      </c>
      <c r="B198" s="1" t="s">
        <v>277</v>
      </c>
      <c r="C198" s="2">
        <v>2</v>
      </c>
      <c r="D198" s="2">
        <v>7</v>
      </c>
    </row>
    <row r="199" spans="1:4" x14ac:dyDescent="0.3">
      <c r="A199" s="2">
        <v>41503</v>
      </c>
      <c r="B199" s="1" t="s">
        <v>238</v>
      </c>
      <c r="C199" s="2">
        <v>0</v>
      </c>
      <c r="D199" s="2">
        <v>3</v>
      </c>
    </row>
    <row r="200" spans="1:4" x14ac:dyDescent="0.3">
      <c r="A200" s="2">
        <v>41601</v>
      </c>
      <c r="B200" s="1" t="s">
        <v>279</v>
      </c>
      <c r="C200" s="2">
        <v>12.666666666666666</v>
      </c>
      <c r="D200" s="2">
        <v>35.666666666666664</v>
      </c>
    </row>
    <row r="201" spans="1:4" x14ac:dyDescent="0.3">
      <c r="A201" s="2">
        <v>50101</v>
      </c>
      <c r="B201" s="1" t="s">
        <v>281</v>
      </c>
      <c r="C201" s="2">
        <v>843.33333333333337</v>
      </c>
      <c r="D201" s="2">
        <v>1044</v>
      </c>
    </row>
    <row r="202" spans="1:4" x14ac:dyDescent="0.3">
      <c r="A202" s="2">
        <v>50102</v>
      </c>
      <c r="B202" s="1" t="s">
        <v>283</v>
      </c>
      <c r="C202" s="2">
        <v>30.666666666666668</v>
      </c>
      <c r="D202" s="2">
        <v>58</v>
      </c>
    </row>
    <row r="203" spans="1:4" x14ac:dyDescent="0.3">
      <c r="A203" s="2">
        <v>50103</v>
      </c>
      <c r="B203" s="1" t="s">
        <v>284</v>
      </c>
      <c r="C203" s="2">
        <v>42</v>
      </c>
      <c r="D203" s="2">
        <v>55.666666666666664</v>
      </c>
    </row>
    <row r="204" spans="1:4" x14ac:dyDescent="0.3">
      <c r="A204" s="2">
        <v>50104</v>
      </c>
      <c r="B204" s="1" t="s">
        <v>286</v>
      </c>
      <c r="C204" s="2">
        <v>36</v>
      </c>
      <c r="D204" s="2">
        <v>24.666666666666668</v>
      </c>
    </row>
    <row r="205" spans="1:4" x14ac:dyDescent="0.3">
      <c r="A205" s="2">
        <v>50201</v>
      </c>
      <c r="B205" s="1" t="s">
        <v>289</v>
      </c>
      <c r="C205" s="2">
        <v>81.333333333333329</v>
      </c>
      <c r="D205" s="2">
        <v>122.33333333333333</v>
      </c>
    </row>
    <row r="206" spans="1:4" x14ac:dyDescent="0.3">
      <c r="A206" s="2">
        <v>50202</v>
      </c>
      <c r="B206" s="1" t="s">
        <v>290</v>
      </c>
      <c r="C206" s="2">
        <v>33.666666666666664</v>
      </c>
      <c r="D206" s="2">
        <v>86</v>
      </c>
    </row>
    <row r="207" spans="1:4" x14ac:dyDescent="0.3">
      <c r="A207" s="2">
        <v>50203</v>
      </c>
      <c r="B207" s="1" t="s">
        <v>291</v>
      </c>
      <c r="C207" s="2">
        <v>170.66666666666666</v>
      </c>
      <c r="D207" s="2">
        <v>245.66666666666666</v>
      </c>
    </row>
    <row r="208" spans="1:4" x14ac:dyDescent="0.3">
      <c r="A208" s="2">
        <v>50204</v>
      </c>
      <c r="B208" s="1" t="s">
        <v>292</v>
      </c>
      <c r="C208" s="2">
        <v>4.666666666666667</v>
      </c>
      <c r="D208" s="2">
        <v>38.666666666666664</v>
      </c>
    </row>
    <row r="209" spans="1:4" x14ac:dyDescent="0.3">
      <c r="A209" s="2">
        <v>50301</v>
      </c>
      <c r="B209" s="1" t="s">
        <v>294</v>
      </c>
      <c r="C209" s="2">
        <v>83</v>
      </c>
      <c r="D209" s="2">
        <v>165</v>
      </c>
    </row>
    <row r="210" spans="1:4" x14ac:dyDescent="0.3">
      <c r="A210" s="2">
        <v>50302</v>
      </c>
      <c r="B210" s="1" t="s">
        <v>296</v>
      </c>
      <c r="C210" s="2">
        <v>39.666666666666664</v>
      </c>
      <c r="D210" s="2">
        <v>61.666666666666664</v>
      </c>
    </row>
    <row r="211" spans="1:4" x14ac:dyDescent="0.3">
      <c r="A211" s="2">
        <v>50303</v>
      </c>
      <c r="B211" s="1" t="s">
        <v>297</v>
      </c>
      <c r="C211" s="2">
        <v>25.333333333333332</v>
      </c>
      <c r="D211" s="2">
        <v>47.666666666666664</v>
      </c>
    </row>
    <row r="212" spans="1:4" x14ac:dyDescent="0.3">
      <c r="A212" s="2">
        <v>50401</v>
      </c>
      <c r="B212" s="1" t="s">
        <v>298</v>
      </c>
      <c r="C212" s="2">
        <v>46</v>
      </c>
      <c r="D212" s="2">
        <v>103</v>
      </c>
    </row>
    <row r="213" spans="1:4" x14ac:dyDescent="0.3">
      <c r="A213" s="2">
        <v>50402</v>
      </c>
      <c r="B213" s="1" t="s">
        <v>299</v>
      </c>
      <c r="C213" s="2">
        <v>24</v>
      </c>
      <c r="D213" s="2">
        <v>72.666666666666671</v>
      </c>
    </row>
    <row r="214" spans="1:4" x14ac:dyDescent="0.3">
      <c r="A214" s="2">
        <v>50403</v>
      </c>
      <c r="B214" s="1" t="s">
        <v>300</v>
      </c>
      <c r="C214" s="2">
        <v>45</v>
      </c>
      <c r="D214" s="2">
        <v>108</v>
      </c>
    </row>
    <row r="215" spans="1:4" x14ac:dyDescent="0.3">
      <c r="A215" s="2">
        <v>50404</v>
      </c>
      <c r="B215" s="1" t="s">
        <v>301</v>
      </c>
      <c r="C215" s="2">
        <v>27.666666666666668</v>
      </c>
      <c r="D215" s="2">
        <v>53.666666666666664</v>
      </c>
    </row>
    <row r="216" spans="1:4" x14ac:dyDescent="0.3">
      <c r="A216" s="2">
        <v>50405</v>
      </c>
      <c r="B216" s="1" t="s">
        <v>302</v>
      </c>
      <c r="C216" s="2">
        <v>46</v>
      </c>
      <c r="D216" s="2">
        <v>103</v>
      </c>
    </row>
    <row r="217" spans="1:4" x14ac:dyDescent="0.3">
      <c r="A217" s="2">
        <v>50501</v>
      </c>
      <c r="B217" s="1" t="s">
        <v>304</v>
      </c>
      <c r="C217" s="2">
        <v>51.666666666666664</v>
      </c>
      <c r="D217" s="2">
        <v>121.33333333333333</v>
      </c>
    </row>
    <row r="218" spans="1:4" x14ac:dyDescent="0.3">
      <c r="A218" s="2">
        <v>50502</v>
      </c>
      <c r="B218" s="1" t="s">
        <v>305</v>
      </c>
      <c r="C218" s="2">
        <v>33</v>
      </c>
      <c r="D218" s="2">
        <v>61.666666666666664</v>
      </c>
    </row>
    <row r="219" spans="1:4" x14ac:dyDescent="0.3">
      <c r="A219" s="2">
        <v>50601</v>
      </c>
      <c r="B219" s="1" t="s">
        <v>307</v>
      </c>
      <c r="C219" s="2">
        <v>58.666666666666664</v>
      </c>
      <c r="D219" s="2">
        <v>136.33333333333334</v>
      </c>
    </row>
    <row r="220" spans="1:4" x14ac:dyDescent="0.3">
      <c r="A220" s="2">
        <v>50602</v>
      </c>
      <c r="B220" s="1" t="s">
        <v>308</v>
      </c>
      <c r="C220" s="2">
        <v>39.333333333333336</v>
      </c>
      <c r="D220" s="2">
        <v>53</v>
      </c>
    </row>
    <row r="221" spans="1:4" x14ac:dyDescent="0.3">
      <c r="A221" s="2">
        <v>50701</v>
      </c>
      <c r="B221" s="1" t="s">
        <v>310</v>
      </c>
      <c r="C221" s="2">
        <v>35</v>
      </c>
      <c r="D221" s="2">
        <v>84.666666666666671</v>
      </c>
    </row>
    <row r="222" spans="1:4" x14ac:dyDescent="0.3">
      <c r="A222" s="2">
        <v>50702</v>
      </c>
      <c r="B222" s="1" t="s">
        <v>312</v>
      </c>
      <c r="C222" s="2">
        <v>32.666666666666664</v>
      </c>
      <c r="D222" s="2">
        <v>48</v>
      </c>
    </row>
    <row r="223" spans="1:4" x14ac:dyDescent="0.3">
      <c r="A223" s="2">
        <v>50801</v>
      </c>
      <c r="B223" s="1" t="s">
        <v>314</v>
      </c>
      <c r="C223" s="2">
        <v>192.33333333333334</v>
      </c>
      <c r="D223" s="2">
        <v>312</v>
      </c>
    </row>
    <row r="224" spans="1:4" x14ac:dyDescent="0.3">
      <c r="A224" s="2">
        <v>50802</v>
      </c>
      <c r="B224" s="1" t="s">
        <v>315</v>
      </c>
      <c r="C224" s="2">
        <v>59.333333333333336</v>
      </c>
      <c r="D224" s="2">
        <v>76</v>
      </c>
    </row>
    <row r="225" spans="1:4" x14ac:dyDescent="0.3">
      <c r="A225" s="2">
        <v>50901</v>
      </c>
      <c r="B225" s="1" t="s">
        <v>317</v>
      </c>
      <c r="C225" s="2">
        <v>34.666666666666664</v>
      </c>
      <c r="D225" s="2">
        <v>70.333333333333329</v>
      </c>
    </row>
    <row r="226" spans="1:4" x14ac:dyDescent="0.3">
      <c r="A226" s="2">
        <v>50902</v>
      </c>
      <c r="B226" s="1" t="s">
        <v>319</v>
      </c>
      <c r="C226" s="2">
        <v>4.666666666666667</v>
      </c>
      <c r="D226" s="2">
        <v>6</v>
      </c>
    </row>
    <row r="227" spans="1:4" x14ac:dyDescent="0.3">
      <c r="A227" s="2">
        <v>51001</v>
      </c>
      <c r="B227" s="1" t="s">
        <v>322</v>
      </c>
      <c r="C227" s="2">
        <v>7</v>
      </c>
      <c r="D227" s="2">
        <v>20.333333333333332</v>
      </c>
    </row>
    <row r="228" spans="1:4" x14ac:dyDescent="0.3">
      <c r="A228" s="2">
        <v>51002</v>
      </c>
      <c r="B228" s="1" t="s">
        <v>324</v>
      </c>
      <c r="C228" s="2">
        <v>2.3333333333333335</v>
      </c>
      <c r="D228" s="2">
        <v>5</v>
      </c>
    </row>
    <row r="229" spans="1:4" x14ac:dyDescent="0.3">
      <c r="A229" s="2">
        <v>51003</v>
      </c>
      <c r="B229" s="1" t="s">
        <v>325</v>
      </c>
      <c r="C229" s="2">
        <v>3.3333333333333335</v>
      </c>
      <c r="D229" s="2">
        <v>11.333333333333334</v>
      </c>
    </row>
    <row r="230" spans="1:4" x14ac:dyDescent="0.3">
      <c r="A230" s="2">
        <v>51101</v>
      </c>
      <c r="B230" s="1" t="s">
        <v>327</v>
      </c>
      <c r="C230" s="2">
        <v>83.666666666666671</v>
      </c>
      <c r="D230" s="2">
        <v>127.33333333333333</v>
      </c>
    </row>
    <row r="231" spans="1:4" x14ac:dyDescent="0.3">
      <c r="A231" s="2">
        <v>51102</v>
      </c>
      <c r="B231" s="1" t="s">
        <v>329</v>
      </c>
      <c r="C231" s="2">
        <v>37</v>
      </c>
      <c r="D231" s="2">
        <v>56.333333333333336</v>
      </c>
    </row>
    <row r="232" spans="1:4" x14ac:dyDescent="0.3">
      <c r="A232" s="2">
        <v>51103</v>
      </c>
      <c r="B232" s="1" t="s">
        <v>330</v>
      </c>
      <c r="C232" s="2">
        <v>13</v>
      </c>
      <c r="D232" s="2">
        <v>81.333333333333329</v>
      </c>
    </row>
    <row r="233" spans="1:4" x14ac:dyDescent="0.3">
      <c r="A233" s="2">
        <v>51201</v>
      </c>
      <c r="B233" s="1" t="s">
        <v>332</v>
      </c>
      <c r="C233" s="2">
        <v>138</v>
      </c>
      <c r="D233" s="2">
        <v>210.33333333333334</v>
      </c>
    </row>
    <row r="234" spans="1:4" x14ac:dyDescent="0.3">
      <c r="A234" s="2">
        <v>51202</v>
      </c>
      <c r="B234" s="1" t="s">
        <v>333</v>
      </c>
      <c r="C234" s="2">
        <v>41.666666666666664</v>
      </c>
      <c r="D234" s="2">
        <v>72</v>
      </c>
    </row>
    <row r="235" spans="1:4" x14ac:dyDescent="0.3">
      <c r="A235" s="2">
        <v>51203</v>
      </c>
      <c r="B235" s="1" t="s">
        <v>334</v>
      </c>
      <c r="C235" s="2">
        <v>18.666666666666668</v>
      </c>
      <c r="D235" s="2">
        <v>32.333333333333336</v>
      </c>
    </row>
    <row r="236" spans="1:4" x14ac:dyDescent="0.3">
      <c r="A236" s="2">
        <v>51204</v>
      </c>
      <c r="B236" s="1" t="s">
        <v>335</v>
      </c>
      <c r="C236" s="2">
        <v>41.666666666666664</v>
      </c>
      <c r="D236" s="2">
        <v>72</v>
      </c>
    </row>
    <row r="237" spans="1:4" x14ac:dyDescent="0.3">
      <c r="A237" s="2">
        <v>51301</v>
      </c>
      <c r="B237" s="1" t="s">
        <v>337</v>
      </c>
      <c r="C237" s="2">
        <v>7.666666666666667</v>
      </c>
      <c r="D237" s="2">
        <v>30</v>
      </c>
    </row>
    <row r="238" spans="1:4" x14ac:dyDescent="0.3">
      <c r="A238" s="2">
        <v>51302</v>
      </c>
      <c r="B238" s="1" t="s">
        <v>338</v>
      </c>
      <c r="C238" s="2">
        <v>11.666666666666666</v>
      </c>
      <c r="D238" s="2">
        <v>37.666666666666664</v>
      </c>
    </row>
    <row r="239" spans="1:4" x14ac:dyDescent="0.3">
      <c r="A239" s="2">
        <v>51401</v>
      </c>
      <c r="B239" s="1" t="s">
        <v>340</v>
      </c>
      <c r="C239" s="2">
        <v>9</v>
      </c>
      <c r="D239" s="2">
        <v>17.333333333333332</v>
      </c>
    </row>
    <row r="240" spans="1:4" x14ac:dyDescent="0.3">
      <c r="A240" s="2">
        <v>51402</v>
      </c>
      <c r="B240" s="1" t="s">
        <v>341</v>
      </c>
      <c r="C240" s="2">
        <v>3.6666666666666665</v>
      </c>
      <c r="D240" s="2">
        <v>5.333333333333333</v>
      </c>
    </row>
    <row r="241" spans="1:4" x14ac:dyDescent="0.3">
      <c r="A241" s="2">
        <v>51501</v>
      </c>
      <c r="B241" s="1" t="s">
        <v>343</v>
      </c>
      <c r="C241" s="2">
        <v>190</v>
      </c>
      <c r="D241" s="2">
        <v>277.33333333333331</v>
      </c>
    </row>
    <row r="242" spans="1:4" x14ac:dyDescent="0.3">
      <c r="A242" s="2">
        <v>51601</v>
      </c>
      <c r="B242" s="1" t="s">
        <v>345</v>
      </c>
      <c r="C242" s="2">
        <v>1</v>
      </c>
      <c r="D242" s="2">
        <v>10.666666666666666</v>
      </c>
    </row>
    <row r="243" spans="1:4" x14ac:dyDescent="0.3">
      <c r="A243" s="2">
        <v>60101</v>
      </c>
      <c r="B243" s="1" t="s">
        <v>346</v>
      </c>
      <c r="C243" s="2">
        <v>678.66666666666663</v>
      </c>
      <c r="D243" s="2">
        <v>867</v>
      </c>
    </row>
    <row r="244" spans="1:4" x14ac:dyDescent="0.3">
      <c r="A244" s="2">
        <v>60201</v>
      </c>
      <c r="B244" s="1" t="s">
        <v>348</v>
      </c>
      <c r="C244" s="2">
        <v>35</v>
      </c>
      <c r="D244" s="2">
        <v>84.333333333333329</v>
      </c>
    </row>
    <row r="245" spans="1:4" x14ac:dyDescent="0.3">
      <c r="A245" s="2">
        <v>60202</v>
      </c>
      <c r="B245" s="1" t="s">
        <v>349</v>
      </c>
      <c r="C245" s="2">
        <v>125</v>
      </c>
      <c r="D245" s="2">
        <v>176</v>
      </c>
    </row>
    <row r="246" spans="1:4" x14ac:dyDescent="0.3">
      <c r="A246" s="2">
        <v>60301</v>
      </c>
      <c r="B246" s="1" t="s">
        <v>351</v>
      </c>
      <c r="C246" s="2">
        <v>298.66666666666669</v>
      </c>
      <c r="D246" s="2">
        <v>462.33333333333331</v>
      </c>
    </row>
    <row r="247" spans="1:4" x14ac:dyDescent="0.3">
      <c r="A247" s="2">
        <v>60302</v>
      </c>
      <c r="B247" s="1" t="s">
        <v>352</v>
      </c>
      <c r="C247" s="2">
        <v>24.666666666666668</v>
      </c>
      <c r="D247" s="2">
        <v>87.333333333333329</v>
      </c>
    </row>
    <row r="248" spans="1:4" x14ac:dyDescent="0.3">
      <c r="A248" s="2">
        <v>60303</v>
      </c>
      <c r="B248" s="1" t="s">
        <v>353</v>
      </c>
      <c r="C248" s="2">
        <v>137.66666666666666</v>
      </c>
      <c r="D248" s="2">
        <v>232.66666666666666</v>
      </c>
    </row>
    <row r="249" spans="1:4" x14ac:dyDescent="0.3">
      <c r="A249" s="2">
        <v>60401</v>
      </c>
      <c r="B249" s="1" t="s">
        <v>355</v>
      </c>
      <c r="C249" s="2">
        <v>35</v>
      </c>
      <c r="D249" s="2">
        <v>65.333333333333329</v>
      </c>
    </row>
    <row r="250" spans="1:4" x14ac:dyDescent="0.3">
      <c r="A250" s="2">
        <v>60402</v>
      </c>
      <c r="B250" s="1" t="s">
        <v>357</v>
      </c>
      <c r="C250" s="2">
        <v>9</v>
      </c>
      <c r="D250" s="2">
        <v>31</v>
      </c>
    </row>
    <row r="251" spans="1:4" x14ac:dyDescent="0.3">
      <c r="A251" s="2">
        <v>60501</v>
      </c>
      <c r="B251" s="1" t="s">
        <v>359</v>
      </c>
      <c r="C251" s="2">
        <v>67.333333333333329</v>
      </c>
      <c r="D251" s="2">
        <v>109.33333333333333</v>
      </c>
    </row>
    <row r="252" spans="1:4" x14ac:dyDescent="0.3">
      <c r="A252" s="2">
        <v>60502</v>
      </c>
      <c r="B252" s="1" t="s">
        <v>361</v>
      </c>
      <c r="C252" s="2">
        <v>11.666666666666666</v>
      </c>
      <c r="D252" s="2">
        <v>42</v>
      </c>
    </row>
    <row r="253" spans="1:4" x14ac:dyDescent="0.3">
      <c r="A253" s="2">
        <v>60601</v>
      </c>
      <c r="B253" s="1" t="s">
        <v>213</v>
      </c>
      <c r="C253" s="2">
        <v>73.333333333333329</v>
      </c>
      <c r="D253" s="2">
        <v>119.33333333333333</v>
      </c>
    </row>
    <row r="254" spans="1:4" x14ac:dyDescent="0.3">
      <c r="A254" s="2">
        <v>70101</v>
      </c>
      <c r="B254" s="1" t="s">
        <v>365</v>
      </c>
      <c r="C254" s="2">
        <v>3073.3333333333335</v>
      </c>
      <c r="D254" s="2">
        <v>4286.333333333333</v>
      </c>
    </row>
    <row r="255" spans="1:4" x14ac:dyDescent="0.3">
      <c r="A255" s="2">
        <v>70102</v>
      </c>
      <c r="B255" s="1" t="s">
        <v>366</v>
      </c>
      <c r="C255" s="2">
        <v>148</v>
      </c>
      <c r="D255" s="2">
        <v>299</v>
      </c>
    </row>
    <row r="256" spans="1:4" x14ac:dyDescent="0.3">
      <c r="A256" s="2">
        <v>70103</v>
      </c>
      <c r="B256" s="1" t="s">
        <v>367</v>
      </c>
      <c r="C256" s="2">
        <v>31.666666666666668</v>
      </c>
      <c r="D256" s="2">
        <v>58.666666666666664</v>
      </c>
    </row>
    <row r="257" spans="1:4" x14ac:dyDescent="0.3">
      <c r="A257" s="2">
        <v>70104</v>
      </c>
      <c r="B257" s="1" t="s">
        <v>369</v>
      </c>
      <c r="C257" s="2">
        <v>165</v>
      </c>
      <c r="D257" s="2">
        <v>380.33333333333331</v>
      </c>
    </row>
    <row r="258" spans="1:4" x14ac:dyDescent="0.3">
      <c r="A258" s="2">
        <v>70105</v>
      </c>
      <c r="B258" s="1" t="s">
        <v>370</v>
      </c>
      <c r="C258" s="2">
        <v>155.66666666666666</v>
      </c>
      <c r="D258" s="2">
        <v>224.33333333333334</v>
      </c>
    </row>
    <row r="259" spans="1:4" x14ac:dyDescent="0.3">
      <c r="A259" s="2">
        <v>70201</v>
      </c>
      <c r="B259" s="1" t="s">
        <v>371</v>
      </c>
      <c r="C259" s="2">
        <v>200.33333333333334</v>
      </c>
      <c r="D259" s="2">
        <v>492.33333333333331</v>
      </c>
    </row>
    <row r="260" spans="1:4" x14ac:dyDescent="0.3">
      <c r="A260" s="2">
        <v>70202</v>
      </c>
      <c r="B260" s="1" t="s">
        <v>372</v>
      </c>
      <c r="C260" s="2">
        <v>29.666666666666668</v>
      </c>
      <c r="D260" s="2">
        <v>58.666666666666664</v>
      </c>
    </row>
    <row r="261" spans="1:4" x14ac:dyDescent="0.3">
      <c r="A261" s="2">
        <v>70301</v>
      </c>
      <c r="B261" s="1" t="s">
        <v>374</v>
      </c>
      <c r="C261" s="2">
        <v>95</v>
      </c>
      <c r="D261" s="2">
        <v>274.66666666666669</v>
      </c>
    </row>
    <row r="262" spans="1:4" x14ac:dyDescent="0.3">
      <c r="A262" s="2">
        <v>70302</v>
      </c>
      <c r="B262" s="1" t="s">
        <v>376</v>
      </c>
      <c r="C262" s="2">
        <v>22.333333333333332</v>
      </c>
      <c r="D262" s="2">
        <v>57</v>
      </c>
    </row>
    <row r="263" spans="1:4" x14ac:dyDescent="0.3">
      <c r="A263" s="2">
        <v>70303</v>
      </c>
      <c r="B263" s="1" t="s">
        <v>378</v>
      </c>
      <c r="C263" s="2">
        <v>4.666666666666667</v>
      </c>
      <c r="D263" s="2">
        <v>31.666666666666668</v>
      </c>
    </row>
    <row r="264" spans="1:4" x14ac:dyDescent="0.3">
      <c r="A264" s="2">
        <v>70401</v>
      </c>
      <c r="B264" s="1" t="s">
        <v>380</v>
      </c>
      <c r="C264" s="2">
        <v>20</v>
      </c>
      <c r="D264" s="2">
        <v>53.666666666666664</v>
      </c>
    </row>
    <row r="265" spans="1:4" x14ac:dyDescent="0.3">
      <c r="A265" s="2">
        <v>70402</v>
      </c>
      <c r="B265" s="1" t="s">
        <v>381</v>
      </c>
      <c r="C265" s="2">
        <v>41.666666666666664</v>
      </c>
      <c r="D265" s="2">
        <v>96</v>
      </c>
    </row>
    <row r="266" spans="1:4" x14ac:dyDescent="0.3">
      <c r="A266" s="2">
        <v>70403</v>
      </c>
      <c r="B266" s="1" t="s">
        <v>382</v>
      </c>
      <c r="C266" s="2">
        <v>121.66666666666667</v>
      </c>
      <c r="D266" s="2">
        <v>254</v>
      </c>
    </row>
    <row r="267" spans="1:4" x14ac:dyDescent="0.3">
      <c r="A267" s="2">
        <v>70404</v>
      </c>
      <c r="B267" s="1" t="s">
        <v>383</v>
      </c>
      <c r="C267" s="2">
        <v>23.333333333333332</v>
      </c>
      <c r="D267" s="2">
        <v>52.333333333333336</v>
      </c>
    </row>
    <row r="268" spans="1:4" x14ac:dyDescent="0.3">
      <c r="A268" s="2">
        <v>70501</v>
      </c>
      <c r="B268" s="1" t="s">
        <v>385</v>
      </c>
      <c r="C268" s="2">
        <v>40.666666666666664</v>
      </c>
      <c r="D268" s="2">
        <v>100.66666666666667</v>
      </c>
    </row>
    <row r="269" spans="1:4" x14ac:dyDescent="0.3">
      <c r="A269" s="2">
        <v>70502</v>
      </c>
      <c r="B269" s="1" t="s">
        <v>387</v>
      </c>
      <c r="C269" s="2">
        <v>61.666666666666664</v>
      </c>
      <c r="D269" s="2">
        <v>114.33333333333333</v>
      </c>
    </row>
    <row r="270" spans="1:4" x14ac:dyDescent="0.3">
      <c r="A270" s="2">
        <v>70503</v>
      </c>
      <c r="B270" s="1" t="s">
        <v>388</v>
      </c>
      <c r="C270" s="2">
        <v>53.333333333333336</v>
      </c>
      <c r="D270" s="2">
        <v>96.666666666666671</v>
      </c>
    </row>
    <row r="271" spans="1:4" x14ac:dyDescent="0.3">
      <c r="A271" s="2">
        <v>70601</v>
      </c>
      <c r="B271" s="1" t="s">
        <v>390</v>
      </c>
      <c r="C271" s="2">
        <v>34.333333333333336</v>
      </c>
      <c r="D271" s="2">
        <v>65</v>
      </c>
    </row>
    <row r="272" spans="1:4" x14ac:dyDescent="0.3">
      <c r="A272" s="2">
        <v>70602</v>
      </c>
      <c r="B272" s="1" t="s">
        <v>391</v>
      </c>
      <c r="C272" s="2">
        <v>24.666666666666668</v>
      </c>
      <c r="D272" s="2">
        <v>71</v>
      </c>
    </row>
    <row r="273" spans="1:4" x14ac:dyDescent="0.3">
      <c r="A273" s="2">
        <v>70603</v>
      </c>
      <c r="B273" s="1" t="s">
        <v>393</v>
      </c>
      <c r="C273" s="2">
        <v>11.333333333333334</v>
      </c>
      <c r="D273" s="2">
        <v>19.666666666666668</v>
      </c>
    </row>
    <row r="274" spans="1:4" x14ac:dyDescent="0.3">
      <c r="A274" s="2">
        <v>70701</v>
      </c>
      <c r="B274" s="1" t="s">
        <v>395</v>
      </c>
      <c r="C274" s="2">
        <v>18.666666666666668</v>
      </c>
      <c r="D274" s="2">
        <v>50.333333333333336</v>
      </c>
    </row>
    <row r="275" spans="1:4" x14ac:dyDescent="0.3">
      <c r="A275" s="2">
        <v>70702</v>
      </c>
      <c r="B275" s="1" t="s">
        <v>396</v>
      </c>
      <c r="C275" s="2">
        <v>41</v>
      </c>
      <c r="D275" s="2">
        <v>146.33333333333334</v>
      </c>
    </row>
    <row r="276" spans="1:4" x14ac:dyDescent="0.3">
      <c r="A276" s="2">
        <v>70703</v>
      </c>
      <c r="B276" s="1" t="s">
        <v>397</v>
      </c>
      <c r="C276" s="2">
        <v>35</v>
      </c>
      <c r="D276" s="2">
        <v>88.333333333333329</v>
      </c>
    </row>
    <row r="277" spans="1:4" x14ac:dyDescent="0.3">
      <c r="A277" s="2">
        <v>70704</v>
      </c>
      <c r="B277" s="1" t="s">
        <v>398</v>
      </c>
      <c r="C277" s="2">
        <v>15</v>
      </c>
      <c r="D277" s="2">
        <v>28</v>
      </c>
    </row>
    <row r="278" spans="1:4" x14ac:dyDescent="0.3">
      <c r="A278" s="2">
        <v>70705</v>
      </c>
      <c r="B278" s="1" t="s">
        <v>399</v>
      </c>
      <c r="C278" s="2">
        <v>25</v>
      </c>
      <c r="D278" s="2">
        <v>77.333333333333329</v>
      </c>
    </row>
    <row r="279" spans="1:4" x14ac:dyDescent="0.3">
      <c r="A279" s="2">
        <v>70706</v>
      </c>
      <c r="B279" s="1" t="s">
        <v>400</v>
      </c>
      <c r="C279" s="2">
        <v>109</v>
      </c>
      <c r="D279" s="2">
        <v>163.33333333333334</v>
      </c>
    </row>
    <row r="280" spans="1:4" x14ac:dyDescent="0.3">
      <c r="A280" s="2">
        <v>70707</v>
      </c>
      <c r="B280" s="1" t="s">
        <v>401</v>
      </c>
      <c r="C280" s="2">
        <v>13.666666666666666</v>
      </c>
      <c r="D280" s="2">
        <v>19.666666666666668</v>
      </c>
    </row>
    <row r="281" spans="1:4" x14ac:dyDescent="0.3">
      <c r="A281" s="2">
        <v>70801</v>
      </c>
      <c r="B281" s="1" t="s">
        <v>402</v>
      </c>
      <c r="C281" s="2">
        <v>63.333333333333336</v>
      </c>
      <c r="D281" s="2">
        <v>104.66666666666667</v>
      </c>
    </row>
    <row r="282" spans="1:4" x14ac:dyDescent="0.3">
      <c r="A282" s="2">
        <v>70802</v>
      </c>
      <c r="B282" s="1" t="s">
        <v>403</v>
      </c>
      <c r="C282" s="2">
        <v>3</v>
      </c>
      <c r="D282" s="2">
        <v>7.333333333333333</v>
      </c>
    </row>
    <row r="283" spans="1:4" x14ac:dyDescent="0.3">
      <c r="A283" s="2">
        <v>70803</v>
      </c>
      <c r="B283" s="1" t="s">
        <v>404</v>
      </c>
      <c r="C283" s="2">
        <v>7.666666666666667</v>
      </c>
      <c r="D283" s="2">
        <v>20.666666666666668</v>
      </c>
    </row>
    <row r="284" spans="1:4" x14ac:dyDescent="0.3">
      <c r="A284" s="2">
        <v>70804</v>
      </c>
      <c r="B284" s="1" t="s">
        <v>406</v>
      </c>
      <c r="C284" s="2">
        <v>4</v>
      </c>
      <c r="D284" s="2">
        <v>8</v>
      </c>
    </row>
    <row r="285" spans="1:4" x14ac:dyDescent="0.3">
      <c r="A285" s="2">
        <v>70805</v>
      </c>
      <c r="B285" s="1" t="s">
        <v>407</v>
      </c>
      <c r="C285" s="2">
        <v>2.6666666666666665</v>
      </c>
      <c r="D285" s="2">
        <v>5</v>
      </c>
    </row>
    <row r="286" spans="1:4" x14ac:dyDescent="0.3">
      <c r="A286" s="2">
        <v>70901</v>
      </c>
      <c r="B286" s="1" t="s">
        <v>409</v>
      </c>
      <c r="C286" s="2">
        <v>47.666666666666664</v>
      </c>
      <c r="D286" s="2">
        <v>72</v>
      </c>
    </row>
    <row r="287" spans="1:4" x14ac:dyDescent="0.3">
      <c r="A287" s="2">
        <v>70902</v>
      </c>
      <c r="B287" s="1" t="s">
        <v>410</v>
      </c>
      <c r="C287" s="2">
        <v>25</v>
      </c>
      <c r="D287" s="2">
        <v>57.333333333333336</v>
      </c>
    </row>
    <row r="288" spans="1:4" x14ac:dyDescent="0.3">
      <c r="A288" s="2">
        <v>70903</v>
      </c>
      <c r="B288" s="1" t="s">
        <v>411</v>
      </c>
      <c r="C288" s="2">
        <v>31</v>
      </c>
      <c r="D288" s="2">
        <v>65</v>
      </c>
    </row>
    <row r="289" spans="1:4" x14ac:dyDescent="0.3">
      <c r="A289" s="2">
        <v>70904</v>
      </c>
      <c r="B289" s="1" t="s">
        <v>412</v>
      </c>
      <c r="C289" s="2">
        <v>4</v>
      </c>
      <c r="D289" s="2">
        <v>8</v>
      </c>
    </row>
    <row r="290" spans="1:4" x14ac:dyDescent="0.3">
      <c r="A290" s="2">
        <v>71001</v>
      </c>
      <c r="B290" s="1" t="s">
        <v>414</v>
      </c>
      <c r="C290" s="2">
        <v>232.66666666666666</v>
      </c>
      <c r="D290" s="2">
        <v>413</v>
      </c>
    </row>
    <row r="291" spans="1:4" x14ac:dyDescent="0.3">
      <c r="A291" s="2">
        <v>71002</v>
      </c>
      <c r="B291" s="1" t="s">
        <v>415</v>
      </c>
      <c r="C291" s="2">
        <v>27.666666666666668</v>
      </c>
      <c r="D291" s="2">
        <v>75.666666666666671</v>
      </c>
    </row>
    <row r="292" spans="1:4" x14ac:dyDescent="0.3">
      <c r="A292" s="2">
        <v>71003</v>
      </c>
      <c r="B292" s="1" t="s">
        <v>416</v>
      </c>
      <c r="C292" s="2">
        <v>38</v>
      </c>
      <c r="D292" s="2">
        <v>84.666666666666671</v>
      </c>
    </row>
    <row r="293" spans="1:4" x14ac:dyDescent="0.3">
      <c r="A293" s="2">
        <v>71004</v>
      </c>
      <c r="B293" s="1" t="s">
        <v>417</v>
      </c>
      <c r="C293" s="2">
        <v>29.333333333333332</v>
      </c>
      <c r="D293" s="2">
        <v>43.333333333333336</v>
      </c>
    </row>
    <row r="294" spans="1:4" x14ac:dyDescent="0.3">
      <c r="A294" s="2">
        <v>71005</v>
      </c>
      <c r="B294" s="1" t="s">
        <v>304</v>
      </c>
      <c r="C294" s="2">
        <v>41.333333333333336</v>
      </c>
      <c r="D294" s="2">
        <v>72.666666666666671</v>
      </c>
    </row>
    <row r="295" spans="1:4" x14ac:dyDescent="0.3">
      <c r="A295" s="2">
        <v>71101</v>
      </c>
      <c r="B295" s="1" t="s">
        <v>356</v>
      </c>
      <c r="C295" s="2">
        <v>45.666666666666664</v>
      </c>
      <c r="D295" s="2">
        <v>150.66666666666666</v>
      </c>
    </row>
    <row r="296" spans="1:4" x14ac:dyDescent="0.3">
      <c r="A296" s="2">
        <v>71102</v>
      </c>
      <c r="B296" s="1" t="s">
        <v>419</v>
      </c>
      <c r="C296" s="2">
        <v>54.666666666666664</v>
      </c>
      <c r="D296" s="2">
        <v>79.333333333333329</v>
      </c>
    </row>
    <row r="297" spans="1:4" x14ac:dyDescent="0.3">
      <c r="A297" s="2">
        <v>71103</v>
      </c>
      <c r="B297" s="1" t="s">
        <v>420</v>
      </c>
      <c r="C297" s="2">
        <v>23.666666666666668</v>
      </c>
      <c r="D297" s="2">
        <v>38.333333333333336</v>
      </c>
    </row>
    <row r="298" spans="1:4" x14ac:dyDescent="0.3">
      <c r="A298" s="2">
        <v>71104</v>
      </c>
      <c r="B298" s="1" t="s">
        <v>421</v>
      </c>
      <c r="C298" s="2">
        <v>146</v>
      </c>
      <c r="D298" s="2">
        <v>290</v>
      </c>
    </row>
    <row r="299" spans="1:4" x14ac:dyDescent="0.3">
      <c r="A299" s="2">
        <v>71105</v>
      </c>
      <c r="B299" s="1" t="s">
        <v>422</v>
      </c>
      <c r="C299" s="2">
        <v>11.666666666666666</v>
      </c>
      <c r="D299" s="2">
        <v>38.666666666666664</v>
      </c>
    </row>
    <row r="300" spans="1:4" x14ac:dyDescent="0.3">
      <c r="A300" s="2">
        <v>71106</v>
      </c>
      <c r="B300" s="1" t="s">
        <v>423</v>
      </c>
      <c r="C300" s="2">
        <v>54.666666666666664</v>
      </c>
      <c r="D300" s="2">
        <v>113.33333333333333</v>
      </c>
    </row>
    <row r="301" spans="1:4" x14ac:dyDescent="0.3">
      <c r="A301" s="2">
        <v>71201</v>
      </c>
      <c r="B301" s="1" t="s">
        <v>425</v>
      </c>
      <c r="C301" s="2">
        <v>47</v>
      </c>
      <c r="D301" s="2">
        <v>125</v>
      </c>
    </row>
    <row r="302" spans="1:4" x14ac:dyDescent="0.3">
      <c r="A302" s="2">
        <v>71301</v>
      </c>
      <c r="B302" s="1" t="s">
        <v>427</v>
      </c>
      <c r="C302" s="2">
        <v>55</v>
      </c>
      <c r="D302" s="2">
        <v>112.33333333333333</v>
      </c>
    </row>
    <row r="303" spans="1:4" x14ac:dyDescent="0.3">
      <c r="A303" s="2">
        <v>71302</v>
      </c>
      <c r="B303" s="1" t="s">
        <v>428</v>
      </c>
      <c r="C303" s="2">
        <v>14</v>
      </c>
      <c r="D303" s="2">
        <v>35.333333333333336</v>
      </c>
    </row>
    <row r="304" spans="1:4" x14ac:dyDescent="0.3">
      <c r="A304" s="2">
        <v>71401</v>
      </c>
      <c r="B304" s="1" t="s">
        <v>430</v>
      </c>
      <c r="C304" s="2">
        <v>28.333333333333332</v>
      </c>
      <c r="D304" s="2">
        <v>61.333333333333336</v>
      </c>
    </row>
    <row r="305" spans="1:4" x14ac:dyDescent="0.3">
      <c r="A305" s="2">
        <v>71402</v>
      </c>
      <c r="B305" s="1" t="s">
        <v>431</v>
      </c>
      <c r="C305" s="2">
        <v>32.333333333333336</v>
      </c>
      <c r="D305" s="2">
        <v>75.333333333333329</v>
      </c>
    </row>
    <row r="306" spans="1:4" x14ac:dyDescent="0.3">
      <c r="A306" s="2">
        <v>71403</v>
      </c>
      <c r="B306" s="1" t="s">
        <v>432</v>
      </c>
      <c r="C306" s="2">
        <v>8.6666666666666661</v>
      </c>
      <c r="D306" s="2">
        <v>38</v>
      </c>
    </row>
    <row r="307" spans="1:4" x14ac:dyDescent="0.3">
      <c r="A307" s="2">
        <v>71501</v>
      </c>
      <c r="B307" s="1" t="s">
        <v>434</v>
      </c>
      <c r="C307" s="2">
        <v>51</v>
      </c>
      <c r="D307" s="2">
        <v>146</v>
      </c>
    </row>
    <row r="308" spans="1:4" x14ac:dyDescent="0.3">
      <c r="A308" s="2">
        <v>71502</v>
      </c>
      <c r="B308" s="1" t="s">
        <v>435</v>
      </c>
      <c r="C308" s="2">
        <v>15.333333333333334</v>
      </c>
      <c r="D308" s="2">
        <v>33</v>
      </c>
    </row>
    <row r="309" spans="1:4" x14ac:dyDescent="0.3">
      <c r="A309" s="2">
        <v>71503</v>
      </c>
      <c r="B309" s="1" t="s">
        <v>361</v>
      </c>
      <c r="C309" s="2">
        <v>35</v>
      </c>
      <c r="D309" s="2">
        <v>68.666666666666671</v>
      </c>
    </row>
    <row r="310" spans="1:4" x14ac:dyDescent="0.3">
      <c r="A310" s="2">
        <v>80101</v>
      </c>
      <c r="B310" s="1" t="s">
        <v>438</v>
      </c>
      <c r="C310" s="2">
        <v>197.33333333333334</v>
      </c>
      <c r="D310" s="2">
        <v>344.66666666666669</v>
      </c>
    </row>
    <row r="311" spans="1:4" x14ac:dyDescent="0.3">
      <c r="A311" s="2">
        <v>80102</v>
      </c>
      <c r="B311" s="1" t="s">
        <v>419</v>
      </c>
      <c r="C311" s="2">
        <v>3.3333333333333335</v>
      </c>
      <c r="D311" s="2">
        <v>19</v>
      </c>
    </row>
    <row r="312" spans="1:4" x14ac:dyDescent="0.3">
      <c r="A312" s="2">
        <v>80201</v>
      </c>
      <c r="B312" s="1" t="s">
        <v>440</v>
      </c>
      <c r="C312" s="2">
        <v>54</v>
      </c>
      <c r="D312" s="2">
        <v>176.33333333333334</v>
      </c>
    </row>
    <row r="313" spans="1:4" x14ac:dyDescent="0.3">
      <c r="A313" s="2">
        <v>80202</v>
      </c>
      <c r="B313" s="1" t="s">
        <v>441</v>
      </c>
      <c r="C313" s="2">
        <v>66.333333333333329</v>
      </c>
      <c r="D313" s="2">
        <v>276.66666666666669</v>
      </c>
    </row>
    <row r="314" spans="1:4" x14ac:dyDescent="0.3">
      <c r="A314" s="2">
        <v>80301</v>
      </c>
      <c r="B314" s="1" t="s">
        <v>443</v>
      </c>
      <c r="C314" s="2">
        <v>7.666666666666667</v>
      </c>
      <c r="D314" s="2">
        <v>72.333333333333329</v>
      </c>
    </row>
    <row r="315" spans="1:4" x14ac:dyDescent="0.3">
      <c r="A315" s="2">
        <v>80302</v>
      </c>
      <c r="B315" s="1" t="s">
        <v>444</v>
      </c>
      <c r="C315" s="2">
        <v>63</v>
      </c>
      <c r="D315" s="2">
        <v>190</v>
      </c>
    </row>
    <row r="316" spans="1:4" x14ac:dyDescent="0.3">
      <c r="A316" s="2">
        <v>80303</v>
      </c>
      <c r="B316" s="1" t="s">
        <v>392</v>
      </c>
      <c r="C316" s="2">
        <v>12</v>
      </c>
      <c r="D316" s="2">
        <v>55.333333333333336</v>
      </c>
    </row>
    <row r="317" spans="1:4" x14ac:dyDescent="0.3">
      <c r="A317" s="2">
        <v>80304</v>
      </c>
      <c r="B317" s="1" t="s">
        <v>445</v>
      </c>
      <c r="C317" s="2">
        <v>24.333333333333332</v>
      </c>
      <c r="D317" s="2">
        <v>103</v>
      </c>
    </row>
    <row r="318" spans="1:4" x14ac:dyDescent="0.3">
      <c r="A318" s="2">
        <v>80401</v>
      </c>
      <c r="B318" s="1" t="s">
        <v>448</v>
      </c>
      <c r="C318" s="2">
        <v>32.333333333333336</v>
      </c>
      <c r="D318" s="2">
        <v>80.666666666666671</v>
      </c>
    </row>
    <row r="319" spans="1:4" x14ac:dyDescent="0.3">
      <c r="A319" s="2">
        <v>80402</v>
      </c>
      <c r="B319" s="1" t="s">
        <v>450</v>
      </c>
      <c r="C319" s="2">
        <v>3.6666666666666665</v>
      </c>
      <c r="D319" s="2">
        <v>22.666666666666668</v>
      </c>
    </row>
    <row r="320" spans="1:4" x14ac:dyDescent="0.3">
      <c r="A320" s="2">
        <v>80501</v>
      </c>
      <c r="B320" s="1" t="s">
        <v>375</v>
      </c>
      <c r="C320" s="2">
        <v>41</v>
      </c>
      <c r="D320" s="2">
        <v>142.33333333333334</v>
      </c>
    </row>
    <row r="321" spans="1:4" x14ac:dyDescent="0.3">
      <c r="A321" s="2">
        <v>80601</v>
      </c>
      <c r="B321" s="1" t="s">
        <v>453</v>
      </c>
      <c r="C321" s="2">
        <v>1.6666666666666667</v>
      </c>
      <c r="D321" s="2">
        <v>21</v>
      </c>
    </row>
    <row r="322" spans="1:4" x14ac:dyDescent="0.3">
      <c r="A322" s="2">
        <v>80602</v>
      </c>
      <c r="B322" s="1" t="s">
        <v>454</v>
      </c>
      <c r="C322" s="2">
        <v>11.666666666666666</v>
      </c>
      <c r="D322" s="2">
        <v>84.666666666666671</v>
      </c>
    </row>
    <row r="323" spans="1:4" x14ac:dyDescent="0.3">
      <c r="A323" s="2">
        <v>80701</v>
      </c>
      <c r="B323" s="1" t="s">
        <v>456</v>
      </c>
      <c r="C323" s="2">
        <v>6.666666666666667</v>
      </c>
      <c r="D323" s="2">
        <v>23.333333333333332</v>
      </c>
    </row>
    <row r="324" spans="1:4" x14ac:dyDescent="0.3">
      <c r="A324" s="2">
        <v>80702</v>
      </c>
      <c r="B324" s="1" t="s">
        <v>420</v>
      </c>
      <c r="C324" s="2">
        <v>5.666666666666667</v>
      </c>
      <c r="D324" s="2">
        <v>27</v>
      </c>
    </row>
    <row r="325" spans="1:4" x14ac:dyDescent="0.3">
      <c r="A325" s="2">
        <v>80703</v>
      </c>
      <c r="B325" s="1" t="s">
        <v>457</v>
      </c>
      <c r="C325" s="2">
        <v>0.33333333333333331</v>
      </c>
      <c r="D325" s="2">
        <v>3.6666666666666665</v>
      </c>
    </row>
    <row r="326" spans="1:4" x14ac:dyDescent="0.3">
      <c r="A326" s="2">
        <v>80801</v>
      </c>
      <c r="B326" s="1" t="s">
        <v>459</v>
      </c>
      <c r="C326" s="2">
        <v>23</v>
      </c>
      <c r="D326" s="2">
        <v>84</v>
      </c>
    </row>
    <row r="327" spans="1:4" x14ac:dyDescent="0.3">
      <c r="A327" s="2">
        <v>80802</v>
      </c>
      <c r="B327" s="1" t="s">
        <v>460</v>
      </c>
      <c r="C327" s="2">
        <v>7.333333333333333</v>
      </c>
      <c r="D327" s="2">
        <v>46.666666666666664</v>
      </c>
    </row>
    <row r="328" spans="1:4" x14ac:dyDescent="0.3">
      <c r="A328" s="2">
        <v>80803</v>
      </c>
      <c r="B328" s="1" t="s">
        <v>461</v>
      </c>
      <c r="C328" s="2">
        <v>4</v>
      </c>
      <c r="D328" s="2">
        <v>21.333333333333332</v>
      </c>
    </row>
    <row r="329" spans="1:4" x14ac:dyDescent="0.3">
      <c r="A329" s="2">
        <v>80901</v>
      </c>
      <c r="B329" s="1" t="s">
        <v>462</v>
      </c>
      <c r="C329" s="2">
        <v>36.666666666666664</v>
      </c>
      <c r="D329" s="2">
        <v>111.5</v>
      </c>
    </row>
    <row r="330" spans="1:4" x14ac:dyDescent="0.3">
      <c r="A330" s="2">
        <v>90101</v>
      </c>
      <c r="B330" s="1" t="s">
        <v>465</v>
      </c>
      <c r="C330" s="2">
        <v>79.666666666666671</v>
      </c>
      <c r="D330" s="2">
        <v>231.33333333333334</v>
      </c>
    </row>
    <row r="331" spans="1:4" x14ac:dyDescent="0.3">
      <c r="A331" s="2">
        <v>90102</v>
      </c>
      <c r="B331" s="1" t="s">
        <v>466</v>
      </c>
      <c r="C331" s="2">
        <v>18.666666666666668</v>
      </c>
      <c r="D331" s="2">
        <v>28</v>
      </c>
    </row>
    <row r="332" spans="1:4" x14ac:dyDescent="0.3">
      <c r="A332" s="2">
        <v>90103</v>
      </c>
      <c r="B332" s="1" t="s">
        <v>467</v>
      </c>
      <c r="C332" s="2">
        <v>5.666666666666667</v>
      </c>
      <c r="D332" s="2">
        <v>26.333333333333332</v>
      </c>
    </row>
    <row r="333" spans="1:4" x14ac:dyDescent="0.3">
      <c r="A333" s="2">
        <v>90104</v>
      </c>
      <c r="B333" s="1" t="s">
        <v>468</v>
      </c>
      <c r="C333" s="2">
        <v>6.333333333333333</v>
      </c>
      <c r="D333" s="2">
        <v>45.666666666666664</v>
      </c>
    </row>
    <row r="334" spans="1:4" x14ac:dyDescent="0.3">
      <c r="A334" s="2">
        <v>90201</v>
      </c>
      <c r="B334" s="1" t="s">
        <v>470</v>
      </c>
      <c r="C334" s="2">
        <v>5.666666666666667</v>
      </c>
      <c r="D334" s="2">
        <v>76.666666666666671</v>
      </c>
    </row>
    <row r="335" spans="1:4" x14ac:dyDescent="0.3">
      <c r="A335" s="2">
        <v>90202</v>
      </c>
      <c r="B335" s="1" t="s">
        <v>304</v>
      </c>
      <c r="C335" s="2">
        <v>2</v>
      </c>
      <c r="D335" s="2">
        <v>12</v>
      </c>
    </row>
    <row r="336" spans="1:4" x14ac:dyDescent="0.3">
      <c r="A336" s="2">
        <v>90203</v>
      </c>
      <c r="B336" s="1" t="s">
        <v>471</v>
      </c>
      <c r="C336" s="2">
        <v>17</v>
      </c>
      <c r="D336" s="2">
        <v>67</v>
      </c>
    </row>
    <row r="337" spans="1:4" x14ac:dyDescent="0.3">
      <c r="A337" s="2">
        <v>90301</v>
      </c>
      <c r="B337" s="1" t="s">
        <v>473</v>
      </c>
      <c r="C337" s="2">
        <v>3</v>
      </c>
      <c r="D337" s="2">
        <v>43</v>
      </c>
    </row>
    <row r="338" spans="1:4" x14ac:dyDescent="0.3">
      <c r="A338" s="2">
        <v>90302</v>
      </c>
      <c r="B338" s="1" t="s">
        <v>359</v>
      </c>
      <c r="C338" s="2">
        <v>4.666666666666667</v>
      </c>
      <c r="D338" s="2">
        <v>50.666666666666664</v>
      </c>
    </row>
    <row r="339" spans="1:4" x14ac:dyDescent="0.3">
      <c r="A339" s="2">
        <v>90303</v>
      </c>
      <c r="B339" s="1" t="s">
        <v>474</v>
      </c>
      <c r="C339" s="2">
        <v>3</v>
      </c>
      <c r="D339" s="2">
        <v>56.666666666666664</v>
      </c>
    </row>
    <row r="340" spans="1:4" x14ac:dyDescent="0.3">
      <c r="A340" s="2">
        <v>90401</v>
      </c>
      <c r="B340" s="1" t="s">
        <v>392</v>
      </c>
      <c r="C340" s="2">
        <v>3.6666666666666665</v>
      </c>
      <c r="D340" s="2">
        <v>29.666666666666668</v>
      </c>
    </row>
    <row r="341" spans="1:4" x14ac:dyDescent="0.3">
      <c r="A341" s="2">
        <v>90402</v>
      </c>
      <c r="B341" s="1" t="s">
        <v>98</v>
      </c>
      <c r="C341" s="2">
        <v>0.66666666666666663</v>
      </c>
      <c r="D341" s="2">
        <v>13.333333333333334</v>
      </c>
    </row>
    <row r="342" spans="1:4" x14ac:dyDescent="0.3">
      <c r="A342" s="2">
        <v>90501</v>
      </c>
      <c r="B342" s="1" t="s">
        <v>477</v>
      </c>
      <c r="C342" s="2">
        <v>1</v>
      </c>
      <c r="D342" s="2">
        <v>41</v>
      </c>
    </row>
    <row r="343" spans="1:4" x14ac:dyDescent="0.3">
      <c r="A343" s="2">
        <v>90502</v>
      </c>
      <c r="B343" s="1" t="s">
        <v>478</v>
      </c>
      <c r="C343" s="2">
        <v>1.6666666666666667</v>
      </c>
      <c r="D343" s="2">
        <v>14.666666666666666</v>
      </c>
    </row>
    <row r="344" spans="1:4" x14ac:dyDescent="0.3">
      <c r="A344" s="2">
        <v>90503</v>
      </c>
      <c r="B344" s="1" t="s">
        <v>480</v>
      </c>
      <c r="C344" s="2">
        <v>0.66666666666666663</v>
      </c>
      <c r="D344" s="2">
        <v>16.666666666666668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H10" sqref="H10"/>
    </sheetView>
  </sheetViews>
  <sheetFormatPr baseColWidth="10" defaultRowHeight="14.4" x14ac:dyDescent="0.3"/>
  <sheetData>
    <row r="1" spans="1:4" x14ac:dyDescent="0.3">
      <c r="A1" s="10" t="s">
        <v>482</v>
      </c>
      <c r="B1" s="10" t="s">
        <v>483</v>
      </c>
      <c r="C1" s="3" t="s">
        <v>520</v>
      </c>
      <c r="D1" s="3" t="s">
        <v>521</v>
      </c>
    </row>
    <row r="2" spans="1:4" x14ac:dyDescent="0.3">
      <c r="A2" s="1">
        <v>1</v>
      </c>
      <c r="B2" s="10" t="s">
        <v>4</v>
      </c>
      <c r="C2" s="11">
        <v>78.982646400440515</v>
      </c>
      <c r="D2" s="20">
        <v>80.284816203487424</v>
      </c>
    </row>
    <row r="3" spans="1:4" x14ac:dyDescent="0.3">
      <c r="A3" s="1">
        <v>2</v>
      </c>
      <c r="B3" s="10" t="s">
        <v>50</v>
      </c>
      <c r="C3" s="11">
        <v>74.760286741205917</v>
      </c>
      <c r="D3" s="20">
        <v>79.089063943611876</v>
      </c>
    </row>
    <row r="4" spans="1:4" x14ac:dyDescent="0.3">
      <c r="A4" s="1">
        <v>3</v>
      </c>
      <c r="B4" s="10" t="s">
        <v>167</v>
      </c>
      <c r="C4" s="11">
        <v>74.740943326033786</v>
      </c>
      <c r="D4" s="20">
        <v>80.030732497276304</v>
      </c>
    </row>
    <row r="5" spans="1:4" x14ac:dyDescent="0.3">
      <c r="A5" s="1">
        <v>4</v>
      </c>
      <c r="B5" s="10" t="s">
        <v>230</v>
      </c>
      <c r="C5" s="11">
        <v>70.925394228835231</v>
      </c>
      <c r="D5" s="20">
        <v>76.822573650290963</v>
      </c>
    </row>
    <row r="6" spans="1:4" x14ac:dyDescent="0.3">
      <c r="A6" s="1">
        <v>5</v>
      </c>
      <c r="B6" s="10" t="s">
        <v>281</v>
      </c>
      <c r="C6" s="11">
        <v>62.351014966883156</v>
      </c>
      <c r="D6" s="20">
        <v>71.869326874818086</v>
      </c>
    </row>
    <row r="7" spans="1:4" x14ac:dyDescent="0.3">
      <c r="A7" s="1">
        <v>6</v>
      </c>
      <c r="B7" s="10" t="s">
        <v>346</v>
      </c>
      <c r="C7" s="11">
        <v>64.941730052912149</v>
      </c>
      <c r="D7" s="20">
        <v>76.067316891286936</v>
      </c>
    </row>
    <row r="8" spans="1:4" x14ac:dyDescent="0.3">
      <c r="A8" s="1">
        <v>7</v>
      </c>
      <c r="B8" s="10" t="s">
        <v>363</v>
      </c>
      <c r="C8" s="11">
        <v>64.033855951251539</v>
      </c>
      <c r="D8" s="20">
        <v>76.39505623734351</v>
      </c>
    </row>
    <row r="9" spans="1:4" x14ac:dyDescent="0.3">
      <c r="A9" s="1">
        <v>8</v>
      </c>
      <c r="B9" s="10" t="s">
        <v>437</v>
      </c>
      <c r="C9" s="11">
        <v>34.439457599694755</v>
      </c>
      <c r="D9" s="20">
        <v>67.470717737093409</v>
      </c>
    </row>
    <row r="10" spans="1:4" x14ac:dyDescent="0.3">
      <c r="A10" s="1">
        <v>9</v>
      </c>
      <c r="B10" s="10" t="s">
        <v>463</v>
      </c>
      <c r="C10" s="11">
        <v>44.271380046591922</v>
      </c>
      <c r="D10" s="20">
        <v>80.737665000328718</v>
      </c>
    </row>
    <row r="11" spans="1:4" x14ac:dyDescent="0.3">
      <c r="A11" s="1">
        <v>10</v>
      </c>
      <c r="B11" s="10" t="s">
        <v>350</v>
      </c>
      <c r="C11" s="11">
        <v>66.722544089812871</v>
      </c>
      <c r="D11" s="11">
        <v>79.32326359570942</v>
      </c>
    </row>
    <row r="12" spans="1:4" x14ac:dyDescent="0.3">
      <c r="A12" s="1">
        <v>11</v>
      </c>
      <c r="B12" s="10" t="s">
        <v>495</v>
      </c>
      <c r="C12" s="11">
        <v>68.976233897287656</v>
      </c>
      <c r="D12" s="11">
        <v>77.311830437264774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L23" sqref="L23"/>
    </sheetView>
  </sheetViews>
  <sheetFormatPr baseColWidth="10" defaultRowHeight="14.4" x14ac:dyDescent="0.3"/>
  <sheetData>
    <row r="1" spans="1:4" x14ac:dyDescent="0.3">
      <c r="A1" s="10" t="s">
        <v>482</v>
      </c>
      <c r="B1" s="10" t="s">
        <v>483</v>
      </c>
      <c r="C1" s="3" t="s">
        <v>522</v>
      </c>
      <c r="D1" s="3" t="s">
        <v>523</v>
      </c>
    </row>
    <row r="2" spans="1:4" x14ac:dyDescent="0.3">
      <c r="A2" s="1">
        <v>1</v>
      </c>
      <c r="B2" s="10" t="s">
        <v>4</v>
      </c>
      <c r="C2" s="2">
        <v>2136.6666666666665</v>
      </c>
      <c r="D2" s="2">
        <v>3154.6666666666665</v>
      </c>
    </row>
    <row r="3" spans="1:4" x14ac:dyDescent="0.3">
      <c r="A3" s="1">
        <v>2</v>
      </c>
      <c r="B3" s="10" t="s">
        <v>50</v>
      </c>
      <c r="C3" s="2">
        <v>9811.6666666666661</v>
      </c>
      <c r="D3" s="2">
        <v>14376.333333333334</v>
      </c>
    </row>
    <row r="4" spans="1:4" x14ac:dyDescent="0.3">
      <c r="A4" s="1">
        <v>3</v>
      </c>
      <c r="B4" s="10" t="s">
        <v>167</v>
      </c>
      <c r="C4" s="2">
        <v>5689.666666666667</v>
      </c>
      <c r="D4" s="2">
        <v>9234.3333333333339</v>
      </c>
    </row>
    <row r="5" spans="1:4" x14ac:dyDescent="0.3">
      <c r="A5" s="1">
        <v>4</v>
      </c>
      <c r="B5" s="10" t="s">
        <v>230</v>
      </c>
      <c r="C5" s="2">
        <v>1890.6666666666667</v>
      </c>
      <c r="D5" s="2">
        <v>2888.6666666666665</v>
      </c>
    </row>
    <row r="6" spans="1:4" x14ac:dyDescent="0.3">
      <c r="A6" s="1">
        <v>5</v>
      </c>
      <c r="B6" s="10" t="s">
        <v>281</v>
      </c>
      <c r="C6" s="2">
        <v>2729.6666666666665</v>
      </c>
      <c r="D6" s="2">
        <v>4425.666666666667</v>
      </c>
    </row>
    <row r="7" spans="1:4" x14ac:dyDescent="0.3">
      <c r="A7" s="1">
        <v>6</v>
      </c>
      <c r="B7" s="10" t="s">
        <v>346</v>
      </c>
      <c r="C7" s="2">
        <v>1496</v>
      </c>
      <c r="D7" s="2">
        <v>2276.6666666666665</v>
      </c>
    </row>
    <row r="8" spans="1:4" x14ac:dyDescent="0.3">
      <c r="A8" s="1">
        <v>7</v>
      </c>
      <c r="B8" s="10" t="s">
        <v>363</v>
      </c>
      <c r="C8" s="2">
        <v>5796</v>
      </c>
      <c r="D8" s="2">
        <v>10102.333333333334</v>
      </c>
    </row>
    <row r="9" spans="1:4" x14ac:dyDescent="0.3">
      <c r="A9" s="1">
        <v>8</v>
      </c>
      <c r="B9" s="10" t="s">
        <v>437</v>
      </c>
      <c r="C9" s="2">
        <v>602</v>
      </c>
      <c r="D9" s="2">
        <v>1906.1666666666667</v>
      </c>
    </row>
    <row r="10" spans="1:4" x14ac:dyDescent="0.3">
      <c r="A10" s="1">
        <v>9</v>
      </c>
      <c r="B10" s="10" t="s">
        <v>463</v>
      </c>
      <c r="C10" s="2">
        <v>153.33333333333334</v>
      </c>
      <c r="D10" s="2">
        <v>752.66666666666663</v>
      </c>
    </row>
    <row r="11" spans="1:4" x14ac:dyDescent="0.3">
      <c r="A11" s="1">
        <v>10</v>
      </c>
      <c r="B11" s="10" t="s">
        <v>350</v>
      </c>
      <c r="C11" s="2">
        <v>461</v>
      </c>
      <c r="D11" s="2">
        <v>782.33333333333337</v>
      </c>
    </row>
    <row r="12" spans="1:4" x14ac:dyDescent="0.3">
      <c r="A12" s="1">
        <v>11</v>
      </c>
      <c r="B12" s="10" t="s">
        <v>495</v>
      </c>
      <c r="C12" s="2">
        <v>30305.666666666668</v>
      </c>
      <c r="D12" s="2">
        <v>49117.5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tabSelected="1" workbookViewId="0">
      <selection activeCell="E9" sqref="E9"/>
    </sheetView>
  </sheetViews>
  <sheetFormatPr baseColWidth="10" defaultRowHeight="14.4" x14ac:dyDescent="0.3"/>
  <sheetData>
    <row r="1" spans="1:10" ht="36" x14ac:dyDescent="0.3">
      <c r="A1" s="5" t="s">
        <v>484</v>
      </c>
      <c r="B1" s="5" t="s">
        <v>485</v>
      </c>
      <c r="C1" s="6" t="s">
        <v>486</v>
      </c>
      <c r="D1" s="6" t="s">
        <v>487</v>
      </c>
      <c r="E1" s="7" t="s">
        <v>488</v>
      </c>
      <c r="F1" s="7" t="s">
        <v>489</v>
      </c>
      <c r="G1" s="8" t="s">
        <v>490</v>
      </c>
      <c r="H1" s="8" t="s">
        <v>491</v>
      </c>
      <c r="I1" s="9" t="s">
        <v>492</v>
      </c>
      <c r="J1" s="9" t="s">
        <v>493</v>
      </c>
    </row>
    <row r="2" spans="1:10" x14ac:dyDescent="0.3">
      <c r="A2" s="1">
        <v>4</v>
      </c>
      <c r="B2" s="1" t="s">
        <v>524</v>
      </c>
      <c r="C2" s="1">
        <v>100</v>
      </c>
      <c r="D2" s="1">
        <v>96.9</v>
      </c>
      <c r="E2" s="1">
        <v>96.9</v>
      </c>
      <c r="F2" s="1">
        <v>69.599999999999994</v>
      </c>
      <c r="G2" s="1">
        <v>69.599999999999994</v>
      </c>
      <c r="H2" s="1">
        <v>42.3</v>
      </c>
      <c r="I2" s="1">
        <v>42.3</v>
      </c>
      <c r="J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2026-05-08T13:13:24Z</dcterms:modified>
</cp:coreProperties>
</file>