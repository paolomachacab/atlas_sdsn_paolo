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SN\Atlas ODS 2025\Indicadores\Capacidad de ejecución del presupuesto programado\"/>
    </mc:Choice>
  </mc:AlternateContent>
  <xr:revisionPtr revIDLastSave="0" documentId="13_ncr:1_{165A0365-952E-4FFD-A6ED-1F4CE59CD4A3}" xr6:coauthVersionLast="47" xr6:coauthVersionMax="47" xr10:uidLastSave="{00000000-0000-0000-0000-000000000000}"/>
  <bookViews>
    <workbookView xWindow="-108" yWindow="-108" windowWidth="23256" windowHeight="13896" firstSheet="1" activeTab="7" xr2:uid="{8D5B8AFD-DFC8-4F6F-BDF6-EFBC3E15BECF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Gráficos" sheetId="7" r:id="rId7"/>
    <sheet name="Map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2" i="4"/>
  <c r="C12" i="4"/>
  <c r="C11" i="4"/>
  <c r="D11" i="5"/>
  <c r="D12" i="5"/>
  <c r="C12" i="5"/>
  <c r="C11" i="5"/>
</calcChain>
</file>

<file path=xl/sharedStrings.xml><?xml version="1.0" encoding="utf-8"?>
<sst xmlns="http://schemas.openxmlformats.org/spreadsheetml/2006/main" count="1781" uniqueCount="499">
  <si>
    <t>SUCRE</t>
  </si>
  <si>
    <t>Chuquisaca</t>
  </si>
  <si>
    <t>YOTALA</t>
  </si>
  <si>
    <t>POROMA</t>
  </si>
  <si>
    <t>AZURDUY</t>
  </si>
  <si>
    <t>TARVITA</t>
  </si>
  <si>
    <t>ZUDAÑEZ</t>
  </si>
  <si>
    <t>PRESTO</t>
  </si>
  <si>
    <t>MOJOCOYA</t>
  </si>
  <si>
    <t>ICLA</t>
  </si>
  <si>
    <t>PADILLA</t>
  </si>
  <si>
    <t>TOMINA</t>
  </si>
  <si>
    <t>SOPACHUY</t>
  </si>
  <si>
    <t>VILLA ALCALA</t>
  </si>
  <si>
    <t>EL VILLAR</t>
  </si>
  <si>
    <t>MONTEAGUDO</t>
  </si>
  <si>
    <t>HUACARETA</t>
  </si>
  <si>
    <t>TARABUCO</t>
  </si>
  <si>
    <t>YAMPARAEZ</t>
  </si>
  <si>
    <t>CAMARGO</t>
  </si>
  <si>
    <t>SAN LUCAS</t>
  </si>
  <si>
    <t>INCAHUASI</t>
  </si>
  <si>
    <t>VILLA SERRANO</t>
  </si>
  <si>
    <t>CAMATAQUI</t>
  </si>
  <si>
    <t>CULPINA</t>
  </si>
  <si>
    <t>LAS CARRERAS</t>
  </si>
  <si>
    <t>VILLA VACA GUZMÁN</t>
  </si>
  <si>
    <t>HUACAYA</t>
  </si>
  <si>
    <t>MACHARETI</t>
  </si>
  <si>
    <t>VILLA CHARCAS</t>
  </si>
  <si>
    <t>LA PAZ</t>
  </si>
  <si>
    <t>La Paz</t>
  </si>
  <si>
    <t>PALCA</t>
  </si>
  <si>
    <t>MECAPACA</t>
  </si>
  <si>
    <t>ACHOCALLA</t>
  </si>
  <si>
    <t>EL ALTO</t>
  </si>
  <si>
    <t>VIACHA</t>
  </si>
  <si>
    <t>GUAQUI</t>
  </si>
  <si>
    <t>TIAHUANACU</t>
  </si>
  <si>
    <t>DESAGUADERO</t>
  </si>
  <si>
    <t>CARANAVI</t>
  </si>
  <si>
    <t>SICA SICA</t>
  </si>
  <si>
    <t>UMALA</t>
  </si>
  <si>
    <t>AYO AYO</t>
  </si>
  <si>
    <t>CALAMARCA</t>
  </si>
  <si>
    <t>PATACAMAYA</t>
  </si>
  <si>
    <t>COLQUENCHA</t>
  </si>
  <si>
    <t>COLLANA</t>
  </si>
  <si>
    <t>INQUISIVI</t>
  </si>
  <si>
    <t>QUIME</t>
  </si>
  <si>
    <t>CAJUATA</t>
  </si>
  <si>
    <t>COLQUIRI</t>
  </si>
  <si>
    <t>ICHOCA</t>
  </si>
  <si>
    <t>LICOMA PAMPA</t>
  </si>
  <si>
    <t>ACHACACHI</t>
  </si>
  <si>
    <t>ANCORAIMES</t>
  </si>
  <si>
    <t>SORATA</t>
  </si>
  <si>
    <t>GUANAY</t>
  </si>
  <si>
    <t>TACACOMA</t>
  </si>
  <si>
    <t>TIPUANI</t>
  </si>
  <si>
    <t>QUIABAYA</t>
  </si>
  <si>
    <t>COMBAYA</t>
  </si>
  <si>
    <t>COPACABANA</t>
  </si>
  <si>
    <t>TIQUINA</t>
  </si>
  <si>
    <t>TITO YUPANQUI</t>
  </si>
  <si>
    <t>CHUMA</t>
  </si>
  <si>
    <t>AYATA</t>
  </si>
  <si>
    <t>AUCAPATA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</si>
  <si>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</si>
  <si>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</si>
  <si>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</si>
  <si>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</si>
  <si>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</si>
  <si>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</si>
  <si>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</si>
  <si>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</si>
  <si>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</si>
  <si>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</si>
  <si>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CARABUCO</t>
  </si>
  <si>
    <t>APOLO</t>
  </si>
  <si>
    <t>PELECHUCO</t>
  </si>
  <si>
    <t>LURIBAY</t>
  </si>
  <si>
    <t>SAPAHAQUI</t>
  </si>
  <si>
    <t>YACO</t>
  </si>
  <si>
    <t>MALLA</t>
  </si>
  <si>
    <t>CAIROMA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</si>
  <si>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</si>
  <si>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</si>
  <si>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</si>
  <si>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</si>
  <si>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</si>
  <si>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</si>
  <si>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</si>
  <si>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</si>
  <si>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PEREZ</t>
  </si>
  <si>
    <t>COROICO</t>
  </si>
  <si>
    <t>CORIPATA</t>
  </si>
  <si>
    <t>IXIAMAS</t>
  </si>
  <si>
    <t>SAN BUENAVENTURA</t>
  </si>
  <si>
    <t>CHARAZANI</t>
  </si>
  <si>
    <t>CURVA</t>
  </si>
  <si>
    <t>SAN PEDRO DE CURAHUARA</t>
  </si>
  <si>
    <t>PAPEL PAMPA</t>
  </si>
  <si>
    <t>CHACARILLA</t>
  </si>
  <si>
    <t>SANTIAGO DE MACHACA</t>
  </si>
  <si>
    <t>CATACORA</t>
  </si>
  <si>
    <t>MAPIRI</t>
  </si>
  <si>
    <t>TEOPONTE</t>
  </si>
  <si>
    <t>SAN ANDRÉS DE MACHACA</t>
  </si>
  <si>
    <t>JESÚS DE MACHACA</t>
  </si>
  <si>
    <t>TARACO</t>
  </si>
  <si>
    <t>HUARINA</t>
  </si>
  <si>
    <t>SANTIAGO DE HUATA</t>
  </si>
  <si>
    <t>ESCOMA</t>
  </si>
  <si>
    <t>HUMANATA</t>
  </si>
  <si>
    <t>ALTO BENI</t>
  </si>
  <si>
    <t>HUATAJATA</t>
  </si>
  <si>
    <t>CHUA COCANI</t>
  </si>
  <si>
    <t>COCHABAMBA</t>
  </si>
  <si>
    <t>Cochabamba</t>
  </si>
  <si>
    <t>QUILLACOLLO</t>
  </si>
  <si>
    <t>SIPE SIPE</t>
  </si>
  <si>
    <t>TIQUIPAYA</t>
  </si>
  <si>
    <t>VINTO</t>
  </si>
  <si>
    <t>COLCAPIRHUA</t>
  </si>
  <si>
    <t>AIQUILE</t>
  </si>
  <si>
    <t>PASORAPA</t>
  </si>
  <si>
    <t>OMEREQUE</t>
  </si>
  <si>
    <t>AYOPAYA (VILLA DE INDEPENDENCIA)</t>
  </si>
  <si>
    <t>MOROCHATA</t>
  </si>
  <si>
    <t>SACABA</t>
  </si>
  <si>
    <t>COLOMI</t>
  </si>
  <si>
    <t>VILLA TUNARI</t>
  </si>
  <si>
    <t>PUNATA</t>
  </si>
  <si>
    <t>VILLA RIVERO</t>
  </si>
  <si>
    <t>SAN BENITO</t>
  </si>
  <si>
    <t>TACACHI</t>
  </si>
  <si>
    <t>CUCHUMUELA</t>
  </si>
  <si>
    <t>TARATA</t>
  </si>
  <si>
    <t>ANZALDO</t>
  </si>
  <si>
    <t>ARBIETO</t>
  </si>
  <si>
    <t>SACABAMBA</t>
  </si>
  <si>
    <t>CLIZA</t>
  </si>
  <si>
    <t>TOCO</t>
  </si>
  <si>
    <t>TOLATA</t>
  </si>
  <si>
    <t>CAPINOTA</t>
  </si>
  <si>
    <t>SANTIVAÑEZ</t>
  </si>
  <si>
    <t>SICAYA</t>
  </si>
  <si>
    <t>TAPACARI</t>
  </si>
  <si>
    <t>TOTORA - CBBA</t>
  </si>
  <si>
    <t>POJO</t>
  </si>
  <si>
    <t>POCONA</t>
  </si>
  <si>
    <t>CHIMORÉ</t>
  </si>
  <si>
    <t>PUERTO VILLARROEL</t>
  </si>
  <si>
    <t>ARANI</t>
  </si>
  <si>
    <t>VACAS</t>
  </si>
  <si>
    <t>ARQUE</t>
  </si>
  <si>
    <t>TACOPAYA</t>
  </si>
  <si>
    <t>BOLIVAR</t>
  </si>
  <si>
    <t>TIRAQUE</t>
  </si>
  <si>
    <t>MIZQUE</t>
  </si>
  <si>
    <t>VILA VILA</t>
  </si>
  <si>
    <t>ALALAY</t>
  </si>
  <si>
    <t>ENTRE RIOS</t>
  </si>
  <si>
    <t>COCAPATA</t>
  </si>
  <si>
    <t>SHINAHOTA</t>
  </si>
  <si>
    <t>ORURO</t>
  </si>
  <si>
    <t>Oruro</t>
  </si>
  <si>
    <t>CARACOLLO</t>
  </si>
  <si>
    <t>EL CHORO</t>
  </si>
  <si>
    <t>CHALLAPATA</t>
  </si>
  <si>
    <t>SANTUARIO DE QUILLACAS</t>
  </si>
  <si>
    <t>HUANUNI</t>
  </si>
  <si>
    <t>MACHACAMARCA</t>
  </si>
  <si>
    <t>POOPÓ</t>
  </si>
  <si>
    <t>PAZÑA</t>
  </si>
  <si>
    <t>ANTEQUERA</t>
  </si>
  <si>
    <t>EUCALIPTUS</t>
  </si>
  <si>
    <t>SANTIAGO DE HUARI</t>
  </si>
  <si>
    <t>TOTORA - OR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</si>
  <si>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</si>
  <si>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</si>
  <si>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</si>
  <si>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</si>
  <si>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</si>
  <si>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</si>
  <si>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</si>
  <si>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</si>
  <si>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</si>
  <si>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TOLEDO</t>
  </si>
  <si>
    <t>ANDAMARCA</t>
  </si>
  <si>
    <t>BELÉN DE ANDAMARCA</t>
  </si>
  <si>
    <t>SALINAS DE G. MENDOZA</t>
  </si>
  <si>
    <t>PAMPA AULLAGAS</t>
  </si>
  <si>
    <t>LA RIVERA</t>
  </si>
  <si>
    <t>TODOS SANTOS</t>
  </si>
  <si>
    <t>CARANGAS</t>
  </si>
  <si>
    <t>SABAYA</t>
  </si>
  <si>
    <t>COIPASA</t>
  </si>
  <si>
    <t>CHIPAYA</t>
  </si>
  <si>
    <t>HUAYLLAMARCA</t>
  </si>
  <si>
    <t>SORACACHI</t>
  </si>
  <si>
    <t>POTOSÍ</t>
  </si>
  <si>
    <t>Potosí</t>
  </si>
  <si>
    <t>TINGUIPAYA</t>
  </si>
  <si>
    <t>YOCALLA</t>
  </si>
  <si>
    <t>URMIRI</t>
  </si>
  <si>
    <t>UNCÍA</t>
  </si>
  <si>
    <t>CHAYANTA</t>
  </si>
  <si>
    <t>LLALLAGUA</t>
  </si>
  <si>
    <t>BETANZOS</t>
  </si>
  <si>
    <t>CHAQUI</t>
  </si>
  <si>
    <t>TACOBAMBA</t>
  </si>
  <si>
    <t>COLQUECHACA</t>
  </si>
  <si>
    <t>RAVELO</t>
  </si>
  <si>
    <t>POCOATA</t>
  </si>
  <si>
    <t>OCURÍ</t>
  </si>
  <si>
    <t>SAN PEDRO DE BUENA VISTA</t>
  </si>
  <si>
    <t>TORO TORO</t>
  </si>
  <si>
    <t>COTAGAITA</t>
  </si>
  <si>
    <t>VITICHI</t>
  </si>
  <si>
    <t>TUPIZA</t>
  </si>
  <si>
    <t>ATOCHA</t>
  </si>
  <si>
    <t>COLCHA"K"</t>
  </si>
  <si>
    <t>SAN PEDRO DE QUEMES</t>
  </si>
  <si>
    <t>SAN PABLO DE LÍPEZ</t>
  </si>
  <si>
    <t>MOJINETE</t>
  </si>
  <si>
    <t>SAN ANTONIO DE ESMORUCO</t>
  </si>
  <si>
    <t>SACACA</t>
  </si>
  <si>
    <t>CARIPUYO</t>
  </si>
  <si>
    <t>PUNA</t>
  </si>
  <si>
    <t>CAIZA "D"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</si>
  <si>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</si>
  <si>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</si>
  <si>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</si>
  <si>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</si>
  <si>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</si>
  <si>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</si>
  <si>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</si>
  <si>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</si>
  <si>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</si>
  <si>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CKOCHAS</t>
  </si>
  <si>
    <t>CHUQUIUTA "AYLLU JUCUMANI"</t>
  </si>
  <si>
    <t>SAN PEDRO DE MACHA</t>
  </si>
  <si>
    <t>TARIJA</t>
  </si>
  <si>
    <t>Tarija</t>
  </si>
  <si>
    <t>PADCAYA</t>
  </si>
  <si>
    <t>BERMEJO</t>
  </si>
  <si>
    <t>YACUIBA</t>
  </si>
  <si>
    <t>CARAPARÍ</t>
  </si>
  <si>
    <t>VILLAMONTES</t>
  </si>
  <si>
    <t>URIONDO</t>
  </si>
  <si>
    <t>YUNCHARA</t>
  </si>
  <si>
    <t>SAN LORENZO - TAR</t>
  </si>
  <si>
    <t>EL PUENTE - TAR</t>
  </si>
  <si>
    <t>ENTRE RÍOS</t>
  </si>
  <si>
    <t>SANTA CRUZ DE LA SIERRA</t>
  </si>
  <si>
    <t>Santa Cruz</t>
  </si>
  <si>
    <t>COTOCA</t>
  </si>
  <si>
    <t>PORONGO</t>
  </si>
  <si>
    <t>LA GUARDIA</t>
  </si>
  <si>
    <t>EL TORNO</t>
  </si>
  <si>
    <t>WARNES</t>
  </si>
  <si>
    <t>SAN IGNACIO - SC</t>
  </si>
  <si>
    <t>SAN MIGUEL</t>
  </si>
  <si>
    <t>SAN RAFAEL</t>
  </si>
  <si>
    <t>BUENA VISTA</t>
  </si>
  <si>
    <t>SAN CARLOS</t>
  </si>
  <si>
    <t>YAPACANÍ</t>
  </si>
  <si>
    <t>SAN JOSÉ</t>
  </si>
  <si>
    <t>PAILÓN</t>
  </si>
  <si>
    <t>ROBORÉ</t>
  </si>
  <si>
    <t>PORTACHUELO</t>
  </si>
  <si>
    <t>SANTA ROSA DEL SARA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</si>
  <si>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</si>
  <si>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</si>
  <si>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</si>
  <si>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</si>
  <si>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</si>
  <si>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</si>
  <si>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</si>
  <si>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</si>
  <si>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</si>
  <si>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</si>
  <si>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 VALLE</t>
  </si>
  <si>
    <t>PUCARA</t>
  </si>
  <si>
    <t>SAMAIPATA</t>
  </si>
  <si>
    <t>PAMPA GRANDE</t>
  </si>
  <si>
    <t>MAIRANA</t>
  </si>
  <si>
    <t>QUIRUSILLAS</t>
  </si>
  <si>
    <t>MONTERO</t>
  </si>
  <si>
    <t>GENERAL AGUSTÍN SAAVEDRA</t>
  </si>
  <si>
    <t>MINEROS</t>
  </si>
  <si>
    <t>CONCEPCIÓN</t>
  </si>
  <si>
    <t>SAN JAVIER - SC</t>
  </si>
  <si>
    <t>SAN JULIÁN</t>
  </si>
  <si>
    <t>SAN MATÍAS</t>
  </si>
  <si>
    <t>COMARAPA</t>
  </si>
  <si>
    <t>SAIPINA</t>
  </si>
  <si>
    <t>PUERTO SUÁREZ</t>
  </si>
  <si>
    <t>PUERTO QUIJARRO</t>
  </si>
  <si>
    <t>ASCENCIÓN DE GUARAYOS</t>
  </si>
  <si>
    <t>URUBICHA</t>
  </si>
  <si>
    <t>EL PUENTE - SC</t>
  </si>
  <si>
    <t>OKINAWA UNO</t>
  </si>
  <si>
    <t>SAN ANTONIO DE LOMERÍO</t>
  </si>
  <si>
    <t>SAN RAMÓN - SC</t>
  </si>
  <si>
    <t>EL CARMEN RIVERO TÓRREZ</t>
  </si>
  <si>
    <t>SAN JUAN</t>
  </si>
  <si>
    <t>FERNÁNDEZ ALONSO</t>
  </si>
  <si>
    <t>SAN PEDRO - SC</t>
  </si>
  <si>
    <t>CUATRO CAÑADAS</t>
  </si>
  <si>
    <t>COLPA BÉLGICA</t>
  </si>
  <si>
    <t>TRINIDAD</t>
  </si>
  <si>
    <t>Beni</t>
  </si>
  <si>
    <t>SAN JAVIER - BEN</t>
  </si>
  <si>
    <t>RIBERALTA</t>
  </si>
  <si>
    <t>GUAYARAMERIN</t>
  </si>
  <si>
    <t>REYES</t>
  </si>
  <si>
    <t>RURRENABAQUE</t>
  </si>
  <si>
    <t>SAN BORJA</t>
  </si>
  <si>
    <t>SANTA ROSA</t>
  </si>
  <si>
    <t>SANTA ANA</t>
  </si>
  <si>
    <t>SAN IGNACIO - BEN</t>
  </si>
  <si>
    <t>LORETO</t>
  </si>
  <si>
    <t>SAN ANDRÉS</t>
  </si>
  <si>
    <t>SAN JOAQUÍN</t>
  </si>
  <si>
    <t>SAN RAMÓN - BEN</t>
  </si>
  <si>
    <t>PUERTO SILES</t>
  </si>
  <si>
    <t>MAGDALENA</t>
  </si>
  <si>
    <t>BAURES</t>
  </si>
  <si>
    <t>HUACARAJE</t>
  </si>
  <si>
    <t>EXALTACIÓN</t>
  </si>
  <si>
    <t>COBIJA</t>
  </si>
  <si>
    <t>Pando</t>
  </si>
  <si>
    <t>PORVENIR</t>
  </si>
  <si>
    <t>BOLPEBRA</t>
  </si>
  <si>
    <t>BELLA FLOR</t>
  </si>
  <si>
    <t>PUERTO RICO</t>
  </si>
  <si>
    <t>SAN PEDRO - PAN</t>
  </si>
  <si>
    <t>FILADELFIA</t>
  </si>
  <si>
    <t>PUERTO GONZALO MORENO</t>
  </si>
  <si>
    <t>SAN LORENZO  - PAN</t>
  </si>
  <si>
    <t>SENA</t>
  </si>
  <si>
    <t>SANTA ROSA DEL ABUNA</t>
  </si>
  <si>
    <t>INGAVI</t>
  </si>
  <si>
    <t>NUEVA ESPERANZA</t>
  </si>
  <si>
    <t>VILLA NUEVA</t>
  </si>
  <si>
    <t>SANTOS MERCADO</t>
  </si>
  <si>
    <t>COD_INE</t>
  </si>
  <si>
    <t>Oropeza</t>
  </si>
  <si>
    <t>Azurduy</t>
  </si>
  <si>
    <t>Zudañez</t>
  </si>
  <si>
    <t>Tomina</t>
  </si>
  <si>
    <t>Hernando Siles</t>
  </si>
  <si>
    <t>Yamparaez</t>
  </si>
  <si>
    <t>Nor Cinti</t>
  </si>
  <si>
    <t>Belisario Boeto</t>
  </si>
  <si>
    <t>Sud Cinti</t>
  </si>
  <si>
    <t>Luis Calvo</t>
  </si>
  <si>
    <t>Murillo</t>
  </si>
  <si>
    <t>Ingavi</t>
  </si>
  <si>
    <t>Caranavi</t>
  </si>
  <si>
    <t>Aroma</t>
  </si>
  <si>
    <t>Inquisivi</t>
  </si>
  <si>
    <t>Omasuyos</t>
  </si>
  <si>
    <t>Larecajas</t>
  </si>
  <si>
    <t>Manco Kapac</t>
  </si>
  <si>
    <t>Muñecas</t>
  </si>
  <si>
    <t>Pacajes</t>
  </si>
  <si>
    <t>Camacho</t>
  </si>
  <si>
    <t>Franz Tamayo</t>
  </si>
  <si>
    <t>Loayza</t>
  </si>
  <si>
    <t>Sur Yungas</t>
  </si>
  <si>
    <t>Los Andes</t>
  </si>
  <si>
    <t>Nor Yungas</t>
  </si>
  <si>
    <t>Abel Iturralde</t>
  </si>
  <si>
    <t>Bautista Saavedra</t>
  </si>
  <si>
    <t>Gualberto Villaroel</t>
  </si>
  <si>
    <t>Gral. J. Manuel Pando</t>
  </si>
  <si>
    <t>Cercado</t>
  </si>
  <si>
    <t>Quillacollo</t>
  </si>
  <si>
    <t>Campero</t>
  </si>
  <si>
    <t>Ayopaya</t>
  </si>
  <si>
    <t>Chapare</t>
  </si>
  <si>
    <t>Punata</t>
  </si>
  <si>
    <t>Esteban Arce</t>
  </si>
  <si>
    <t>Germán Jordán</t>
  </si>
  <si>
    <t>German Jordan</t>
  </si>
  <si>
    <t>Capinota</t>
  </si>
  <si>
    <t>Tapacari</t>
  </si>
  <si>
    <t>Carrasco</t>
  </si>
  <si>
    <t>Arani</t>
  </si>
  <si>
    <t>Arque</t>
  </si>
  <si>
    <t>Bolivar</t>
  </si>
  <si>
    <t>Tiraque</t>
  </si>
  <si>
    <t>Mizque</t>
  </si>
  <si>
    <t>Avaroa</t>
  </si>
  <si>
    <t>Pantaleon Dalence</t>
  </si>
  <si>
    <t>Poopo</t>
  </si>
  <si>
    <t>Tomas Barron</t>
  </si>
  <si>
    <t>Sebastian Pagador</t>
  </si>
  <si>
    <t>San Pedro De Totora</t>
  </si>
  <si>
    <t>Carangas</t>
  </si>
  <si>
    <t>Sajama</t>
  </si>
  <si>
    <t>Litoral</t>
  </si>
  <si>
    <t>Saucari</t>
  </si>
  <si>
    <t>Sud Carangas</t>
  </si>
  <si>
    <t>Ladislao Cabrera</t>
  </si>
  <si>
    <t>Mejillones</t>
  </si>
  <si>
    <t>Sabaya</t>
  </si>
  <si>
    <t>Nor Carangas</t>
  </si>
  <si>
    <t>Tomás Frías</t>
  </si>
  <si>
    <t>Rafael Bustillo</t>
  </si>
  <si>
    <t>Cornelio Saavedra</t>
  </si>
  <si>
    <t>Chayanta</t>
  </si>
  <si>
    <t>Charcas</t>
  </si>
  <si>
    <t>Nor Chichas</t>
  </si>
  <si>
    <t>Sur Chichas</t>
  </si>
  <si>
    <t>Nor Lipez</t>
  </si>
  <si>
    <t>Sur Lipez</t>
  </si>
  <si>
    <t>Alonzo de Ibañez</t>
  </si>
  <si>
    <t>Jose María Linares</t>
  </si>
  <si>
    <t>Antonio Quijarro</t>
  </si>
  <si>
    <t>Gral. B. Bilbao</t>
  </si>
  <si>
    <t>Daniel Campos</t>
  </si>
  <si>
    <t>Modesto Omiste</t>
  </si>
  <si>
    <t>Enrique Baldiviezo</t>
  </si>
  <si>
    <t>Arce</t>
  </si>
  <si>
    <t>Gran Chaco</t>
  </si>
  <si>
    <t>Avílez</t>
  </si>
  <si>
    <t>Mendez</t>
  </si>
  <si>
    <t>Burnet O´Connor</t>
  </si>
  <si>
    <t>Andres Ibañez</t>
  </si>
  <si>
    <t>Andrés Ibañez</t>
  </si>
  <si>
    <t>Warnes</t>
  </si>
  <si>
    <t>Velasco</t>
  </si>
  <si>
    <t>Ichilo</t>
  </si>
  <si>
    <t>Chiquitos</t>
  </si>
  <si>
    <t>Sara</t>
  </si>
  <si>
    <t>Cordillera</t>
  </si>
  <si>
    <t>Vallegrande</t>
  </si>
  <si>
    <t>Florida</t>
  </si>
  <si>
    <t>Obispo Santistevan</t>
  </si>
  <si>
    <t>Ñuflo de Chavez</t>
  </si>
  <si>
    <t>Angel Sandoval</t>
  </si>
  <si>
    <t>Manuel Maria Caballero</t>
  </si>
  <si>
    <t>Germán Busch</t>
  </si>
  <si>
    <t>Guarayos</t>
  </si>
  <si>
    <t>Vaca Diez</t>
  </si>
  <si>
    <t>Gral. Ballivián</t>
  </si>
  <si>
    <t>Gral. Ballivian</t>
  </si>
  <si>
    <t>Yacuma</t>
  </si>
  <si>
    <t>Moxos</t>
  </si>
  <si>
    <t>Marban</t>
  </si>
  <si>
    <t>Mamoré</t>
  </si>
  <si>
    <t>Itenez</t>
  </si>
  <si>
    <t>Nicolas Suarez</t>
  </si>
  <si>
    <t>Manuripi</t>
  </si>
  <si>
    <t>Madre de Dios</t>
  </si>
  <si>
    <t>Abuná</t>
  </si>
  <si>
    <t>Gral. Federico Roman</t>
  </si>
  <si>
    <t>Provincia</t>
  </si>
  <si>
    <t>Departamento</t>
  </si>
  <si>
    <t>Municipio</t>
  </si>
  <si>
    <t>budget_exe_2011</t>
  </si>
  <si>
    <t>budget_exe_2012</t>
  </si>
  <si>
    <t>budget_exe_2013</t>
  </si>
  <si>
    <t>avg_budget_exe_11-13</t>
  </si>
  <si>
    <t>budget_exe_2022</t>
  </si>
  <si>
    <t>budget_exe_2023</t>
  </si>
  <si>
    <t>avg_budget_exe_21-23</t>
  </si>
  <si>
    <t>budget_exe_2021</t>
  </si>
  <si>
    <t>Indicador 2012</t>
  </si>
  <si>
    <t>Indicador 2024</t>
  </si>
  <si>
    <t>TIOC RAQAYPAMPA</t>
  </si>
  <si>
    <t>TIOC JATUN AYLLU YURA</t>
  </si>
  <si>
    <t>TIOC MULTIÉTNICO</t>
  </si>
  <si>
    <t>TIOC Multiétnico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</si>
  <si>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</si>
  <si>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</si>
  <si>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</si>
  <si>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</si>
  <si>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</si>
  <si>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</si>
  <si>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</si>
  <si>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</si>
  <si>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</si>
  <si>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</si>
  <si>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Porcentaje de presupuesto total que ha sido ejecutado</t>
  </si>
  <si>
    <t>Categoría</t>
  </si>
  <si>
    <t>ODS alcanzado</t>
  </si>
  <si>
    <t>Próximo a alcanzarse</t>
  </si>
  <si>
    <t>Quedan retos importantes</t>
  </si>
  <si>
    <t>Quedan retos grandes</t>
  </si>
  <si>
    <t>Promedio Presupuesto programado 2011-2013</t>
  </si>
  <si>
    <t>Promedio Presupuesto programado 2021-2023</t>
  </si>
  <si>
    <t>id_departamento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</si>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</sst>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b/>
      <sz val="11"/>
      <name val="Calibri Light"/>
      <family val="2"/>
    </font>
    <font>
      <b/>
      <sz val="9"/>
      <name val="Calibri Light"/>
      <family val="2"/>
    </font>
    <font>
      <sz val="1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right" vertical="center" wrapText="1"/>
    </xf>
    <xf numFmtId="0" fontId="5" fillId="0" borderId="1" xfId="0" applyFont="1" applyBorder="1"/>
    <xf numFmtId="2" fontId="7" fillId="0" borderId="1" xfId="0" applyNumberFormat="1" applyFont="1" applyBorder="1"/>
    <xf numFmtId="0" fontId="7" fillId="0" borderId="1" xfId="0" applyFont="1" applyFill="1" applyBorder="1"/>
    <xf numFmtId="1" fontId="1" fillId="0" borderId="1" xfId="0" applyNumberFormat="1" applyFont="1" applyBorder="1"/>
    <xf numFmtId="2" fontId="1" fillId="0" borderId="1" xfId="0" applyNumberFormat="1" applyFont="1" applyBorder="1"/>
    <xf numFmtId="1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A3B"/>
      <color rgb="FFE98139"/>
      <color rgb="FFDC3645"/>
      <color rgb="FF29B1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Gráficos!$A$2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29B15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Gráficos!$B$2:$C$2</c:f>
              <c:numCache>
                <c:formatCode>General</c:formatCode>
                <c:ptCount val="2"/>
                <c:pt idx="0">
                  <c:v>12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8-466E-9136-61E95AA91D86}"/>
            </c:ext>
          </c:extLst>
        </c:ser>
        <c:ser>
          <c:idx val="2"/>
          <c:order val="1"/>
          <c:tx>
            <c:strRef>
              <c:f>Gráficos!$A$3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EECA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Gráficos!$B$3:$C$3</c:f>
              <c:numCache>
                <c:formatCode>General</c:formatCode>
                <c:ptCount val="2"/>
                <c:pt idx="0">
                  <c:v>77</c:v>
                </c:pt>
                <c:pt idx="1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8-466E-9136-61E95AA91D86}"/>
            </c:ext>
          </c:extLst>
        </c:ser>
        <c:ser>
          <c:idx val="3"/>
          <c:order val="2"/>
          <c:tx>
            <c:strRef>
              <c:f>Gráficos!$A$4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E9813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Gráficos!$B$4:$C$4</c:f>
              <c:numCache>
                <c:formatCode>General</c:formatCode>
                <c:ptCount val="2"/>
                <c:pt idx="0">
                  <c:v>116</c:v>
                </c:pt>
                <c:pt idx="1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F8-466E-9136-61E95AA91D86}"/>
            </c:ext>
          </c:extLst>
        </c:ser>
        <c:ser>
          <c:idx val="4"/>
          <c:order val="3"/>
          <c:tx>
            <c:strRef>
              <c:f>Gráficos!$A$5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DC364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Gráficos!$B$1:$C$1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Gráficos!$B$5:$C$5</c:f>
              <c:numCache>
                <c:formatCode>General</c:formatCode>
                <c:ptCount val="2"/>
                <c:pt idx="0">
                  <c:v>138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F8-466E-9136-61E95AA91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42756367"/>
        <c:axId val="1442761647"/>
      </c:barChart>
      <c:catAx>
        <c:axId val="144275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61647"/>
        <c:crosses val="autoZero"/>
        <c:auto val="1"/>
        <c:lblAlgn val="ctr"/>
        <c:lblOffset val="100"/>
        <c:noMultiLvlLbl val="0"/>
      </c:catAx>
      <c:valAx>
        <c:axId val="1442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44275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1</xdr:row>
      <xdr:rowOff>22860</xdr:rowOff>
    </xdr:from>
    <xdr:to>
      <xdr:col>14</xdr:col>
      <xdr:colOff>24765</xdr:colOff>
      <xdr:row>14</xdr:row>
      <xdr:rowOff>60960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706D059-62D7-47BA-8CCC-AEC3AA935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28</xdr:row>
      <xdr:rowOff>128609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710C2E-E311-9E65-01D0-8B07145B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249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D38E-A520-4E5D-8BAC-DF6B7CE2B73E}">
  <dimension ref="A1:L344"/>
  <sheetViews>
    <sheetView topLeftCell="B1" workbookViewId="0">
      <selection activeCell="E2" sqref="E2:G2"/>
    </sheetView>
  </sheetViews>
  <sheetFormatPr defaultRowHeight="14.4" x14ac:dyDescent="0.3"/>
  <cols>
    <col min="1" max="1" width="10.77734375" style="1" customWidth="1"/>
    <col min="2" max="4" width="17.77734375" style="1" customWidth="1"/>
    <col min="5" max="7" width="18.6640625" style="1" customWidth="1"/>
    <col min="8" max="9" width="22.77734375" style="1" customWidth="1"/>
    <col min="10" max="11" width="18.6640625" style="1" customWidth="1"/>
    <col min="12" max="12" width="22.77734375" style="1" customWidth="1"/>
    <col min="13" max="16384" width="8.88671875" style="1"/>
  </cols>
  <sheetData>
    <row r="1" spans="1:12" x14ac:dyDescent="0.3">
      <c r="A1" s="2" t="s">
        <v>349</v>
      </c>
      <c r="B1" s="2" t="s">
        <v>464</v>
      </c>
      <c r="C1" s="2" t="s">
        <v>463</v>
      </c>
      <c r="D1" s="2" t="s">
        <v>462</v>
      </c>
      <c r="E1" s="2" t="s">
        <v>465</v>
      </c>
      <c r="F1" s="2" t="s">
        <v>466</v>
      </c>
      <c r="G1" s="2" t="s">
        <v>467</v>
      </c>
      <c r="H1" s="2" t="s">
        <v>468</v>
      </c>
      <c r="I1" s="2" t="s">
        <v>472</v>
      </c>
      <c r="J1" s="2" t="s">
        <v>469</v>
      </c>
      <c r="K1" s="2" t="s">
        <v>470</v>
      </c>
      <c r="L1" s="2" t="s">
        <v>471</v>
      </c>
    </row>
    <row r="2" spans="1:12" x14ac:dyDescent="0.3">
      <c r="A2" s="3">
        <v>10101</v>
      </c>
      <c r="B2" s="3" t="s">
        <v>0</v>
      </c>
      <c r="C2" s="3" t="s">
        <v>1</v>
      </c>
      <c r="D2" s="3" t="s">
        <v>350</v>
      </c>
      <c r="E2" s="3">
        <v>45.423142510281508</v>
      </c>
      <c r="F2" s="3">
        <v>57.254061074154407</v>
      </c>
      <c r="G2" s="3">
        <v>68.40597961119137</v>
      </c>
      <c r="H2" s="3">
        <v>57.027727731875757</v>
      </c>
      <c r="I2" s="3">
        <v>78.082920058747334</v>
      </c>
      <c r="J2" s="3">
        <v>84.873810874152738</v>
      </c>
      <c r="K2" s="3">
        <v>87.046860688124042</v>
      </c>
      <c r="L2" s="3">
        <v>83.334530540341376</v>
      </c>
    </row>
    <row r="3" spans="1:12" x14ac:dyDescent="0.3">
      <c r="A3" s="3">
        <v>10102</v>
      </c>
      <c r="B3" s="3" t="s">
        <v>2</v>
      </c>
      <c r="C3" s="3" t="s">
        <v>1</v>
      </c>
      <c r="D3" s="3" t="s">
        <v>350</v>
      </c>
      <c r="E3" s="3">
        <v>57.672011638150167</v>
      </c>
      <c r="F3" s="3">
        <v>64.724433297298674</v>
      </c>
      <c r="G3" s="3">
        <v>59.090079796452443</v>
      </c>
      <c r="H3" s="3">
        <v>60.495508243967095</v>
      </c>
      <c r="I3" s="3">
        <v>81.839938578772987</v>
      </c>
      <c r="J3" s="3">
        <v>77.689689614034009</v>
      </c>
      <c r="K3" s="3">
        <v>72.715033983941595</v>
      </c>
      <c r="L3" s="3">
        <v>77.414887392249526</v>
      </c>
    </row>
    <row r="4" spans="1:12" x14ac:dyDescent="0.3">
      <c r="A4" s="3">
        <v>10103</v>
      </c>
      <c r="B4" s="3" t="s">
        <v>3</v>
      </c>
      <c r="C4" s="3" t="s">
        <v>1</v>
      </c>
      <c r="D4" s="3" t="s">
        <v>350</v>
      </c>
      <c r="E4" s="3">
        <v>72.774745403574997</v>
      </c>
      <c r="F4" s="3">
        <v>72.326233534602054</v>
      </c>
      <c r="G4" s="3">
        <v>73.566083605473906</v>
      </c>
      <c r="H4" s="3">
        <v>72.889020847883657</v>
      </c>
      <c r="I4" s="3">
        <v>83.207597565156433</v>
      </c>
      <c r="J4" s="3">
        <v>74.119593584017736</v>
      </c>
      <c r="K4" s="3">
        <v>76.271511448232332</v>
      </c>
      <c r="L4" s="3">
        <v>77.866234199135491</v>
      </c>
    </row>
    <row r="5" spans="1:12" x14ac:dyDescent="0.3">
      <c r="A5" s="3">
        <v>10201</v>
      </c>
      <c r="B5" s="3" t="s">
        <v>4</v>
      </c>
      <c r="C5" s="3" t="s">
        <v>1</v>
      </c>
      <c r="D5" s="3" t="s">
        <v>351</v>
      </c>
      <c r="E5" s="3">
        <v>69.153757244014912</v>
      </c>
      <c r="F5" s="3">
        <v>54.403172708471779</v>
      </c>
      <c r="G5" s="3">
        <v>62.100909294454667</v>
      </c>
      <c r="H5" s="3">
        <v>61.885946415647119</v>
      </c>
      <c r="I5" s="3">
        <v>89.695422854824585</v>
      </c>
      <c r="J5" s="3">
        <v>81.997981725035757</v>
      </c>
      <c r="K5" s="3">
        <v>80.913603717001934</v>
      </c>
      <c r="L5" s="3">
        <v>84.202336098954092</v>
      </c>
    </row>
    <row r="6" spans="1:12" x14ac:dyDescent="0.3">
      <c r="A6" s="3">
        <v>10202</v>
      </c>
      <c r="B6" s="3" t="s">
        <v>5</v>
      </c>
      <c r="C6" s="3" t="s">
        <v>1</v>
      </c>
      <c r="D6" s="3" t="s">
        <v>351</v>
      </c>
      <c r="E6" s="3">
        <v>79.622102020237705</v>
      </c>
      <c r="F6" s="3">
        <v>69.926320691927998</v>
      </c>
      <c r="G6" s="3">
        <v>90.228657363372548</v>
      </c>
      <c r="H6" s="3">
        <v>79.925693358512746</v>
      </c>
      <c r="I6" s="3">
        <v>89.865404062969745</v>
      </c>
      <c r="J6" s="3">
        <v>79.824140496191092</v>
      </c>
      <c r="K6" s="3">
        <v>86.157526085436984</v>
      </c>
      <c r="L6" s="3">
        <v>85.282356881532607</v>
      </c>
    </row>
    <row r="7" spans="1:12" x14ac:dyDescent="0.3">
      <c r="A7" s="3">
        <v>10301</v>
      </c>
      <c r="B7" s="3" t="s">
        <v>6</v>
      </c>
      <c r="C7" s="3" t="s">
        <v>1</v>
      </c>
      <c r="D7" s="3" t="s">
        <v>352</v>
      </c>
      <c r="E7" s="3">
        <v>63.147351227077017</v>
      </c>
      <c r="F7" s="3">
        <v>63.984760516438968</v>
      </c>
      <c r="G7" s="3">
        <v>73.603770452188471</v>
      </c>
      <c r="H7" s="3">
        <v>66.911960731901488</v>
      </c>
      <c r="I7" s="3">
        <v>90.587657798168792</v>
      </c>
      <c r="J7" s="3">
        <v>74.563581011931163</v>
      </c>
      <c r="K7" s="3">
        <v>72.075836691028996</v>
      </c>
      <c r="L7" s="3">
        <v>79.075691833709655</v>
      </c>
    </row>
    <row r="8" spans="1:12" x14ac:dyDescent="0.3">
      <c r="A8" s="3">
        <v>10302</v>
      </c>
      <c r="B8" s="3" t="s">
        <v>7</v>
      </c>
      <c r="C8" s="3" t="s">
        <v>1</v>
      </c>
      <c r="D8" s="3" t="s">
        <v>352</v>
      </c>
      <c r="E8" s="3">
        <v>73.726340161978911</v>
      </c>
      <c r="F8" s="3">
        <v>75.217120477942416</v>
      </c>
      <c r="G8" s="3">
        <v>75.057013894149875</v>
      </c>
      <c r="H8" s="3">
        <v>74.666824844690396</v>
      </c>
      <c r="I8" s="3">
        <v>84.071449801875374</v>
      </c>
      <c r="J8" s="3">
        <v>62.695325091522761</v>
      </c>
      <c r="K8" s="3">
        <v>81.757337182997787</v>
      </c>
      <c r="L8" s="3">
        <v>76.174704025465303</v>
      </c>
    </row>
    <row r="9" spans="1:12" x14ac:dyDescent="0.3">
      <c r="A9" s="3">
        <v>10303</v>
      </c>
      <c r="B9" s="3" t="s">
        <v>8</v>
      </c>
      <c r="C9" s="3" t="s">
        <v>1</v>
      </c>
      <c r="D9" s="3" t="s">
        <v>352</v>
      </c>
      <c r="E9" s="3">
        <v>59.636126945961209</v>
      </c>
      <c r="F9" s="3">
        <v>76.126141301178706</v>
      </c>
      <c r="G9" s="3">
        <v>34.805102861053577</v>
      </c>
      <c r="H9" s="3">
        <v>56.855790369397823</v>
      </c>
      <c r="I9" s="3">
        <v>88.099767778650573</v>
      </c>
      <c r="J9" s="3">
        <v>70.975650791993147</v>
      </c>
      <c r="K9" s="3">
        <v>85.954267593260568</v>
      </c>
      <c r="L9" s="3">
        <v>81.676562054634758</v>
      </c>
    </row>
    <row r="10" spans="1:12" x14ac:dyDescent="0.3">
      <c r="A10" s="3">
        <v>10304</v>
      </c>
      <c r="B10" s="3" t="s">
        <v>9</v>
      </c>
      <c r="C10" s="3" t="s">
        <v>1</v>
      </c>
      <c r="D10" s="3" t="s">
        <v>352</v>
      </c>
      <c r="E10" s="3">
        <v>46.239686033820007</v>
      </c>
      <c r="F10" s="3">
        <v>68.417037919248543</v>
      </c>
      <c r="G10" s="3">
        <v>77.77072143567689</v>
      </c>
      <c r="H10" s="3">
        <v>64.142481796248475</v>
      </c>
      <c r="I10" s="3">
        <v>92.982352773403832</v>
      </c>
      <c r="J10" s="3">
        <v>82.398118998318054</v>
      </c>
      <c r="K10" s="3">
        <v>81.504138207436966</v>
      </c>
      <c r="L10" s="3">
        <v>85.628203326386298</v>
      </c>
    </row>
    <row r="11" spans="1:12" x14ac:dyDescent="0.3">
      <c r="A11" s="3">
        <v>10401</v>
      </c>
      <c r="B11" s="3" t="s">
        <v>10</v>
      </c>
      <c r="C11" s="3" t="s">
        <v>1</v>
      </c>
      <c r="D11" s="3" t="s">
        <v>353</v>
      </c>
      <c r="E11" s="3">
        <v>66.273369877529561</v>
      </c>
      <c r="F11" s="3">
        <v>75.768598672599381</v>
      </c>
      <c r="G11" s="3">
        <v>83.756154427113202</v>
      </c>
      <c r="H11" s="3">
        <v>75.266040992414048</v>
      </c>
      <c r="I11" s="3">
        <v>86.877819232678448</v>
      </c>
      <c r="J11" s="3">
        <v>81.224347933041031</v>
      </c>
      <c r="K11" s="3">
        <v>78.882006963339208</v>
      </c>
      <c r="L11" s="3">
        <v>82.328058043019567</v>
      </c>
    </row>
    <row r="12" spans="1:12" x14ac:dyDescent="0.3">
      <c r="A12" s="3">
        <v>10402</v>
      </c>
      <c r="B12" s="3" t="s">
        <v>11</v>
      </c>
      <c r="C12" s="3" t="s">
        <v>1</v>
      </c>
      <c r="D12" s="3" t="s">
        <v>353</v>
      </c>
      <c r="E12" s="3">
        <v>84.556337022836772</v>
      </c>
      <c r="F12" s="3">
        <v>73.600871469463257</v>
      </c>
      <c r="G12" s="3">
        <v>75.340646924568418</v>
      </c>
      <c r="H12" s="3">
        <v>77.832618472289482</v>
      </c>
      <c r="I12" s="3">
        <v>94.530259803747384</v>
      </c>
      <c r="J12" s="3">
        <v>90.017050445847886</v>
      </c>
      <c r="K12" s="3">
        <v>78.895437362150219</v>
      </c>
      <c r="L12" s="3">
        <v>87.814249203915168</v>
      </c>
    </row>
    <row r="13" spans="1:12" x14ac:dyDescent="0.3">
      <c r="A13" s="3">
        <v>10403</v>
      </c>
      <c r="B13" s="3" t="s">
        <v>12</v>
      </c>
      <c r="C13" s="3" t="s">
        <v>1</v>
      </c>
      <c r="D13" s="3" t="s">
        <v>353</v>
      </c>
      <c r="E13" s="3">
        <v>75.049761045461196</v>
      </c>
      <c r="F13" s="3">
        <v>65.614126519930608</v>
      </c>
      <c r="G13" s="3">
        <v>58.414245993754299</v>
      </c>
      <c r="H13" s="3">
        <v>66.359377853048699</v>
      </c>
      <c r="I13" s="3">
        <v>90.837786565262519</v>
      </c>
      <c r="J13" s="3">
        <v>66.311178366970907</v>
      </c>
      <c r="K13" s="3">
        <v>75.507850987780827</v>
      </c>
      <c r="L13" s="3">
        <v>77.55227197333808</v>
      </c>
    </row>
    <row r="14" spans="1:12" x14ac:dyDescent="0.3">
      <c r="A14" s="3">
        <v>10404</v>
      </c>
      <c r="B14" s="3" t="s">
        <v>13</v>
      </c>
      <c r="C14" s="3" t="s">
        <v>1</v>
      </c>
      <c r="D14" s="3" t="s">
        <v>353</v>
      </c>
      <c r="E14" s="3">
        <v>53.302262267471448</v>
      </c>
      <c r="F14" s="3">
        <v>57.24995725659209</v>
      </c>
      <c r="G14" s="3">
        <v>66.450233419313491</v>
      </c>
      <c r="H14" s="3">
        <v>59.000817647792339</v>
      </c>
      <c r="I14" s="3">
        <v>86.734562292783835</v>
      </c>
      <c r="J14" s="3">
        <v>66.638681461997109</v>
      </c>
      <c r="K14" s="3">
        <v>84.68519875272635</v>
      </c>
      <c r="L14" s="3">
        <v>79.352814169169108</v>
      </c>
    </row>
    <row r="15" spans="1:12" x14ac:dyDescent="0.3">
      <c r="A15" s="3">
        <v>10405</v>
      </c>
      <c r="B15" s="3" t="s">
        <v>14</v>
      </c>
      <c r="C15" s="3" t="s">
        <v>1</v>
      </c>
      <c r="D15" s="3" t="s">
        <v>353</v>
      </c>
      <c r="E15" s="3">
        <v>61.951659822335237</v>
      </c>
      <c r="F15" s="3">
        <v>60.281098138351616</v>
      </c>
      <c r="G15" s="3">
        <v>69.016197374429552</v>
      </c>
      <c r="H15" s="3">
        <v>63.74965177837214</v>
      </c>
      <c r="I15" s="3">
        <v>75.240308110041468</v>
      </c>
      <c r="J15" s="3">
        <v>78.963813211173147</v>
      </c>
      <c r="K15" s="3">
        <v>70.760789802778305</v>
      </c>
      <c r="L15" s="3">
        <v>74.988303707997645</v>
      </c>
    </row>
    <row r="16" spans="1:12" x14ac:dyDescent="0.3">
      <c r="A16" s="3">
        <v>10501</v>
      </c>
      <c r="B16" s="3" t="s">
        <v>15</v>
      </c>
      <c r="C16" s="3" t="s">
        <v>1</v>
      </c>
      <c r="D16" s="3" t="s">
        <v>354</v>
      </c>
      <c r="E16" s="3">
        <v>66.341481314221056</v>
      </c>
      <c r="F16" s="3">
        <v>50.114889048952818</v>
      </c>
      <c r="G16" s="3">
        <v>67.09915740878921</v>
      </c>
      <c r="H16" s="3">
        <v>61.185175923987693</v>
      </c>
      <c r="I16" s="3">
        <v>74.961681018831214</v>
      </c>
      <c r="J16" s="3">
        <v>73.696423536383307</v>
      </c>
      <c r="K16" s="3">
        <v>81.641325842555133</v>
      </c>
      <c r="L16" s="3">
        <v>76.766476799256552</v>
      </c>
    </row>
    <row r="17" spans="1:12" x14ac:dyDescent="0.3">
      <c r="A17" s="3">
        <v>10502</v>
      </c>
      <c r="B17" s="3" t="s">
        <v>16</v>
      </c>
      <c r="C17" s="3" t="s">
        <v>1</v>
      </c>
      <c r="D17" s="3" t="s">
        <v>354</v>
      </c>
      <c r="E17" s="3">
        <v>63.150965689095592</v>
      </c>
      <c r="F17" s="3">
        <v>50.119624106782659</v>
      </c>
      <c r="G17" s="3">
        <v>52.024362165941739</v>
      </c>
      <c r="H17" s="3">
        <v>55.098317320606668</v>
      </c>
      <c r="I17" s="3">
        <v>92.902718014890823</v>
      </c>
      <c r="J17" s="3">
        <v>90.563747617677919</v>
      </c>
      <c r="K17" s="3">
        <v>81.736107877390396</v>
      </c>
      <c r="L17" s="3">
        <v>88.40085783665306</v>
      </c>
    </row>
    <row r="18" spans="1:12" x14ac:dyDescent="0.3">
      <c r="A18" s="3">
        <v>10601</v>
      </c>
      <c r="B18" s="3" t="s">
        <v>17</v>
      </c>
      <c r="C18" s="3" t="s">
        <v>1</v>
      </c>
      <c r="D18" s="3" t="s">
        <v>355</v>
      </c>
      <c r="E18" s="3">
        <v>67.793051169353873</v>
      </c>
      <c r="F18" s="3">
        <v>87.149468081921995</v>
      </c>
      <c r="G18" s="3">
        <v>88.0835421937701</v>
      </c>
      <c r="H18" s="3">
        <v>81.008687148348656</v>
      </c>
      <c r="I18" s="3">
        <v>67.474550867545531</v>
      </c>
      <c r="J18" s="3">
        <v>63.728409621497534</v>
      </c>
      <c r="K18" s="3">
        <v>80.341515918333911</v>
      </c>
      <c r="L18" s="3">
        <v>70.514825469125654</v>
      </c>
    </row>
    <row r="19" spans="1:12" x14ac:dyDescent="0.3">
      <c r="A19" s="3">
        <v>10602</v>
      </c>
      <c r="B19" s="3" t="s">
        <v>18</v>
      </c>
      <c r="C19" s="3" t="s">
        <v>1</v>
      </c>
      <c r="D19" s="3" t="s">
        <v>355</v>
      </c>
      <c r="E19" s="3">
        <v>74.491615556796404</v>
      </c>
      <c r="F19" s="3">
        <v>80.081984219808277</v>
      </c>
      <c r="G19" s="3">
        <v>85.334251725254532</v>
      </c>
      <c r="H19" s="3">
        <v>79.969283833953071</v>
      </c>
      <c r="I19" s="3">
        <v>84.514107809440745</v>
      </c>
      <c r="J19" s="3">
        <v>78.634439521318527</v>
      </c>
      <c r="K19" s="3">
        <v>74.694541463142571</v>
      </c>
      <c r="L19" s="3">
        <v>79.281029597967276</v>
      </c>
    </row>
    <row r="20" spans="1:12" x14ac:dyDescent="0.3">
      <c r="A20" s="3">
        <v>10701</v>
      </c>
      <c r="B20" s="3" t="s">
        <v>19</v>
      </c>
      <c r="C20" s="3" t="s">
        <v>1</v>
      </c>
      <c r="D20" s="3" t="s">
        <v>356</v>
      </c>
      <c r="E20" s="3">
        <v>50.954029078157546</v>
      </c>
      <c r="F20" s="3">
        <v>76.754003700131364</v>
      </c>
      <c r="G20" s="3">
        <v>72.502746511685999</v>
      </c>
      <c r="H20" s="3">
        <v>66.736926429991641</v>
      </c>
      <c r="I20" s="3">
        <v>83.336699434186755</v>
      </c>
      <c r="J20" s="3">
        <v>81.109281136265295</v>
      </c>
      <c r="K20" s="3">
        <v>82.733674018323129</v>
      </c>
      <c r="L20" s="3">
        <v>82.393218196258388</v>
      </c>
    </row>
    <row r="21" spans="1:12" x14ac:dyDescent="0.3">
      <c r="A21" s="3">
        <v>10702</v>
      </c>
      <c r="B21" s="3" t="s">
        <v>20</v>
      </c>
      <c r="C21" s="3" t="s">
        <v>1</v>
      </c>
      <c r="D21" s="3" t="s">
        <v>356</v>
      </c>
      <c r="E21" s="3">
        <v>80.36261925625125</v>
      </c>
      <c r="F21" s="3">
        <v>65.419972828700764</v>
      </c>
      <c r="G21" s="3">
        <v>78.477449650388763</v>
      </c>
      <c r="H21" s="3">
        <v>74.753347245113588</v>
      </c>
      <c r="I21" s="3">
        <v>92.082765995311092</v>
      </c>
      <c r="J21" s="3">
        <v>76.045404987856145</v>
      </c>
      <c r="K21" s="3">
        <v>81.581442718676172</v>
      </c>
      <c r="L21" s="3">
        <v>83.236537900614465</v>
      </c>
    </row>
    <row r="22" spans="1:12" x14ac:dyDescent="0.3">
      <c r="A22" s="3">
        <v>10703</v>
      </c>
      <c r="B22" s="3" t="s">
        <v>21</v>
      </c>
      <c r="C22" s="3" t="s">
        <v>1</v>
      </c>
      <c r="D22" s="3" t="s">
        <v>356</v>
      </c>
      <c r="E22" s="3">
        <v>63.669352843239139</v>
      </c>
      <c r="F22" s="3">
        <v>62.652439609940473</v>
      </c>
      <c r="G22" s="3">
        <v>71.751539631273261</v>
      </c>
      <c r="H22" s="3">
        <v>66.024444028150967</v>
      </c>
      <c r="I22" s="3">
        <v>86.68522180994924</v>
      </c>
      <c r="J22" s="3">
        <v>72.89455333792408</v>
      </c>
      <c r="K22" s="3">
        <v>74.256840941375373</v>
      </c>
      <c r="L22" s="3">
        <v>77.945538696416222</v>
      </c>
    </row>
    <row r="23" spans="1:12" x14ac:dyDescent="0.3">
      <c r="A23" s="3">
        <v>10704</v>
      </c>
      <c r="B23" s="3" t="s">
        <v>29</v>
      </c>
      <c r="C23" s="3" t="s">
        <v>1</v>
      </c>
      <c r="D23" s="3" t="s">
        <v>356</v>
      </c>
      <c r="E23" s="3">
        <v>61.530152656605452</v>
      </c>
      <c r="F23" s="3">
        <v>62.307919984963448</v>
      </c>
      <c r="G23" s="3">
        <v>64.509532299785263</v>
      </c>
      <c r="H23" s="3">
        <v>62.782534980451395</v>
      </c>
      <c r="I23" s="3">
        <v>89.186265968659299</v>
      </c>
      <c r="J23" s="3">
        <v>82.264807188274972</v>
      </c>
      <c r="K23" s="3">
        <v>81.341047054661018</v>
      </c>
      <c r="L23" s="3">
        <v>84.264040070531777</v>
      </c>
    </row>
    <row r="24" spans="1:12" x14ac:dyDescent="0.3">
      <c r="A24" s="3">
        <v>10801</v>
      </c>
      <c r="B24" s="3" t="s">
        <v>22</v>
      </c>
      <c r="C24" s="3" t="s">
        <v>1</v>
      </c>
      <c r="D24" s="3" t="s">
        <v>357</v>
      </c>
      <c r="E24" s="3">
        <v>82.839434198356415</v>
      </c>
      <c r="F24" s="3">
        <v>78.430614241946301</v>
      </c>
      <c r="G24" s="3">
        <v>82.55650364244336</v>
      </c>
      <c r="H24" s="3">
        <v>81.275517360915373</v>
      </c>
      <c r="I24" s="3">
        <v>85.286168756843423</v>
      </c>
      <c r="J24" s="3">
        <v>83.938714968836564</v>
      </c>
      <c r="K24" s="3">
        <v>83.637278176702409</v>
      </c>
      <c r="L24" s="3">
        <v>84.287387300794137</v>
      </c>
    </row>
    <row r="25" spans="1:12" x14ac:dyDescent="0.3">
      <c r="A25" s="3">
        <v>10901</v>
      </c>
      <c r="B25" s="3" t="s">
        <v>23</v>
      </c>
      <c r="C25" s="3" t="s">
        <v>1</v>
      </c>
      <c r="D25" s="3" t="s">
        <v>358</v>
      </c>
      <c r="E25" s="3">
        <v>78.44812255692139</v>
      </c>
      <c r="F25" s="3">
        <v>63.375296173766117</v>
      </c>
      <c r="G25" s="3">
        <v>79.869635056758057</v>
      </c>
      <c r="H25" s="3">
        <v>73.897684595815193</v>
      </c>
      <c r="I25" s="3">
        <v>82.563356401171333</v>
      </c>
      <c r="J25" s="3">
        <v>91.897274847652355</v>
      </c>
      <c r="K25" s="3">
        <v>76.578810238396215</v>
      </c>
      <c r="L25" s="3">
        <v>83.679813829073296</v>
      </c>
    </row>
    <row r="26" spans="1:12" x14ac:dyDescent="0.3">
      <c r="A26" s="3">
        <v>10902</v>
      </c>
      <c r="B26" s="3" t="s">
        <v>24</v>
      </c>
      <c r="C26" s="3" t="s">
        <v>1</v>
      </c>
      <c r="D26" s="3" t="s">
        <v>358</v>
      </c>
      <c r="E26" s="3">
        <v>82.274944195486057</v>
      </c>
      <c r="F26" s="3">
        <v>81.976408845496735</v>
      </c>
      <c r="G26" s="3">
        <v>74.449500056755639</v>
      </c>
      <c r="H26" s="3">
        <v>79.566951032579482</v>
      </c>
      <c r="I26" s="3">
        <v>83.942813498944716</v>
      </c>
      <c r="J26" s="3">
        <v>76.675565373459989</v>
      </c>
      <c r="K26" s="3">
        <v>65.002908045345094</v>
      </c>
      <c r="L26" s="3">
        <v>75.207095639249943</v>
      </c>
    </row>
    <row r="27" spans="1:12" x14ac:dyDescent="0.3">
      <c r="A27" s="3">
        <v>10903</v>
      </c>
      <c r="B27" s="3" t="s">
        <v>25</v>
      </c>
      <c r="C27" s="3" t="s">
        <v>1</v>
      </c>
      <c r="D27" s="3" t="s">
        <v>358</v>
      </c>
      <c r="E27" s="3">
        <v>16.645543404463769</v>
      </c>
      <c r="F27" s="3">
        <v>47.304557337679341</v>
      </c>
      <c r="G27" s="3">
        <v>70.456635828904183</v>
      </c>
      <c r="H27" s="3">
        <v>44.802245523682437</v>
      </c>
      <c r="I27" s="3">
        <v>92.18673068091239</v>
      </c>
      <c r="J27" s="3">
        <v>71.48407393683442</v>
      </c>
      <c r="K27" s="3">
        <v>66.942545084271217</v>
      </c>
      <c r="L27" s="3">
        <v>76.871116567339342</v>
      </c>
    </row>
    <row r="28" spans="1:12" x14ac:dyDescent="0.3">
      <c r="A28" s="3">
        <v>11001</v>
      </c>
      <c r="B28" s="3" t="s">
        <v>26</v>
      </c>
      <c r="C28" s="3" t="s">
        <v>1</v>
      </c>
      <c r="D28" s="3" t="s">
        <v>359</v>
      </c>
      <c r="E28" s="3">
        <v>63.226403628783778</v>
      </c>
      <c r="F28" s="3">
        <v>58.476532729415283</v>
      </c>
      <c r="G28" s="3">
        <v>59.822444359230531</v>
      </c>
      <c r="H28" s="3">
        <v>60.508460239143197</v>
      </c>
      <c r="I28" s="3">
        <v>86.814206848967885</v>
      </c>
      <c r="J28" s="3">
        <v>81.126337593056689</v>
      </c>
      <c r="K28" s="3">
        <v>87.512576652779799</v>
      </c>
      <c r="L28" s="3">
        <v>85.151040364934786</v>
      </c>
    </row>
    <row r="29" spans="1:12" x14ac:dyDescent="0.3">
      <c r="A29" s="3">
        <v>11002</v>
      </c>
      <c r="B29" s="3" t="s">
        <v>27</v>
      </c>
      <c r="C29" s="3" t="s">
        <v>1</v>
      </c>
      <c r="D29" s="3" t="s">
        <v>359</v>
      </c>
      <c r="E29" s="3">
        <v>74.463585985842755</v>
      </c>
      <c r="F29" s="3">
        <v>39.167214572024967</v>
      </c>
      <c r="G29" s="3">
        <v>71.114450446570842</v>
      </c>
      <c r="H29" s="3">
        <v>61.581750334812853</v>
      </c>
      <c r="I29" s="3">
        <v>64.789822442488372</v>
      </c>
      <c r="J29" s="3">
        <v>50.10538238695699</v>
      </c>
      <c r="K29" s="3">
        <v>76.126174595209818</v>
      </c>
      <c r="L29" s="3">
        <v>63.673793141551727</v>
      </c>
    </row>
    <row r="30" spans="1:12" x14ac:dyDescent="0.3">
      <c r="A30" s="3">
        <v>11003</v>
      </c>
      <c r="B30" s="3" t="s">
        <v>28</v>
      </c>
      <c r="C30" s="3" t="s">
        <v>1</v>
      </c>
      <c r="D30" s="3" t="s">
        <v>359</v>
      </c>
      <c r="E30" s="3">
        <v>56.22640461586824</v>
      </c>
      <c r="F30" s="3">
        <v>67.013555324227923</v>
      </c>
      <c r="G30" s="3">
        <v>64.652871164607021</v>
      </c>
      <c r="H30" s="3">
        <v>62.63094370156773</v>
      </c>
      <c r="I30" s="3">
        <v>76.660429307889032</v>
      </c>
      <c r="J30" s="3">
        <v>74.05990349966882</v>
      </c>
      <c r="K30" s="3">
        <v>79.500135732935689</v>
      </c>
      <c r="L30" s="3">
        <v>76.740156180164504</v>
      </c>
    </row>
    <row r="31" spans="1:12" x14ac:dyDescent="0.3">
      <c r="A31" s="3">
        <v>20101</v>
      </c>
      <c r="B31" s="3" t="s">
        <v>30</v>
      </c>
      <c r="C31" s="3" t="s">
        <v>31</v>
      </c>
      <c r="D31" s="3" t="s">
        <v>360</v>
      </c>
      <c r="E31" s="3">
        <v>72.168166213913793</v>
      </c>
      <c r="F31" s="3">
        <v>70.527540130279874</v>
      </c>
      <c r="G31" s="3">
        <v>86.761134798830625</v>
      </c>
      <c r="H31" s="3">
        <v>76.485613714341426</v>
      </c>
      <c r="I31" s="3">
        <v>78.559266248597908</v>
      </c>
      <c r="J31" s="3">
        <v>79.058503367399808</v>
      </c>
      <c r="K31" s="3">
        <v>86.337693193543728</v>
      </c>
      <c r="L31" s="3">
        <v>81.318487603180472</v>
      </c>
    </row>
    <row r="32" spans="1:12" x14ac:dyDescent="0.3">
      <c r="A32" s="3">
        <v>20102</v>
      </c>
      <c r="B32" s="3" t="s">
        <v>32</v>
      </c>
      <c r="C32" s="3" t="s">
        <v>31</v>
      </c>
      <c r="D32" s="3" t="s">
        <v>360</v>
      </c>
      <c r="E32" s="3">
        <v>42.918239640145487</v>
      </c>
      <c r="F32" s="3">
        <v>61.681235638199553</v>
      </c>
      <c r="G32" s="3">
        <v>60.807235562574171</v>
      </c>
      <c r="H32" s="3">
        <v>55.135570280306403</v>
      </c>
      <c r="I32" s="3">
        <v>80.861148001311932</v>
      </c>
      <c r="J32" s="3">
        <v>77.872918960419071</v>
      </c>
      <c r="K32" s="3">
        <v>71.174173762406198</v>
      </c>
      <c r="L32" s="3">
        <v>76.636080241379076</v>
      </c>
    </row>
    <row r="33" spans="1:12" x14ac:dyDescent="0.3">
      <c r="A33" s="3">
        <v>20103</v>
      </c>
      <c r="B33" s="3" t="s">
        <v>33</v>
      </c>
      <c r="C33" s="3" t="s">
        <v>31</v>
      </c>
      <c r="D33" s="3" t="s">
        <v>360</v>
      </c>
      <c r="E33" s="3">
        <v>19.346759945014451</v>
      </c>
      <c r="F33" s="3">
        <v>29.65405523473256</v>
      </c>
      <c r="G33" s="3">
        <v>47.537073009918743</v>
      </c>
      <c r="H33" s="3">
        <v>32.179296063221919</v>
      </c>
      <c r="I33" s="3">
        <v>95.68481717680497</v>
      </c>
      <c r="J33" s="3">
        <v>73.607203612298548</v>
      </c>
      <c r="K33" s="3">
        <v>84.016066738981593</v>
      </c>
      <c r="L33" s="3">
        <v>84.436029176028356</v>
      </c>
    </row>
    <row r="34" spans="1:12" x14ac:dyDescent="0.3">
      <c r="A34" s="3">
        <v>20104</v>
      </c>
      <c r="B34" s="3" t="s">
        <v>34</v>
      </c>
      <c r="C34" s="3" t="s">
        <v>31</v>
      </c>
      <c r="D34" s="3" t="s">
        <v>360</v>
      </c>
      <c r="E34" s="3">
        <v>62.674175268420157</v>
      </c>
      <c r="F34" s="3">
        <v>77.023126447492373</v>
      </c>
      <c r="G34" s="3">
        <v>70.156283802343793</v>
      </c>
      <c r="H34" s="3">
        <v>69.951195172752122</v>
      </c>
      <c r="I34" s="3">
        <v>71.855386721796705</v>
      </c>
      <c r="J34" s="3">
        <v>73.034807046948174</v>
      </c>
      <c r="K34" s="3">
        <v>76.601825205118587</v>
      </c>
      <c r="L34" s="3">
        <v>73.830672991287827</v>
      </c>
    </row>
    <row r="35" spans="1:12" x14ac:dyDescent="0.3">
      <c r="A35" s="3">
        <v>20105</v>
      </c>
      <c r="B35" s="3" t="s">
        <v>35</v>
      </c>
      <c r="C35" s="3" t="s">
        <v>31</v>
      </c>
      <c r="D35" s="3" t="s">
        <v>360</v>
      </c>
      <c r="E35" s="3">
        <v>51.999145409635297</v>
      </c>
      <c r="F35" s="3">
        <v>64.206868995793315</v>
      </c>
      <c r="G35" s="3">
        <v>63.154666667953862</v>
      </c>
      <c r="H35" s="3">
        <v>59.786893691127489</v>
      </c>
      <c r="I35" s="3">
        <v>84.971618762661649</v>
      </c>
      <c r="J35" s="3">
        <v>86.553205193858929</v>
      </c>
      <c r="K35" s="3">
        <v>89.603553584494733</v>
      </c>
      <c r="L35" s="3">
        <v>87.04279251367177</v>
      </c>
    </row>
    <row r="36" spans="1:12" x14ac:dyDescent="0.3">
      <c r="A36" s="3">
        <v>20201</v>
      </c>
      <c r="B36" s="3" t="s">
        <v>54</v>
      </c>
      <c r="C36" s="3" t="s">
        <v>31</v>
      </c>
      <c r="D36" s="3" t="s">
        <v>365</v>
      </c>
      <c r="E36" s="3">
        <v>59.345935171996381</v>
      </c>
      <c r="F36" s="3">
        <v>53.287217664626162</v>
      </c>
      <c r="G36" s="3">
        <v>48.38753882547875</v>
      </c>
      <c r="H36" s="3">
        <v>53.673563887367095</v>
      </c>
      <c r="I36" s="3">
        <v>74.98228152349725</v>
      </c>
      <c r="J36" s="3">
        <v>69.941899763897823</v>
      </c>
      <c r="K36" s="3">
        <v>73.34720142003107</v>
      </c>
      <c r="L36" s="3">
        <v>72.757127569142042</v>
      </c>
    </row>
    <row r="37" spans="1:12" x14ac:dyDescent="0.3">
      <c r="A37" s="3">
        <v>20202</v>
      </c>
      <c r="B37" s="3" t="s">
        <v>55</v>
      </c>
      <c r="C37" s="3" t="s">
        <v>31</v>
      </c>
      <c r="D37" s="3" t="s">
        <v>365</v>
      </c>
      <c r="E37" s="3">
        <v>62.626026074734341</v>
      </c>
      <c r="F37" s="3">
        <v>64.696787228225546</v>
      </c>
      <c r="G37" s="3">
        <v>56.601783628771763</v>
      </c>
      <c r="H37" s="3">
        <v>61.308198977243883</v>
      </c>
      <c r="I37" s="3">
        <v>84.92528983266385</v>
      </c>
      <c r="J37" s="3">
        <v>82.995008599791532</v>
      </c>
      <c r="K37" s="3">
        <v>81.816823779567713</v>
      </c>
      <c r="L37" s="3">
        <v>83.245707404007703</v>
      </c>
    </row>
    <row r="38" spans="1:12" x14ac:dyDescent="0.3">
      <c r="A38" s="3">
        <v>20203</v>
      </c>
      <c r="B38" s="3" t="s">
        <v>117</v>
      </c>
      <c r="C38" s="3" t="s">
        <v>31</v>
      </c>
      <c r="D38" s="3" t="s">
        <v>365</v>
      </c>
      <c r="E38" s="3">
        <v>35.833961343222853</v>
      </c>
      <c r="F38" s="3">
        <v>35.833961343222853</v>
      </c>
      <c r="G38" s="3">
        <v>35.833961343222853</v>
      </c>
      <c r="H38" s="3">
        <v>35.833961343222853</v>
      </c>
      <c r="I38" s="3">
        <v>78.042978208276097</v>
      </c>
      <c r="J38" s="3">
        <v>64.766513159603079</v>
      </c>
      <c r="K38" s="3">
        <v>64.860830428455358</v>
      </c>
      <c r="L38" s="3">
        <v>69.223440598778168</v>
      </c>
    </row>
    <row r="39" spans="1:12" x14ac:dyDescent="0.3">
      <c r="A39" s="3">
        <v>20204</v>
      </c>
      <c r="B39" s="3" t="s">
        <v>111</v>
      </c>
      <c r="C39" s="3" t="s">
        <v>31</v>
      </c>
      <c r="D39" s="3" t="s">
        <v>365</v>
      </c>
      <c r="E39" s="3">
        <v>65.515218322390837</v>
      </c>
      <c r="F39" s="3">
        <v>29.546644683288999</v>
      </c>
      <c r="G39" s="3">
        <v>35.731872041959043</v>
      </c>
      <c r="H39" s="3">
        <v>43.59791168254629</v>
      </c>
      <c r="I39" s="3">
        <v>93.131144076219869</v>
      </c>
      <c r="J39" s="3">
        <v>54.239058295830617</v>
      </c>
      <c r="K39" s="3">
        <v>77.677114611505061</v>
      </c>
      <c r="L39" s="3">
        <v>75.015772327851849</v>
      </c>
    </row>
    <row r="40" spans="1:12" x14ac:dyDescent="0.3">
      <c r="A40" s="3">
        <v>20205</v>
      </c>
      <c r="B40" s="3" t="s">
        <v>112</v>
      </c>
      <c r="C40" s="3" t="s">
        <v>31</v>
      </c>
      <c r="D40" s="3" t="s">
        <v>365</v>
      </c>
      <c r="E40" s="3">
        <v>48.39484416734205</v>
      </c>
      <c r="F40" s="3">
        <v>58.003462763939517</v>
      </c>
      <c r="G40" s="3">
        <v>44.02649736790913</v>
      </c>
      <c r="H40" s="3">
        <v>50.141601433063563</v>
      </c>
      <c r="I40" s="3">
        <v>50.674447745453513</v>
      </c>
      <c r="J40" s="3">
        <v>79.350158180947133</v>
      </c>
      <c r="K40" s="3">
        <v>62.930700557135253</v>
      </c>
      <c r="L40" s="3">
        <v>64.318435494511974</v>
      </c>
    </row>
    <row r="41" spans="1:12" x14ac:dyDescent="0.3">
      <c r="A41" s="3">
        <v>20206</v>
      </c>
      <c r="B41" s="3" t="s">
        <v>116</v>
      </c>
      <c r="C41" s="3" t="s">
        <v>31</v>
      </c>
      <c r="D41" s="3" t="s">
        <v>365</v>
      </c>
      <c r="E41" s="3">
        <v>70.630793017427536</v>
      </c>
      <c r="F41" s="3">
        <v>70.630793017427536</v>
      </c>
      <c r="G41" s="3">
        <v>70.630793017427536</v>
      </c>
      <c r="H41" s="3">
        <v>70.630793017427536</v>
      </c>
      <c r="I41" s="3">
        <v>79.273094626937421</v>
      </c>
      <c r="J41" s="3">
        <v>87.169657430904991</v>
      </c>
      <c r="K41" s="3">
        <v>76.155474082350352</v>
      </c>
      <c r="L41" s="3">
        <v>80.86607538006426</v>
      </c>
    </row>
    <row r="42" spans="1:12" x14ac:dyDescent="0.3">
      <c r="A42" s="3">
        <v>20301</v>
      </c>
      <c r="B42" s="3" t="s">
        <v>68</v>
      </c>
      <c r="C42" s="3" t="s">
        <v>31</v>
      </c>
      <c r="D42" s="3" t="s">
        <v>369</v>
      </c>
      <c r="E42" s="3">
        <v>52.470915713163379</v>
      </c>
      <c r="F42" s="3">
        <v>55.776993548739092</v>
      </c>
      <c r="G42" s="3">
        <v>18.66676954457537</v>
      </c>
      <c r="H42" s="3">
        <v>42.30489293549261</v>
      </c>
      <c r="I42" s="3">
        <v>64.350160044644355</v>
      </c>
      <c r="J42" s="3">
        <v>83.677402266825055</v>
      </c>
      <c r="K42" s="3">
        <v>74.350155815086012</v>
      </c>
      <c r="L42" s="3">
        <v>74.125906042185136</v>
      </c>
    </row>
    <row r="43" spans="1:12" x14ac:dyDescent="0.3">
      <c r="A43" s="3">
        <v>20302</v>
      </c>
      <c r="B43" s="3" t="s">
        <v>69</v>
      </c>
      <c r="C43" s="3" t="s">
        <v>31</v>
      </c>
      <c r="D43" s="3" t="s">
        <v>369</v>
      </c>
      <c r="E43" s="3">
        <v>59.509454719611519</v>
      </c>
      <c r="F43" s="3">
        <v>65.456183044689283</v>
      </c>
      <c r="G43" s="3">
        <v>75.162210041809146</v>
      </c>
      <c r="H43" s="3">
        <v>66.709282602036652</v>
      </c>
      <c r="I43" s="3">
        <v>42.637961309064998</v>
      </c>
      <c r="J43" s="3">
        <v>76.194513986705616</v>
      </c>
      <c r="K43" s="3">
        <v>61.284243222033787</v>
      </c>
      <c r="L43" s="3">
        <v>60.038906172601465</v>
      </c>
    </row>
    <row r="44" spans="1:12" x14ac:dyDescent="0.3">
      <c r="A44" s="3">
        <v>20303</v>
      </c>
      <c r="B44" s="3" t="s">
        <v>70</v>
      </c>
      <c r="C44" s="3" t="s">
        <v>31</v>
      </c>
      <c r="D44" s="3" t="s">
        <v>369</v>
      </c>
      <c r="E44" s="3">
        <v>56.997178993161711</v>
      </c>
      <c r="F44" s="3">
        <v>16.608294771277741</v>
      </c>
      <c r="G44" s="3">
        <v>56.058760062021094</v>
      </c>
      <c r="H44" s="3">
        <v>43.221411275486844</v>
      </c>
      <c r="I44" s="3">
        <v>78.907453831996293</v>
      </c>
      <c r="J44" s="3">
        <v>81.999496141224313</v>
      </c>
      <c r="K44" s="3">
        <v>83.091672997614438</v>
      </c>
      <c r="L44" s="3">
        <v>81.332874323611676</v>
      </c>
    </row>
    <row r="45" spans="1:12" x14ac:dyDescent="0.3">
      <c r="A45" s="3">
        <v>20304</v>
      </c>
      <c r="B45" s="3" t="s">
        <v>71</v>
      </c>
      <c r="C45" s="3" t="s">
        <v>31</v>
      </c>
      <c r="D45" s="3" t="s">
        <v>369</v>
      </c>
      <c r="E45" s="3">
        <v>42.386425294338167</v>
      </c>
      <c r="F45" s="3">
        <v>33.41264293793504</v>
      </c>
      <c r="G45" s="3">
        <v>43.153897321543447</v>
      </c>
      <c r="H45" s="3">
        <v>39.650988517938885</v>
      </c>
      <c r="I45" s="3">
        <v>81.815375968826729</v>
      </c>
      <c r="J45" s="3">
        <v>53.65057995206746</v>
      </c>
      <c r="K45" s="3">
        <v>68.70059601340995</v>
      </c>
      <c r="L45" s="3">
        <v>68.055517311434713</v>
      </c>
    </row>
    <row r="46" spans="1:12" x14ac:dyDescent="0.3">
      <c r="A46" s="3">
        <v>20305</v>
      </c>
      <c r="B46" s="3" t="s">
        <v>72</v>
      </c>
      <c r="C46" s="3" t="s">
        <v>31</v>
      </c>
      <c r="D46" s="3" t="s">
        <v>369</v>
      </c>
      <c r="E46" s="3">
        <v>41.780131072676923</v>
      </c>
      <c r="F46" s="3">
        <v>49.238172729797533</v>
      </c>
      <c r="G46" s="3">
        <v>52.881348995240899</v>
      </c>
      <c r="H46" s="3">
        <v>47.966550932571785</v>
      </c>
      <c r="I46" s="3">
        <v>38.058396876724679</v>
      </c>
      <c r="J46" s="3">
        <v>58.641916995387547</v>
      </c>
      <c r="K46" s="3">
        <v>69.865493539417372</v>
      </c>
      <c r="L46" s="3">
        <v>55.521935803843199</v>
      </c>
    </row>
    <row r="47" spans="1:12" x14ac:dyDescent="0.3">
      <c r="A47" s="3">
        <v>20306</v>
      </c>
      <c r="B47" s="3" t="s">
        <v>73</v>
      </c>
      <c r="C47" s="3" t="s">
        <v>31</v>
      </c>
      <c r="D47" s="3" t="s">
        <v>369</v>
      </c>
      <c r="E47" s="3">
        <v>72.029781651137611</v>
      </c>
      <c r="F47" s="3">
        <v>70.613052521139323</v>
      </c>
      <c r="G47" s="3">
        <v>65.699107167221527</v>
      </c>
      <c r="H47" s="3">
        <v>69.447313779832825</v>
      </c>
      <c r="I47" s="3">
        <v>85.702732039388053</v>
      </c>
      <c r="J47" s="3">
        <v>71.302636290208042</v>
      </c>
      <c r="K47" s="3">
        <v>92.595858504714172</v>
      </c>
      <c r="L47" s="3">
        <v>83.200408944770075</v>
      </c>
    </row>
    <row r="48" spans="1:12" x14ac:dyDescent="0.3">
      <c r="A48" s="3">
        <v>20307</v>
      </c>
      <c r="B48" s="3" t="s">
        <v>74</v>
      </c>
      <c r="C48" s="3" t="s">
        <v>31</v>
      </c>
      <c r="D48" s="3" t="s">
        <v>369</v>
      </c>
      <c r="E48" s="3">
        <v>49.113674975534003</v>
      </c>
      <c r="F48" s="3">
        <v>61.372846751336482</v>
      </c>
      <c r="G48" s="3">
        <v>10.528596688582841</v>
      </c>
      <c r="H48" s="3">
        <v>40.338372805151103</v>
      </c>
      <c r="I48" s="3">
        <v>86.353534567287696</v>
      </c>
      <c r="J48" s="3">
        <v>43.054540146256592</v>
      </c>
      <c r="K48" s="3">
        <v>69.326251865983508</v>
      </c>
      <c r="L48" s="3">
        <v>66.244775526509272</v>
      </c>
    </row>
    <row r="49" spans="1:12" x14ac:dyDescent="0.3">
      <c r="A49" s="3">
        <v>20308</v>
      </c>
      <c r="B49" s="3" t="s">
        <v>75</v>
      </c>
      <c r="C49" s="3" t="s">
        <v>31</v>
      </c>
      <c r="D49" s="3" t="s">
        <v>369</v>
      </c>
      <c r="E49" s="3">
        <v>67.622581908975476</v>
      </c>
      <c r="F49" s="3">
        <v>42.437977472477129</v>
      </c>
      <c r="G49" s="3">
        <v>68.380113435136536</v>
      </c>
      <c r="H49" s="3">
        <v>59.480224272196381</v>
      </c>
      <c r="I49" s="3">
        <v>81.80143510033551</v>
      </c>
      <c r="J49" s="3">
        <v>68.581767763268559</v>
      </c>
      <c r="K49" s="3">
        <v>70.157309071338133</v>
      </c>
      <c r="L49" s="3">
        <v>73.513503978314077</v>
      </c>
    </row>
    <row r="50" spans="1:12" x14ac:dyDescent="0.3">
      <c r="A50" s="3">
        <v>20401</v>
      </c>
      <c r="B50" s="3" t="s">
        <v>76</v>
      </c>
      <c r="C50" s="3" t="s">
        <v>31</v>
      </c>
      <c r="D50" s="3" t="s">
        <v>370</v>
      </c>
      <c r="E50" s="3">
        <v>53.443963885896608</v>
      </c>
      <c r="F50" s="3">
        <v>28.80511025388704</v>
      </c>
      <c r="G50" s="3">
        <v>51.991889190303908</v>
      </c>
      <c r="H50" s="3">
        <v>44.746987776695846</v>
      </c>
      <c r="I50" s="3">
        <v>68.108037578141705</v>
      </c>
      <c r="J50" s="3">
        <v>66.007630709617644</v>
      </c>
      <c r="K50" s="3">
        <v>64.68949628417711</v>
      </c>
      <c r="L50" s="3">
        <v>66.268388190645496</v>
      </c>
    </row>
    <row r="51" spans="1:12" x14ac:dyDescent="0.3">
      <c r="A51" s="3">
        <v>20402</v>
      </c>
      <c r="B51" s="3" t="s">
        <v>77</v>
      </c>
      <c r="C51" s="3" t="s">
        <v>31</v>
      </c>
      <c r="D51" s="3" t="s">
        <v>370</v>
      </c>
      <c r="E51" s="3">
        <v>54.470546078795991</v>
      </c>
      <c r="F51" s="3">
        <v>64.686566180982894</v>
      </c>
      <c r="G51" s="3">
        <v>49.803675300984111</v>
      </c>
      <c r="H51" s="3">
        <v>56.320262520254325</v>
      </c>
      <c r="I51" s="3">
        <v>76.915606867719504</v>
      </c>
      <c r="J51" s="3">
        <v>66.970618357683136</v>
      </c>
      <c r="K51" s="3">
        <v>67.044594256495188</v>
      </c>
      <c r="L51" s="3">
        <v>70.310273160632619</v>
      </c>
    </row>
    <row r="52" spans="1:12" x14ac:dyDescent="0.3">
      <c r="A52" s="3">
        <v>20403</v>
      </c>
      <c r="B52" s="3" t="s">
        <v>78</v>
      </c>
      <c r="C52" s="3" t="s">
        <v>31</v>
      </c>
      <c r="D52" s="3" t="s">
        <v>370</v>
      </c>
      <c r="E52" s="3">
        <v>55.387154690931467</v>
      </c>
      <c r="F52" s="3">
        <v>47.493714826091633</v>
      </c>
      <c r="G52" s="3">
        <v>51.574055521177392</v>
      </c>
      <c r="H52" s="3">
        <v>51.484975012733493</v>
      </c>
      <c r="I52" s="3">
        <v>76.832820882241776</v>
      </c>
      <c r="J52" s="3">
        <v>83.978497520150015</v>
      </c>
      <c r="K52" s="3">
        <v>79.648172121725608</v>
      </c>
      <c r="L52" s="3">
        <v>80.153163508039142</v>
      </c>
    </row>
    <row r="53" spans="1:12" x14ac:dyDescent="0.3">
      <c r="A53" s="3">
        <v>20404</v>
      </c>
      <c r="B53" s="3" t="s">
        <v>114</v>
      </c>
      <c r="C53" s="3" t="s">
        <v>31</v>
      </c>
      <c r="D53" s="3" t="s">
        <v>370</v>
      </c>
      <c r="E53" s="3">
        <v>65.856370154899338</v>
      </c>
      <c r="F53" s="3">
        <v>63.521103815069523</v>
      </c>
      <c r="G53" s="3">
        <v>63.042815380800207</v>
      </c>
      <c r="H53" s="3">
        <v>64.140096450256351</v>
      </c>
      <c r="I53" s="3">
        <v>86.914909199055273</v>
      </c>
      <c r="J53" s="3">
        <v>70.279202686674139</v>
      </c>
      <c r="K53" s="3">
        <v>74.873922902310454</v>
      </c>
      <c r="L53" s="3">
        <v>77.356011596013289</v>
      </c>
    </row>
    <row r="54" spans="1:12" x14ac:dyDescent="0.3">
      <c r="A54" s="3">
        <v>20405</v>
      </c>
      <c r="B54" s="3" t="s">
        <v>113</v>
      </c>
      <c r="C54" s="3" t="s">
        <v>31</v>
      </c>
      <c r="D54" s="3" t="s">
        <v>370</v>
      </c>
      <c r="E54" s="3">
        <v>63.14762903132354</v>
      </c>
      <c r="F54" s="3">
        <v>44.980540564823059</v>
      </c>
      <c r="G54" s="3">
        <v>63.058852320242593</v>
      </c>
      <c r="H54" s="3">
        <v>57.0623406387964</v>
      </c>
      <c r="I54" s="3">
        <v>87.489274606373414</v>
      </c>
      <c r="J54" s="3">
        <v>77.365196684989812</v>
      </c>
      <c r="K54" s="3">
        <v>77.644688946096849</v>
      </c>
      <c r="L54" s="3">
        <v>80.833053412486677</v>
      </c>
    </row>
    <row r="55" spans="1:12" x14ac:dyDescent="0.3">
      <c r="A55" s="3">
        <v>20501</v>
      </c>
      <c r="B55" s="3" t="s">
        <v>65</v>
      </c>
      <c r="C55" s="3" t="s">
        <v>31</v>
      </c>
      <c r="D55" s="3" t="s">
        <v>368</v>
      </c>
      <c r="E55" s="3">
        <v>55.923689540448997</v>
      </c>
      <c r="F55" s="3">
        <v>54.30976801593841</v>
      </c>
      <c r="G55" s="3">
        <v>51.992184577550518</v>
      </c>
      <c r="H55" s="3">
        <v>54.075214044645975</v>
      </c>
      <c r="I55" s="3">
        <v>68.503143356497858</v>
      </c>
      <c r="J55" s="3">
        <v>64.264369967783452</v>
      </c>
      <c r="K55" s="3">
        <v>66.486860734531888</v>
      </c>
      <c r="L55" s="3">
        <v>66.418124686271071</v>
      </c>
    </row>
    <row r="56" spans="1:12" x14ac:dyDescent="0.3">
      <c r="A56" s="3">
        <v>20502</v>
      </c>
      <c r="B56" s="3" t="s">
        <v>66</v>
      </c>
      <c r="C56" s="3" t="s">
        <v>31</v>
      </c>
      <c r="D56" s="3" t="s">
        <v>368</v>
      </c>
      <c r="E56" s="3">
        <v>64.131478394079878</v>
      </c>
      <c r="F56" s="3">
        <v>66.393582691466491</v>
      </c>
      <c r="G56" s="3">
        <v>51.589063181385463</v>
      </c>
      <c r="H56" s="3">
        <v>60.704708088977277</v>
      </c>
      <c r="I56" s="3">
        <v>68.884071552855417</v>
      </c>
      <c r="J56" s="3">
        <v>66.502941564208001</v>
      </c>
      <c r="K56" s="3">
        <v>74.79804189454579</v>
      </c>
      <c r="L56" s="3">
        <v>70.061685003869741</v>
      </c>
    </row>
    <row r="57" spans="1:12" x14ac:dyDescent="0.3">
      <c r="A57" s="3">
        <v>20503</v>
      </c>
      <c r="B57" s="3" t="s">
        <v>67</v>
      </c>
      <c r="C57" s="3" t="s">
        <v>31</v>
      </c>
      <c r="D57" s="3" t="s">
        <v>368</v>
      </c>
      <c r="E57" s="3">
        <v>63.738291973958759</v>
      </c>
      <c r="F57" s="3">
        <v>71.113641673002618</v>
      </c>
      <c r="G57" s="3">
        <v>48.55842213892776</v>
      </c>
      <c r="H57" s="3">
        <v>61.136785261963048</v>
      </c>
      <c r="I57" s="3">
        <v>82.398516129551922</v>
      </c>
      <c r="J57" s="3">
        <v>70.096160136159497</v>
      </c>
      <c r="K57" s="3">
        <v>77.035209068618201</v>
      </c>
      <c r="L57" s="3">
        <v>76.509961778109869</v>
      </c>
    </row>
    <row r="58" spans="1:12" x14ac:dyDescent="0.3">
      <c r="A58" s="3">
        <v>20601</v>
      </c>
      <c r="B58" s="3" t="s">
        <v>56</v>
      </c>
      <c r="C58" s="3" t="s">
        <v>31</v>
      </c>
      <c r="D58" s="3" t="s">
        <v>366</v>
      </c>
      <c r="E58" s="3">
        <v>39.399985681951343</v>
      </c>
      <c r="F58" s="3">
        <v>27.960348511456012</v>
      </c>
      <c r="G58" s="3">
        <v>35.780114618788033</v>
      </c>
      <c r="H58" s="3">
        <v>34.380149604065132</v>
      </c>
      <c r="I58" s="3">
        <v>77.595618165822131</v>
      </c>
      <c r="J58" s="3">
        <v>75.506342211014328</v>
      </c>
      <c r="K58" s="3">
        <v>86.89278113162149</v>
      </c>
      <c r="L58" s="3">
        <v>79.998247169485992</v>
      </c>
    </row>
    <row r="59" spans="1:12" x14ac:dyDescent="0.3">
      <c r="A59" s="3">
        <v>20602</v>
      </c>
      <c r="B59" s="3" t="s">
        <v>57</v>
      </c>
      <c r="C59" s="3" t="s">
        <v>31</v>
      </c>
      <c r="D59" s="3" t="s">
        <v>366</v>
      </c>
      <c r="E59" s="3">
        <v>52.113644272043061</v>
      </c>
      <c r="F59" s="3">
        <v>68.43060971670873</v>
      </c>
      <c r="G59" s="3">
        <v>75.954413281600281</v>
      </c>
      <c r="H59" s="3">
        <v>65.499555756784034</v>
      </c>
      <c r="I59" s="3">
        <v>72.360106927178407</v>
      </c>
      <c r="J59" s="3">
        <v>79.907272417436943</v>
      </c>
      <c r="K59" s="3">
        <v>77.858452854521232</v>
      </c>
      <c r="L59" s="3">
        <v>76.708610733045518</v>
      </c>
    </row>
    <row r="60" spans="1:12" x14ac:dyDescent="0.3">
      <c r="A60" s="3">
        <v>20603</v>
      </c>
      <c r="B60" s="3" t="s">
        <v>58</v>
      </c>
      <c r="C60" s="3" t="s">
        <v>31</v>
      </c>
      <c r="D60" s="3" t="s">
        <v>366</v>
      </c>
      <c r="E60" s="3">
        <v>67.211899083585635</v>
      </c>
      <c r="F60" s="3">
        <v>61.815655556586456</v>
      </c>
      <c r="G60" s="3">
        <v>52.655739146782608</v>
      </c>
      <c r="H60" s="3">
        <v>60.561097928984907</v>
      </c>
      <c r="I60" s="3">
        <v>56.24171610129811</v>
      </c>
      <c r="J60" s="3">
        <v>60.640244740642032</v>
      </c>
      <c r="K60" s="3">
        <v>55.26753376391693</v>
      </c>
      <c r="L60" s="3">
        <v>57.383164868619019</v>
      </c>
    </row>
    <row r="61" spans="1:12" x14ac:dyDescent="0.3">
      <c r="A61" s="3">
        <v>20604</v>
      </c>
      <c r="B61" s="3" t="s">
        <v>60</v>
      </c>
      <c r="C61" s="3" t="s">
        <v>31</v>
      </c>
      <c r="D61" s="3" t="s">
        <v>366</v>
      </c>
      <c r="E61" s="3">
        <v>79.932594271969108</v>
      </c>
      <c r="F61" s="3">
        <v>70.388989118685558</v>
      </c>
      <c r="G61" s="3">
        <v>58.844918762683477</v>
      </c>
      <c r="H61" s="3">
        <v>69.722167384446053</v>
      </c>
      <c r="I61" s="3">
        <v>65.255283588772542</v>
      </c>
      <c r="J61" s="3">
        <v>67.795614819363777</v>
      </c>
      <c r="K61" s="3">
        <v>71.698462023954306</v>
      </c>
      <c r="L61" s="3">
        <v>68.249786810696875</v>
      </c>
    </row>
    <row r="62" spans="1:12" x14ac:dyDescent="0.3">
      <c r="A62" s="3">
        <v>20605</v>
      </c>
      <c r="B62" s="3" t="s">
        <v>61</v>
      </c>
      <c r="C62" s="3" t="s">
        <v>31</v>
      </c>
      <c r="D62" s="3" t="s">
        <v>366</v>
      </c>
      <c r="E62" s="3">
        <v>59.4001469648084</v>
      </c>
      <c r="F62" s="3">
        <v>66.27946658823312</v>
      </c>
      <c r="G62" s="3">
        <v>87.968105781154122</v>
      </c>
      <c r="H62" s="3">
        <v>71.215906444731885</v>
      </c>
      <c r="I62" s="3">
        <v>77.505047395678645</v>
      </c>
      <c r="J62" s="3">
        <v>70.897981969273118</v>
      </c>
      <c r="K62" s="3">
        <v>91.444418752850396</v>
      </c>
      <c r="L62" s="3">
        <v>79.949149372600715</v>
      </c>
    </row>
    <row r="63" spans="1:12" x14ac:dyDescent="0.3">
      <c r="A63" s="3">
        <v>20606</v>
      </c>
      <c r="B63" s="3" t="s">
        <v>59</v>
      </c>
      <c r="C63" s="3" t="s">
        <v>31</v>
      </c>
      <c r="D63" s="3" t="s">
        <v>366</v>
      </c>
      <c r="E63" s="3">
        <v>72.427150925146989</v>
      </c>
      <c r="F63" s="3">
        <v>53.616239661930997</v>
      </c>
      <c r="G63" s="3">
        <v>49.121562602320857</v>
      </c>
      <c r="H63" s="3">
        <v>58.388317729799617</v>
      </c>
      <c r="I63" s="3">
        <v>80.597639592753595</v>
      </c>
      <c r="J63" s="3">
        <v>78.208837715607075</v>
      </c>
      <c r="K63" s="3">
        <v>72.454628531238669</v>
      </c>
      <c r="L63" s="3">
        <v>77.087035279866441</v>
      </c>
    </row>
    <row r="64" spans="1:12" x14ac:dyDescent="0.3">
      <c r="A64" s="3">
        <v>20607</v>
      </c>
      <c r="B64" s="3" t="s">
        <v>106</v>
      </c>
      <c r="C64" s="3" t="s">
        <v>31</v>
      </c>
      <c r="D64" s="3" t="s">
        <v>366</v>
      </c>
      <c r="E64" s="3">
        <v>65.179281096103381</v>
      </c>
      <c r="F64" s="3">
        <v>47.798657296147702</v>
      </c>
      <c r="G64" s="3">
        <v>55.743367762229433</v>
      </c>
      <c r="H64" s="3">
        <v>56.240435384826839</v>
      </c>
      <c r="I64" s="3">
        <v>78.407568959753974</v>
      </c>
      <c r="J64" s="3">
        <v>71.658196154031714</v>
      </c>
      <c r="K64" s="3">
        <v>76.291437992544658</v>
      </c>
      <c r="L64" s="3">
        <v>75.452401035443458</v>
      </c>
    </row>
    <row r="65" spans="1:12" x14ac:dyDescent="0.3">
      <c r="A65" s="3">
        <v>20608</v>
      </c>
      <c r="B65" s="3" t="s">
        <v>107</v>
      </c>
      <c r="C65" s="3" t="s">
        <v>31</v>
      </c>
      <c r="D65" s="3" t="s">
        <v>366</v>
      </c>
      <c r="E65" s="3">
        <v>70.443680907188622</v>
      </c>
      <c r="F65" s="3">
        <v>57.204643186966372</v>
      </c>
      <c r="G65" s="3">
        <v>32.849570448522762</v>
      </c>
      <c r="H65" s="3">
        <v>53.499298180892588</v>
      </c>
      <c r="I65" s="3">
        <v>53.289718827357248</v>
      </c>
      <c r="J65" s="3">
        <v>75.194497938573107</v>
      </c>
      <c r="K65" s="3">
        <v>62.194980034138801</v>
      </c>
      <c r="L65" s="3">
        <v>63.559732266689714</v>
      </c>
    </row>
    <row r="66" spans="1:12" x14ac:dyDescent="0.3">
      <c r="A66" s="3">
        <v>20701</v>
      </c>
      <c r="B66" s="3" t="s">
        <v>79</v>
      </c>
      <c r="C66" s="3" t="s">
        <v>31</v>
      </c>
      <c r="D66" s="3" t="s">
        <v>371</v>
      </c>
      <c r="E66" s="3">
        <v>57.904600630638832</v>
      </c>
      <c r="F66" s="3">
        <v>62.922987496545971</v>
      </c>
      <c r="G66" s="3">
        <v>59.127480854343297</v>
      </c>
      <c r="H66" s="3">
        <v>59.985022993842705</v>
      </c>
      <c r="I66" s="3">
        <v>63.969623791194493</v>
      </c>
      <c r="J66" s="3">
        <v>64.570652405475087</v>
      </c>
      <c r="K66" s="3">
        <v>71.885773183357671</v>
      </c>
      <c r="L66" s="3">
        <v>66.80868312667576</v>
      </c>
    </row>
    <row r="67" spans="1:12" x14ac:dyDescent="0.3">
      <c r="A67" s="3">
        <v>20702</v>
      </c>
      <c r="B67" s="3" t="s">
        <v>80</v>
      </c>
      <c r="C67" s="3" t="s">
        <v>31</v>
      </c>
      <c r="D67" s="3" t="s">
        <v>371</v>
      </c>
      <c r="E67" s="3">
        <v>62.175845989099919</v>
      </c>
      <c r="F67" s="3">
        <v>56.589498195895587</v>
      </c>
      <c r="G67" s="3">
        <v>50.166015247060187</v>
      </c>
      <c r="H67" s="3">
        <v>56.310453144018567</v>
      </c>
      <c r="I67" s="3">
        <v>25.03004513673304</v>
      </c>
      <c r="J67" s="3">
        <v>52.10831948866722</v>
      </c>
      <c r="K67" s="3">
        <v>60.196153581096397</v>
      </c>
      <c r="L67" s="3">
        <v>45.778172735498885</v>
      </c>
    </row>
    <row r="68" spans="1:12" x14ac:dyDescent="0.3">
      <c r="A68" s="3">
        <v>20801</v>
      </c>
      <c r="B68" s="3" t="s">
        <v>36</v>
      </c>
      <c r="C68" s="3" t="s">
        <v>31</v>
      </c>
      <c r="D68" s="3" t="s">
        <v>361</v>
      </c>
      <c r="E68" s="3">
        <v>55.400492188335917</v>
      </c>
      <c r="F68" s="3">
        <v>57.9319163632128</v>
      </c>
      <c r="G68" s="3">
        <v>64.834361429178927</v>
      </c>
      <c r="H68" s="3">
        <v>59.388923326909214</v>
      </c>
      <c r="I68" s="3">
        <v>84.724480195727821</v>
      </c>
      <c r="J68" s="3">
        <v>85.743937689902879</v>
      </c>
      <c r="K68" s="3">
        <v>85.172446550631037</v>
      </c>
      <c r="L68" s="3">
        <v>85.213621478753907</v>
      </c>
    </row>
    <row r="69" spans="1:12" x14ac:dyDescent="0.3">
      <c r="A69" s="3">
        <v>20802</v>
      </c>
      <c r="B69" s="3" t="s">
        <v>37</v>
      </c>
      <c r="C69" s="3" t="s">
        <v>31</v>
      </c>
      <c r="D69" s="3" t="s">
        <v>361</v>
      </c>
      <c r="E69" s="3">
        <v>71.319954738489827</v>
      </c>
      <c r="F69" s="3">
        <v>79.420101738737827</v>
      </c>
      <c r="G69" s="3">
        <v>89.536470359089833</v>
      </c>
      <c r="H69" s="3">
        <v>80.092175612105834</v>
      </c>
      <c r="I69" s="3">
        <v>94.454003428183626</v>
      </c>
      <c r="J69" s="3">
        <v>67.379474753924754</v>
      </c>
      <c r="K69" s="3">
        <v>68.657246343255096</v>
      </c>
      <c r="L69" s="3">
        <v>76.830241508454492</v>
      </c>
    </row>
    <row r="70" spans="1:12" x14ac:dyDescent="0.3">
      <c r="A70" s="3">
        <v>20803</v>
      </c>
      <c r="B70" s="3" t="s">
        <v>38</v>
      </c>
      <c r="C70" s="3" t="s">
        <v>31</v>
      </c>
      <c r="D70" s="3" t="s">
        <v>361</v>
      </c>
      <c r="E70" s="3">
        <v>68.635122914015597</v>
      </c>
      <c r="F70" s="3">
        <v>58.394857750187988</v>
      </c>
      <c r="G70" s="3">
        <v>62.956602561387008</v>
      </c>
      <c r="H70" s="3">
        <v>63.328861075196862</v>
      </c>
      <c r="I70" s="3">
        <v>78.3272057102037</v>
      </c>
      <c r="J70" s="3">
        <v>79.097305656017127</v>
      </c>
      <c r="K70" s="3">
        <v>56.958815030379753</v>
      </c>
      <c r="L70" s="3">
        <v>71.46110879886686</v>
      </c>
    </row>
    <row r="71" spans="1:12" x14ac:dyDescent="0.3">
      <c r="A71" s="3">
        <v>20804</v>
      </c>
      <c r="B71" s="3" t="s">
        <v>39</v>
      </c>
      <c r="C71" s="3" t="s">
        <v>31</v>
      </c>
      <c r="D71" s="3" t="s">
        <v>361</v>
      </c>
      <c r="E71" s="3">
        <v>77.509992243634684</v>
      </c>
      <c r="F71" s="3">
        <v>68.368208528768903</v>
      </c>
      <c r="G71" s="3">
        <v>76.083270210008777</v>
      </c>
      <c r="H71" s="3">
        <v>73.987156994137464</v>
      </c>
      <c r="I71" s="3">
        <v>86.644861083279366</v>
      </c>
      <c r="J71" s="3">
        <v>81.91622732427345</v>
      </c>
      <c r="K71" s="3">
        <v>82.726119765958316</v>
      </c>
      <c r="L71" s="3">
        <v>83.762402724503701</v>
      </c>
    </row>
    <row r="72" spans="1:12" x14ac:dyDescent="0.3">
      <c r="A72" s="3">
        <v>20805</v>
      </c>
      <c r="B72" s="3" t="s">
        <v>108</v>
      </c>
      <c r="C72" s="3" t="s">
        <v>31</v>
      </c>
      <c r="D72" s="3" t="s">
        <v>361</v>
      </c>
      <c r="E72" s="3">
        <v>60.495997989198187</v>
      </c>
      <c r="F72" s="3">
        <v>74.643980243677419</v>
      </c>
      <c r="G72" s="3">
        <v>73.109962747185392</v>
      </c>
      <c r="H72" s="3">
        <v>69.416646993353666</v>
      </c>
      <c r="I72" s="3">
        <v>83.533896822562795</v>
      </c>
      <c r="J72" s="3">
        <v>76.458307653188839</v>
      </c>
      <c r="K72" s="3">
        <v>86.130432560868968</v>
      </c>
      <c r="L72" s="3">
        <v>82.040879012206872</v>
      </c>
    </row>
    <row r="73" spans="1:12" x14ac:dyDescent="0.3">
      <c r="A73" s="3">
        <v>20806</v>
      </c>
      <c r="B73" s="3" t="s">
        <v>109</v>
      </c>
      <c r="C73" s="3" t="s">
        <v>31</v>
      </c>
      <c r="D73" s="3" t="s">
        <v>361</v>
      </c>
      <c r="E73" s="3">
        <v>62.166143556003249</v>
      </c>
      <c r="F73" s="3">
        <v>54.738455290498159</v>
      </c>
      <c r="G73" s="3">
        <v>56.720200678922282</v>
      </c>
      <c r="H73" s="3">
        <v>57.87493317514123</v>
      </c>
      <c r="I73" s="3">
        <v>84.067912819313733</v>
      </c>
      <c r="J73" s="3">
        <v>64.088834679400762</v>
      </c>
      <c r="K73" s="3">
        <v>76.493255962407503</v>
      </c>
      <c r="L73" s="3">
        <v>74.883334487040656</v>
      </c>
    </row>
    <row r="74" spans="1:12" x14ac:dyDescent="0.3">
      <c r="A74" s="3">
        <v>20807</v>
      </c>
      <c r="B74" s="3" t="s">
        <v>110</v>
      </c>
      <c r="C74" s="3" t="s">
        <v>31</v>
      </c>
      <c r="D74" s="3" t="s">
        <v>361</v>
      </c>
      <c r="E74" s="3">
        <v>55.709701565777358</v>
      </c>
      <c r="F74" s="3">
        <v>64.543613812746486</v>
      </c>
      <c r="G74" s="3">
        <v>64.906000107784493</v>
      </c>
      <c r="H74" s="3">
        <v>61.719771828769446</v>
      </c>
      <c r="I74" s="3">
        <v>83.597568489105399</v>
      </c>
      <c r="J74" s="3">
        <v>70.177676782425962</v>
      </c>
      <c r="K74" s="3">
        <v>68.273375085448322</v>
      </c>
      <c r="L74" s="3">
        <v>74.01620678565989</v>
      </c>
    </row>
    <row r="75" spans="1:12" x14ac:dyDescent="0.3">
      <c r="A75" s="3">
        <v>20901</v>
      </c>
      <c r="B75" s="3" t="s">
        <v>81</v>
      </c>
      <c r="C75" s="3" t="s">
        <v>31</v>
      </c>
      <c r="D75" s="3" t="s">
        <v>372</v>
      </c>
      <c r="E75" s="3">
        <v>67.980023256711092</v>
      </c>
      <c r="F75" s="3">
        <v>49.663731207936912</v>
      </c>
      <c r="G75" s="3">
        <v>63.877364524702656</v>
      </c>
      <c r="H75" s="3">
        <v>60.507039663116892</v>
      </c>
      <c r="I75" s="3">
        <v>81.779080688729508</v>
      </c>
      <c r="J75" s="3">
        <v>71.103253297625756</v>
      </c>
      <c r="K75" s="3">
        <v>83.09668539899036</v>
      </c>
      <c r="L75" s="3">
        <v>78.659673128448546</v>
      </c>
    </row>
    <row r="76" spans="1:12" x14ac:dyDescent="0.3">
      <c r="A76" s="3">
        <v>20902</v>
      </c>
      <c r="B76" s="3" t="s">
        <v>82</v>
      </c>
      <c r="C76" s="3" t="s">
        <v>31</v>
      </c>
      <c r="D76" s="3" t="s">
        <v>372</v>
      </c>
      <c r="E76" s="3">
        <v>51.681030612175981</v>
      </c>
      <c r="F76" s="3">
        <v>45.94692211425172</v>
      </c>
      <c r="G76" s="3">
        <v>55.597425951801753</v>
      </c>
      <c r="H76" s="3">
        <v>51.075126226076485</v>
      </c>
      <c r="I76" s="3">
        <v>84.858201427174492</v>
      </c>
      <c r="J76" s="3">
        <v>78.570463005454769</v>
      </c>
      <c r="K76" s="3">
        <v>84.155966000316752</v>
      </c>
      <c r="L76" s="3">
        <v>82.528210144315338</v>
      </c>
    </row>
    <row r="77" spans="1:12" x14ac:dyDescent="0.3">
      <c r="A77" s="3">
        <v>20903</v>
      </c>
      <c r="B77" s="3" t="s">
        <v>83</v>
      </c>
      <c r="C77" s="3" t="s">
        <v>31</v>
      </c>
      <c r="D77" s="3" t="s">
        <v>372</v>
      </c>
      <c r="E77" s="3">
        <v>49.857253129854968</v>
      </c>
      <c r="F77" s="3">
        <v>59.188963597460592</v>
      </c>
      <c r="G77" s="3">
        <v>59.513030861766502</v>
      </c>
      <c r="H77" s="3">
        <v>56.186415863027356</v>
      </c>
      <c r="I77" s="3">
        <v>66.836971251699183</v>
      </c>
      <c r="J77" s="3">
        <v>75.369301392498457</v>
      </c>
      <c r="K77" s="3">
        <v>69.136601884116118</v>
      </c>
      <c r="L77" s="3">
        <v>70.447624842771248</v>
      </c>
    </row>
    <row r="78" spans="1:12" x14ac:dyDescent="0.3">
      <c r="A78" s="3">
        <v>20904</v>
      </c>
      <c r="B78" s="3" t="s">
        <v>84</v>
      </c>
      <c r="C78" s="3" t="s">
        <v>31</v>
      </c>
      <c r="D78" s="3" t="s">
        <v>372</v>
      </c>
      <c r="E78" s="3">
        <v>22.830513980122031</v>
      </c>
      <c r="F78" s="3">
        <v>46.1238786741295</v>
      </c>
      <c r="G78" s="3">
        <v>60.026007278363828</v>
      </c>
      <c r="H78" s="3">
        <v>42.993466644205121</v>
      </c>
      <c r="I78" s="3">
        <v>90.855903002192719</v>
      </c>
      <c r="J78" s="3">
        <v>75.171173738245528</v>
      </c>
      <c r="K78" s="3">
        <v>74.82567249353589</v>
      </c>
      <c r="L78" s="3">
        <v>80.284249744658041</v>
      </c>
    </row>
    <row r="79" spans="1:12" x14ac:dyDescent="0.3">
      <c r="A79" s="3">
        <v>20905</v>
      </c>
      <c r="B79" s="3" t="s">
        <v>85</v>
      </c>
      <c r="C79" s="3" t="s">
        <v>31</v>
      </c>
      <c r="D79" s="3" t="s">
        <v>372</v>
      </c>
      <c r="E79" s="3">
        <v>81.775164991810072</v>
      </c>
      <c r="F79" s="3">
        <v>75.583474193176798</v>
      </c>
      <c r="G79" s="3">
        <v>39.886997677980943</v>
      </c>
      <c r="H79" s="3">
        <v>65.748545620989276</v>
      </c>
      <c r="I79" s="3">
        <v>77.466374569699525</v>
      </c>
      <c r="J79" s="3">
        <v>85.522939279006593</v>
      </c>
      <c r="K79" s="3">
        <v>66.148359281588796</v>
      </c>
      <c r="L79" s="3">
        <v>76.379224376764967</v>
      </c>
    </row>
    <row r="80" spans="1:12" x14ac:dyDescent="0.3">
      <c r="A80" s="3">
        <v>21001</v>
      </c>
      <c r="B80" s="3" t="s">
        <v>48</v>
      </c>
      <c r="C80" s="3" t="s">
        <v>31</v>
      </c>
      <c r="D80" s="3" t="s">
        <v>364</v>
      </c>
      <c r="E80" s="3">
        <v>66.035174517098909</v>
      </c>
      <c r="F80" s="3">
        <v>70.442589310953409</v>
      </c>
      <c r="G80" s="3">
        <v>69.310027999976825</v>
      </c>
      <c r="H80" s="3">
        <v>68.595930609343057</v>
      </c>
      <c r="I80" s="3">
        <v>69.341627563335479</v>
      </c>
      <c r="J80" s="3">
        <v>73.195993281753374</v>
      </c>
      <c r="K80" s="3">
        <v>80.083227556949993</v>
      </c>
      <c r="L80" s="3">
        <v>74.206949467346277</v>
      </c>
    </row>
    <row r="81" spans="1:12" x14ac:dyDescent="0.3">
      <c r="A81" s="3">
        <v>21002</v>
      </c>
      <c r="B81" s="3" t="s">
        <v>49</v>
      </c>
      <c r="C81" s="3" t="s">
        <v>31</v>
      </c>
      <c r="D81" s="3" t="s">
        <v>364</v>
      </c>
      <c r="E81" s="3">
        <v>79.144534575149521</v>
      </c>
      <c r="F81" s="3">
        <v>78.084528052630091</v>
      </c>
      <c r="G81" s="3">
        <v>51.846937376660328</v>
      </c>
      <c r="H81" s="3">
        <v>69.692000001479983</v>
      </c>
      <c r="I81" s="3">
        <v>73.660915221952578</v>
      </c>
      <c r="J81" s="3">
        <v>67.286267042177641</v>
      </c>
      <c r="K81" s="3">
        <v>57.791289104317947</v>
      </c>
      <c r="L81" s="3">
        <v>66.246157122816058</v>
      </c>
    </row>
    <row r="82" spans="1:12" x14ac:dyDescent="0.3">
      <c r="A82" s="3">
        <v>21003</v>
      </c>
      <c r="B82" s="3" t="s">
        <v>50</v>
      </c>
      <c r="C82" s="3" t="s">
        <v>31</v>
      </c>
      <c r="D82" s="3" t="s">
        <v>364</v>
      </c>
      <c r="E82" s="3">
        <v>68.790630276111344</v>
      </c>
      <c r="F82" s="3">
        <v>54.747407165783748</v>
      </c>
      <c r="G82" s="3">
        <v>66.968929320103598</v>
      </c>
      <c r="H82" s="3">
        <v>63.502322253999559</v>
      </c>
      <c r="I82" s="3">
        <v>92.192308379035211</v>
      </c>
      <c r="J82" s="3">
        <v>71.650573475153465</v>
      </c>
      <c r="K82" s="3">
        <v>86.231879278753865</v>
      </c>
      <c r="L82" s="3">
        <v>83.358253710980847</v>
      </c>
    </row>
    <row r="83" spans="1:12" x14ac:dyDescent="0.3">
      <c r="A83" s="3">
        <v>21004</v>
      </c>
      <c r="B83" s="3" t="s">
        <v>51</v>
      </c>
      <c r="C83" s="3" t="s">
        <v>31</v>
      </c>
      <c r="D83" s="3" t="s">
        <v>364</v>
      </c>
      <c r="E83" s="3">
        <v>59.155113016576891</v>
      </c>
      <c r="F83" s="3">
        <v>66.603760104108147</v>
      </c>
      <c r="G83" s="3">
        <v>50.152960867632359</v>
      </c>
      <c r="H83" s="3">
        <v>58.637277996105801</v>
      </c>
      <c r="I83" s="3">
        <v>85.253351264939511</v>
      </c>
      <c r="J83" s="3">
        <v>74.606501728488041</v>
      </c>
      <c r="K83" s="3">
        <v>75.731845231481415</v>
      </c>
      <c r="L83" s="3">
        <v>78.530566074969656</v>
      </c>
    </row>
    <row r="84" spans="1:12" x14ac:dyDescent="0.3">
      <c r="A84" s="3">
        <v>21005</v>
      </c>
      <c r="B84" s="3" t="s">
        <v>52</v>
      </c>
      <c r="C84" s="3" t="s">
        <v>31</v>
      </c>
      <c r="D84" s="3" t="s">
        <v>364</v>
      </c>
      <c r="E84" s="3">
        <v>46.816964133964127</v>
      </c>
      <c r="F84" s="3">
        <v>59.143972626360352</v>
      </c>
      <c r="G84" s="3">
        <v>61.528508496730069</v>
      </c>
      <c r="H84" s="3">
        <v>55.829815085684849</v>
      </c>
      <c r="I84" s="3">
        <v>74.640417450332706</v>
      </c>
      <c r="J84" s="3">
        <v>78.099479924522839</v>
      </c>
      <c r="K84" s="3">
        <v>67.6896897419699</v>
      </c>
      <c r="L84" s="3">
        <v>73.47652903894182</v>
      </c>
    </row>
    <row r="85" spans="1:12" x14ac:dyDescent="0.3">
      <c r="A85" s="3">
        <v>21006</v>
      </c>
      <c r="B85" s="3" t="s">
        <v>53</v>
      </c>
      <c r="C85" s="3" t="s">
        <v>31</v>
      </c>
      <c r="D85" s="3" t="s">
        <v>364</v>
      </c>
      <c r="E85" s="3">
        <v>69.78073793682421</v>
      </c>
      <c r="F85" s="3">
        <v>52.736041344947751</v>
      </c>
      <c r="G85" s="3">
        <v>33.191437450852924</v>
      </c>
      <c r="H85" s="3">
        <v>51.902738910874966</v>
      </c>
      <c r="I85" s="3">
        <v>89.942005684738362</v>
      </c>
      <c r="J85" s="3">
        <v>71.339932226985766</v>
      </c>
      <c r="K85" s="3">
        <v>66.088526828980179</v>
      </c>
      <c r="L85" s="3">
        <v>75.790154913568102</v>
      </c>
    </row>
    <row r="86" spans="1:12" x14ac:dyDescent="0.3">
      <c r="A86" s="3">
        <v>21101</v>
      </c>
      <c r="B86" s="3" t="s">
        <v>86</v>
      </c>
      <c r="C86" s="3" t="s">
        <v>31</v>
      </c>
      <c r="D86" s="3" t="s">
        <v>373</v>
      </c>
      <c r="E86" s="3">
        <v>38.522156206537097</v>
      </c>
      <c r="F86" s="3">
        <v>38.550026523995747</v>
      </c>
      <c r="G86" s="3">
        <v>55.844512805390373</v>
      </c>
      <c r="H86" s="3">
        <v>44.305565178641075</v>
      </c>
      <c r="I86" s="3">
        <v>64.253754698779915</v>
      </c>
      <c r="J86" s="3">
        <v>85.665968777510798</v>
      </c>
      <c r="K86" s="3">
        <v>67.171303261766482</v>
      </c>
      <c r="L86" s="3">
        <v>72.363675579352389</v>
      </c>
    </row>
    <row r="87" spans="1:12" x14ac:dyDescent="0.3">
      <c r="A87" s="3">
        <v>21102</v>
      </c>
      <c r="B87" s="3" t="s">
        <v>87</v>
      </c>
      <c r="C87" s="3" t="s">
        <v>31</v>
      </c>
      <c r="D87" s="3" t="s">
        <v>373</v>
      </c>
      <c r="E87" s="3">
        <v>60.491668324232052</v>
      </c>
      <c r="F87" s="3">
        <v>56.743340560793001</v>
      </c>
      <c r="G87" s="3">
        <v>68.443203319123555</v>
      </c>
      <c r="H87" s="3">
        <v>61.892737401382874</v>
      </c>
      <c r="I87" s="3">
        <v>88.80272463831956</v>
      </c>
      <c r="J87" s="3">
        <v>71.780585638790811</v>
      </c>
      <c r="K87" s="3">
        <v>73.245529429534344</v>
      </c>
      <c r="L87" s="3">
        <v>77.942946568881567</v>
      </c>
    </row>
    <row r="88" spans="1:12" x14ac:dyDescent="0.3">
      <c r="A88" s="3">
        <v>21103</v>
      </c>
      <c r="B88" s="3" t="s">
        <v>88</v>
      </c>
      <c r="C88" s="3" t="s">
        <v>31</v>
      </c>
      <c r="D88" s="3" t="s">
        <v>373</v>
      </c>
      <c r="E88" s="3">
        <v>56.652497460457568</v>
      </c>
      <c r="F88" s="3">
        <v>61.302618581836207</v>
      </c>
      <c r="G88" s="3">
        <v>69.13221185404079</v>
      </c>
      <c r="H88" s="3">
        <v>62.362442632111517</v>
      </c>
      <c r="I88" s="3">
        <v>88.981873538133044</v>
      </c>
      <c r="J88" s="3">
        <v>78.713893319243184</v>
      </c>
      <c r="K88" s="3">
        <v>79.817547233053958</v>
      </c>
      <c r="L88" s="3">
        <v>82.50443803014339</v>
      </c>
    </row>
    <row r="89" spans="1:12" x14ac:dyDescent="0.3">
      <c r="A89" s="3">
        <v>21104</v>
      </c>
      <c r="B89" s="3" t="s">
        <v>89</v>
      </c>
      <c r="C89" s="3" t="s">
        <v>31</v>
      </c>
      <c r="D89" s="3" t="s">
        <v>373</v>
      </c>
      <c r="E89" s="3">
        <v>52.372901538456581</v>
      </c>
      <c r="F89" s="3">
        <v>75.422029013097529</v>
      </c>
      <c r="G89" s="3">
        <v>69.761864558694015</v>
      </c>
      <c r="H89" s="3">
        <v>65.852265036749372</v>
      </c>
      <c r="I89" s="3">
        <v>87.718769387028914</v>
      </c>
      <c r="J89" s="3">
        <v>85.218405540397114</v>
      </c>
      <c r="K89" s="3">
        <v>74.758003194660247</v>
      </c>
      <c r="L89" s="3">
        <v>82.565059374028763</v>
      </c>
    </row>
    <row r="90" spans="1:12" x14ac:dyDescent="0.3">
      <c r="A90" s="3">
        <v>21105</v>
      </c>
      <c r="B90" s="3" t="s">
        <v>90</v>
      </c>
      <c r="C90" s="3" t="s">
        <v>31</v>
      </c>
      <c r="D90" s="3" t="s">
        <v>373</v>
      </c>
      <c r="E90" s="3">
        <v>51.174835667690097</v>
      </c>
      <c r="F90" s="3">
        <v>58.395066339701913</v>
      </c>
      <c r="G90" s="3">
        <v>65.936189962247454</v>
      </c>
      <c r="H90" s="3">
        <v>58.502030656546488</v>
      </c>
      <c r="I90" s="3">
        <v>84.457735167222467</v>
      </c>
      <c r="J90" s="3">
        <v>82.407640797375919</v>
      </c>
      <c r="K90" s="3">
        <v>79.616461003709873</v>
      </c>
      <c r="L90" s="3">
        <v>82.160612322769424</v>
      </c>
    </row>
    <row r="91" spans="1:12" x14ac:dyDescent="0.3">
      <c r="A91" s="3">
        <v>21201</v>
      </c>
      <c r="B91" s="3" t="s">
        <v>91</v>
      </c>
      <c r="C91" s="3" t="s">
        <v>31</v>
      </c>
      <c r="D91" s="3" t="s">
        <v>374</v>
      </c>
      <c r="E91" s="3">
        <v>61.178316564066208</v>
      </c>
      <c r="F91" s="3">
        <v>64.820889692207317</v>
      </c>
      <c r="G91" s="3">
        <v>62.205752167555183</v>
      </c>
      <c r="H91" s="3">
        <v>62.734986141276238</v>
      </c>
      <c r="I91" s="3">
        <v>82.062924804997166</v>
      </c>
      <c r="J91" s="3">
        <v>76.422102391759736</v>
      </c>
      <c r="K91" s="3">
        <v>86.057142467687555</v>
      </c>
      <c r="L91" s="3">
        <v>81.514056554814815</v>
      </c>
    </row>
    <row r="92" spans="1:12" x14ac:dyDescent="0.3">
      <c r="A92" s="3">
        <v>21202</v>
      </c>
      <c r="B92" s="3" t="s">
        <v>92</v>
      </c>
      <c r="C92" s="3" t="s">
        <v>31</v>
      </c>
      <c r="D92" s="3" t="s">
        <v>374</v>
      </c>
      <c r="E92" s="3">
        <v>40.555671216994241</v>
      </c>
      <c r="F92" s="3">
        <v>45.752216927980662</v>
      </c>
      <c r="G92" s="3">
        <v>56.554165906261808</v>
      </c>
      <c r="H92" s="3">
        <v>47.620684683745566</v>
      </c>
      <c r="I92" s="3">
        <v>81.758783528543972</v>
      </c>
      <c r="J92" s="3">
        <v>71.599199722496905</v>
      </c>
      <c r="K92" s="3">
        <v>89.734338903758086</v>
      </c>
      <c r="L92" s="3">
        <v>81.030774051599664</v>
      </c>
    </row>
    <row r="93" spans="1:12" x14ac:dyDescent="0.3">
      <c r="A93" s="3">
        <v>21203</v>
      </c>
      <c r="B93" s="3" t="s">
        <v>93</v>
      </c>
      <c r="C93" s="3" t="s">
        <v>31</v>
      </c>
      <c r="D93" s="3" t="s">
        <v>374</v>
      </c>
      <c r="E93" s="3">
        <v>42.044454404688423</v>
      </c>
      <c r="F93" s="3">
        <v>47.096838096848401</v>
      </c>
      <c r="G93" s="3">
        <v>55.652186298295547</v>
      </c>
      <c r="H93" s="3">
        <v>48.264492933277459</v>
      </c>
      <c r="I93" s="3">
        <v>58.549102987660909</v>
      </c>
      <c r="J93" s="3">
        <v>72.217661203481043</v>
      </c>
      <c r="K93" s="3">
        <v>80.960717829140862</v>
      </c>
      <c r="L93" s="3">
        <v>70.575827340094278</v>
      </c>
    </row>
    <row r="94" spans="1:12" x14ac:dyDescent="0.3">
      <c r="A94" s="3">
        <v>21204</v>
      </c>
      <c r="B94" s="3" t="s">
        <v>94</v>
      </c>
      <c r="C94" s="3" t="s">
        <v>31</v>
      </c>
      <c r="D94" s="3" t="s">
        <v>374</v>
      </c>
      <c r="E94" s="3">
        <v>72.979591586328212</v>
      </c>
      <c r="F94" s="3">
        <v>29.591043218283389</v>
      </c>
      <c r="G94" s="3">
        <v>50.256539147909997</v>
      </c>
      <c r="H94" s="3">
        <v>50.942391317507202</v>
      </c>
      <c r="I94" s="3">
        <v>61.753457231335929</v>
      </c>
      <c r="J94" s="3">
        <v>87.51346335136347</v>
      </c>
      <c r="K94" s="3">
        <v>85.252651060505784</v>
      </c>
      <c r="L94" s="3">
        <v>78.173190547735075</v>
      </c>
    </row>
    <row r="95" spans="1:12" x14ac:dyDescent="0.3">
      <c r="A95" s="3">
        <v>21301</v>
      </c>
      <c r="B95" s="3" t="s">
        <v>41</v>
      </c>
      <c r="C95" s="3" t="s">
        <v>31</v>
      </c>
      <c r="D95" s="3" t="s">
        <v>363</v>
      </c>
      <c r="E95" s="3">
        <v>81.10948709343748</v>
      </c>
      <c r="F95" s="3">
        <v>77.09418578551724</v>
      </c>
      <c r="G95" s="3">
        <v>78.264891947697706</v>
      </c>
      <c r="H95" s="3">
        <v>78.822854942217475</v>
      </c>
      <c r="I95" s="3">
        <v>83.334071557276076</v>
      </c>
      <c r="J95" s="3">
        <v>86.991688714114929</v>
      </c>
      <c r="K95" s="3">
        <v>77.172542334433018</v>
      </c>
      <c r="L95" s="3">
        <v>82.499434201941341</v>
      </c>
    </row>
    <row r="96" spans="1:12" x14ac:dyDescent="0.3">
      <c r="A96" s="3">
        <v>21302</v>
      </c>
      <c r="B96" s="3" t="s">
        <v>42</v>
      </c>
      <c r="C96" s="3" t="s">
        <v>31</v>
      </c>
      <c r="D96" s="3" t="s">
        <v>363</v>
      </c>
      <c r="E96" s="3">
        <v>54.972319303277622</v>
      </c>
      <c r="F96" s="3">
        <v>53.560440329284873</v>
      </c>
      <c r="G96" s="3">
        <v>60.850540069251252</v>
      </c>
      <c r="H96" s="3">
        <v>56.46109990060458</v>
      </c>
      <c r="I96" s="3">
        <v>92.010588092375968</v>
      </c>
      <c r="J96" s="3">
        <v>81.590944322060764</v>
      </c>
      <c r="K96" s="3">
        <v>71.900524886886757</v>
      </c>
      <c r="L96" s="3">
        <v>81.834019100441168</v>
      </c>
    </row>
    <row r="97" spans="1:12" x14ac:dyDescent="0.3">
      <c r="A97" s="3">
        <v>21303</v>
      </c>
      <c r="B97" s="3" t="s">
        <v>43</v>
      </c>
      <c r="C97" s="3" t="s">
        <v>31</v>
      </c>
      <c r="D97" s="3" t="s">
        <v>363</v>
      </c>
      <c r="E97" s="3">
        <v>48.185969801527378</v>
      </c>
      <c r="F97" s="3">
        <v>61.837711697207993</v>
      </c>
      <c r="G97" s="3">
        <v>61.006903771399969</v>
      </c>
      <c r="H97" s="3">
        <v>57.010195090045109</v>
      </c>
      <c r="I97" s="3">
        <v>75.43308554590152</v>
      </c>
      <c r="J97" s="3">
        <v>71.932565341637016</v>
      </c>
      <c r="K97" s="3">
        <v>51.243854186900712</v>
      </c>
      <c r="L97" s="3">
        <v>66.203168358146414</v>
      </c>
    </row>
    <row r="98" spans="1:12" x14ac:dyDescent="0.3">
      <c r="A98" s="3">
        <v>21304</v>
      </c>
      <c r="B98" s="3" t="s">
        <v>44</v>
      </c>
      <c r="C98" s="3" t="s">
        <v>31</v>
      </c>
      <c r="D98" s="3" t="s">
        <v>363</v>
      </c>
      <c r="E98" s="3">
        <v>62.595716337431071</v>
      </c>
      <c r="F98" s="3">
        <v>61.696547190244608</v>
      </c>
      <c r="G98" s="3">
        <v>56.076171124377382</v>
      </c>
      <c r="H98" s="3">
        <v>60.122811550684354</v>
      </c>
      <c r="I98" s="3">
        <v>93.115908032268905</v>
      </c>
      <c r="J98" s="3">
        <v>69.068561613580655</v>
      </c>
      <c r="K98" s="3">
        <v>63.948668125404467</v>
      </c>
      <c r="L98" s="3">
        <v>75.377712590418014</v>
      </c>
    </row>
    <row r="99" spans="1:12" x14ac:dyDescent="0.3">
      <c r="A99" s="3">
        <v>21305</v>
      </c>
      <c r="B99" s="3" t="s">
        <v>45</v>
      </c>
      <c r="C99" s="3" t="s">
        <v>31</v>
      </c>
      <c r="D99" s="3" t="s">
        <v>363</v>
      </c>
      <c r="E99" s="3">
        <v>87.611611601707494</v>
      </c>
      <c r="F99" s="3">
        <v>82.317783790060943</v>
      </c>
      <c r="G99" s="3">
        <v>67.040508422419251</v>
      </c>
      <c r="H99" s="3">
        <v>78.989967938062549</v>
      </c>
      <c r="I99" s="3">
        <v>90.644641605862759</v>
      </c>
      <c r="J99" s="3">
        <v>76.177740609502024</v>
      </c>
      <c r="K99" s="3">
        <v>78.936009067844196</v>
      </c>
      <c r="L99" s="3">
        <v>81.91946376106965</v>
      </c>
    </row>
    <row r="100" spans="1:12" x14ac:dyDescent="0.3">
      <c r="A100" s="3">
        <v>21306</v>
      </c>
      <c r="B100" s="3" t="s">
        <v>46</v>
      </c>
      <c r="C100" s="3" t="s">
        <v>31</v>
      </c>
      <c r="D100" s="3" t="s">
        <v>363</v>
      </c>
      <c r="E100" s="3">
        <v>46.16444699757988</v>
      </c>
      <c r="F100" s="3">
        <v>52.96434392939058</v>
      </c>
      <c r="G100" s="3">
        <v>41.549950827573369</v>
      </c>
      <c r="H100" s="3">
        <v>46.892913918181272</v>
      </c>
      <c r="I100" s="3">
        <v>70.516839345001245</v>
      </c>
      <c r="J100" s="3">
        <v>86.117844716681986</v>
      </c>
      <c r="K100" s="3">
        <v>71.507380553017057</v>
      </c>
      <c r="L100" s="3">
        <v>76.047354871566768</v>
      </c>
    </row>
    <row r="101" spans="1:12" x14ac:dyDescent="0.3">
      <c r="A101" s="3">
        <v>21307</v>
      </c>
      <c r="B101" s="3" t="s">
        <v>47</v>
      </c>
      <c r="C101" s="3" t="s">
        <v>31</v>
      </c>
      <c r="D101" s="3" t="s">
        <v>363</v>
      </c>
      <c r="E101" s="3">
        <v>55.066893217377043</v>
      </c>
      <c r="F101" s="3">
        <v>63.726551273917863</v>
      </c>
      <c r="G101" s="3">
        <v>65.212833654302571</v>
      </c>
      <c r="H101" s="3">
        <v>61.335426048532497</v>
      </c>
      <c r="I101" s="3">
        <v>78.884698345989051</v>
      </c>
      <c r="J101" s="3">
        <v>73.346509255161138</v>
      </c>
      <c r="K101" s="3">
        <v>59.64511456436454</v>
      </c>
      <c r="L101" s="3">
        <v>70.625440721838245</v>
      </c>
    </row>
    <row r="102" spans="1:12" x14ac:dyDescent="0.3">
      <c r="A102" s="3">
        <v>21401</v>
      </c>
      <c r="B102" s="3" t="s">
        <v>95</v>
      </c>
      <c r="C102" s="3" t="s">
        <v>31</v>
      </c>
      <c r="D102" s="3" t="s">
        <v>375</v>
      </c>
      <c r="E102" s="3">
        <v>74.509796363514383</v>
      </c>
      <c r="F102" s="3">
        <v>75.488687725974003</v>
      </c>
      <c r="G102" s="3">
        <v>67.476491941226641</v>
      </c>
      <c r="H102" s="3">
        <v>72.491658676905004</v>
      </c>
      <c r="I102" s="3">
        <v>64.922953640616171</v>
      </c>
      <c r="J102" s="3">
        <v>80.308069478026482</v>
      </c>
      <c r="K102" s="3">
        <v>74.973218627853711</v>
      </c>
      <c r="L102" s="3">
        <v>73.401413915498793</v>
      </c>
    </row>
    <row r="103" spans="1:12" x14ac:dyDescent="0.3">
      <c r="A103" s="3">
        <v>21402</v>
      </c>
      <c r="B103" s="3" t="s">
        <v>96</v>
      </c>
      <c r="C103" s="3" t="s">
        <v>31</v>
      </c>
      <c r="D103" s="3" t="s">
        <v>375</v>
      </c>
      <c r="E103" s="3">
        <v>62.034733723643058</v>
      </c>
      <c r="F103" s="3">
        <v>45.839593629865732</v>
      </c>
      <c r="G103" s="3">
        <v>43.490515696038713</v>
      </c>
      <c r="H103" s="3">
        <v>50.454947683182503</v>
      </c>
      <c r="I103" s="3">
        <v>82.515140767321327</v>
      </c>
      <c r="J103" s="3">
        <v>83.122935996398567</v>
      </c>
      <c r="K103" s="3">
        <v>66.292282765168238</v>
      </c>
      <c r="L103" s="3">
        <v>77.310119842962706</v>
      </c>
    </row>
    <row r="104" spans="1:12" x14ac:dyDescent="0.3">
      <c r="A104" s="3">
        <v>21501</v>
      </c>
      <c r="B104" s="3" t="s">
        <v>97</v>
      </c>
      <c r="C104" s="3" t="s">
        <v>31</v>
      </c>
      <c r="D104" s="3" t="s">
        <v>376</v>
      </c>
      <c r="E104" s="3">
        <v>15.41570953289497</v>
      </c>
      <c r="F104" s="3">
        <v>10.2204559126008</v>
      </c>
      <c r="G104" s="3">
        <v>27.564937167586699</v>
      </c>
      <c r="H104" s="3">
        <v>17.733700871027491</v>
      </c>
      <c r="I104" s="3">
        <v>68.487339602171332</v>
      </c>
      <c r="J104" s="3">
        <v>76.995024062465376</v>
      </c>
      <c r="K104" s="3">
        <v>52.128557587211652</v>
      </c>
      <c r="L104" s="3">
        <v>65.870307083949442</v>
      </c>
    </row>
    <row r="105" spans="1:12" x14ac:dyDescent="0.3">
      <c r="A105" s="3">
        <v>21502</v>
      </c>
      <c r="B105" s="3" t="s">
        <v>98</v>
      </c>
      <c r="C105" s="3" t="s">
        <v>31</v>
      </c>
      <c r="D105" s="3" t="s">
        <v>376</v>
      </c>
      <c r="E105" s="3">
        <v>84.241943159610173</v>
      </c>
      <c r="F105" s="3">
        <v>39.716281219056647</v>
      </c>
      <c r="G105" s="3">
        <v>55.887310369464018</v>
      </c>
      <c r="H105" s="3">
        <v>59.948511582710275</v>
      </c>
      <c r="I105" s="3">
        <v>67.672906724342738</v>
      </c>
      <c r="J105" s="3">
        <v>87.085352895164334</v>
      </c>
      <c r="K105" s="3">
        <v>89.307933659314301</v>
      </c>
      <c r="L105" s="3">
        <v>81.355397759607129</v>
      </c>
    </row>
    <row r="106" spans="1:12" x14ac:dyDescent="0.3">
      <c r="A106" s="3">
        <v>21601</v>
      </c>
      <c r="B106" s="3" t="s">
        <v>99</v>
      </c>
      <c r="C106" s="3" t="s">
        <v>31</v>
      </c>
      <c r="D106" s="3" t="s">
        <v>377</v>
      </c>
      <c r="E106" s="3">
        <v>32.703289939051437</v>
      </c>
      <c r="F106" s="3">
        <v>55.57170833303735</v>
      </c>
      <c r="G106" s="3">
        <v>59.156344115448157</v>
      </c>
      <c r="H106" s="3">
        <v>49.14378079584565</v>
      </c>
      <c r="I106" s="3">
        <v>81.647567397495806</v>
      </c>
      <c r="J106" s="3">
        <v>88.120397501635182</v>
      </c>
      <c r="K106" s="3">
        <v>69.853401439620185</v>
      </c>
      <c r="L106" s="3">
        <v>79.87378877958372</v>
      </c>
    </row>
    <row r="107" spans="1:12" x14ac:dyDescent="0.3">
      <c r="A107" s="3">
        <v>21602</v>
      </c>
      <c r="B107" s="3" t="s">
        <v>100</v>
      </c>
      <c r="C107" s="3" t="s">
        <v>31</v>
      </c>
      <c r="D107" s="3" t="s">
        <v>366</v>
      </c>
      <c r="E107" s="3">
        <v>66.695662155401578</v>
      </c>
      <c r="F107" s="3">
        <v>60.631285001707248</v>
      </c>
      <c r="G107" s="3">
        <v>47.890837347384249</v>
      </c>
      <c r="H107" s="3">
        <v>58.405928168164358</v>
      </c>
      <c r="I107" s="3">
        <v>84.581069762144494</v>
      </c>
      <c r="J107" s="3">
        <v>68.850806679099222</v>
      </c>
      <c r="K107" s="3">
        <v>77.938266211446688</v>
      </c>
      <c r="L107" s="3">
        <v>77.123380884230144</v>
      </c>
    </row>
    <row r="108" spans="1:12" x14ac:dyDescent="0.3">
      <c r="A108" s="3">
        <v>21701</v>
      </c>
      <c r="B108" s="3" t="s">
        <v>62</v>
      </c>
      <c r="C108" s="3" t="s">
        <v>31</v>
      </c>
      <c r="D108" s="3" t="s">
        <v>367</v>
      </c>
      <c r="E108" s="3">
        <v>64.627469102769339</v>
      </c>
      <c r="F108" s="3">
        <v>61.085238763544282</v>
      </c>
      <c r="G108" s="3">
        <v>53.889147078455103</v>
      </c>
      <c r="H108" s="3">
        <v>59.86728498158957</v>
      </c>
      <c r="I108" s="3">
        <v>54.519645436773509</v>
      </c>
      <c r="J108" s="3">
        <v>46.22905366095501</v>
      </c>
      <c r="K108" s="3">
        <v>50.765505380259171</v>
      </c>
      <c r="L108" s="3">
        <v>50.504734825995889</v>
      </c>
    </row>
    <row r="109" spans="1:12" x14ac:dyDescent="0.3">
      <c r="A109" s="3">
        <v>21702</v>
      </c>
      <c r="B109" s="3" t="s">
        <v>63</v>
      </c>
      <c r="C109" s="3" t="s">
        <v>31</v>
      </c>
      <c r="D109" s="3" t="s">
        <v>367</v>
      </c>
      <c r="E109" s="3">
        <v>33.728286469836242</v>
      </c>
      <c r="F109" s="3">
        <v>50.47377521447374</v>
      </c>
      <c r="G109" s="3">
        <v>32.661537833010478</v>
      </c>
      <c r="H109" s="3">
        <v>38.954533172440158</v>
      </c>
      <c r="I109" s="3">
        <v>85.22826137786052</v>
      </c>
      <c r="J109" s="3">
        <v>70.773364653603608</v>
      </c>
      <c r="K109" s="3">
        <v>80.138572424338079</v>
      </c>
      <c r="L109" s="3">
        <v>78.713399485267402</v>
      </c>
    </row>
    <row r="110" spans="1:12" x14ac:dyDescent="0.3">
      <c r="A110" s="3">
        <v>21703</v>
      </c>
      <c r="B110" s="3" t="s">
        <v>64</v>
      </c>
      <c r="C110" s="3" t="s">
        <v>31</v>
      </c>
      <c r="D110" s="3" t="s">
        <v>367</v>
      </c>
      <c r="E110" s="3">
        <v>73.920248590943828</v>
      </c>
      <c r="F110" s="3">
        <v>75.194692429782378</v>
      </c>
      <c r="G110" s="3">
        <v>50.272057390314103</v>
      </c>
      <c r="H110" s="3">
        <v>66.462332803680098</v>
      </c>
      <c r="I110" s="3">
        <v>68.931341079100619</v>
      </c>
      <c r="J110" s="3">
        <v>74.900128890513884</v>
      </c>
      <c r="K110" s="3">
        <v>75.62641020435143</v>
      </c>
      <c r="L110" s="3">
        <v>73.152626724655306</v>
      </c>
    </row>
    <row r="111" spans="1:12" x14ac:dyDescent="0.3">
      <c r="A111" s="3">
        <v>21801</v>
      </c>
      <c r="B111" s="3" t="s">
        <v>101</v>
      </c>
      <c r="C111" s="3" t="s">
        <v>31</v>
      </c>
      <c r="D111" s="3" t="s">
        <v>378</v>
      </c>
      <c r="E111" s="3">
        <v>27.442890062921158</v>
      </c>
      <c r="F111" s="3">
        <v>54.075207824528569</v>
      </c>
      <c r="G111" s="3">
        <v>68.808378651705979</v>
      </c>
      <c r="H111" s="3">
        <v>50.108825513051897</v>
      </c>
      <c r="I111" s="3">
        <v>73.434748793807699</v>
      </c>
      <c r="J111" s="3">
        <v>60.836285476449007</v>
      </c>
      <c r="K111" s="3">
        <v>45.063053436232991</v>
      </c>
      <c r="L111" s="3">
        <v>59.778029235496568</v>
      </c>
    </row>
    <row r="112" spans="1:12" x14ac:dyDescent="0.3">
      <c r="A112" s="3">
        <v>21802</v>
      </c>
      <c r="B112" s="3" t="s">
        <v>102</v>
      </c>
      <c r="C112" s="3" t="s">
        <v>31</v>
      </c>
      <c r="D112" s="3" t="s">
        <v>378</v>
      </c>
      <c r="E112" s="3">
        <v>58.182370589832743</v>
      </c>
      <c r="F112" s="3">
        <v>82.437386400974177</v>
      </c>
      <c r="G112" s="3">
        <v>65.596185562789671</v>
      </c>
      <c r="H112" s="3">
        <v>68.738647517865545</v>
      </c>
      <c r="I112" s="3">
        <v>70.480263292809383</v>
      </c>
      <c r="J112" s="3">
        <v>80.172897650612242</v>
      </c>
      <c r="K112" s="3">
        <v>59.02761940620276</v>
      </c>
      <c r="L112" s="3">
        <v>69.8935934498748</v>
      </c>
    </row>
    <row r="113" spans="1:12" x14ac:dyDescent="0.3">
      <c r="A113" s="3">
        <v>21803</v>
      </c>
      <c r="B113" s="3" t="s">
        <v>103</v>
      </c>
      <c r="C113" s="3" t="s">
        <v>31</v>
      </c>
      <c r="D113" s="3" t="s">
        <v>378</v>
      </c>
      <c r="E113" s="3">
        <v>81.604293712037062</v>
      </c>
      <c r="F113" s="3">
        <v>49.779261422688563</v>
      </c>
      <c r="G113" s="3">
        <v>33.502126617455041</v>
      </c>
      <c r="H113" s="3">
        <v>54.961893917393553</v>
      </c>
      <c r="I113" s="3">
        <v>82.023443363836478</v>
      </c>
      <c r="J113" s="3">
        <v>71.953871058712693</v>
      </c>
      <c r="K113" s="3">
        <v>45.071077443485038</v>
      </c>
      <c r="L113" s="3">
        <v>66.349463955344731</v>
      </c>
    </row>
    <row r="114" spans="1:12" x14ac:dyDescent="0.3">
      <c r="A114" s="3">
        <v>21901</v>
      </c>
      <c r="B114" s="3" t="s">
        <v>104</v>
      </c>
      <c r="C114" s="3" t="s">
        <v>31</v>
      </c>
      <c r="D114" s="3" t="s">
        <v>379</v>
      </c>
      <c r="E114" s="3">
        <v>67.642830279841633</v>
      </c>
      <c r="F114" s="3">
        <v>80.222211735078631</v>
      </c>
      <c r="G114" s="3">
        <v>63.649353088326507</v>
      </c>
      <c r="H114" s="3">
        <v>70.504798367748933</v>
      </c>
      <c r="I114" s="3">
        <v>27.819731265558069</v>
      </c>
      <c r="J114" s="3">
        <v>73.152001468194101</v>
      </c>
      <c r="K114" s="3">
        <v>57.09241549749926</v>
      </c>
      <c r="L114" s="3">
        <v>52.688049410417136</v>
      </c>
    </row>
    <row r="115" spans="1:12" x14ac:dyDescent="0.3">
      <c r="A115" s="3">
        <v>21902</v>
      </c>
      <c r="B115" s="3" t="s">
        <v>105</v>
      </c>
      <c r="C115" s="3" t="s">
        <v>31</v>
      </c>
      <c r="D115" s="3" t="s">
        <v>379</v>
      </c>
      <c r="E115" s="3">
        <v>49.111769015483588</v>
      </c>
      <c r="F115" s="3">
        <v>54.485705785797812</v>
      </c>
      <c r="G115" s="3">
        <v>33.188576014348719</v>
      </c>
      <c r="H115" s="3">
        <v>45.595350271876704</v>
      </c>
      <c r="I115" s="3">
        <v>96.818994176325404</v>
      </c>
      <c r="J115" s="3">
        <v>70.54197483452559</v>
      </c>
      <c r="K115" s="3">
        <v>92.459431503878562</v>
      </c>
      <c r="L115" s="3">
        <v>86.606800171576523</v>
      </c>
    </row>
    <row r="116" spans="1:12" x14ac:dyDescent="0.3">
      <c r="A116" s="3">
        <v>22001</v>
      </c>
      <c r="B116" s="3" t="s">
        <v>40</v>
      </c>
      <c r="C116" s="3" t="s">
        <v>31</v>
      </c>
      <c r="D116" s="3" t="s">
        <v>362</v>
      </c>
      <c r="E116" s="3">
        <v>40.775753138584008</v>
      </c>
      <c r="F116" s="3">
        <v>52.166943978388382</v>
      </c>
      <c r="G116" s="3">
        <v>24.102403081849939</v>
      </c>
      <c r="H116" s="3">
        <v>39.015033399607447</v>
      </c>
      <c r="I116" s="3">
        <v>66.568077138372459</v>
      </c>
      <c r="J116" s="3">
        <v>68.879076783425035</v>
      </c>
      <c r="K116" s="3">
        <v>67.660997651195558</v>
      </c>
      <c r="L116" s="3">
        <v>67.702717190997689</v>
      </c>
    </row>
    <row r="117" spans="1:12" x14ac:dyDescent="0.3">
      <c r="A117" s="3">
        <v>22002</v>
      </c>
      <c r="B117" s="3" t="s">
        <v>115</v>
      </c>
      <c r="C117" s="3" t="s">
        <v>31</v>
      </c>
      <c r="D117" s="3" t="s">
        <v>362</v>
      </c>
      <c r="E117" s="3">
        <v>80.372819361097712</v>
      </c>
      <c r="F117" s="3">
        <v>69.423339998037164</v>
      </c>
      <c r="G117" s="3">
        <v>70.653257524111822</v>
      </c>
      <c r="H117" s="3">
        <v>73.483138961082247</v>
      </c>
      <c r="I117" s="3">
        <v>87.251055051728031</v>
      </c>
      <c r="J117" s="3">
        <v>77.542486546771286</v>
      </c>
      <c r="K117" s="3">
        <v>73.599899686781328</v>
      </c>
      <c r="L117" s="3">
        <v>79.464480428426882</v>
      </c>
    </row>
    <row r="118" spans="1:12" x14ac:dyDescent="0.3">
      <c r="A118" s="3">
        <v>30101</v>
      </c>
      <c r="B118" s="3" t="s">
        <v>118</v>
      </c>
      <c r="C118" s="3" t="s">
        <v>119</v>
      </c>
      <c r="D118" s="3" t="s">
        <v>380</v>
      </c>
      <c r="E118" s="3">
        <v>61.548616202723913</v>
      </c>
      <c r="F118" s="3">
        <v>63.781173630126453</v>
      </c>
      <c r="G118" s="3">
        <v>67.004062808716839</v>
      </c>
      <c r="H118" s="3">
        <v>64.11128421385574</v>
      </c>
      <c r="I118" s="3">
        <v>81.698125020295663</v>
      </c>
      <c r="J118" s="3">
        <v>84.647743910421056</v>
      </c>
      <c r="K118" s="3">
        <v>88.974642899226424</v>
      </c>
      <c r="L118" s="3">
        <v>85.10683727664771</v>
      </c>
    </row>
    <row r="119" spans="1:12" x14ac:dyDescent="0.3">
      <c r="A119" s="3">
        <v>30201</v>
      </c>
      <c r="B119" s="3" t="s">
        <v>125</v>
      </c>
      <c r="C119" s="3" t="s">
        <v>119</v>
      </c>
      <c r="D119" s="3" t="s">
        <v>382</v>
      </c>
      <c r="E119" s="3">
        <v>46.199117247006043</v>
      </c>
      <c r="F119" s="3">
        <v>52.411719993495169</v>
      </c>
      <c r="G119" s="3">
        <v>54.589129176598881</v>
      </c>
      <c r="H119" s="3">
        <v>51.066655472366698</v>
      </c>
      <c r="I119" s="3">
        <v>83.724486241296646</v>
      </c>
      <c r="J119" s="3">
        <v>82.967563020481677</v>
      </c>
      <c r="K119" s="3">
        <v>82.701291078867911</v>
      </c>
      <c r="L119" s="3">
        <v>83.131113446882082</v>
      </c>
    </row>
    <row r="120" spans="1:12" x14ac:dyDescent="0.3">
      <c r="A120" s="3">
        <v>30202</v>
      </c>
      <c r="B120" s="3" t="s">
        <v>126</v>
      </c>
      <c r="C120" s="3" t="s">
        <v>119</v>
      </c>
      <c r="D120" s="3" t="s">
        <v>382</v>
      </c>
      <c r="E120" s="3">
        <v>71.040313700105713</v>
      </c>
      <c r="F120" s="3">
        <v>67.374281767580143</v>
      </c>
      <c r="G120" s="3">
        <v>55.893173033706731</v>
      </c>
      <c r="H120" s="3">
        <v>64.769256167130848</v>
      </c>
      <c r="I120" s="3">
        <v>74.624327685243301</v>
      </c>
      <c r="J120" s="3">
        <v>76.109089566242844</v>
      </c>
      <c r="K120" s="3">
        <v>76.859641259334794</v>
      </c>
      <c r="L120" s="3">
        <v>75.864352836940313</v>
      </c>
    </row>
    <row r="121" spans="1:12" x14ac:dyDescent="0.3">
      <c r="A121" s="3">
        <v>30203</v>
      </c>
      <c r="B121" s="3" t="s">
        <v>127</v>
      </c>
      <c r="C121" s="3" t="s">
        <v>119</v>
      </c>
      <c r="D121" s="3" t="s">
        <v>382</v>
      </c>
      <c r="E121" s="3">
        <v>58.891559375390877</v>
      </c>
      <c r="F121" s="3">
        <v>58.601736852856632</v>
      </c>
      <c r="G121" s="3">
        <v>47.203534110506922</v>
      </c>
      <c r="H121" s="3">
        <v>54.898943446251479</v>
      </c>
      <c r="I121" s="3">
        <v>88.295854042531047</v>
      </c>
      <c r="J121" s="3">
        <v>47.83386177230981</v>
      </c>
      <c r="K121" s="3">
        <v>57.522526145587143</v>
      </c>
      <c r="L121" s="3">
        <v>64.550747320142662</v>
      </c>
    </row>
    <row r="122" spans="1:12" x14ac:dyDescent="0.3">
      <c r="A122" s="3">
        <v>30301</v>
      </c>
      <c r="B122" s="3" t="s">
        <v>128</v>
      </c>
      <c r="C122" s="3" t="s">
        <v>119</v>
      </c>
      <c r="D122" s="3" t="s">
        <v>383</v>
      </c>
      <c r="E122" s="3">
        <v>81.809489947797402</v>
      </c>
      <c r="F122" s="3">
        <v>85.343939685061585</v>
      </c>
      <c r="G122" s="3">
        <v>89.156794345871887</v>
      </c>
      <c r="H122" s="3">
        <v>85.436741326243634</v>
      </c>
      <c r="I122" s="3">
        <v>87.372982334157996</v>
      </c>
      <c r="J122" s="3">
        <v>78.853650670334275</v>
      </c>
      <c r="K122" s="3">
        <v>73.503423189911317</v>
      </c>
      <c r="L122" s="3">
        <v>79.910018731467858</v>
      </c>
    </row>
    <row r="123" spans="1:12" x14ac:dyDescent="0.3">
      <c r="A123" s="3">
        <v>30302</v>
      </c>
      <c r="B123" s="3" t="s">
        <v>129</v>
      </c>
      <c r="C123" s="3" t="s">
        <v>119</v>
      </c>
      <c r="D123" s="3" t="s">
        <v>383</v>
      </c>
      <c r="E123" s="3">
        <v>61.229503893944603</v>
      </c>
      <c r="F123" s="3">
        <v>54.947330289836913</v>
      </c>
      <c r="G123" s="3">
        <v>54.120711934809052</v>
      </c>
      <c r="H123" s="3">
        <v>56.765848706196856</v>
      </c>
      <c r="I123" s="3">
        <v>89.674112331627967</v>
      </c>
      <c r="J123" s="3">
        <v>75.917507217086992</v>
      </c>
      <c r="K123" s="3">
        <v>57.675090069339539</v>
      </c>
      <c r="L123" s="3">
        <v>74.422236539351502</v>
      </c>
    </row>
    <row r="124" spans="1:12" x14ac:dyDescent="0.3">
      <c r="A124" s="3">
        <v>30303</v>
      </c>
      <c r="B124" s="3" t="s">
        <v>164</v>
      </c>
      <c r="C124" s="3" t="s">
        <v>119</v>
      </c>
      <c r="D124" s="3" t="s">
        <v>383</v>
      </c>
      <c r="E124" s="3">
        <v>66.610156373373869</v>
      </c>
      <c r="F124" s="3">
        <v>60.753804704360903</v>
      </c>
      <c r="G124" s="3">
        <v>74.237389316909514</v>
      </c>
      <c r="H124" s="3">
        <v>67.200450131548095</v>
      </c>
      <c r="I124" s="3">
        <v>92.04214066237212</v>
      </c>
      <c r="J124" s="3">
        <v>69.7166651767578</v>
      </c>
      <c r="K124" s="3">
        <v>61.460645476769443</v>
      </c>
      <c r="L124" s="3">
        <v>74.406483771966464</v>
      </c>
    </row>
    <row r="125" spans="1:12" x14ac:dyDescent="0.3">
      <c r="A125" s="3">
        <v>30401</v>
      </c>
      <c r="B125" s="3" t="s">
        <v>138</v>
      </c>
      <c r="C125" s="3" t="s">
        <v>119</v>
      </c>
      <c r="D125" s="3" t="s">
        <v>386</v>
      </c>
      <c r="E125" s="3">
        <v>72.937041522298756</v>
      </c>
      <c r="F125" s="3">
        <v>70.837009981935125</v>
      </c>
      <c r="G125" s="3">
        <v>52.704874472664152</v>
      </c>
      <c r="H125" s="3">
        <v>65.492975325632685</v>
      </c>
      <c r="I125" s="3">
        <v>69.064093456600105</v>
      </c>
      <c r="J125" s="3">
        <v>80.193173682561508</v>
      </c>
      <c r="K125" s="3">
        <v>75.039384217314861</v>
      </c>
      <c r="L125" s="3">
        <v>74.765550452158834</v>
      </c>
    </row>
    <row r="126" spans="1:12" x14ac:dyDescent="0.3">
      <c r="A126" s="3">
        <v>30402</v>
      </c>
      <c r="B126" s="3" t="s">
        <v>139</v>
      </c>
      <c r="C126" s="3" t="s">
        <v>119</v>
      </c>
      <c r="D126" s="3" t="s">
        <v>386</v>
      </c>
      <c r="E126" s="3">
        <v>61.499548967855802</v>
      </c>
      <c r="F126" s="3">
        <v>52.249006956112019</v>
      </c>
      <c r="G126" s="3">
        <v>74.973183327742831</v>
      </c>
      <c r="H126" s="3">
        <v>62.907246417236877</v>
      </c>
      <c r="I126" s="3">
        <v>79.165841607369444</v>
      </c>
      <c r="J126" s="3">
        <v>78.229351253809725</v>
      </c>
      <c r="K126" s="3">
        <v>86.704413523534797</v>
      </c>
      <c r="L126" s="3">
        <v>81.366535461571331</v>
      </c>
    </row>
    <row r="127" spans="1:12" x14ac:dyDescent="0.3">
      <c r="A127" s="3">
        <v>30403</v>
      </c>
      <c r="B127" s="3" t="s">
        <v>140</v>
      </c>
      <c r="C127" s="3" t="s">
        <v>119</v>
      </c>
      <c r="D127" s="3" t="s">
        <v>386</v>
      </c>
      <c r="E127" s="3">
        <v>75.437964142518311</v>
      </c>
      <c r="F127" s="3">
        <v>75.24347818659389</v>
      </c>
      <c r="G127" s="3">
        <v>74.64573376827795</v>
      </c>
      <c r="H127" s="3">
        <v>75.109058699130046</v>
      </c>
      <c r="I127" s="3">
        <v>85.255666636329636</v>
      </c>
      <c r="J127" s="3">
        <v>78.321567055071071</v>
      </c>
      <c r="K127" s="3">
        <v>79.874321754349793</v>
      </c>
      <c r="L127" s="3">
        <v>81.150518481916833</v>
      </c>
    </row>
    <row r="128" spans="1:12" x14ac:dyDescent="0.3">
      <c r="A128" s="3">
        <v>30404</v>
      </c>
      <c r="B128" s="3" t="s">
        <v>141</v>
      </c>
      <c r="C128" s="3" t="s">
        <v>119</v>
      </c>
      <c r="D128" s="3" t="s">
        <v>386</v>
      </c>
      <c r="E128" s="3">
        <v>52.068900241103599</v>
      </c>
      <c r="F128" s="3">
        <v>66.398721523159367</v>
      </c>
      <c r="G128" s="3">
        <v>60.444396508444477</v>
      </c>
      <c r="H128" s="3">
        <v>59.637339424235812</v>
      </c>
      <c r="I128" s="3">
        <v>92.063620557381981</v>
      </c>
      <c r="J128" s="3">
        <v>69.70996089221849</v>
      </c>
      <c r="K128" s="3">
        <v>82.634014192430996</v>
      </c>
      <c r="L128" s="3">
        <v>81.469198547343822</v>
      </c>
    </row>
    <row r="129" spans="1:12" x14ac:dyDescent="0.3">
      <c r="A129" s="3">
        <v>30501</v>
      </c>
      <c r="B129" s="3" t="s">
        <v>154</v>
      </c>
      <c r="C129" s="3" t="s">
        <v>119</v>
      </c>
      <c r="D129" s="3" t="s">
        <v>392</v>
      </c>
      <c r="E129" s="3">
        <v>61.166617574566843</v>
      </c>
      <c r="F129" s="3">
        <v>62.634795827706199</v>
      </c>
      <c r="G129" s="3">
        <v>50.923698865911348</v>
      </c>
      <c r="H129" s="3">
        <v>58.241704089394794</v>
      </c>
      <c r="I129" s="3">
        <v>63.69217998854888</v>
      </c>
      <c r="J129" s="3">
        <v>76.858439194674588</v>
      </c>
      <c r="K129" s="3">
        <v>87.444426970011207</v>
      </c>
      <c r="L129" s="3">
        <v>75.998348717744889</v>
      </c>
    </row>
    <row r="130" spans="1:12" x14ac:dyDescent="0.3">
      <c r="A130" s="3">
        <v>30502</v>
      </c>
      <c r="B130" s="3" t="s">
        <v>155</v>
      </c>
      <c r="C130" s="3" t="s">
        <v>119</v>
      </c>
      <c r="D130" s="3" t="s">
        <v>392</v>
      </c>
      <c r="E130" s="3">
        <v>70.533044971585667</v>
      </c>
      <c r="F130" s="3">
        <v>57.55533882098662</v>
      </c>
      <c r="G130" s="3">
        <v>56.096411206000681</v>
      </c>
      <c r="H130" s="3">
        <v>61.394931666190992</v>
      </c>
      <c r="I130" s="3">
        <v>73.983865100341077</v>
      </c>
      <c r="J130" s="3">
        <v>71.433665288126264</v>
      </c>
      <c r="K130" s="3">
        <v>86.708269364763211</v>
      </c>
      <c r="L130" s="3">
        <v>77.375266584410198</v>
      </c>
    </row>
    <row r="131" spans="1:12" x14ac:dyDescent="0.3">
      <c r="A131" s="3">
        <v>30601</v>
      </c>
      <c r="B131" s="3" t="s">
        <v>156</v>
      </c>
      <c r="C131" s="3" t="s">
        <v>119</v>
      </c>
      <c r="D131" s="3" t="s">
        <v>393</v>
      </c>
      <c r="E131" s="3">
        <v>69.077355869506277</v>
      </c>
      <c r="F131" s="3">
        <v>60.543019703764827</v>
      </c>
      <c r="G131" s="3">
        <v>63.76880750813848</v>
      </c>
      <c r="H131" s="3">
        <v>64.463061027136533</v>
      </c>
      <c r="I131" s="3">
        <v>77.662796864434341</v>
      </c>
      <c r="J131" s="3">
        <v>69.792496068221098</v>
      </c>
      <c r="K131" s="3">
        <v>80.702316445859353</v>
      </c>
      <c r="L131" s="3">
        <v>76.052536459504935</v>
      </c>
    </row>
    <row r="132" spans="1:12" x14ac:dyDescent="0.3">
      <c r="A132" s="3">
        <v>30602</v>
      </c>
      <c r="B132" s="3" t="s">
        <v>157</v>
      </c>
      <c r="C132" s="3" t="s">
        <v>119</v>
      </c>
      <c r="D132" s="3" t="s">
        <v>393</v>
      </c>
      <c r="E132" s="3">
        <v>65.946751587087832</v>
      </c>
      <c r="F132" s="3">
        <v>55.90813001020544</v>
      </c>
      <c r="G132" s="3">
        <v>63.619298826195333</v>
      </c>
      <c r="H132" s="3">
        <v>61.824726807829535</v>
      </c>
      <c r="I132" s="3">
        <v>69.708333048977067</v>
      </c>
      <c r="J132" s="3">
        <v>72.326582459580948</v>
      </c>
      <c r="K132" s="3">
        <v>58.388715293579573</v>
      </c>
      <c r="L132" s="3">
        <v>66.807876934045865</v>
      </c>
    </row>
    <row r="133" spans="1:12" x14ac:dyDescent="0.3">
      <c r="A133" s="3">
        <v>30701</v>
      </c>
      <c r="B133" s="3" t="s">
        <v>145</v>
      </c>
      <c r="C133" s="3" t="s">
        <v>119</v>
      </c>
      <c r="D133" s="3" t="s">
        <v>389</v>
      </c>
      <c r="E133" s="3">
        <v>65.379965250285792</v>
      </c>
      <c r="F133" s="3">
        <v>64.291132061962372</v>
      </c>
      <c r="G133" s="3">
        <v>56.948315583280937</v>
      </c>
      <c r="H133" s="3">
        <v>62.206470965176358</v>
      </c>
      <c r="I133" s="3">
        <v>76.108999614939094</v>
      </c>
      <c r="J133" s="3">
        <v>69.942259876700987</v>
      </c>
      <c r="K133" s="3">
        <v>60.77663284271754</v>
      </c>
      <c r="L133" s="3">
        <v>68.942630778119209</v>
      </c>
    </row>
    <row r="134" spans="1:12" x14ac:dyDescent="0.3">
      <c r="A134" s="3">
        <v>30702</v>
      </c>
      <c r="B134" s="3" t="s">
        <v>146</v>
      </c>
      <c r="C134" s="3" t="s">
        <v>119</v>
      </c>
      <c r="D134" s="3" t="s">
        <v>389</v>
      </c>
      <c r="E134" s="3">
        <v>58.22461688088918</v>
      </c>
      <c r="F134" s="3">
        <v>46.543684817586588</v>
      </c>
      <c r="G134" s="3">
        <v>63.142247227756819</v>
      </c>
      <c r="H134" s="3">
        <v>55.970182975410864</v>
      </c>
      <c r="I134" s="3">
        <v>77.190121170241966</v>
      </c>
      <c r="J134" s="3">
        <v>76.939345247446653</v>
      </c>
      <c r="K134" s="3">
        <v>85.568356594887717</v>
      </c>
      <c r="L134" s="3">
        <v>79.899274337525441</v>
      </c>
    </row>
    <row r="135" spans="1:12" x14ac:dyDescent="0.3">
      <c r="A135" s="3">
        <v>30703</v>
      </c>
      <c r="B135" s="3" t="s">
        <v>147</v>
      </c>
      <c r="C135" s="3" t="s">
        <v>119</v>
      </c>
      <c r="D135" s="3" t="s">
        <v>389</v>
      </c>
      <c r="E135" s="3">
        <v>61.581063942395012</v>
      </c>
      <c r="F135" s="3">
        <v>55.927037037847192</v>
      </c>
      <c r="G135" s="3">
        <v>40.061732734263543</v>
      </c>
      <c r="H135" s="3">
        <v>52.523277904835254</v>
      </c>
      <c r="I135" s="3">
        <v>92.552226209698233</v>
      </c>
      <c r="J135" s="3">
        <v>62.858300389704503</v>
      </c>
      <c r="K135" s="3">
        <v>63.654678951765902</v>
      </c>
      <c r="L135" s="3">
        <v>73.021735183722882</v>
      </c>
    </row>
    <row r="136" spans="1:12" x14ac:dyDescent="0.3">
      <c r="A136" s="3">
        <v>30801</v>
      </c>
      <c r="B136" s="3" t="s">
        <v>142</v>
      </c>
      <c r="C136" s="3" t="s">
        <v>119</v>
      </c>
      <c r="D136" s="3" t="s">
        <v>387</v>
      </c>
      <c r="E136" s="3">
        <v>77.671248761668608</v>
      </c>
      <c r="F136" s="3">
        <v>74.815030228938696</v>
      </c>
      <c r="G136" s="3">
        <v>53.561087878025717</v>
      </c>
      <c r="H136" s="3">
        <v>68.682455622877669</v>
      </c>
      <c r="I136" s="3">
        <v>86.334280057272977</v>
      </c>
      <c r="J136" s="3">
        <v>73.805708186604733</v>
      </c>
      <c r="K136" s="3">
        <v>81.534319992565912</v>
      </c>
      <c r="L136" s="3">
        <v>80.558102745481207</v>
      </c>
    </row>
    <row r="137" spans="1:12" x14ac:dyDescent="0.3">
      <c r="A137" s="3">
        <v>30802</v>
      </c>
      <c r="B137" s="3" t="s">
        <v>143</v>
      </c>
      <c r="C137" s="3" t="s">
        <v>119</v>
      </c>
      <c r="D137" s="3" t="s">
        <v>388</v>
      </c>
      <c r="E137" s="3">
        <v>52.906286969408512</v>
      </c>
      <c r="F137" s="3">
        <v>69.505912683246706</v>
      </c>
      <c r="G137" s="3">
        <v>38.646384273214103</v>
      </c>
      <c r="H137" s="3">
        <v>53.68619464195644</v>
      </c>
      <c r="I137" s="3">
        <v>75.304220961877917</v>
      </c>
      <c r="J137" s="3">
        <v>70.578286611095479</v>
      </c>
      <c r="K137" s="3">
        <v>74.100934605765829</v>
      </c>
      <c r="L137" s="3">
        <v>73.327814059579737</v>
      </c>
    </row>
    <row r="138" spans="1:12" x14ac:dyDescent="0.3">
      <c r="A138" s="3">
        <v>30803</v>
      </c>
      <c r="B138" s="3" t="s">
        <v>144</v>
      </c>
      <c r="C138" s="3" t="s">
        <v>119</v>
      </c>
      <c r="D138" s="3" t="s">
        <v>387</v>
      </c>
      <c r="E138" s="3">
        <v>78.707529298137274</v>
      </c>
      <c r="F138" s="3">
        <v>67.421251747263668</v>
      </c>
      <c r="G138" s="3">
        <v>78.698784627669312</v>
      </c>
      <c r="H138" s="3">
        <v>74.942521891023418</v>
      </c>
      <c r="I138" s="3">
        <v>88.875662273731479</v>
      </c>
      <c r="J138" s="3">
        <v>59.983976521874162</v>
      </c>
      <c r="K138" s="3">
        <v>62.630148622948987</v>
      </c>
      <c r="L138" s="3">
        <v>70.496595806184871</v>
      </c>
    </row>
    <row r="139" spans="1:12" x14ac:dyDescent="0.3">
      <c r="A139" s="3">
        <v>30901</v>
      </c>
      <c r="B139" s="3" t="s">
        <v>120</v>
      </c>
      <c r="C139" s="3" t="s">
        <v>119</v>
      </c>
      <c r="D139" s="3" t="s">
        <v>381</v>
      </c>
      <c r="E139" s="3">
        <v>49.513422155800377</v>
      </c>
      <c r="F139" s="3">
        <v>44.407899940391012</v>
      </c>
      <c r="G139" s="3">
        <v>58.304190492776357</v>
      </c>
      <c r="H139" s="3">
        <v>50.741837529655918</v>
      </c>
      <c r="I139" s="3">
        <v>64.032668998533651</v>
      </c>
      <c r="J139" s="3">
        <v>70.730665781384573</v>
      </c>
      <c r="K139" s="3">
        <v>70.046794189087521</v>
      </c>
      <c r="L139" s="3">
        <v>68.270042989668582</v>
      </c>
    </row>
    <row r="140" spans="1:12" x14ac:dyDescent="0.3">
      <c r="A140" s="3">
        <v>30902</v>
      </c>
      <c r="B140" s="3" t="s">
        <v>121</v>
      </c>
      <c r="C140" s="3" t="s">
        <v>119</v>
      </c>
      <c r="D140" s="3" t="s">
        <v>381</v>
      </c>
      <c r="E140" s="3">
        <v>73.728321943818145</v>
      </c>
      <c r="F140" s="3">
        <v>69.371779702596569</v>
      </c>
      <c r="G140" s="3">
        <v>68.1768393592004</v>
      </c>
      <c r="H140" s="3">
        <v>70.42564700187171</v>
      </c>
      <c r="I140" s="3">
        <v>78.304750642029532</v>
      </c>
      <c r="J140" s="3">
        <v>86.143587545740573</v>
      </c>
      <c r="K140" s="3">
        <v>87.36663208732466</v>
      </c>
      <c r="L140" s="3">
        <v>83.938323425031584</v>
      </c>
    </row>
    <row r="141" spans="1:12" x14ac:dyDescent="0.3">
      <c r="A141" s="3">
        <v>30903</v>
      </c>
      <c r="B141" s="3" t="s">
        <v>122</v>
      </c>
      <c r="C141" s="3" t="s">
        <v>119</v>
      </c>
      <c r="D141" s="3" t="s">
        <v>381</v>
      </c>
      <c r="E141" s="3">
        <v>75.745736758934171</v>
      </c>
      <c r="F141" s="3">
        <v>79.902855108076679</v>
      </c>
      <c r="G141" s="3">
        <v>74.070509508085721</v>
      </c>
      <c r="H141" s="3">
        <v>76.573033791698847</v>
      </c>
      <c r="I141" s="3">
        <v>88.389274742551322</v>
      </c>
      <c r="J141" s="3">
        <v>82.598929126768766</v>
      </c>
      <c r="K141" s="3">
        <v>86.317754247745754</v>
      </c>
      <c r="L141" s="3">
        <v>85.768652705688623</v>
      </c>
    </row>
    <row r="142" spans="1:12" x14ac:dyDescent="0.3">
      <c r="A142" s="3">
        <v>30904</v>
      </c>
      <c r="B142" s="3" t="s">
        <v>123</v>
      </c>
      <c r="C142" s="3" t="s">
        <v>119</v>
      </c>
      <c r="D142" s="3" t="s">
        <v>381</v>
      </c>
      <c r="E142" s="3">
        <v>66.594162082063619</v>
      </c>
      <c r="F142" s="3">
        <v>64.239447024110291</v>
      </c>
      <c r="G142" s="3">
        <v>63.402269431853412</v>
      </c>
      <c r="H142" s="3">
        <v>64.745292846009121</v>
      </c>
      <c r="I142" s="3">
        <v>87.739002052155598</v>
      </c>
      <c r="J142" s="3">
        <v>84.939391313899435</v>
      </c>
      <c r="K142" s="3">
        <v>83.068322611551721</v>
      </c>
      <c r="L142" s="3">
        <v>85.248905325868918</v>
      </c>
    </row>
    <row r="143" spans="1:12" x14ac:dyDescent="0.3">
      <c r="A143" s="3">
        <v>30905</v>
      </c>
      <c r="B143" s="3" t="s">
        <v>124</v>
      </c>
      <c r="C143" s="3" t="s">
        <v>119</v>
      </c>
      <c r="D143" s="3" t="s">
        <v>381</v>
      </c>
      <c r="E143" s="3">
        <v>62.182721519200648</v>
      </c>
      <c r="F143" s="3">
        <v>66.0341949072387</v>
      </c>
      <c r="G143" s="3">
        <v>45.650069960079307</v>
      </c>
      <c r="H143" s="3">
        <v>57.955662128839549</v>
      </c>
      <c r="I143" s="3">
        <v>80.681337082728589</v>
      </c>
      <c r="J143" s="3">
        <v>75.311435945178289</v>
      </c>
      <c r="K143" s="3">
        <v>85.314615724976449</v>
      </c>
      <c r="L143" s="3">
        <v>80.435796250961104</v>
      </c>
    </row>
    <row r="144" spans="1:12" x14ac:dyDescent="0.3">
      <c r="A144" s="3">
        <v>31001</v>
      </c>
      <c r="B144" s="3" t="s">
        <v>130</v>
      </c>
      <c r="C144" s="3" t="s">
        <v>119</v>
      </c>
      <c r="D144" s="3" t="s">
        <v>384</v>
      </c>
      <c r="E144" s="3">
        <v>54.030693231836167</v>
      </c>
      <c r="F144" s="3">
        <v>59.398305815499747</v>
      </c>
      <c r="G144" s="3">
        <v>71.112420366366962</v>
      </c>
      <c r="H144" s="3">
        <v>61.51380647123429</v>
      </c>
      <c r="I144" s="3">
        <v>82.373379026925647</v>
      </c>
      <c r="J144" s="3">
        <v>81.547810950722166</v>
      </c>
      <c r="K144" s="3">
        <v>86.526546109706032</v>
      </c>
      <c r="L144" s="3">
        <v>83.482578695784625</v>
      </c>
    </row>
    <row r="145" spans="1:12" x14ac:dyDescent="0.3">
      <c r="A145" s="3">
        <v>31002</v>
      </c>
      <c r="B145" s="3" t="s">
        <v>131</v>
      </c>
      <c r="C145" s="3" t="s">
        <v>119</v>
      </c>
      <c r="D145" s="3" t="s">
        <v>384</v>
      </c>
      <c r="E145" s="3">
        <v>59.56030660365257</v>
      </c>
      <c r="F145" s="3">
        <v>40.695934866788697</v>
      </c>
      <c r="G145" s="3">
        <v>53.437064635615428</v>
      </c>
      <c r="H145" s="3">
        <v>51.23110203535223</v>
      </c>
      <c r="I145" s="3">
        <v>89.7041724843411</v>
      </c>
      <c r="J145" s="3">
        <v>86.068218847854496</v>
      </c>
      <c r="K145" s="3">
        <v>83.280778352342466</v>
      </c>
      <c r="L145" s="3">
        <v>86.351056561512678</v>
      </c>
    </row>
    <row r="146" spans="1:12" x14ac:dyDescent="0.3">
      <c r="A146" s="3">
        <v>31003</v>
      </c>
      <c r="B146" s="3" t="s">
        <v>132</v>
      </c>
      <c r="C146" s="3" t="s">
        <v>119</v>
      </c>
      <c r="D146" s="3" t="s">
        <v>384</v>
      </c>
      <c r="E146" s="3">
        <v>57.699991254654059</v>
      </c>
      <c r="F146" s="3">
        <v>65.215137621144493</v>
      </c>
      <c r="G146" s="3">
        <v>68.741748732022387</v>
      </c>
      <c r="H146" s="3">
        <v>63.885625869273646</v>
      </c>
      <c r="I146" s="3">
        <v>85.782368753117268</v>
      </c>
      <c r="J146" s="3">
        <v>87.557482150666559</v>
      </c>
      <c r="K146" s="3">
        <v>81.950245180805553</v>
      </c>
      <c r="L146" s="3">
        <v>85.096698694863122</v>
      </c>
    </row>
    <row r="147" spans="1:12" x14ac:dyDescent="0.3">
      <c r="A147" s="3">
        <v>31101</v>
      </c>
      <c r="B147" s="3" t="s">
        <v>148</v>
      </c>
      <c r="C147" s="3" t="s">
        <v>119</v>
      </c>
      <c r="D147" s="3" t="s">
        <v>390</v>
      </c>
      <c r="E147" s="3">
        <v>85.197524053133407</v>
      </c>
      <c r="F147" s="3">
        <v>67.08428592304692</v>
      </c>
      <c r="G147" s="3">
        <v>62.810306502448213</v>
      </c>
      <c r="H147" s="3">
        <v>71.697372159542851</v>
      </c>
      <c r="I147" s="3">
        <v>89.459999738075297</v>
      </c>
      <c r="J147" s="3">
        <v>77.364804335229081</v>
      </c>
      <c r="K147" s="3">
        <v>76.323181893308018</v>
      </c>
      <c r="L147" s="3">
        <v>81.049328655537465</v>
      </c>
    </row>
    <row r="148" spans="1:12" x14ac:dyDescent="0.3">
      <c r="A148" s="3">
        <v>31201</v>
      </c>
      <c r="B148" s="3" t="s">
        <v>149</v>
      </c>
      <c r="C148" s="3" t="s">
        <v>119</v>
      </c>
      <c r="D148" s="3" t="s">
        <v>391</v>
      </c>
      <c r="E148" s="3">
        <v>66.31787359030919</v>
      </c>
      <c r="F148" s="3">
        <v>73.731900404731192</v>
      </c>
      <c r="G148" s="3">
        <v>59.885205988828773</v>
      </c>
      <c r="H148" s="3">
        <v>66.644993327956385</v>
      </c>
      <c r="I148" s="3">
        <v>79.615288222039567</v>
      </c>
      <c r="J148" s="3">
        <v>54.010069942929128</v>
      </c>
      <c r="K148" s="3">
        <v>84.027618085019839</v>
      </c>
      <c r="L148" s="3">
        <v>72.550992083329518</v>
      </c>
    </row>
    <row r="149" spans="1:12" x14ac:dyDescent="0.3">
      <c r="A149" s="3">
        <v>31202</v>
      </c>
      <c r="B149" s="3" t="s">
        <v>150</v>
      </c>
      <c r="C149" s="3" t="s">
        <v>119</v>
      </c>
      <c r="D149" s="3" t="s">
        <v>391</v>
      </c>
      <c r="E149" s="3">
        <v>74.619969513731078</v>
      </c>
      <c r="F149" s="3">
        <v>69.673677590488651</v>
      </c>
      <c r="G149" s="3">
        <v>75.430042968077331</v>
      </c>
      <c r="H149" s="3">
        <v>73.241230024099025</v>
      </c>
      <c r="I149" s="3">
        <v>79.294224002911832</v>
      </c>
      <c r="J149" s="3">
        <v>69.945301502117374</v>
      </c>
      <c r="K149" s="3">
        <v>88.449921896936914</v>
      </c>
      <c r="L149" s="3">
        <v>79.229815800655373</v>
      </c>
    </row>
    <row r="150" spans="1:12" x14ac:dyDescent="0.3">
      <c r="A150" s="3">
        <v>31203</v>
      </c>
      <c r="B150" s="3" t="s">
        <v>151</v>
      </c>
      <c r="C150" s="3" t="s">
        <v>119</v>
      </c>
      <c r="D150" s="3" t="s">
        <v>391</v>
      </c>
      <c r="E150" s="3">
        <v>81.403829691627479</v>
      </c>
      <c r="F150" s="3">
        <v>66.384672633108082</v>
      </c>
      <c r="G150" s="3">
        <v>59.246018727852579</v>
      </c>
      <c r="H150" s="3">
        <v>69.011507017529382</v>
      </c>
      <c r="I150" s="3">
        <v>71.979914962529591</v>
      </c>
      <c r="J150" s="3">
        <v>55.007171149428601</v>
      </c>
      <c r="K150" s="3">
        <v>71.579296695144293</v>
      </c>
      <c r="L150" s="3">
        <v>66.188794269034162</v>
      </c>
    </row>
    <row r="151" spans="1:12" x14ac:dyDescent="0.3">
      <c r="A151" s="3">
        <v>31204</v>
      </c>
      <c r="B151" s="3" t="s">
        <v>152</v>
      </c>
      <c r="C151" s="3" t="s">
        <v>119</v>
      </c>
      <c r="D151" s="3" t="s">
        <v>391</v>
      </c>
      <c r="E151" s="3">
        <v>58.642502025344392</v>
      </c>
      <c r="F151" s="3">
        <v>57.07939689185794</v>
      </c>
      <c r="G151" s="3">
        <v>67.410526715217884</v>
      </c>
      <c r="H151" s="3">
        <v>61.044141877473407</v>
      </c>
      <c r="I151" s="3">
        <v>87.884751884522444</v>
      </c>
      <c r="J151" s="3">
        <v>81.658263934783093</v>
      </c>
      <c r="K151" s="3">
        <v>83.823146367380801</v>
      </c>
      <c r="L151" s="3">
        <v>84.455387395562113</v>
      </c>
    </row>
    <row r="152" spans="1:12" x14ac:dyDescent="0.3">
      <c r="A152" s="3">
        <v>31205</v>
      </c>
      <c r="B152" s="3" t="s">
        <v>153</v>
      </c>
      <c r="C152" s="3" t="s">
        <v>119</v>
      </c>
      <c r="D152" s="3" t="s">
        <v>391</v>
      </c>
      <c r="E152" s="3">
        <v>58.740214708942737</v>
      </c>
      <c r="F152" s="3">
        <v>51.662498201357877</v>
      </c>
      <c r="G152" s="3">
        <v>72.109682968513795</v>
      </c>
      <c r="H152" s="3">
        <v>60.837465292938134</v>
      </c>
      <c r="I152" s="3">
        <v>89.052679268231955</v>
      </c>
      <c r="J152" s="3">
        <v>86.214126828347844</v>
      </c>
      <c r="K152" s="3">
        <v>85.339648262057409</v>
      </c>
      <c r="L152" s="3">
        <v>86.868818119545722</v>
      </c>
    </row>
    <row r="153" spans="1:12" x14ac:dyDescent="0.3">
      <c r="A153" s="3">
        <v>31206</v>
      </c>
      <c r="B153" s="3" t="s">
        <v>163</v>
      </c>
      <c r="C153" s="3" t="s">
        <v>119</v>
      </c>
      <c r="D153" s="3" t="s">
        <v>391</v>
      </c>
      <c r="E153" s="3">
        <v>57.496423365763192</v>
      </c>
      <c r="F153" s="3">
        <v>70.283925898037609</v>
      </c>
      <c r="G153" s="3">
        <v>70.144794701242603</v>
      </c>
      <c r="H153" s="3">
        <v>65.975047988347796</v>
      </c>
      <c r="I153" s="3">
        <v>69.961934276159283</v>
      </c>
      <c r="J153" s="3">
        <v>75.147382753490533</v>
      </c>
      <c r="K153" s="3">
        <v>73.502570525533656</v>
      </c>
      <c r="L153" s="3">
        <v>72.870629185061162</v>
      </c>
    </row>
    <row r="154" spans="1:12" x14ac:dyDescent="0.3">
      <c r="A154" s="3">
        <v>31301</v>
      </c>
      <c r="B154" s="3" t="s">
        <v>160</v>
      </c>
      <c r="C154" s="3" t="s">
        <v>119</v>
      </c>
      <c r="D154" s="3" t="s">
        <v>396</v>
      </c>
      <c r="E154" s="3">
        <v>66.86472833480957</v>
      </c>
      <c r="F154" s="3">
        <v>76.406604716025512</v>
      </c>
      <c r="G154" s="3">
        <v>75.155965662949782</v>
      </c>
      <c r="H154" s="3">
        <v>72.809099571261626</v>
      </c>
      <c r="I154" s="3">
        <v>86.483152119812345</v>
      </c>
      <c r="J154" s="3">
        <v>76.321572663270814</v>
      </c>
      <c r="K154" s="3">
        <v>78.996349001777432</v>
      </c>
      <c r="L154" s="3">
        <v>80.600357928286869</v>
      </c>
    </row>
    <row r="155" spans="1:12" x14ac:dyDescent="0.3">
      <c r="A155" s="3">
        <v>31302</v>
      </c>
      <c r="B155" s="3" t="s">
        <v>161</v>
      </c>
      <c r="C155" s="3" t="s">
        <v>119</v>
      </c>
      <c r="D155" s="3" t="s">
        <v>396</v>
      </c>
      <c r="E155" s="3">
        <v>60.687345232476872</v>
      </c>
      <c r="F155" s="3">
        <v>59.572023876696953</v>
      </c>
      <c r="G155" s="3">
        <v>68.19593118199731</v>
      </c>
      <c r="H155" s="3">
        <v>62.818433430390378</v>
      </c>
      <c r="I155" s="3">
        <v>89.442049760080849</v>
      </c>
      <c r="J155" s="3">
        <v>76.702609641069827</v>
      </c>
      <c r="K155" s="3">
        <v>88.436132523943627</v>
      </c>
      <c r="L155" s="3">
        <v>84.86026397503143</v>
      </c>
    </row>
    <row r="156" spans="1:12" x14ac:dyDescent="0.3">
      <c r="A156" s="3">
        <v>31303</v>
      </c>
      <c r="B156" s="3" t="s">
        <v>162</v>
      </c>
      <c r="C156" s="3" t="s">
        <v>119</v>
      </c>
      <c r="D156" s="3" t="s">
        <v>396</v>
      </c>
      <c r="E156" s="3">
        <v>57.366725285828821</v>
      </c>
      <c r="F156" s="3">
        <v>80.704028212826287</v>
      </c>
      <c r="G156" s="3">
        <v>61.219893938217361</v>
      </c>
      <c r="H156" s="3">
        <v>66.430215812290825</v>
      </c>
      <c r="I156" s="3">
        <v>83.874065739049897</v>
      </c>
      <c r="J156" s="3">
        <v>65.217800446471159</v>
      </c>
      <c r="K156" s="3">
        <v>84.115004319978866</v>
      </c>
      <c r="L156" s="3">
        <v>77.735623501833302</v>
      </c>
    </row>
    <row r="157" spans="1:12" x14ac:dyDescent="0.3">
      <c r="A157" s="3">
        <v>31304</v>
      </c>
      <c r="B157" s="3" t="s">
        <v>475</v>
      </c>
      <c r="C157" s="3" t="s">
        <v>119</v>
      </c>
      <c r="D157" s="3" t="s">
        <v>396</v>
      </c>
      <c r="E157" s="3">
        <v>0</v>
      </c>
      <c r="F157" s="3">
        <v>0</v>
      </c>
      <c r="G157" s="3">
        <v>0</v>
      </c>
      <c r="H157" s="3">
        <v>0</v>
      </c>
      <c r="I157" s="3">
        <v>66.036070375714488</v>
      </c>
      <c r="J157" s="3">
        <v>57.184903612529595</v>
      </c>
      <c r="K157" s="3">
        <v>67.794494749669099</v>
      </c>
      <c r="L157" s="3">
        <v>63.67182291263773</v>
      </c>
    </row>
    <row r="158" spans="1:12" x14ac:dyDescent="0.3">
      <c r="A158" s="3">
        <v>31401</v>
      </c>
      <c r="B158" s="3" t="s">
        <v>133</v>
      </c>
      <c r="C158" s="3" t="s">
        <v>119</v>
      </c>
      <c r="D158" s="3" t="s">
        <v>385</v>
      </c>
      <c r="E158" s="3">
        <v>72.573501519977583</v>
      </c>
      <c r="F158" s="3">
        <v>69.481236852807754</v>
      </c>
      <c r="G158" s="3">
        <v>55.940117914407203</v>
      </c>
      <c r="H158" s="3">
        <v>65.998285429064182</v>
      </c>
      <c r="I158" s="3">
        <v>77.464814793039722</v>
      </c>
      <c r="J158" s="3">
        <v>84.733991748300895</v>
      </c>
      <c r="K158" s="3">
        <v>88.114532347686108</v>
      </c>
      <c r="L158" s="3">
        <v>83.437779629675575</v>
      </c>
    </row>
    <row r="159" spans="1:12" x14ac:dyDescent="0.3">
      <c r="A159" s="3">
        <v>31402</v>
      </c>
      <c r="B159" s="3" t="s">
        <v>134</v>
      </c>
      <c r="C159" s="3" t="s">
        <v>119</v>
      </c>
      <c r="D159" s="3" t="s">
        <v>385</v>
      </c>
      <c r="E159" s="3">
        <v>81.105263897102873</v>
      </c>
      <c r="F159" s="3">
        <v>48.06280546093496</v>
      </c>
      <c r="G159" s="3">
        <v>74.717013807553386</v>
      </c>
      <c r="H159" s="3">
        <v>67.961694388530404</v>
      </c>
      <c r="I159" s="3">
        <v>85.163049249493554</v>
      </c>
      <c r="J159" s="3">
        <v>70.360634241141312</v>
      </c>
      <c r="K159" s="3">
        <v>70.30341783733131</v>
      </c>
      <c r="L159" s="3">
        <v>75.275700442655406</v>
      </c>
    </row>
    <row r="160" spans="1:12" x14ac:dyDescent="0.3">
      <c r="A160" s="3">
        <v>31403</v>
      </c>
      <c r="B160" s="3" t="s">
        <v>135</v>
      </c>
      <c r="C160" s="3" t="s">
        <v>119</v>
      </c>
      <c r="D160" s="3" t="s">
        <v>385</v>
      </c>
      <c r="E160" s="3">
        <v>67.377007536825602</v>
      </c>
      <c r="F160" s="3">
        <v>41.382273721715833</v>
      </c>
      <c r="G160" s="3">
        <v>28.406802327398111</v>
      </c>
      <c r="H160" s="3">
        <v>45.722027861979846</v>
      </c>
      <c r="I160" s="3">
        <v>83.505610733363184</v>
      </c>
      <c r="J160" s="3">
        <v>83.995006303370758</v>
      </c>
      <c r="K160" s="3">
        <v>71.157352883293214</v>
      </c>
      <c r="L160" s="3">
        <v>79.552656640009062</v>
      </c>
    </row>
    <row r="161" spans="1:12" x14ac:dyDescent="0.3">
      <c r="A161" s="3">
        <v>31404</v>
      </c>
      <c r="B161" s="3" t="s">
        <v>136</v>
      </c>
      <c r="C161" s="3" t="s">
        <v>119</v>
      </c>
      <c r="D161" s="3" t="s">
        <v>385</v>
      </c>
      <c r="E161" s="3">
        <v>35.067892288593413</v>
      </c>
      <c r="F161" s="3">
        <v>21.927680498493711</v>
      </c>
      <c r="G161" s="3">
        <v>34.16691546970582</v>
      </c>
      <c r="H161" s="3">
        <v>30.38749608559765</v>
      </c>
      <c r="I161" s="3">
        <v>90.385146964059899</v>
      </c>
      <c r="J161" s="3">
        <v>59.004463729256393</v>
      </c>
      <c r="K161" s="3">
        <v>92.445007244480308</v>
      </c>
      <c r="L161" s="3">
        <v>80.611539312598865</v>
      </c>
    </row>
    <row r="162" spans="1:12" x14ac:dyDescent="0.3">
      <c r="A162" s="3">
        <v>31405</v>
      </c>
      <c r="B162" s="3" t="s">
        <v>137</v>
      </c>
      <c r="C162" s="3" t="s">
        <v>119</v>
      </c>
      <c r="D162" s="3" t="s">
        <v>385</v>
      </c>
      <c r="E162" s="3">
        <v>21.339526873312099</v>
      </c>
      <c r="F162" s="3">
        <v>32.277456999771921</v>
      </c>
      <c r="G162" s="3">
        <v>48.286129212790129</v>
      </c>
      <c r="H162" s="3">
        <v>33.967704361958049</v>
      </c>
      <c r="I162" s="3">
        <v>80.464145205672111</v>
      </c>
      <c r="J162" s="3">
        <v>69.401214233760015</v>
      </c>
      <c r="K162" s="3">
        <v>66.094052964765496</v>
      </c>
      <c r="L162" s="3">
        <v>71.986470801399207</v>
      </c>
    </row>
    <row r="163" spans="1:12" x14ac:dyDescent="0.3">
      <c r="A163" s="3">
        <v>31501</v>
      </c>
      <c r="B163" s="3" t="s">
        <v>158</v>
      </c>
      <c r="C163" s="3" t="s">
        <v>119</v>
      </c>
      <c r="D163" s="3" t="s">
        <v>394</v>
      </c>
      <c r="E163" s="3">
        <v>83.489224500757871</v>
      </c>
      <c r="F163" s="3">
        <v>74.796210370131462</v>
      </c>
      <c r="G163" s="3">
        <v>80.029282708401382</v>
      </c>
      <c r="H163" s="3">
        <v>79.438239193096905</v>
      </c>
      <c r="I163" s="3">
        <v>88.934087870043356</v>
      </c>
      <c r="J163" s="3">
        <v>76.499505573600302</v>
      </c>
      <c r="K163" s="3">
        <v>84.101722903576189</v>
      </c>
      <c r="L163" s="3">
        <v>83.178438782406616</v>
      </c>
    </row>
    <row r="164" spans="1:12" x14ac:dyDescent="0.3">
      <c r="A164" s="3">
        <v>31601</v>
      </c>
      <c r="B164" s="3" t="s">
        <v>159</v>
      </c>
      <c r="C164" s="3" t="s">
        <v>119</v>
      </c>
      <c r="D164" s="3" t="s">
        <v>395</v>
      </c>
      <c r="E164" s="3">
        <v>65.085413496937065</v>
      </c>
      <c r="F164" s="3">
        <v>52.040640803735933</v>
      </c>
      <c r="G164" s="3">
        <v>46.123152648936447</v>
      </c>
      <c r="H164" s="3">
        <v>54.416402316536477</v>
      </c>
      <c r="I164" s="3">
        <v>83.742920048749141</v>
      </c>
      <c r="J164" s="3">
        <v>74.76431813625031</v>
      </c>
      <c r="K164" s="3">
        <v>60.014108645436437</v>
      </c>
      <c r="L164" s="3">
        <v>72.84044894347862</v>
      </c>
    </row>
    <row r="165" spans="1:12" x14ac:dyDescent="0.3">
      <c r="A165" s="3">
        <v>31602</v>
      </c>
      <c r="B165" s="3" t="s">
        <v>165</v>
      </c>
      <c r="C165" s="3" t="s">
        <v>119</v>
      </c>
      <c r="D165" s="3" t="s">
        <v>395</v>
      </c>
      <c r="E165" s="3">
        <v>68.379673484222394</v>
      </c>
      <c r="F165" s="3">
        <v>77.716914761544089</v>
      </c>
      <c r="G165" s="3">
        <v>69.728490761111914</v>
      </c>
      <c r="H165" s="3">
        <v>71.941693002292809</v>
      </c>
      <c r="I165" s="3">
        <v>82.455791818008706</v>
      </c>
      <c r="J165" s="3">
        <v>82.548064931883843</v>
      </c>
      <c r="K165" s="3">
        <v>82.351734227149691</v>
      </c>
      <c r="L165" s="3">
        <v>82.45186365901408</v>
      </c>
    </row>
    <row r="166" spans="1:12" x14ac:dyDescent="0.3">
      <c r="A166" s="3">
        <v>40101</v>
      </c>
      <c r="B166" s="3" t="s">
        <v>166</v>
      </c>
      <c r="C166" s="3" t="s">
        <v>167</v>
      </c>
      <c r="D166" s="3" t="s">
        <v>380</v>
      </c>
      <c r="E166" s="3">
        <v>58.541579463444627</v>
      </c>
      <c r="F166" s="3">
        <v>61.66582710761309</v>
      </c>
      <c r="G166" s="3">
        <v>58.596566093661231</v>
      </c>
      <c r="H166" s="3">
        <v>59.60132422157298</v>
      </c>
      <c r="I166" s="3">
        <v>92.836756660638187</v>
      </c>
      <c r="J166" s="3">
        <v>79.481365602708507</v>
      </c>
      <c r="K166" s="3">
        <v>84.227704691728505</v>
      </c>
      <c r="L166" s="3">
        <v>85.515275651691738</v>
      </c>
    </row>
    <row r="167" spans="1:12" x14ac:dyDescent="0.3">
      <c r="A167" s="3">
        <v>40102</v>
      </c>
      <c r="B167" s="3" t="s">
        <v>168</v>
      </c>
      <c r="C167" s="3" t="s">
        <v>167</v>
      </c>
      <c r="D167" s="3" t="s">
        <v>380</v>
      </c>
      <c r="E167" s="3">
        <v>80.318188987492988</v>
      </c>
      <c r="F167" s="3">
        <v>63.968796557865467</v>
      </c>
      <c r="G167" s="3">
        <v>53.265205825511487</v>
      </c>
      <c r="H167" s="3">
        <v>65.85073045695664</v>
      </c>
      <c r="I167" s="3">
        <v>77.841451748439965</v>
      </c>
      <c r="J167" s="3">
        <v>76.777340667457295</v>
      </c>
      <c r="K167" s="3">
        <v>78.231112480193559</v>
      </c>
      <c r="L167" s="3">
        <v>77.616634965363602</v>
      </c>
    </row>
    <row r="168" spans="1:12" x14ac:dyDescent="0.3">
      <c r="A168" s="3">
        <v>40103</v>
      </c>
      <c r="B168" s="3" t="s">
        <v>169</v>
      </c>
      <c r="C168" s="3" t="s">
        <v>167</v>
      </c>
      <c r="D168" s="3" t="s">
        <v>380</v>
      </c>
      <c r="E168" s="3">
        <v>47.577011833505637</v>
      </c>
      <c r="F168" s="3">
        <v>54.385955980776302</v>
      </c>
      <c r="G168" s="3">
        <v>53.7314655716592</v>
      </c>
      <c r="H168" s="3">
        <v>51.898144461980372</v>
      </c>
      <c r="I168" s="3">
        <v>68.266358633293052</v>
      </c>
      <c r="J168" s="3">
        <v>60.923931838752011</v>
      </c>
      <c r="K168" s="3">
        <v>80.461597892270603</v>
      </c>
      <c r="L168" s="3">
        <v>69.883962788105222</v>
      </c>
    </row>
    <row r="169" spans="1:12" x14ac:dyDescent="0.3">
      <c r="A169" s="3">
        <v>40104</v>
      </c>
      <c r="B169" s="3" t="s">
        <v>201</v>
      </c>
      <c r="C169" s="3" t="s">
        <v>167</v>
      </c>
      <c r="D169" s="3" t="s">
        <v>380</v>
      </c>
      <c r="E169" s="3">
        <v>93.160747057135325</v>
      </c>
      <c r="F169" s="3">
        <v>83.146332570648994</v>
      </c>
      <c r="G169" s="3">
        <v>70.39186226021971</v>
      </c>
      <c r="H169" s="3">
        <v>82.232980629334676</v>
      </c>
      <c r="I169" s="3">
        <v>87.715282539445411</v>
      </c>
      <c r="J169" s="3">
        <v>77.852819968170849</v>
      </c>
      <c r="K169" s="3">
        <v>76.24865420915944</v>
      </c>
      <c r="L169" s="3">
        <v>80.605585572258562</v>
      </c>
    </row>
    <row r="170" spans="1:12" x14ac:dyDescent="0.3">
      <c r="A170" s="3">
        <v>40201</v>
      </c>
      <c r="B170" s="3" t="s">
        <v>170</v>
      </c>
      <c r="C170" s="3" t="s">
        <v>167</v>
      </c>
      <c r="D170" s="3" t="s">
        <v>397</v>
      </c>
      <c r="E170" s="3">
        <v>58.371886324254248</v>
      </c>
      <c r="F170" s="3">
        <v>56.294705886091521</v>
      </c>
      <c r="G170" s="3">
        <v>60.420726792767411</v>
      </c>
      <c r="H170" s="3">
        <v>58.362439667704393</v>
      </c>
      <c r="I170" s="3">
        <v>89.149587027575365</v>
      </c>
      <c r="J170" s="3">
        <v>79.625427322742752</v>
      </c>
      <c r="K170" s="3">
        <v>87.188183722937993</v>
      </c>
      <c r="L170" s="3">
        <v>85.321066024418698</v>
      </c>
    </row>
    <row r="171" spans="1:12" x14ac:dyDescent="0.3">
      <c r="A171" s="3">
        <v>40202</v>
      </c>
      <c r="B171" s="3" t="s">
        <v>171</v>
      </c>
      <c r="C171" s="3" t="s">
        <v>167</v>
      </c>
      <c r="D171" s="3" t="s">
        <v>397</v>
      </c>
      <c r="E171" s="3">
        <v>80.411996178683637</v>
      </c>
      <c r="F171" s="3">
        <v>69.818670654596843</v>
      </c>
      <c r="G171" s="3">
        <v>66.197708533762551</v>
      </c>
      <c r="H171" s="3">
        <v>72.142791789014339</v>
      </c>
      <c r="I171" s="3">
        <v>83.359478580263385</v>
      </c>
      <c r="J171" s="3">
        <v>75.952758643469636</v>
      </c>
      <c r="K171" s="3">
        <v>57.141450337729317</v>
      </c>
      <c r="L171" s="3">
        <v>72.151229187154101</v>
      </c>
    </row>
    <row r="172" spans="1:12" x14ac:dyDescent="0.3">
      <c r="A172" s="3">
        <v>40301</v>
      </c>
      <c r="B172" s="3" t="s">
        <v>180</v>
      </c>
      <c r="C172" s="3" t="s">
        <v>167</v>
      </c>
      <c r="D172" s="3" t="s">
        <v>403</v>
      </c>
      <c r="E172" s="3">
        <v>56.839815197016307</v>
      </c>
      <c r="F172" s="3">
        <v>69.002754039099884</v>
      </c>
      <c r="G172" s="3">
        <v>65.096769088495435</v>
      </c>
      <c r="H172" s="3">
        <v>63.646446108203882</v>
      </c>
      <c r="I172" s="3">
        <v>86.611578128686688</v>
      </c>
      <c r="J172" s="3">
        <v>80.534798862987628</v>
      </c>
      <c r="K172" s="3">
        <v>81.865303061140452</v>
      </c>
      <c r="L172" s="3">
        <v>83.003893350938256</v>
      </c>
    </row>
    <row r="173" spans="1:12" x14ac:dyDescent="0.3">
      <c r="A173" s="3">
        <v>40302</v>
      </c>
      <c r="B173" s="3" t="s">
        <v>181</v>
      </c>
      <c r="C173" s="3" t="s">
        <v>167</v>
      </c>
      <c r="D173" s="3" t="s">
        <v>403</v>
      </c>
      <c r="E173" s="3">
        <v>76.805337432415712</v>
      </c>
      <c r="F173" s="3">
        <v>50.659883197559523</v>
      </c>
      <c r="G173" s="3">
        <v>55.093934170283632</v>
      </c>
      <c r="H173" s="3">
        <v>60.853051600086282</v>
      </c>
      <c r="I173" s="3">
        <v>79.075090622552935</v>
      </c>
      <c r="J173" s="3">
        <v>77.14400874173532</v>
      </c>
      <c r="K173" s="3">
        <v>86.842540453310207</v>
      </c>
      <c r="L173" s="3">
        <v>81.020546605866159</v>
      </c>
    </row>
    <row r="174" spans="1:12" x14ac:dyDescent="0.3">
      <c r="A174" s="3">
        <v>40401</v>
      </c>
      <c r="B174" s="3" t="s">
        <v>182</v>
      </c>
      <c r="C174" s="3" t="s">
        <v>167</v>
      </c>
      <c r="D174" s="3" t="s">
        <v>404</v>
      </c>
      <c r="E174" s="3">
        <v>72.339575208756727</v>
      </c>
      <c r="F174" s="3">
        <v>60.671314291118293</v>
      </c>
      <c r="G174" s="3">
        <v>84.381064559091143</v>
      </c>
      <c r="H174" s="3">
        <v>72.463984686322064</v>
      </c>
      <c r="I174" s="3">
        <v>91.01969306263554</v>
      </c>
      <c r="J174" s="3">
        <v>66.771713270199101</v>
      </c>
      <c r="K174" s="3">
        <v>83.910885219613036</v>
      </c>
      <c r="L174" s="3">
        <v>80.567430517482549</v>
      </c>
    </row>
    <row r="175" spans="1:12" x14ac:dyDescent="0.3">
      <c r="A175" s="3">
        <v>40402</v>
      </c>
      <c r="B175" s="3" t="s">
        <v>183</v>
      </c>
      <c r="C175" s="3" t="s">
        <v>167</v>
      </c>
      <c r="D175" s="3" t="s">
        <v>404</v>
      </c>
      <c r="E175" s="3">
        <v>60.522399836663141</v>
      </c>
      <c r="F175" s="3">
        <v>64.379098260198745</v>
      </c>
      <c r="G175" s="3">
        <v>61.874545045848329</v>
      </c>
      <c r="H175" s="3">
        <v>62.258681047570072</v>
      </c>
      <c r="I175" s="3">
        <v>67.291383798623244</v>
      </c>
      <c r="J175" s="3">
        <v>64.062974997950704</v>
      </c>
      <c r="K175" s="3">
        <v>72.151459149403436</v>
      </c>
      <c r="L175" s="3">
        <v>67.835272648659114</v>
      </c>
    </row>
    <row r="176" spans="1:12" x14ac:dyDescent="0.3">
      <c r="A176" s="3">
        <v>40501</v>
      </c>
      <c r="B176" s="3" t="s">
        <v>184</v>
      </c>
      <c r="C176" s="3" t="s">
        <v>167</v>
      </c>
      <c r="D176" s="3" t="s">
        <v>405</v>
      </c>
      <c r="E176" s="3">
        <v>53.27021398537314</v>
      </c>
      <c r="F176" s="3">
        <v>40.740386744918268</v>
      </c>
      <c r="G176" s="3">
        <v>62.306965005657553</v>
      </c>
      <c r="H176" s="3">
        <v>52.10585524531632</v>
      </c>
      <c r="I176" s="3">
        <v>70.523033775613555</v>
      </c>
      <c r="J176" s="3">
        <v>39.664066530077221</v>
      </c>
      <c r="K176" s="3">
        <v>69.683776093692344</v>
      </c>
      <c r="L176" s="3">
        <v>59.956958799794371</v>
      </c>
    </row>
    <row r="177" spans="1:12" x14ac:dyDescent="0.3">
      <c r="A177" s="3">
        <v>40502</v>
      </c>
      <c r="B177" s="3" t="s">
        <v>185</v>
      </c>
      <c r="C177" s="3" t="s">
        <v>167</v>
      </c>
      <c r="D177" s="3" t="s">
        <v>405</v>
      </c>
      <c r="E177" s="3">
        <v>75.949451491601565</v>
      </c>
      <c r="F177" s="3">
        <v>69.480816018146015</v>
      </c>
      <c r="G177" s="3">
        <v>49.073441566054711</v>
      </c>
      <c r="H177" s="3">
        <v>64.834569691934107</v>
      </c>
      <c r="I177" s="3">
        <v>83.123667129070796</v>
      </c>
      <c r="J177" s="3">
        <v>71.80063525636001</v>
      </c>
      <c r="K177" s="3">
        <v>61.554006841409013</v>
      </c>
      <c r="L177" s="3">
        <v>72.159436408946604</v>
      </c>
    </row>
    <row r="178" spans="1:12" x14ac:dyDescent="0.3">
      <c r="A178" s="3">
        <v>40503</v>
      </c>
      <c r="B178" s="3" t="s">
        <v>186</v>
      </c>
      <c r="C178" s="3" t="s">
        <v>167</v>
      </c>
      <c r="D178" s="3" t="s">
        <v>405</v>
      </c>
      <c r="E178" s="3">
        <v>27.969327653784688</v>
      </c>
      <c r="F178" s="3">
        <v>29.261317486079761</v>
      </c>
      <c r="G178" s="3">
        <v>57.009038615390942</v>
      </c>
      <c r="H178" s="3">
        <v>38.079894585085128</v>
      </c>
      <c r="I178" s="3">
        <v>69.594321168511186</v>
      </c>
      <c r="J178" s="3">
        <v>67.121130469983498</v>
      </c>
      <c r="K178" s="3">
        <v>72.297591811621913</v>
      </c>
      <c r="L178" s="3">
        <v>69.671014483372204</v>
      </c>
    </row>
    <row r="179" spans="1:12" x14ac:dyDescent="0.3">
      <c r="A179" s="3">
        <v>40504</v>
      </c>
      <c r="B179" s="3" t="s">
        <v>187</v>
      </c>
      <c r="C179" s="3" t="s">
        <v>167</v>
      </c>
      <c r="D179" s="3" t="s">
        <v>405</v>
      </c>
      <c r="E179" s="3">
        <v>87.157771633367588</v>
      </c>
      <c r="F179" s="3">
        <v>55.253376107359543</v>
      </c>
      <c r="G179" s="3">
        <v>28.201626082948991</v>
      </c>
      <c r="H179" s="3">
        <v>56.870924607892043</v>
      </c>
      <c r="I179" s="3">
        <v>78.420141075595382</v>
      </c>
      <c r="J179" s="3">
        <v>90.205506349007152</v>
      </c>
      <c r="K179" s="3">
        <v>54.010725165432092</v>
      </c>
      <c r="L179" s="3">
        <v>74.212124196678204</v>
      </c>
    </row>
    <row r="180" spans="1:12" x14ac:dyDescent="0.3">
      <c r="A180" s="3">
        <v>40505</v>
      </c>
      <c r="B180" s="3" t="s">
        <v>188</v>
      </c>
      <c r="C180" s="3" t="s">
        <v>167</v>
      </c>
      <c r="D180" s="3" t="s">
        <v>405</v>
      </c>
      <c r="E180" s="3">
        <v>70.859742326636194</v>
      </c>
      <c r="F180" s="3">
        <v>54.259496114452631</v>
      </c>
      <c r="G180" s="3">
        <v>66.119845173264906</v>
      </c>
      <c r="H180" s="3">
        <v>63.74636120478457</v>
      </c>
      <c r="I180" s="3">
        <v>69.403003637205757</v>
      </c>
      <c r="J180" s="3">
        <v>78.384906369609141</v>
      </c>
      <c r="K180" s="3">
        <v>82.317080902433986</v>
      </c>
      <c r="L180" s="3">
        <v>76.701663636416299</v>
      </c>
    </row>
    <row r="181" spans="1:12" x14ac:dyDescent="0.3">
      <c r="A181" s="3">
        <v>40601</v>
      </c>
      <c r="B181" s="3" t="s">
        <v>174</v>
      </c>
      <c r="C181" s="3" t="s">
        <v>167</v>
      </c>
      <c r="D181" s="3" t="s">
        <v>399</v>
      </c>
      <c r="E181" s="3">
        <v>74.143782378337079</v>
      </c>
      <c r="F181" s="3">
        <v>81.773674237782515</v>
      </c>
      <c r="G181" s="3">
        <v>56.046763468137293</v>
      </c>
      <c r="H181" s="3">
        <v>70.654740028085627</v>
      </c>
      <c r="I181" s="3">
        <v>79.143575380717422</v>
      </c>
      <c r="J181" s="3">
        <v>72.701696819056437</v>
      </c>
      <c r="K181" s="3">
        <v>81.476615763482357</v>
      </c>
      <c r="L181" s="3">
        <v>77.773962654418739</v>
      </c>
    </row>
    <row r="182" spans="1:12" x14ac:dyDescent="0.3">
      <c r="A182" s="3">
        <v>40602</v>
      </c>
      <c r="B182" s="3" t="s">
        <v>175</v>
      </c>
      <c r="C182" s="3" t="s">
        <v>167</v>
      </c>
      <c r="D182" s="3" t="s">
        <v>399</v>
      </c>
      <c r="E182" s="3">
        <v>44.663939742946297</v>
      </c>
      <c r="F182" s="3">
        <v>63.235319606311677</v>
      </c>
      <c r="G182" s="3">
        <v>70.424354431540678</v>
      </c>
      <c r="H182" s="3">
        <v>59.441204593599558</v>
      </c>
      <c r="I182" s="3">
        <v>84.25488763932313</v>
      </c>
      <c r="J182" s="3">
        <v>84.520687115530066</v>
      </c>
      <c r="K182" s="3">
        <v>82.740092126565827</v>
      </c>
      <c r="L182" s="3">
        <v>83.838555627139684</v>
      </c>
    </row>
    <row r="183" spans="1:12" x14ac:dyDescent="0.3">
      <c r="A183" s="3">
        <v>40603</v>
      </c>
      <c r="B183" s="3" t="s">
        <v>176</v>
      </c>
      <c r="C183" s="3" t="s">
        <v>167</v>
      </c>
      <c r="D183" s="3" t="s">
        <v>399</v>
      </c>
      <c r="E183" s="3">
        <v>21.810891855429141</v>
      </c>
      <c r="F183" s="3">
        <v>26.0870881601519</v>
      </c>
      <c r="G183" s="3">
        <v>64.01854023526846</v>
      </c>
      <c r="H183" s="3">
        <v>37.305506750283165</v>
      </c>
      <c r="I183" s="3">
        <v>82.42748978896239</v>
      </c>
      <c r="J183" s="3">
        <v>59.005823715945063</v>
      </c>
      <c r="K183" s="3">
        <v>65.095483848331938</v>
      </c>
      <c r="L183" s="3">
        <v>68.84293245107979</v>
      </c>
    </row>
    <row r="184" spans="1:12" x14ac:dyDescent="0.3">
      <c r="A184" s="3">
        <v>40701</v>
      </c>
      <c r="B184" s="3" t="s">
        <v>172</v>
      </c>
      <c r="C184" s="3" t="s">
        <v>167</v>
      </c>
      <c r="D184" s="3" t="s">
        <v>398</v>
      </c>
      <c r="E184" s="3">
        <v>57.426684343934753</v>
      </c>
      <c r="F184" s="3">
        <v>71.985411765689278</v>
      </c>
      <c r="G184" s="3">
        <v>49.45852941644808</v>
      </c>
      <c r="H184" s="3">
        <v>59.623541842024032</v>
      </c>
      <c r="I184" s="3">
        <v>85.170414171106586</v>
      </c>
      <c r="J184" s="3">
        <v>72.651428991144741</v>
      </c>
      <c r="K184" s="3">
        <v>77.061204562893408</v>
      </c>
      <c r="L184" s="3">
        <v>78.294349241714912</v>
      </c>
    </row>
    <row r="185" spans="1:12" x14ac:dyDescent="0.3">
      <c r="A185" s="3">
        <v>40702</v>
      </c>
      <c r="B185" s="3" t="s">
        <v>173</v>
      </c>
      <c r="C185" s="3" t="s">
        <v>167</v>
      </c>
      <c r="D185" s="3" t="s">
        <v>398</v>
      </c>
      <c r="E185" s="3">
        <v>69.75454246082667</v>
      </c>
      <c r="F185" s="3">
        <v>44.41388476752384</v>
      </c>
      <c r="G185" s="3">
        <v>48.174999974909397</v>
      </c>
      <c r="H185" s="3">
        <v>54.114475734419976</v>
      </c>
      <c r="I185" s="3">
        <v>88.053123182221555</v>
      </c>
      <c r="J185" s="3">
        <v>92.304721356982284</v>
      </c>
      <c r="K185" s="3">
        <v>87.027392802959284</v>
      </c>
      <c r="L185" s="3">
        <v>89.128412447387703</v>
      </c>
    </row>
    <row r="186" spans="1:12" x14ac:dyDescent="0.3">
      <c r="A186" s="3">
        <v>40801</v>
      </c>
      <c r="B186" s="3" t="s">
        <v>192</v>
      </c>
      <c r="C186" s="3" t="s">
        <v>167</v>
      </c>
      <c r="D186" s="3" t="s">
        <v>408</v>
      </c>
      <c r="E186" s="3">
        <v>65.6006791575318</v>
      </c>
      <c r="F186" s="3">
        <v>56.656799158813577</v>
      </c>
      <c r="G186" s="3">
        <v>57.969266913389937</v>
      </c>
      <c r="H186" s="3">
        <v>60.075581743245102</v>
      </c>
      <c r="I186" s="3">
        <v>45.985694882479365</v>
      </c>
      <c r="J186" s="3">
        <v>56.443845247364273</v>
      </c>
      <c r="K186" s="3">
        <v>65.270723827900653</v>
      </c>
      <c r="L186" s="3">
        <v>55.900087985914773</v>
      </c>
    </row>
    <row r="187" spans="1:12" x14ac:dyDescent="0.3">
      <c r="A187" s="3">
        <v>40802</v>
      </c>
      <c r="B187" s="3" t="s">
        <v>193</v>
      </c>
      <c r="C187" s="3" t="s">
        <v>167</v>
      </c>
      <c r="D187" s="3" t="s">
        <v>408</v>
      </c>
      <c r="E187" s="3">
        <v>51.646565162591394</v>
      </c>
      <c r="F187" s="3">
        <v>65.598602853023181</v>
      </c>
      <c r="G187" s="3">
        <v>27.04730093271586</v>
      </c>
      <c r="H187" s="3">
        <v>48.097489649443482</v>
      </c>
      <c r="I187" s="3">
        <v>89.436813401587457</v>
      </c>
      <c r="J187" s="3">
        <v>66.886171846413944</v>
      </c>
      <c r="K187" s="3">
        <v>82.155771575607744</v>
      </c>
      <c r="L187" s="3">
        <v>79.492918941203058</v>
      </c>
    </row>
    <row r="188" spans="1:12" x14ac:dyDescent="0.3">
      <c r="A188" s="3">
        <v>40901</v>
      </c>
      <c r="B188" s="3" t="s">
        <v>197</v>
      </c>
      <c r="C188" s="3" t="s">
        <v>167</v>
      </c>
      <c r="D188" s="3" t="s">
        <v>410</v>
      </c>
      <c r="E188" s="3">
        <v>57.697871858952318</v>
      </c>
      <c r="F188" s="3">
        <v>48.829604066492827</v>
      </c>
      <c r="G188" s="3">
        <v>58.757897696964953</v>
      </c>
      <c r="H188" s="3">
        <v>55.095124540803369</v>
      </c>
      <c r="I188" s="3">
        <v>61.756250524209818</v>
      </c>
      <c r="J188" s="3">
        <v>64.886025489139072</v>
      </c>
      <c r="K188" s="3">
        <v>61.672351435735372</v>
      </c>
      <c r="L188" s="3">
        <v>62.771542483028092</v>
      </c>
    </row>
    <row r="189" spans="1:12" x14ac:dyDescent="0.3">
      <c r="A189" s="3">
        <v>40902</v>
      </c>
      <c r="B189" s="3" t="s">
        <v>198</v>
      </c>
      <c r="C189" s="3" t="s">
        <v>167</v>
      </c>
      <c r="D189" s="3" t="s">
        <v>410</v>
      </c>
      <c r="E189" s="3">
        <v>44.809208531133883</v>
      </c>
      <c r="F189" s="3">
        <v>81.127887894569668</v>
      </c>
      <c r="G189" s="3">
        <v>52.157846279405142</v>
      </c>
      <c r="H189" s="3">
        <v>59.364980901702893</v>
      </c>
      <c r="I189" s="3">
        <v>93.41526313988669</v>
      </c>
      <c r="J189" s="3">
        <v>69.898285891103868</v>
      </c>
      <c r="K189" s="3">
        <v>75.241675314203192</v>
      </c>
      <c r="L189" s="3">
        <v>79.518408115064574</v>
      </c>
    </row>
    <row r="190" spans="1:12" x14ac:dyDescent="0.3">
      <c r="A190" s="3">
        <v>40903</v>
      </c>
      <c r="B190" s="3" t="s">
        <v>199</v>
      </c>
      <c r="C190" s="3" t="s">
        <v>167</v>
      </c>
      <c r="D190" s="3" t="s">
        <v>410</v>
      </c>
      <c r="E190" s="3">
        <v>45.24889719425849</v>
      </c>
      <c r="F190" s="3">
        <v>54.583607376410868</v>
      </c>
      <c r="G190" s="3">
        <v>54.561178268585643</v>
      </c>
      <c r="H190" s="3">
        <v>51.464560946418338</v>
      </c>
      <c r="I190" s="3">
        <v>68.263700122476521</v>
      </c>
      <c r="J190" s="3">
        <v>57.638299687704922</v>
      </c>
      <c r="K190" s="3">
        <v>88.093406023311374</v>
      </c>
      <c r="L190" s="3">
        <v>71.331801944497613</v>
      </c>
    </row>
    <row r="191" spans="1:12" x14ac:dyDescent="0.3">
      <c r="A191" s="3">
        <v>41001</v>
      </c>
      <c r="B191" s="3" t="s">
        <v>189</v>
      </c>
      <c r="C191" s="3" t="s">
        <v>167</v>
      </c>
      <c r="D191" s="3" t="s">
        <v>406</v>
      </c>
      <c r="E191" s="3">
        <v>66.502486016040933</v>
      </c>
      <c r="F191" s="3">
        <v>70.225286636571155</v>
      </c>
      <c r="G191" s="3">
        <v>72.193541964151706</v>
      </c>
      <c r="H191" s="3">
        <v>69.640438205587927</v>
      </c>
      <c r="I191" s="3">
        <v>80.859195909166033</v>
      </c>
      <c r="J191" s="3">
        <v>69.620447939624867</v>
      </c>
      <c r="K191" s="3">
        <v>73.815306922428917</v>
      </c>
      <c r="L191" s="3">
        <v>74.764983590406601</v>
      </c>
    </row>
    <row r="192" spans="1:12" x14ac:dyDescent="0.3">
      <c r="A192" s="3">
        <v>41101</v>
      </c>
      <c r="B192" s="3" t="s">
        <v>177</v>
      </c>
      <c r="C192" s="3" t="s">
        <v>167</v>
      </c>
      <c r="D192" s="3" t="s">
        <v>400</v>
      </c>
      <c r="E192" s="3">
        <v>56.140595456882913</v>
      </c>
      <c r="F192" s="3">
        <v>39.78054163426166</v>
      </c>
      <c r="G192" s="3">
        <v>51.711550770785323</v>
      </c>
      <c r="H192" s="3">
        <v>49.210895953976632</v>
      </c>
      <c r="I192" s="3">
        <v>70.968113708181718</v>
      </c>
      <c r="J192" s="3">
        <v>63.100906025835272</v>
      </c>
      <c r="K192" s="3">
        <v>78.997927131298468</v>
      </c>
      <c r="L192" s="3">
        <v>71.022315621771824</v>
      </c>
    </row>
    <row r="193" spans="1:12" x14ac:dyDescent="0.3">
      <c r="A193" s="3">
        <v>41201</v>
      </c>
      <c r="B193" s="3" t="s">
        <v>190</v>
      </c>
      <c r="C193" s="3" t="s">
        <v>167</v>
      </c>
      <c r="D193" s="3" t="s">
        <v>407</v>
      </c>
      <c r="E193" s="3">
        <v>72.005817544353604</v>
      </c>
      <c r="F193" s="3">
        <v>53.845628295140301</v>
      </c>
      <c r="G193" s="3">
        <v>27.858676614565852</v>
      </c>
      <c r="H193" s="3">
        <v>51.236707484686583</v>
      </c>
      <c r="I193" s="3">
        <v>84.230831128686134</v>
      </c>
      <c r="J193" s="3">
        <v>52.899006324552737</v>
      </c>
      <c r="K193" s="3">
        <v>63.38569951467673</v>
      </c>
      <c r="L193" s="3">
        <v>66.838512322638536</v>
      </c>
    </row>
    <row r="194" spans="1:12" x14ac:dyDescent="0.3">
      <c r="A194" s="3">
        <v>41202</v>
      </c>
      <c r="B194" s="3" t="s">
        <v>191</v>
      </c>
      <c r="C194" s="3" t="s">
        <v>167</v>
      </c>
      <c r="D194" s="3" t="s">
        <v>407</v>
      </c>
      <c r="E194" s="3">
        <v>67.410559670470931</v>
      </c>
      <c r="F194" s="3">
        <v>52.664853840668187</v>
      </c>
      <c r="G194" s="3">
        <v>50.824524046553599</v>
      </c>
      <c r="H194" s="3">
        <v>56.966645852564234</v>
      </c>
      <c r="I194" s="3">
        <v>91.869825882098382</v>
      </c>
      <c r="J194" s="3">
        <v>66.083644925860739</v>
      </c>
      <c r="K194" s="3">
        <v>86.918204998799425</v>
      </c>
      <c r="L194" s="3">
        <v>81.623891935586187</v>
      </c>
    </row>
    <row r="195" spans="1:12" x14ac:dyDescent="0.3">
      <c r="A195" s="3">
        <v>41301</v>
      </c>
      <c r="B195" s="3" t="s">
        <v>179</v>
      </c>
      <c r="C195" s="3" t="s">
        <v>167</v>
      </c>
      <c r="D195" s="3" t="s">
        <v>402</v>
      </c>
      <c r="E195" s="3">
        <v>70.65084297821727</v>
      </c>
      <c r="F195" s="3">
        <v>75.866454810925802</v>
      </c>
      <c r="G195" s="3">
        <v>70.286054021984754</v>
      </c>
      <c r="H195" s="3">
        <v>72.267783937042608</v>
      </c>
      <c r="I195" s="3">
        <v>66.493845328999569</v>
      </c>
      <c r="J195" s="3">
        <v>76.835577457976527</v>
      </c>
      <c r="K195" s="3">
        <v>79.246686511670802</v>
      </c>
      <c r="L195" s="3">
        <v>74.19203643288229</v>
      </c>
    </row>
    <row r="196" spans="1:12" x14ac:dyDescent="0.3">
      <c r="A196" s="3">
        <v>41401</v>
      </c>
      <c r="B196" s="3" t="s">
        <v>178</v>
      </c>
      <c r="C196" s="3" t="s">
        <v>167</v>
      </c>
      <c r="D196" s="3" t="s">
        <v>401</v>
      </c>
      <c r="E196" s="3">
        <v>71.568711534514449</v>
      </c>
      <c r="F196" s="3">
        <v>82.770068136386925</v>
      </c>
      <c r="G196" s="3">
        <v>74.97423994471788</v>
      </c>
      <c r="H196" s="3">
        <v>76.437673205206423</v>
      </c>
      <c r="I196" s="3">
        <v>68.585098655559278</v>
      </c>
      <c r="J196" s="3">
        <v>66.604377432080852</v>
      </c>
      <c r="K196" s="3">
        <v>78.861370405157317</v>
      </c>
      <c r="L196" s="3">
        <v>71.350282164265806</v>
      </c>
    </row>
    <row r="197" spans="1:12" x14ac:dyDescent="0.3">
      <c r="A197" s="3">
        <v>41501</v>
      </c>
      <c r="B197" s="3" t="s">
        <v>194</v>
      </c>
      <c r="C197" s="3" t="s">
        <v>167</v>
      </c>
      <c r="D197" s="3" t="s">
        <v>409</v>
      </c>
      <c r="E197" s="3">
        <v>91.315661686529921</v>
      </c>
      <c r="F197" s="3">
        <v>75.122245345690146</v>
      </c>
      <c r="G197" s="3">
        <v>69.339777425219978</v>
      </c>
      <c r="H197" s="3">
        <v>78.592561485813349</v>
      </c>
      <c r="I197" s="3">
        <v>89.138978778368426</v>
      </c>
      <c r="J197" s="3">
        <v>49.600924869315918</v>
      </c>
      <c r="K197" s="3">
        <v>68.656935903266785</v>
      </c>
      <c r="L197" s="3">
        <v>69.132279850317047</v>
      </c>
    </row>
    <row r="198" spans="1:12" x14ac:dyDescent="0.3">
      <c r="A198" s="3">
        <v>41502</v>
      </c>
      <c r="B198" s="3" t="s">
        <v>195</v>
      </c>
      <c r="C198" s="3" t="s">
        <v>167</v>
      </c>
      <c r="D198" s="3" t="s">
        <v>409</v>
      </c>
      <c r="E198" s="3">
        <v>67.839299762672539</v>
      </c>
      <c r="F198" s="3">
        <v>20.53366438985773</v>
      </c>
      <c r="G198" s="3">
        <v>29.53982222046</v>
      </c>
      <c r="H198" s="3">
        <v>39.304262124330087</v>
      </c>
      <c r="I198" s="3">
        <v>76.127505730048753</v>
      </c>
      <c r="J198" s="3">
        <v>56.594269079278867</v>
      </c>
      <c r="K198" s="3">
        <v>58.324007292565547</v>
      </c>
      <c r="L198" s="3">
        <v>63.681927367297725</v>
      </c>
    </row>
    <row r="199" spans="1:12" x14ac:dyDescent="0.3">
      <c r="A199" s="3">
        <v>41503</v>
      </c>
      <c r="B199" s="3" t="s">
        <v>196</v>
      </c>
      <c r="C199" s="3" t="s">
        <v>167</v>
      </c>
      <c r="D199" s="3" t="s">
        <v>409</v>
      </c>
      <c r="E199" s="3">
        <v>52.190649983827562</v>
      </c>
      <c r="F199" s="3">
        <v>30.326299368521241</v>
      </c>
      <c r="G199" s="3">
        <v>44.851673822749703</v>
      </c>
      <c r="H199" s="3">
        <v>42.456207725032833</v>
      </c>
      <c r="I199" s="3">
        <v>81.25774961826491</v>
      </c>
      <c r="J199" s="3">
        <v>41.688039067333108</v>
      </c>
      <c r="K199" s="3">
        <v>55.618688608312297</v>
      </c>
      <c r="L199" s="3">
        <v>59.521492431303443</v>
      </c>
    </row>
    <row r="200" spans="1:12" x14ac:dyDescent="0.3">
      <c r="A200" s="3">
        <v>41601</v>
      </c>
      <c r="B200" s="3" t="s">
        <v>200</v>
      </c>
      <c r="C200" s="3" t="s">
        <v>167</v>
      </c>
      <c r="D200" s="3" t="s">
        <v>411</v>
      </c>
      <c r="E200" s="3">
        <v>75.16715923107958</v>
      </c>
      <c r="F200" s="3">
        <v>72.429352986203227</v>
      </c>
      <c r="G200" s="3">
        <v>65.560701239508319</v>
      </c>
      <c r="H200" s="3">
        <v>71.052404485597037</v>
      </c>
      <c r="I200" s="3">
        <v>88.691431908195653</v>
      </c>
      <c r="J200" s="3">
        <v>73.157621630025403</v>
      </c>
      <c r="K200" s="3">
        <v>74.257534442519102</v>
      </c>
      <c r="L200" s="3">
        <v>78.702195993580048</v>
      </c>
    </row>
    <row r="201" spans="1:12" x14ac:dyDescent="0.3">
      <c r="A201" s="3">
        <v>50101</v>
      </c>
      <c r="B201" s="3" t="s">
        <v>202</v>
      </c>
      <c r="C201" s="3" t="s">
        <v>203</v>
      </c>
      <c r="D201" s="3" t="s">
        <v>412</v>
      </c>
      <c r="E201" s="3">
        <v>59.761199633521272</v>
      </c>
      <c r="F201" s="3">
        <v>52.608830556642893</v>
      </c>
      <c r="G201" s="3">
        <v>79.244501471293887</v>
      </c>
      <c r="H201" s="3">
        <v>63.871510553819348</v>
      </c>
      <c r="I201" s="3">
        <v>77.50377769372696</v>
      </c>
      <c r="J201" s="3">
        <v>78.809999809487934</v>
      </c>
      <c r="K201" s="3">
        <v>69.296408811611613</v>
      </c>
      <c r="L201" s="3">
        <v>75.203395438275507</v>
      </c>
    </row>
    <row r="202" spans="1:12" x14ac:dyDescent="0.3">
      <c r="A202" s="3">
        <v>50102</v>
      </c>
      <c r="B202" s="3" t="s">
        <v>204</v>
      </c>
      <c r="C202" s="3" t="s">
        <v>203</v>
      </c>
      <c r="D202" s="3" t="s">
        <v>412</v>
      </c>
      <c r="E202" s="3">
        <v>31.943639325671612</v>
      </c>
      <c r="F202" s="3">
        <v>42.15301867121525</v>
      </c>
      <c r="G202" s="3">
        <v>46.774341842218391</v>
      </c>
      <c r="H202" s="3">
        <v>40.290333279701748</v>
      </c>
      <c r="I202" s="3">
        <v>63.278756585476749</v>
      </c>
      <c r="J202" s="3">
        <v>75.643144926663453</v>
      </c>
      <c r="K202" s="3">
        <v>78.60398196626555</v>
      </c>
      <c r="L202" s="3">
        <v>72.508627826135253</v>
      </c>
    </row>
    <row r="203" spans="1:12" x14ac:dyDescent="0.3">
      <c r="A203" s="3">
        <v>50103</v>
      </c>
      <c r="B203" s="3" t="s">
        <v>205</v>
      </c>
      <c r="C203" s="3" t="s">
        <v>203</v>
      </c>
      <c r="D203" s="3" t="s">
        <v>412</v>
      </c>
      <c r="E203" s="3">
        <v>40.492956127565137</v>
      </c>
      <c r="F203" s="3">
        <v>41.639451636298269</v>
      </c>
      <c r="G203" s="3">
        <v>60.61642523964926</v>
      </c>
      <c r="H203" s="3">
        <v>47.582944334504219</v>
      </c>
      <c r="I203" s="3">
        <v>79.612720209598891</v>
      </c>
      <c r="J203" s="3">
        <v>66.964184235013221</v>
      </c>
      <c r="K203" s="3">
        <v>75.497925826061376</v>
      </c>
      <c r="L203" s="3">
        <v>74.024943423557829</v>
      </c>
    </row>
    <row r="204" spans="1:12" x14ac:dyDescent="0.3">
      <c r="A204" s="3">
        <v>50104</v>
      </c>
      <c r="B204" s="3" t="s">
        <v>206</v>
      </c>
      <c r="C204" s="3" t="s">
        <v>203</v>
      </c>
      <c r="D204" s="3" t="s">
        <v>412</v>
      </c>
      <c r="E204" s="3">
        <v>40.190486358010247</v>
      </c>
      <c r="F204" s="3">
        <v>51.584959934212158</v>
      </c>
      <c r="G204" s="3">
        <v>31.110009769749681</v>
      </c>
      <c r="H204" s="3">
        <v>40.961818687324026</v>
      </c>
      <c r="I204" s="3">
        <v>81.146049143376104</v>
      </c>
      <c r="J204" s="3">
        <v>68.033376393318079</v>
      </c>
      <c r="K204" s="3">
        <v>75.633914389676917</v>
      </c>
      <c r="L204" s="3">
        <v>74.937779975457033</v>
      </c>
    </row>
    <row r="205" spans="1:12" x14ac:dyDescent="0.3">
      <c r="A205" s="3">
        <v>50201</v>
      </c>
      <c r="B205" s="3" t="s">
        <v>207</v>
      </c>
      <c r="C205" s="3" t="s">
        <v>203</v>
      </c>
      <c r="D205" s="3" t="s">
        <v>413</v>
      </c>
      <c r="E205" s="3">
        <v>62.507217680369983</v>
      </c>
      <c r="F205" s="3">
        <v>53.678218892568729</v>
      </c>
      <c r="G205" s="3">
        <v>52.493289724519911</v>
      </c>
      <c r="H205" s="3">
        <v>56.226242099152877</v>
      </c>
      <c r="I205" s="3">
        <v>87.750184188645733</v>
      </c>
      <c r="J205" s="3">
        <v>82.555498585600049</v>
      </c>
      <c r="K205" s="3">
        <v>84.851147384288595</v>
      </c>
      <c r="L205" s="3">
        <v>85.052276719511454</v>
      </c>
    </row>
    <row r="206" spans="1:12" x14ac:dyDescent="0.3">
      <c r="A206" s="3">
        <v>50202</v>
      </c>
      <c r="B206" s="3" t="s">
        <v>208</v>
      </c>
      <c r="C206" s="3" t="s">
        <v>203</v>
      </c>
      <c r="D206" s="3" t="s">
        <v>413</v>
      </c>
      <c r="E206" s="3">
        <v>30.751814578039191</v>
      </c>
      <c r="F206" s="3">
        <v>53.742108809016372</v>
      </c>
      <c r="G206" s="3">
        <v>42.340454906439263</v>
      </c>
      <c r="H206" s="3">
        <v>42.27812609783161</v>
      </c>
      <c r="I206" s="3">
        <v>74.77299589301947</v>
      </c>
      <c r="J206" s="3">
        <v>69.431668879572172</v>
      </c>
      <c r="K206" s="3">
        <v>62.143510681355323</v>
      </c>
      <c r="L206" s="3">
        <v>68.78272515131566</v>
      </c>
    </row>
    <row r="207" spans="1:12" x14ac:dyDescent="0.3">
      <c r="A207" s="3">
        <v>50203</v>
      </c>
      <c r="B207" s="3" t="s">
        <v>209</v>
      </c>
      <c r="C207" s="3" t="s">
        <v>203</v>
      </c>
      <c r="D207" s="3" t="s">
        <v>413</v>
      </c>
      <c r="E207" s="3">
        <v>53.666181235787612</v>
      </c>
      <c r="F207" s="3">
        <v>46.90831267158039</v>
      </c>
      <c r="G207" s="3">
        <v>55.787224835517847</v>
      </c>
      <c r="H207" s="3">
        <v>52.12057291429528</v>
      </c>
      <c r="I207" s="3">
        <v>84.706983840431278</v>
      </c>
      <c r="J207" s="3">
        <v>75.91814085243702</v>
      </c>
      <c r="K207" s="3">
        <v>79.851125380544758</v>
      </c>
      <c r="L207" s="3">
        <v>80.158750024471018</v>
      </c>
    </row>
    <row r="208" spans="1:12" x14ac:dyDescent="0.3">
      <c r="A208" s="3">
        <v>50204</v>
      </c>
      <c r="B208" s="3" t="s">
        <v>242</v>
      </c>
      <c r="C208" s="3" t="s">
        <v>203</v>
      </c>
      <c r="D208" s="3" t="s">
        <v>413</v>
      </c>
      <c r="E208" s="3">
        <v>71.850240357355901</v>
      </c>
      <c r="F208" s="3">
        <v>53.148768706457538</v>
      </c>
      <c r="G208" s="3">
        <v>40.378608259768107</v>
      </c>
      <c r="H208" s="3">
        <v>55.125872441193849</v>
      </c>
      <c r="I208" s="3">
        <v>73.391128419538177</v>
      </c>
      <c r="J208" s="3">
        <v>84.433643216450491</v>
      </c>
      <c r="K208" s="3">
        <v>66.746061800254736</v>
      </c>
      <c r="L208" s="3">
        <v>74.856944478747792</v>
      </c>
    </row>
    <row r="209" spans="1:12" x14ac:dyDescent="0.3">
      <c r="A209" s="3">
        <v>50301</v>
      </c>
      <c r="B209" s="3" t="s">
        <v>210</v>
      </c>
      <c r="C209" s="3" t="s">
        <v>203</v>
      </c>
      <c r="D209" s="3" t="s">
        <v>414</v>
      </c>
      <c r="E209" s="3">
        <v>70.77545692854747</v>
      </c>
      <c r="F209" s="3">
        <v>69.261898360267068</v>
      </c>
      <c r="G209" s="3">
        <v>76.905880599738154</v>
      </c>
      <c r="H209" s="3">
        <v>72.314411962850897</v>
      </c>
      <c r="I209" s="3">
        <v>80.558167945846265</v>
      </c>
      <c r="J209" s="3">
        <v>75.035322999984501</v>
      </c>
      <c r="K209" s="3">
        <v>87.476530108773019</v>
      </c>
      <c r="L209" s="3">
        <v>81.0233403515346</v>
      </c>
    </row>
    <row r="210" spans="1:12" x14ac:dyDescent="0.3">
      <c r="A210" s="3">
        <v>50302</v>
      </c>
      <c r="B210" s="3" t="s">
        <v>211</v>
      </c>
      <c r="C210" s="3" t="s">
        <v>203</v>
      </c>
      <c r="D210" s="3" t="s">
        <v>414</v>
      </c>
      <c r="E210" s="3">
        <v>56.930650774574062</v>
      </c>
      <c r="F210" s="3">
        <v>66.962496996480965</v>
      </c>
      <c r="G210" s="3">
        <v>60.931109184334929</v>
      </c>
      <c r="H210" s="3">
        <v>61.60808565179665</v>
      </c>
      <c r="I210" s="3">
        <v>78.605178823359921</v>
      </c>
      <c r="J210" s="3">
        <v>66.074172819000012</v>
      </c>
      <c r="K210" s="3">
        <v>69.280875110513989</v>
      </c>
      <c r="L210" s="3">
        <v>71.320075584291303</v>
      </c>
    </row>
    <row r="211" spans="1:12" x14ac:dyDescent="0.3">
      <c r="A211" s="3">
        <v>50303</v>
      </c>
      <c r="B211" s="3" t="s">
        <v>212</v>
      </c>
      <c r="C211" s="3" t="s">
        <v>203</v>
      </c>
      <c r="D211" s="3" t="s">
        <v>414</v>
      </c>
      <c r="E211" s="3">
        <v>27.784074362100501</v>
      </c>
      <c r="F211" s="3">
        <v>36.746643717413129</v>
      </c>
      <c r="G211" s="3">
        <v>21.054730341036141</v>
      </c>
      <c r="H211" s="3">
        <v>28.528482806849922</v>
      </c>
      <c r="I211" s="3">
        <v>42.997393397237062</v>
      </c>
      <c r="J211" s="3">
        <v>54.409750746501842</v>
      </c>
      <c r="K211" s="3">
        <v>76.201579975690805</v>
      </c>
      <c r="L211" s="3">
        <v>57.869574706476577</v>
      </c>
    </row>
    <row r="212" spans="1:12" x14ac:dyDescent="0.3">
      <c r="A212" s="3">
        <v>50401</v>
      </c>
      <c r="B212" s="3" t="s">
        <v>213</v>
      </c>
      <c r="C212" s="3" t="s">
        <v>203</v>
      </c>
      <c r="D212" s="3" t="s">
        <v>415</v>
      </c>
      <c r="E212" s="3">
        <v>53.910337240484232</v>
      </c>
      <c r="F212" s="3">
        <v>49.261550411656167</v>
      </c>
      <c r="G212" s="3">
        <v>44.613826730368693</v>
      </c>
      <c r="H212" s="3">
        <v>49.261904794169702</v>
      </c>
      <c r="I212" s="3">
        <v>73.599817664356621</v>
      </c>
      <c r="J212" s="3">
        <v>65.51455140532164</v>
      </c>
      <c r="K212" s="3">
        <v>80.137415974244561</v>
      </c>
      <c r="L212" s="3">
        <v>73.083928347974279</v>
      </c>
    </row>
    <row r="213" spans="1:12" x14ac:dyDescent="0.3">
      <c r="A213" s="3">
        <v>50402</v>
      </c>
      <c r="B213" s="3" t="s">
        <v>214</v>
      </c>
      <c r="C213" s="3" t="s">
        <v>203</v>
      </c>
      <c r="D213" s="3" t="s">
        <v>415</v>
      </c>
      <c r="E213" s="3">
        <v>59.501977429434007</v>
      </c>
      <c r="F213" s="3">
        <v>53.250028841983173</v>
      </c>
      <c r="G213" s="3">
        <v>68.890562920926541</v>
      </c>
      <c r="H213" s="3">
        <v>60.547523064114579</v>
      </c>
      <c r="I213" s="3">
        <v>78.861338784263367</v>
      </c>
      <c r="J213" s="3">
        <v>67.904274018620299</v>
      </c>
      <c r="K213" s="3">
        <v>83.044377420873388</v>
      </c>
      <c r="L213" s="3">
        <v>76.603330074585685</v>
      </c>
    </row>
    <row r="214" spans="1:12" x14ac:dyDescent="0.3">
      <c r="A214" s="3">
        <v>50403</v>
      </c>
      <c r="B214" s="3" t="s">
        <v>215</v>
      </c>
      <c r="C214" s="3" t="s">
        <v>203</v>
      </c>
      <c r="D214" s="3" t="s">
        <v>415</v>
      </c>
      <c r="E214" s="3">
        <v>51.503302332591502</v>
      </c>
      <c r="F214" s="3">
        <v>51.260298498473723</v>
      </c>
      <c r="G214" s="3">
        <v>41.595046192769267</v>
      </c>
      <c r="H214" s="3">
        <v>48.119549007944833</v>
      </c>
      <c r="I214" s="3">
        <v>66.123350614012494</v>
      </c>
      <c r="J214" s="3">
        <v>71.236073815413164</v>
      </c>
      <c r="K214" s="3">
        <v>76.537004374919945</v>
      </c>
      <c r="L214" s="3">
        <v>71.298809601448525</v>
      </c>
    </row>
    <row r="215" spans="1:12" x14ac:dyDescent="0.3">
      <c r="A215" s="3">
        <v>50404</v>
      </c>
      <c r="B215" s="3" t="s">
        <v>216</v>
      </c>
      <c r="C215" s="3" t="s">
        <v>203</v>
      </c>
      <c r="D215" s="3" t="s">
        <v>415</v>
      </c>
      <c r="E215" s="3">
        <v>59.93717598723952</v>
      </c>
      <c r="F215" s="3">
        <v>63.044125966774381</v>
      </c>
      <c r="G215" s="3">
        <v>60.697807721778773</v>
      </c>
      <c r="H215" s="3">
        <v>61.226369891930894</v>
      </c>
      <c r="I215" s="3">
        <v>77.6297755100519</v>
      </c>
      <c r="J215" s="3">
        <v>69.233217770729837</v>
      </c>
      <c r="K215" s="3">
        <v>69.194193326082527</v>
      </c>
      <c r="L215" s="3">
        <v>72.019062202288083</v>
      </c>
    </row>
    <row r="216" spans="1:12" x14ac:dyDescent="0.3">
      <c r="A216" s="3">
        <v>50405</v>
      </c>
      <c r="B216" s="3" t="s">
        <v>243</v>
      </c>
      <c r="C216" s="3" t="s">
        <v>203</v>
      </c>
      <c r="D216" s="3" t="s">
        <v>415</v>
      </c>
      <c r="E216" s="3">
        <v>0</v>
      </c>
      <c r="F216" s="3">
        <v>0</v>
      </c>
      <c r="G216" s="3">
        <v>0</v>
      </c>
      <c r="H216" s="3">
        <v>0</v>
      </c>
      <c r="I216" s="3">
        <v>68.432033241094416</v>
      </c>
      <c r="J216" s="3">
        <v>65.708097823931794</v>
      </c>
      <c r="K216" s="3">
        <v>65.808390258432652</v>
      </c>
      <c r="L216" s="3">
        <v>66.649507107819616</v>
      </c>
    </row>
    <row r="217" spans="1:12" x14ac:dyDescent="0.3">
      <c r="A217" s="3">
        <v>50501</v>
      </c>
      <c r="B217" s="3" t="s">
        <v>217</v>
      </c>
      <c r="C217" s="3" t="s">
        <v>203</v>
      </c>
      <c r="D217" s="3" t="s">
        <v>416</v>
      </c>
      <c r="E217" s="3">
        <v>42.911753126462671</v>
      </c>
      <c r="F217" s="3">
        <v>57.584082004754023</v>
      </c>
      <c r="G217" s="3">
        <v>49.584339390452342</v>
      </c>
      <c r="H217" s="3">
        <v>50.026724840556348</v>
      </c>
      <c r="I217" s="3">
        <v>67.360890036842832</v>
      </c>
      <c r="J217" s="3">
        <v>70.78192712418948</v>
      </c>
      <c r="K217" s="3">
        <v>76.269162743527815</v>
      </c>
      <c r="L217" s="3">
        <v>71.470659968186723</v>
      </c>
    </row>
    <row r="218" spans="1:12" x14ac:dyDescent="0.3">
      <c r="A218" s="3">
        <v>50502</v>
      </c>
      <c r="B218" s="3" t="s">
        <v>218</v>
      </c>
      <c r="C218" s="3" t="s">
        <v>203</v>
      </c>
      <c r="D218" s="3" t="s">
        <v>416</v>
      </c>
      <c r="E218" s="3">
        <v>72.850312489048747</v>
      </c>
      <c r="F218" s="3">
        <v>64.954699925434923</v>
      </c>
      <c r="G218" s="3">
        <v>54.214914256304539</v>
      </c>
      <c r="H218" s="3">
        <v>64.006642223596074</v>
      </c>
      <c r="I218" s="3">
        <v>85.323043043518837</v>
      </c>
      <c r="J218" s="3">
        <v>75.56096083845209</v>
      </c>
      <c r="K218" s="3">
        <v>66.460623974764914</v>
      </c>
      <c r="L218" s="3">
        <v>75.781542618911942</v>
      </c>
    </row>
    <row r="219" spans="1:12" x14ac:dyDescent="0.3">
      <c r="A219" s="3">
        <v>50601</v>
      </c>
      <c r="B219" s="3" t="s">
        <v>219</v>
      </c>
      <c r="C219" s="3" t="s">
        <v>203</v>
      </c>
      <c r="D219" s="3" t="s">
        <v>417</v>
      </c>
      <c r="E219" s="3">
        <v>40.333913382768067</v>
      </c>
      <c r="F219" s="3">
        <v>35.137823562474743</v>
      </c>
      <c r="G219" s="3">
        <v>37.63150887088613</v>
      </c>
      <c r="H219" s="3">
        <v>37.701081938709649</v>
      </c>
      <c r="I219" s="3">
        <v>57.977014599323873</v>
      </c>
      <c r="J219" s="3">
        <v>54.412713054928872</v>
      </c>
      <c r="K219" s="3">
        <v>59.779308818396572</v>
      </c>
      <c r="L219" s="3">
        <v>57.389678824216439</v>
      </c>
    </row>
    <row r="220" spans="1:12" x14ac:dyDescent="0.3">
      <c r="A220" s="3">
        <v>50602</v>
      </c>
      <c r="B220" s="3" t="s">
        <v>220</v>
      </c>
      <c r="C220" s="3" t="s">
        <v>203</v>
      </c>
      <c r="D220" s="3" t="s">
        <v>417</v>
      </c>
      <c r="E220" s="3">
        <v>42.541271072604822</v>
      </c>
      <c r="F220" s="3">
        <v>56.530269831202759</v>
      </c>
      <c r="G220" s="3">
        <v>45.071219486628408</v>
      </c>
      <c r="H220" s="3">
        <v>48.047586796811991</v>
      </c>
      <c r="I220" s="3">
        <v>86.232143155565083</v>
      </c>
      <c r="J220" s="3">
        <v>72.641436770998496</v>
      </c>
      <c r="K220" s="3">
        <v>90.429287301527822</v>
      </c>
      <c r="L220" s="3">
        <v>83.100955742697138</v>
      </c>
    </row>
    <row r="221" spans="1:12" x14ac:dyDescent="0.3">
      <c r="A221" s="3">
        <v>50701</v>
      </c>
      <c r="B221" s="3" t="s">
        <v>228</v>
      </c>
      <c r="C221" s="3" t="s">
        <v>203</v>
      </c>
      <c r="D221" s="3" t="s">
        <v>421</v>
      </c>
      <c r="E221" s="3">
        <v>57.311637018085626</v>
      </c>
      <c r="F221" s="3">
        <v>57.056699754718757</v>
      </c>
      <c r="G221" s="3">
        <v>51.83660639499432</v>
      </c>
      <c r="H221" s="3">
        <v>55.40164772259957</v>
      </c>
      <c r="I221" s="3">
        <v>62.296443797380498</v>
      </c>
      <c r="J221" s="3">
        <v>62.740017805068923</v>
      </c>
      <c r="K221" s="3">
        <v>64.18983787123635</v>
      </c>
      <c r="L221" s="3">
        <v>63.075433157895255</v>
      </c>
    </row>
    <row r="222" spans="1:12" x14ac:dyDescent="0.3">
      <c r="A222" s="3">
        <v>50702</v>
      </c>
      <c r="B222" s="3" t="s">
        <v>229</v>
      </c>
      <c r="C222" s="3" t="s">
        <v>203</v>
      </c>
      <c r="D222" s="3" t="s">
        <v>421</v>
      </c>
      <c r="E222" s="3">
        <v>61.426220819913773</v>
      </c>
      <c r="F222" s="3">
        <v>68.203995861118543</v>
      </c>
      <c r="G222" s="3">
        <v>69.95014743258055</v>
      </c>
      <c r="H222" s="3">
        <v>66.526788037870958</v>
      </c>
      <c r="I222" s="3">
        <v>70.978992663613326</v>
      </c>
      <c r="J222" s="3">
        <v>63.394807618114463</v>
      </c>
      <c r="K222" s="3">
        <v>67.792953746284795</v>
      </c>
      <c r="L222" s="3">
        <v>67.38891800933753</v>
      </c>
    </row>
    <row r="223" spans="1:12" x14ac:dyDescent="0.3">
      <c r="A223" s="3">
        <v>50801</v>
      </c>
      <c r="B223" s="3" t="s">
        <v>221</v>
      </c>
      <c r="C223" s="3" t="s">
        <v>203</v>
      </c>
      <c r="D223" s="3" t="s">
        <v>418</v>
      </c>
      <c r="E223" s="3">
        <v>56.113850772608572</v>
      </c>
      <c r="F223" s="3">
        <v>62.256976979587357</v>
      </c>
      <c r="G223" s="3">
        <v>44.355106680312517</v>
      </c>
      <c r="H223" s="3">
        <v>54.241978144169479</v>
      </c>
      <c r="I223" s="3">
        <v>78.276696889465143</v>
      </c>
      <c r="J223" s="3">
        <v>66.833429136220261</v>
      </c>
      <c r="K223" s="3">
        <v>72.213484360994357</v>
      </c>
      <c r="L223" s="3">
        <v>72.441203462226596</v>
      </c>
    </row>
    <row r="224" spans="1:12" x14ac:dyDescent="0.3">
      <c r="A224" s="3">
        <v>50802</v>
      </c>
      <c r="B224" s="3" t="s">
        <v>222</v>
      </c>
      <c r="C224" s="3" t="s">
        <v>203</v>
      </c>
      <c r="D224" s="3" t="s">
        <v>418</v>
      </c>
      <c r="E224" s="3">
        <v>38.673648972057912</v>
      </c>
      <c r="F224" s="3">
        <v>45.205778062782478</v>
      </c>
      <c r="G224" s="3">
        <v>44.414737841531228</v>
      </c>
      <c r="H224" s="3">
        <v>42.764721625457206</v>
      </c>
      <c r="I224" s="3">
        <v>66.450266507005978</v>
      </c>
      <c r="J224" s="3">
        <v>48.988922311625572</v>
      </c>
      <c r="K224" s="3">
        <v>59.850827538947307</v>
      </c>
      <c r="L224" s="3">
        <v>58.430005452526281</v>
      </c>
    </row>
    <row r="225" spans="1:12" x14ac:dyDescent="0.3">
      <c r="A225" s="3">
        <v>50901</v>
      </c>
      <c r="B225" s="3" t="s">
        <v>223</v>
      </c>
      <c r="C225" s="3" t="s">
        <v>203</v>
      </c>
      <c r="D225" s="3" t="s">
        <v>419</v>
      </c>
      <c r="E225" s="3">
        <v>48.376178792488687</v>
      </c>
      <c r="F225" s="3">
        <v>28.734408971973551</v>
      </c>
      <c r="G225" s="3">
        <v>39.116506077055263</v>
      </c>
      <c r="H225" s="3">
        <v>38.742364613839165</v>
      </c>
      <c r="I225" s="3">
        <v>65.626468929432406</v>
      </c>
      <c r="J225" s="3">
        <v>64.747864927103237</v>
      </c>
      <c r="K225" s="3">
        <v>73.686300157919916</v>
      </c>
      <c r="L225" s="3">
        <v>68.020211338151853</v>
      </c>
    </row>
    <row r="226" spans="1:12" x14ac:dyDescent="0.3">
      <c r="A226" s="3">
        <v>50902</v>
      </c>
      <c r="B226" s="3" t="s">
        <v>224</v>
      </c>
      <c r="C226" s="3" t="s">
        <v>203</v>
      </c>
      <c r="D226" s="3" t="s">
        <v>419</v>
      </c>
      <c r="E226" s="3">
        <v>39.185728875300391</v>
      </c>
      <c r="F226" s="3">
        <v>38.791129968212772</v>
      </c>
      <c r="G226" s="3">
        <v>18.210685092308651</v>
      </c>
      <c r="H226" s="3">
        <v>32.062514645273936</v>
      </c>
      <c r="I226" s="3">
        <v>84.065019962241223</v>
      </c>
      <c r="J226" s="3">
        <v>53.243957019171752</v>
      </c>
      <c r="K226" s="3">
        <v>71.680521563941099</v>
      </c>
      <c r="L226" s="3">
        <v>69.663166181784689</v>
      </c>
    </row>
    <row r="227" spans="1:12" x14ac:dyDescent="0.3">
      <c r="A227" s="3">
        <v>51001</v>
      </c>
      <c r="B227" s="3" t="s">
        <v>225</v>
      </c>
      <c r="C227" s="3" t="s">
        <v>203</v>
      </c>
      <c r="D227" s="3" t="s">
        <v>420</v>
      </c>
      <c r="E227" s="3">
        <v>41.428750268216341</v>
      </c>
      <c r="F227" s="3">
        <v>46.940022550662022</v>
      </c>
      <c r="G227" s="3">
        <v>47.516542954579158</v>
      </c>
      <c r="H227" s="3">
        <v>45.295105257819181</v>
      </c>
      <c r="I227" s="3">
        <v>70.690044509782041</v>
      </c>
      <c r="J227" s="3">
        <v>86.872704386151639</v>
      </c>
      <c r="K227" s="3">
        <v>83.114994164440859</v>
      </c>
      <c r="L227" s="3">
        <v>80.22591435345818</v>
      </c>
    </row>
    <row r="228" spans="1:12" x14ac:dyDescent="0.3">
      <c r="A228" s="3">
        <v>51002</v>
      </c>
      <c r="B228" s="3" t="s">
        <v>226</v>
      </c>
      <c r="C228" s="3" t="s">
        <v>203</v>
      </c>
      <c r="D228" s="3" t="s">
        <v>420</v>
      </c>
      <c r="E228" s="3">
        <v>27.170448274322741</v>
      </c>
      <c r="F228" s="3">
        <v>19.9833430548235</v>
      </c>
      <c r="G228" s="3">
        <v>34.267478279204703</v>
      </c>
      <c r="H228" s="3">
        <v>27.140423202783648</v>
      </c>
      <c r="I228" s="3">
        <v>75.017013703114515</v>
      </c>
      <c r="J228" s="3">
        <v>75.055637465733199</v>
      </c>
      <c r="K228" s="3">
        <v>76.656530531749056</v>
      </c>
      <c r="L228" s="3">
        <v>75.576393900198923</v>
      </c>
    </row>
    <row r="229" spans="1:12" x14ac:dyDescent="0.3">
      <c r="A229" s="3">
        <v>51003</v>
      </c>
      <c r="B229" s="3" t="s">
        <v>227</v>
      </c>
      <c r="C229" s="3" t="s">
        <v>203</v>
      </c>
      <c r="D229" s="3" t="s">
        <v>420</v>
      </c>
      <c r="E229" s="3">
        <v>36.379298487237612</v>
      </c>
      <c r="F229" s="3">
        <v>64.308151380294859</v>
      </c>
      <c r="G229" s="3">
        <v>74.318077057317126</v>
      </c>
      <c r="H229" s="3">
        <v>58.335175641616537</v>
      </c>
      <c r="I229" s="3">
        <v>89.727938665454431</v>
      </c>
      <c r="J229" s="3">
        <v>80.872855347222384</v>
      </c>
      <c r="K229" s="3">
        <v>67.969430805330049</v>
      </c>
      <c r="L229" s="3">
        <v>79.523408272668959</v>
      </c>
    </row>
    <row r="230" spans="1:12" x14ac:dyDescent="0.3">
      <c r="A230" s="3">
        <v>51101</v>
      </c>
      <c r="B230" s="3" t="s">
        <v>230</v>
      </c>
      <c r="C230" s="3" t="s">
        <v>203</v>
      </c>
      <c r="D230" s="3" t="s">
        <v>422</v>
      </c>
      <c r="E230" s="3">
        <v>63.792564320739409</v>
      </c>
      <c r="F230" s="3">
        <v>74.328367694614229</v>
      </c>
      <c r="G230" s="3">
        <v>64.136931723829704</v>
      </c>
      <c r="H230" s="3">
        <v>67.419287913061112</v>
      </c>
      <c r="I230" s="3">
        <v>80.082943896375397</v>
      </c>
      <c r="J230" s="3">
        <v>79.981634911742177</v>
      </c>
      <c r="K230" s="3">
        <v>94.786577665063376</v>
      </c>
      <c r="L230" s="3">
        <v>84.950385491060317</v>
      </c>
    </row>
    <row r="231" spans="1:12" x14ac:dyDescent="0.3">
      <c r="A231" s="3">
        <v>51102</v>
      </c>
      <c r="B231" s="3" t="s">
        <v>231</v>
      </c>
      <c r="C231" s="3" t="s">
        <v>203</v>
      </c>
      <c r="D231" s="3" t="s">
        <v>422</v>
      </c>
      <c r="E231" s="3">
        <v>53.693171881572169</v>
      </c>
      <c r="F231" s="3">
        <v>52.43383839215722</v>
      </c>
      <c r="G231" s="3">
        <v>56.068009249422843</v>
      </c>
      <c r="H231" s="3">
        <v>54.065006507717406</v>
      </c>
      <c r="I231" s="3">
        <v>67.047876951446668</v>
      </c>
      <c r="J231" s="3">
        <v>74.173261025393515</v>
      </c>
      <c r="K231" s="3">
        <v>70.660960127975187</v>
      </c>
      <c r="L231" s="3">
        <v>70.627366034938447</v>
      </c>
    </row>
    <row r="232" spans="1:12" x14ac:dyDescent="0.3">
      <c r="A232" s="3">
        <v>51103</v>
      </c>
      <c r="B232" s="3" t="s">
        <v>241</v>
      </c>
      <c r="C232" s="3" t="s">
        <v>203</v>
      </c>
      <c r="D232" s="3" t="s">
        <v>422</v>
      </c>
      <c r="E232" s="3">
        <v>45.860598552395203</v>
      </c>
      <c r="F232" s="3">
        <v>48.168448925586183</v>
      </c>
      <c r="G232" s="3">
        <v>44.563458790369189</v>
      </c>
      <c r="H232" s="3">
        <v>46.19750208945019</v>
      </c>
      <c r="I232" s="3">
        <v>73.49215945874694</v>
      </c>
      <c r="J232" s="3">
        <v>52.961829509056017</v>
      </c>
      <c r="K232" s="3">
        <v>71.955855463259496</v>
      </c>
      <c r="L232" s="3">
        <v>66.136614810354146</v>
      </c>
    </row>
    <row r="233" spans="1:12" x14ac:dyDescent="0.3">
      <c r="A233" s="3">
        <v>51201</v>
      </c>
      <c r="B233" s="3" t="s">
        <v>232</v>
      </c>
      <c r="C233" s="3" t="s">
        <v>203</v>
      </c>
      <c r="D233" s="3" t="s">
        <v>423</v>
      </c>
      <c r="E233" s="3">
        <v>58.488039644162882</v>
      </c>
      <c r="F233" s="3">
        <v>63.068758191945498</v>
      </c>
      <c r="G233" s="3">
        <v>53.337938750324618</v>
      </c>
      <c r="H233" s="3">
        <v>58.298245528811002</v>
      </c>
      <c r="I233" s="3">
        <v>61.079845233565223</v>
      </c>
      <c r="J233" s="3">
        <v>57.392310316518007</v>
      </c>
      <c r="K233" s="3">
        <v>82.28350194472182</v>
      </c>
      <c r="L233" s="3">
        <v>66.918552498268355</v>
      </c>
    </row>
    <row r="234" spans="1:12" x14ac:dyDescent="0.3">
      <c r="A234" s="3">
        <v>51202</v>
      </c>
      <c r="B234" s="3" t="s">
        <v>233</v>
      </c>
      <c r="C234" s="3" t="s">
        <v>203</v>
      </c>
      <c r="D234" s="3" t="s">
        <v>423</v>
      </c>
      <c r="E234" s="3">
        <v>28.863832722460661</v>
      </c>
      <c r="F234" s="3">
        <v>46.570181060351167</v>
      </c>
      <c r="G234" s="3">
        <v>63.604330073932672</v>
      </c>
      <c r="H234" s="3">
        <v>46.346114618914839</v>
      </c>
      <c r="I234" s="3">
        <v>75.657047709236366</v>
      </c>
      <c r="J234" s="3">
        <v>64.718597337478371</v>
      </c>
      <c r="K234" s="3">
        <v>81.895535343352719</v>
      </c>
      <c r="L234" s="3">
        <v>74.090393463355824</v>
      </c>
    </row>
    <row r="235" spans="1:12" x14ac:dyDescent="0.3">
      <c r="A235" s="3">
        <v>51203</v>
      </c>
      <c r="B235" s="3" t="s">
        <v>234</v>
      </c>
      <c r="C235" s="3" t="s">
        <v>203</v>
      </c>
      <c r="D235" s="3" t="s">
        <v>423</v>
      </c>
      <c r="E235" s="3">
        <v>27.373269732842349</v>
      </c>
      <c r="F235" s="3">
        <v>43.135269770517482</v>
      </c>
      <c r="G235" s="3">
        <v>51.802262346683477</v>
      </c>
      <c r="H235" s="3">
        <v>40.770267283347771</v>
      </c>
      <c r="I235" s="3">
        <v>67.806110298023455</v>
      </c>
      <c r="J235" s="3">
        <v>60.802263735190827</v>
      </c>
      <c r="K235" s="3">
        <v>72.059539256937441</v>
      </c>
      <c r="L235" s="3">
        <v>66.889304430050572</v>
      </c>
    </row>
    <row r="236" spans="1:12" x14ac:dyDescent="0.3">
      <c r="A236" s="3">
        <v>51204</v>
      </c>
      <c r="B236" s="3" t="s">
        <v>476</v>
      </c>
      <c r="C236" s="3" t="s">
        <v>203</v>
      </c>
      <c r="D236" s="3" t="s">
        <v>423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29.845328065744877</v>
      </c>
      <c r="K236" s="3">
        <v>67.57976759329128</v>
      </c>
      <c r="L236" s="3">
        <v>48.71254782951808</v>
      </c>
    </row>
    <row r="237" spans="1:12" x14ac:dyDescent="0.3">
      <c r="A237" s="3">
        <v>51301</v>
      </c>
      <c r="B237" s="3" t="s">
        <v>235</v>
      </c>
      <c r="C237" s="3" t="s">
        <v>203</v>
      </c>
      <c r="D237" s="3" t="s">
        <v>424</v>
      </c>
      <c r="E237" s="3">
        <v>86.723158501459679</v>
      </c>
      <c r="F237" s="3">
        <v>73.632156338087157</v>
      </c>
      <c r="G237" s="3">
        <v>68.526645986992875</v>
      </c>
      <c r="H237" s="3">
        <v>76.293986942179913</v>
      </c>
      <c r="I237" s="3">
        <v>84.655049059985217</v>
      </c>
      <c r="J237" s="3">
        <v>77.144029021612226</v>
      </c>
      <c r="K237" s="3">
        <v>78.128750873593106</v>
      </c>
      <c r="L237" s="3">
        <v>79.975942985063512</v>
      </c>
    </row>
    <row r="238" spans="1:12" x14ac:dyDescent="0.3">
      <c r="A238" s="3">
        <v>51302</v>
      </c>
      <c r="B238" s="3" t="s">
        <v>236</v>
      </c>
      <c r="C238" s="3" t="s">
        <v>203</v>
      </c>
      <c r="D238" s="3" t="s">
        <v>424</v>
      </c>
      <c r="E238" s="3">
        <v>45.116281827520979</v>
      </c>
      <c r="F238" s="3">
        <v>65.588726224272676</v>
      </c>
      <c r="G238" s="3">
        <v>52.742935089501422</v>
      </c>
      <c r="H238" s="3">
        <v>54.482647713765026</v>
      </c>
      <c r="I238" s="3">
        <v>82.19077247571424</v>
      </c>
      <c r="J238" s="3">
        <v>83.532112078254272</v>
      </c>
      <c r="K238" s="3">
        <v>86.305532110322744</v>
      </c>
      <c r="L238" s="3">
        <v>84.009472221430428</v>
      </c>
    </row>
    <row r="239" spans="1:12" x14ac:dyDescent="0.3">
      <c r="A239" s="3">
        <v>51401</v>
      </c>
      <c r="B239" s="3" t="s">
        <v>237</v>
      </c>
      <c r="C239" s="3" t="s">
        <v>203</v>
      </c>
      <c r="D239" s="3" t="s">
        <v>425</v>
      </c>
      <c r="E239" s="3">
        <v>37.91497637535339</v>
      </c>
      <c r="F239" s="3">
        <v>50.644885714202168</v>
      </c>
      <c r="G239" s="3">
        <v>67.635684026262993</v>
      </c>
      <c r="H239" s="3">
        <v>52.065182038606189</v>
      </c>
      <c r="I239" s="3">
        <v>86.66347120106056</v>
      </c>
      <c r="J239" s="3">
        <v>63.206080775318597</v>
      </c>
      <c r="K239" s="3">
        <v>47.455707319442674</v>
      </c>
      <c r="L239" s="3">
        <v>65.775086431940608</v>
      </c>
    </row>
    <row r="240" spans="1:12" x14ac:dyDescent="0.3">
      <c r="A240" s="3">
        <v>51402</v>
      </c>
      <c r="B240" s="3" t="s">
        <v>238</v>
      </c>
      <c r="C240" s="3" t="s">
        <v>203</v>
      </c>
      <c r="D240" s="3" t="s">
        <v>425</v>
      </c>
      <c r="E240" s="3">
        <v>34.87921976404818</v>
      </c>
      <c r="F240" s="3">
        <v>30.851416295954859</v>
      </c>
      <c r="G240" s="3">
        <v>59.172621331833767</v>
      </c>
      <c r="H240" s="3">
        <v>41.634419130612265</v>
      </c>
      <c r="I240" s="3">
        <v>67.97070546986501</v>
      </c>
      <c r="J240" s="3">
        <v>78.485759844892627</v>
      </c>
      <c r="K240" s="3">
        <v>69.338349122673065</v>
      </c>
      <c r="L240" s="3">
        <v>71.931604812476891</v>
      </c>
    </row>
    <row r="241" spans="1:12" x14ac:dyDescent="0.3">
      <c r="A241" s="3">
        <v>51501</v>
      </c>
      <c r="B241" s="3" t="s">
        <v>239</v>
      </c>
      <c r="C241" s="3" t="s">
        <v>203</v>
      </c>
      <c r="D241" s="3" t="s">
        <v>426</v>
      </c>
      <c r="E241" s="3">
        <v>64.315021556227833</v>
      </c>
      <c r="F241" s="3">
        <v>59.094528002069268</v>
      </c>
      <c r="G241" s="3">
        <v>69.274152824054596</v>
      </c>
      <c r="H241" s="3">
        <v>64.227900794117232</v>
      </c>
      <c r="I241" s="3">
        <v>80.519657756287145</v>
      </c>
      <c r="J241" s="3">
        <v>80.844739962867735</v>
      </c>
      <c r="K241" s="3">
        <v>78.588206644606899</v>
      </c>
      <c r="L241" s="3">
        <v>79.984201454587264</v>
      </c>
    </row>
    <row r="242" spans="1:12" x14ac:dyDescent="0.3">
      <c r="A242" s="3">
        <v>51601</v>
      </c>
      <c r="B242" s="3" t="s">
        <v>240</v>
      </c>
      <c r="C242" s="3" t="s">
        <v>203</v>
      </c>
      <c r="D242" s="3" t="s">
        <v>427</v>
      </c>
      <c r="E242" s="3">
        <v>40.12982863672314</v>
      </c>
      <c r="F242" s="3">
        <v>48.901418219060403</v>
      </c>
      <c r="G242" s="3">
        <v>40.392874679313252</v>
      </c>
      <c r="H242" s="3">
        <v>43.141373845032263</v>
      </c>
      <c r="I242" s="3">
        <v>42.662066248212312</v>
      </c>
      <c r="J242" s="3">
        <v>81.946126318537821</v>
      </c>
      <c r="K242" s="3">
        <v>93.726575639733639</v>
      </c>
      <c r="L242" s="3">
        <v>72.778256068827929</v>
      </c>
    </row>
    <row r="243" spans="1:12" x14ac:dyDescent="0.3">
      <c r="A243" s="3">
        <v>60101</v>
      </c>
      <c r="B243" s="3" t="s">
        <v>244</v>
      </c>
      <c r="C243" s="3" t="s">
        <v>245</v>
      </c>
      <c r="D243" s="3" t="s">
        <v>380</v>
      </c>
      <c r="E243" s="3">
        <v>51.22570445537081</v>
      </c>
      <c r="F243" s="3">
        <v>44.65691761703733</v>
      </c>
      <c r="G243" s="3">
        <v>52.092442670266458</v>
      </c>
      <c r="H243" s="3">
        <v>49.32502158089153</v>
      </c>
      <c r="I243" s="3">
        <v>71.149108596674552</v>
      </c>
      <c r="J243" s="3">
        <v>75.291101956437515</v>
      </c>
      <c r="K243" s="3">
        <v>81.604166571783352</v>
      </c>
      <c r="L243" s="3">
        <v>76.014792374965154</v>
      </c>
    </row>
    <row r="244" spans="1:12" x14ac:dyDescent="0.3">
      <c r="A244" s="3">
        <v>60201</v>
      </c>
      <c r="B244" s="3" t="s">
        <v>246</v>
      </c>
      <c r="C244" s="3" t="s">
        <v>245</v>
      </c>
      <c r="D244" s="3" t="s">
        <v>428</v>
      </c>
      <c r="E244" s="3">
        <v>57.718529575782242</v>
      </c>
      <c r="F244" s="3">
        <v>61.120730139921463</v>
      </c>
      <c r="G244" s="3">
        <v>71.403993023151884</v>
      </c>
      <c r="H244" s="3">
        <v>63.414417579618522</v>
      </c>
      <c r="I244" s="3">
        <v>76.811400760815118</v>
      </c>
      <c r="J244" s="3">
        <v>85.584987458786514</v>
      </c>
      <c r="K244" s="3">
        <v>73.232527372811504</v>
      </c>
      <c r="L244" s="3">
        <v>78.542971864137712</v>
      </c>
    </row>
    <row r="245" spans="1:12" x14ac:dyDescent="0.3">
      <c r="A245" s="3">
        <v>60202</v>
      </c>
      <c r="B245" s="3" t="s">
        <v>247</v>
      </c>
      <c r="C245" s="3" t="s">
        <v>245</v>
      </c>
      <c r="D245" s="3" t="s">
        <v>428</v>
      </c>
      <c r="E245" s="3">
        <v>72.392590725557724</v>
      </c>
      <c r="F245" s="3">
        <v>78.175741290538625</v>
      </c>
      <c r="G245" s="3">
        <v>85.522923722454166</v>
      </c>
      <c r="H245" s="3">
        <v>78.697085246183505</v>
      </c>
      <c r="I245" s="3">
        <v>75.904771985487045</v>
      </c>
      <c r="J245" s="3">
        <v>74.232366234945587</v>
      </c>
      <c r="K245" s="3">
        <v>76.176995143634102</v>
      </c>
      <c r="L245" s="3">
        <v>75.438044454688907</v>
      </c>
    </row>
    <row r="246" spans="1:12" x14ac:dyDescent="0.3">
      <c r="A246" s="3">
        <v>60301</v>
      </c>
      <c r="B246" s="3" t="s">
        <v>248</v>
      </c>
      <c r="C246" s="3" t="s">
        <v>245</v>
      </c>
      <c r="D246" s="3" t="s">
        <v>429</v>
      </c>
      <c r="E246" s="3">
        <v>67.176544308847681</v>
      </c>
      <c r="F246" s="3">
        <v>72.068428882125289</v>
      </c>
      <c r="G246" s="3">
        <v>69.216945775281161</v>
      </c>
      <c r="H246" s="3">
        <v>69.487306322084706</v>
      </c>
      <c r="I246" s="3">
        <v>70.367591857562331</v>
      </c>
      <c r="J246" s="3">
        <v>75.325411245512882</v>
      </c>
      <c r="K246" s="3">
        <v>73.716149206702227</v>
      </c>
      <c r="L246" s="3">
        <v>73.136384103259147</v>
      </c>
    </row>
    <row r="247" spans="1:12" x14ac:dyDescent="0.3">
      <c r="A247" s="3">
        <v>60302</v>
      </c>
      <c r="B247" s="3" t="s">
        <v>249</v>
      </c>
      <c r="C247" s="3" t="s">
        <v>245</v>
      </c>
      <c r="D247" s="3" t="s">
        <v>429</v>
      </c>
      <c r="E247" s="3">
        <v>62.845243974365118</v>
      </c>
      <c r="F247" s="3">
        <v>75.946283021001918</v>
      </c>
      <c r="G247" s="3">
        <v>65.218736142950661</v>
      </c>
      <c r="H247" s="3">
        <v>68.003421046105899</v>
      </c>
      <c r="I247" s="3">
        <v>66.594906188096871</v>
      </c>
      <c r="J247" s="3">
        <v>81.341025028945793</v>
      </c>
      <c r="K247" s="3">
        <v>75.870847139760585</v>
      </c>
      <c r="L247" s="3">
        <v>74.602259452267745</v>
      </c>
    </row>
    <row r="248" spans="1:12" x14ac:dyDescent="0.3">
      <c r="A248" s="3">
        <v>60303</v>
      </c>
      <c r="B248" s="3" t="s">
        <v>250</v>
      </c>
      <c r="C248" s="3" t="s">
        <v>245</v>
      </c>
      <c r="D248" s="3" t="s">
        <v>429</v>
      </c>
      <c r="E248" s="3">
        <v>83.706748893250591</v>
      </c>
      <c r="F248" s="3">
        <v>72.943006067016825</v>
      </c>
      <c r="G248" s="3">
        <v>84.066835062044902</v>
      </c>
      <c r="H248" s="3">
        <v>80.238863340770777</v>
      </c>
      <c r="I248" s="3">
        <v>75.849052819434235</v>
      </c>
      <c r="J248" s="3">
        <v>79.702880474460486</v>
      </c>
      <c r="K248" s="3">
        <v>81.35684568173042</v>
      </c>
      <c r="L248" s="3">
        <v>78.969592991875047</v>
      </c>
    </row>
    <row r="249" spans="1:12" x14ac:dyDescent="0.3">
      <c r="A249" s="3">
        <v>60401</v>
      </c>
      <c r="B249" s="3" t="s">
        <v>251</v>
      </c>
      <c r="C249" s="3" t="s">
        <v>245</v>
      </c>
      <c r="D249" s="3" t="s">
        <v>430</v>
      </c>
      <c r="E249" s="3">
        <v>71.493977959437032</v>
      </c>
      <c r="F249" s="3">
        <v>73.771629911448954</v>
      </c>
      <c r="G249" s="3">
        <v>67.692366721807957</v>
      </c>
      <c r="H249" s="3">
        <v>70.985991530897977</v>
      </c>
      <c r="I249" s="3">
        <v>64.136303568569602</v>
      </c>
      <c r="J249" s="3">
        <v>69.40031873461561</v>
      </c>
      <c r="K249" s="3">
        <v>84.596006163018046</v>
      </c>
      <c r="L249" s="3">
        <v>72.710876155401081</v>
      </c>
    </row>
    <row r="250" spans="1:12" x14ac:dyDescent="0.3">
      <c r="A250" s="3">
        <v>60402</v>
      </c>
      <c r="B250" s="3" t="s">
        <v>252</v>
      </c>
      <c r="C250" s="3" t="s">
        <v>245</v>
      </c>
      <c r="D250" s="3" t="s">
        <v>430</v>
      </c>
      <c r="E250" s="3">
        <v>63.997092751739693</v>
      </c>
      <c r="F250" s="3">
        <v>57.236555383737567</v>
      </c>
      <c r="G250" s="3">
        <v>85.677910587031676</v>
      </c>
      <c r="H250" s="3">
        <v>68.970519574169643</v>
      </c>
      <c r="I250" s="3">
        <v>75.393726101033636</v>
      </c>
      <c r="J250" s="3">
        <v>64.127509954551755</v>
      </c>
      <c r="K250" s="3">
        <v>66.816067601367493</v>
      </c>
      <c r="L250" s="3">
        <v>68.779101218984295</v>
      </c>
    </row>
    <row r="251" spans="1:12" x14ac:dyDescent="0.3">
      <c r="A251" s="3">
        <v>60501</v>
      </c>
      <c r="B251" s="3" t="s">
        <v>253</v>
      </c>
      <c r="C251" s="3" t="s">
        <v>245</v>
      </c>
      <c r="D251" s="3" t="s">
        <v>431</v>
      </c>
      <c r="E251" s="3">
        <v>57.452178638077413</v>
      </c>
      <c r="F251" s="3">
        <v>43.370041200023437</v>
      </c>
      <c r="G251" s="3">
        <v>47.507577408123502</v>
      </c>
      <c r="H251" s="3">
        <v>49.443265748741453</v>
      </c>
      <c r="I251" s="3">
        <v>86.776002528984677</v>
      </c>
      <c r="J251" s="3">
        <v>59.366768482559898</v>
      </c>
      <c r="K251" s="3">
        <v>86.142853250483597</v>
      </c>
      <c r="L251" s="3">
        <v>77.428541420676055</v>
      </c>
    </row>
    <row r="252" spans="1:12" x14ac:dyDescent="0.3">
      <c r="A252" s="3">
        <v>60502</v>
      </c>
      <c r="B252" s="3" t="s">
        <v>254</v>
      </c>
      <c r="C252" s="3" t="s">
        <v>245</v>
      </c>
      <c r="D252" s="3" t="s">
        <v>431</v>
      </c>
      <c r="E252" s="3">
        <v>60.695944242391967</v>
      </c>
      <c r="F252" s="3">
        <v>60.474713180862629</v>
      </c>
      <c r="G252" s="3">
        <v>66.830496327585607</v>
      </c>
      <c r="H252" s="3">
        <v>62.667051250280075</v>
      </c>
      <c r="I252" s="3">
        <v>77.076671657024505</v>
      </c>
      <c r="J252" s="3">
        <v>65.053000260509734</v>
      </c>
      <c r="K252" s="3">
        <v>65.930741056025951</v>
      </c>
      <c r="L252" s="3">
        <v>69.353470991186725</v>
      </c>
    </row>
    <row r="253" spans="1:12" x14ac:dyDescent="0.3">
      <c r="A253" s="3">
        <v>60601</v>
      </c>
      <c r="B253" s="3" t="s">
        <v>255</v>
      </c>
      <c r="C253" s="3" t="s">
        <v>245</v>
      </c>
      <c r="D253" s="3" t="s">
        <v>432</v>
      </c>
      <c r="E253" s="3">
        <v>81.736592552746743</v>
      </c>
      <c r="F253" s="3">
        <v>70.056564723207359</v>
      </c>
      <c r="G253" s="3">
        <v>73.15091519434867</v>
      </c>
      <c r="H253" s="3">
        <v>74.981357490100933</v>
      </c>
      <c r="I253" s="3">
        <v>87.760171906762778</v>
      </c>
      <c r="J253" s="3">
        <v>89.088275018345598</v>
      </c>
      <c r="K253" s="3">
        <v>81.077541568970688</v>
      </c>
      <c r="L253" s="3">
        <v>85.975329498026341</v>
      </c>
    </row>
    <row r="254" spans="1:12" x14ac:dyDescent="0.3">
      <c r="A254" s="3">
        <v>70101</v>
      </c>
      <c r="B254" s="3" t="s">
        <v>256</v>
      </c>
      <c r="C254" s="3" t="s">
        <v>257</v>
      </c>
      <c r="D254" s="3" t="s">
        <v>433</v>
      </c>
      <c r="E254" s="3">
        <v>68.670645110008948</v>
      </c>
      <c r="F254" s="3">
        <v>69.372447323906428</v>
      </c>
      <c r="G254" s="3">
        <v>79.659025849248991</v>
      </c>
      <c r="H254" s="3">
        <v>72.567372761054784</v>
      </c>
      <c r="I254" s="3">
        <v>77.32474294071875</v>
      </c>
      <c r="J254" s="3">
        <v>76.847903144963084</v>
      </c>
      <c r="K254" s="3">
        <v>82.51758987288251</v>
      </c>
      <c r="L254" s="3">
        <v>78.896745319521457</v>
      </c>
    </row>
    <row r="255" spans="1:12" x14ac:dyDescent="0.3">
      <c r="A255" s="3">
        <v>70102</v>
      </c>
      <c r="B255" s="3" t="s">
        <v>258</v>
      </c>
      <c r="C255" s="3" t="s">
        <v>257</v>
      </c>
      <c r="D255" s="3" t="s">
        <v>434</v>
      </c>
      <c r="E255" s="3">
        <v>79.645703101081466</v>
      </c>
      <c r="F255" s="3">
        <v>78.28710757311066</v>
      </c>
      <c r="G255" s="3">
        <v>76.961955934052469</v>
      </c>
      <c r="H255" s="3">
        <v>78.298255536081527</v>
      </c>
      <c r="I255" s="3">
        <v>96.87888991128014</v>
      </c>
      <c r="J255" s="3">
        <v>94.581545457852499</v>
      </c>
      <c r="K255" s="3">
        <v>93.372723534824885</v>
      </c>
      <c r="L255" s="3">
        <v>94.944386301319184</v>
      </c>
    </row>
    <row r="256" spans="1:12" x14ac:dyDescent="0.3">
      <c r="A256" s="3">
        <v>70103</v>
      </c>
      <c r="B256" s="3" t="s">
        <v>259</v>
      </c>
      <c r="C256" s="3" t="s">
        <v>257</v>
      </c>
      <c r="D256" s="3" t="s">
        <v>434</v>
      </c>
      <c r="E256" s="3">
        <v>54.802240516134347</v>
      </c>
      <c r="F256" s="3">
        <v>66.13624529613611</v>
      </c>
      <c r="G256" s="3">
        <v>38.980501715676127</v>
      </c>
      <c r="H256" s="3">
        <v>53.306329175982192</v>
      </c>
      <c r="I256" s="3">
        <v>55.991509669988787</v>
      </c>
      <c r="J256" s="3">
        <v>75.477871073793352</v>
      </c>
      <c r="K256" s="3">
        <v>67.8355984018432</v>
      </c>
      <c r="L256" s="3">
        <v>66.434993048541784</v>
      </c>
    </row>
    <row r="257" spans="1:12" x14ac:dyDescent="0.3">
      <c r="A257" s="3">
        <v>70104</v>
      </c>
      <c r="B257" s="3" t="s">
        <v>260</v>
      </c>
      <c r="C257" s="3" t="s">
        <v>257</v>
      </c>
      <c r="D257" s="3" t="s">
        <v>433</v>
      </c>
      <c r="E257" s="3">
        <v>80.844179788144686</v>
      </c>
      <c r="F257" s="3">
        <v>73.310556326387925</v>
      </c>
      <c r="G257" s="3">
        <v>71.839213621277651</v>
      </c>
      <c r="H257" s="3">
        <v>75.33131657860342</v>
      </c>
      <c r="I257" s="3">
        <v>85.717503842366369</v>
      </c>
      <c r="J257" s="3">
        <v>70.333240463027749</v>
      </c>
      <c r="K257" s="3">
        <v>83.277184393445907</v>
      </c>
      <c r="L257" s="3">
        <v>79.775976232946675</v>
      </c>
    </row>
    <row r="258" spans="1:12" x14ac:dyDescent="0.3">
      <c r="A258" s="3">
        <v>70105</v>
      </c>
      <c r="B258" s="3" t="s">
        <v>261</v>
      </c>
      <c r="C258" s="3" t="s">
        <v>257</v>
      </c>
      <c r="D258" s="3" t="s">
        <v>434</v>
      </c>
      <c r="E258" s="3">
        <v>63.67710415197466</v>
      </c>
      <c r="F258" s="3">
        <v>70.055352605570505</v>
      </c>
      <c r="G258" s="3">
        <v>74.170919464534322</v>
      </c>
      <c r="H258" s="3">
        <v>69.301125407359834</v>
      </c>
      <c r="I258" s="3">
        <v>87.375433334143878</v>
      </c>
      <c r="J258" s="3">
        <v>70.62635624270753</v>
      </c>
      <c r="K258" s="3">
        <v>66.213742517595335</v>
      </c>
      <c r="L258" s="3">
        <v>74.738510698148914</v>
      </c>
    </row>
    <row r="259" spans="1:12" x14ac:dyDescent="0.3">
      <c r="A259" s="3">
        <v>70201</v>
      </c>
      <c r="B259" s="3" t="s">
        <v>262</v>
      </c>
      <c r="C259" s="3" t="s">
        <v>257</v>
      </c>
      <c r="D259" s="3" t="s">
        <v>435</v>
      </c>
      <c r="E259" s="3">
        <v>61.795008463118997</v>
      </c>
      <c r="F259" s="3">
        <v>55.485052259701071</v>
      </c>
      <c r="G259" s="3">
        <v>74.081971893477615</v>
      </c>
      <c r="H259" s="3">
        <v>63.787344205432561</v>
      </c>
      <c r="I259" s="3">
        <v>65.982345400651781</v>
      </c>
      <c r="J259" s="3">
        <v>80.309017289636301</v>
      </c>
      <c r="K259" s="3">
        <v>66.944183912358156</v>
      </c>
      <c r="L259" s="3">
        <v>71.078515534215413</v>
      </c>
    </row>
    <row r="260" spans="1:12" x14ac:dyDescent="0.3">
      <c r="A260" s="3">
        <v>70202</v>
      </c>
      <c r="B260" s="3" t="s">
        <v>304</v>
      </c>
      <c r="C260" s="3" t="s">
        <v>257</v>
      </c>
      <c r="D260" s="3" t="s">
        <v>435</v>
      </c>
      <c r="E260" s="3">
        <v>59.220559211551787</v>
      </c>
      <c r="F260" s="3">
        <v>74.219791511434991</v>
      </c>
      <c r="G260" s="3">
        <v>38.221179352212033</v>
      </c>
      <c r="H260" s="3">
        <v>57.220510025066268</v>
      </c>
      <c r="I260" s="3">
        <v>81.999784965458502</v>
      </c>
      <c r="J260" s="3">
        <v>87.686398342827601</v>
      </c>
      <c r="K260" s="3">
        <v>88.883039212022112</v>
      </c>
      <c r="L260" s="3">
        <v>86.189740840102743</v>
      </c>
    </row>
    <row r="261" spans="1:12" x14ac:dyDescent="0.3">
      <c r="A261" s="3">
        <v>70301</v>
      </c>
      <c r="B261" s="3" t="s">
        <v>263</v>
      </c>
      <c r="C261" s="3" t="s">
        <v>257</v>
      </c>
      <c r="D261" s="3" t="s">
        <v>436</v>
      </c>
      <c r="E261" s="3">
        <v>93.575159274133242</v>
      </c>
      <c r="F261" s="3">
        <v>71.294800298848386</v>
      </c>
      <c r="G261" s="3">
        <v>90.965190784580656</v>
      </c>
      <c r="H261" s="3">
        <v>85.278383452520757</v>
      </c>
      <c r="I261" s="3">
        <v>81.288467589397627</v>
      </c>
      <c r="J261" s="3">
        <v>78.459049928974721</v>
      </c>
      <c r="K261" s="3">
        <v>83.82180636637186</v>
      </c>
      <c r="L261" s="3">
        <v>81.189774628248074</v>
      </c>
    </row>
    <row r="262" spans="1:12" x14ac:dyDescent="0.3">
      <c r="A262" s="3">
        <v>70302</v>
      </c>
      <c r="B262" s="3" t="s">
        <v>264</v>
      </c>
      <c r="C262" s="3" t="s">
        <v>257</v>
      </c>
      <c r="D262" s="3" t="s">
        <v>436</v>
      </c>
      <c r="E262" s="3">
        <v>70.89197529180224</v>
      </c>
      <c r="F262" s="3">
        <v>70.656468117963271</v>
      </c>
      <c r="G262" s="3">
        <v>78.05676676438469</v>
      </c>
      <c r="H262" s="3">
        <v>73.201736724716739</v>
      </c>
      <c r="I262" s="3">
        <v>80.246515498200523</v>
      </c>
      <c r="J262" s="3">
        <v>64.641380723864444</v>
      </c>
      <c r="K262" s="3">
        <v>66.795590078653348</v>
      </c>
      <c r="L262" s="3">
        <v>70.561162100239429</v>
      </c>
    </row>
    <row r="263" spans="1:12" x14ac:dyDescent="0.3">
      <c r="A263" s="3">
        <v>70303</v>
      </c>
      <c r="B263" s="3" t="s">
        <v>265</v>
      </c>
      <c r="C263" s="3" t="s">
        <v>257</v>
      </c>
      <c r="D263" s="3" t="s">
        <v>436</v>
      </c>
      <c r="E263" s="3">
        <v>47.4791228510149</v>
      </c>
      <c r="F263" s="3">
        <v>67.564440256053842</v>
      </c>
      <c r="G263" s="3">
        <v>77.695976310249009</v>
      </c>
      <c r="H263" s="3">
        <v>64.246513139105915</v>
      </c>
      <c r="I263" s="3">
        <v>77.410904106591431</v>
      </c>
      <c r="J263" s="3">
        <v>96.64385174253708</v>
      </c>
      <c r="K263" s="3">
        <v>97.075678333655162</v>
      </c>
      <c r="L263" s="3">
        <v>90.376811394261225</v>
      </c>
    </row>
    <row r="264" spans="1:12" x14ac:dyDescent="0.3">
      <c r="A264" s="3">
        <v>70401</v>
      </c>
      <c r="B264" s="3" t="s">
        <v>266</v>
      </c>
      <c r="C264" s="3" t="s">
        <v>257</v>
      </c>
      <c r="D264" s="3" t="s">
        <v>437</v>
      </c>
      <c r="E264" s="3">
        <v>55.48769813771969</v>
      </c>
      <c r="F264" s="3">
        <v>52.521745467409751</v>
      </c>
      <c r="G264" s="3">
        <v>46.693376263332361</v>
      </c>
      <c r="H264" s="3">
        <v>51.567606622820598</v>
      </c>
      <c r="I264" s="3">
        <v>68.786935282118307</v>
      </c>
      <c r="J264" s="3">
        <v>63.85088750944179</v>
      </c>
      <c r="K264" s="3">
        <v>58.062106989320903</v>
      </c>
      <c r="L264" s="3">
        <v>63.566643260293667</v>
      </c>
    </row>
    <row r="265" spans="1:12" x14ac:dyDescent="0.3">
      <c r="A265" s="3">
        <v>70402</v>
      </c>
      <c r="B265" s="3" t="s">
        <v>267</v>
      </c>
      <c r="C265" s="3" t="s">
        <v>257</v>
      </c>
      <c r="D265" s="3" t="s">
        <v>437</v>
      </c>
      <c r="E265" s="3">
        <v>67.964856308847402</v>
      </c>
      <c r="F265" s="3">
        <v>61.925142542687922</v>
      </c>
      <c r="G265" s="3">
        <v>69.803393746112746</v>
      </c>
      <c r="H265" s="3">
        <v>66.564464199216033</v>
      </c>
      <c r="I265" s="3">
        <v>88.587237753654662</v>
      </c>
      <c r="J265" s="3">
        <v>77.998580066983536</v>
      </c>
      <c r="K265" s="3">
        <v>79.66983739092332</v>
      </c>
      <c r="L265" s="3">
        <v>82.085218403853844</v>
      </c>
    </row>
    <row r="266" spans="1:12" x14ac:dyDescent="0.3">
      <c r="A266" s="3">
        <v>70403</v>
      </c>
      <c r="B266" s="3" t="s">
        <v>268</v>
      </c>
      <c r="C266" s="3" t="s">
        <v>257</v>
      </c>
      <c r="D266" s="3" t="s">
        <v>437</v>
      </c>
      <c r="E266" s="3">
        <v>32.839735943647348</v>
      </c>
      <c r="F266" s="3">
        <v>65.877248858130116</v>
      </c>
      <c r="G266" s="3">
        <v>49.580368801616522</v>
      </c>
      <c r="H266" s="3">
        <v>49.432451201131329</v>
      </c>
      <c r="I266" s="3">
        <v>85.291219740638937</v>
      </c>
      <c r="J266" s="3">
        <v>67.840013335238069</v>
      </c>
      <c r="K266" s="3">
        <v>68.735898031847469</v>
      </c>
      <c r="L266" s="3">
        <v>73.955710369241487</v>
      </c>
    </row>
    <row r="267" spans="1:12" x14ac:dyDescent="0.3">
      <c r="A267" s="3">
        <v>70404</v>
      </c>
      <c r="B267" s="3" t="s">
        <v>308</v>
      </c>
      <c r="C267" s="3" t="s">
        <v>257</v>
      </c>
      <c r="D267" s="3" t="s">
        <v>437</v>
      </c>
      <c r="E267" s="3">
        <v>75.283878750549931</v>
      </c>
      <c r="F267" s="3">
        <v>74.910467734485991</v>
      </c>
      <c r="G267" s="3">
        <v>65.950311997436671</v>
      </c>
      <c r="H267" s="3">
        <v>72.048219494157522</v>
      </c>
      <c r="I267" s="3">
        <v>85.924641243960025</v>
      </c>
      <c r="J267" s="3">
        <v>82.374904632699881</v>
      </c>
      <c r="K267" s="3">
        <v>85.543238369272089</v>
      </c>
      <c r="L267" s="3">
        <v>84.614261415310679</v>
      </c>
    </row>
    <row r="268" spans="1:12" x14ac:dyDescent="0.3">
      <c r="A268" s="3">
        <v>70501</v>
      </c>
      <c r="B268" s="3" t="s">
        <v>269</v>
      </c>
      <c r="C268" s="3" t="s">
        <v>257</v>
      </c>
      <c r="D268" s="3" t="s">
        <v>438</v>
      </c>
      <c r="E268" s="3">
        <v>61.860395768518863</v>
      </c>
      <c r="F268" s="3">
        <v>72.222699887830572</v>
      </c>
      <c r="G268" s="3">
        <v>69.009147217504363</v>
      </c>
      <c r="H268" s="3">
        <v>67.697414291284602</v>
      </c>
      <c r="I268" s="3">
        <v>89.22326327971308</v>
      </c>
      <c r="J268" s="3">
        <v>78.109860813394434</v>
      </c>
      <c r="K268" s="3">
        <v>88.091140369974113</v>
      </c>
      <c r="L268" s="3">
        <v>85.141421487693876</v>
      </c>
    </row>
    <row r="269" spans="1:12" x14ac:dyDescent="0.3">
      <c r="A269" s="3">
        <v>70502</v>
      </c>
      <c r="B269" s="3" t="s">
        <v>270</v>
      </c>
      <c r="C269" s="3" t="s">
        <v>257</v>
      </c>
      <c r="D269" s="3" t="s">
        <v>438</v>
      </c>
      <c r="E269" s="3">
        <v>80.946324386697981</v>
      </c>
      <c r="F269" s="3">
        <v>37.599366036061518</v>
      </c>
      <c r="G269" s="3">
        <v>66.524586428327396</v>
      </c>
      <c r="H269" s="3">
        <v>61.690092283695627</v>
      </c>
      <c r="I269" s="3">
        <v>82.908918878672395</v>
      </c>
      <c r="J269" s="3">
        <v>69.085424943454441</v>
      </c>
      <c r="K269" s="3">
        <v>73.861295607808344</v>
      </c>
      <c r="L269" s="3">
        <v>75.285213143311736</v>
      </c>
    </row>
    <row r="270" spans="1:12" x14ac:dyDescent="0.3">
      <c r="A270" s="3">
        <v>70503</v>
      </c>
      <c r="B270" s="3" t="s">
        <v>271</v>
      </c>
      <c r="C270" s="3" t="s">
        <v>257</v>
      </c>
      <c r="D270" s="3" t="s">
        <v>438</v>
      </c>
      <c r="E270" s="3">
        <v>84.205018348362884</v>
      </c>
      <c r="F270" s="3">
        <v>83.119494676312954</v>
      </c>
      <c r="G270" s="3">
        <v>72.833180491950543</v>
      </c>
      <c r="H270" s="3">
        <v>80.052564505542122</v>
      </c>
      <c r="I270" s="3">
        <v>87.797081589537001</v>
      </c>
      <c r="J270" s="3">
        <v>91.153972582736415</v>
      </c>
      <c r="K270" s="3">
        <v>93.023078508384998</v>
      </c>
      <c r="L270" s="3">
        <v>90.658044226886133</v>
      </c>
    </row>
    <row r="271" spans="1:12" x14ac:dyDescent="0.3">
      <c r="A271" s="3">
        <v>70601</v>
      </c>
      <c r="B271" s="3" t="s">
        <v>272</v>
      </c>
      <c r="C271" s="3" t="s">
        <v>257</v>
      </c>
      <c r="D271" s="3" t="s">
        <v>439</v>
      </c>
      <c r="E271" s="3">
        <v>89.281405266943182</v>
      </c>
      <c r="F271" s="3">
        <v>81.063418067344784</v>
      </c>
      <c r="G271" s="3">
        <v>76.864281857160989</v>
      </c>
      <c r="H271" s="3">
        <v>82.403035063816318</v>
      </c>
      <c r="I271" s="3">
        <v>82.672864008760754</v>
      </c>
      <c r="J271" s="3">
        <v>64.63571775117579</v>
      </c>
      <c r="K271" s="3">
        <v>66.343335513440678</v>
      </c>
      <c r="L271" s="3">
        <v>71.217305757792403</v>
      </c>
    </row>
    <row r="272" spans="1:12" x14ac:dyDescent="0.3">
      <c r="A272" s="3">
        <v>70602</v>
      </c>
      <c r="B272" s="3" t="s">
        <v>273</v>
      </c>
      <c r="C272" s="3" t="s">
        <v>257</v>
      </c>
      <c r="D272" s="3" t="s">
        <v>439</v>
      </c>
      <c r="E272" s="3">
        <v>63.560852503708297</v>
      </c>
      <c r="F272" s="3">
        <v>71.637957778461995</v>
      </c>
      <c r="G272" s="3">
        <v>68.543508215290132</v>
      </c>
      <c r="H272" s="3">
        <v>67.914106165820144</v>
      </c>
      <c r="I272" s="3">
        <v>76.273471165400039</v>
      </c>
      <c r="J272" s="3">
        <v>90.442642378443509</v>
      </c>
      <c r="K272" s="3">
        <v>90.637142869886418</v>
      </c>
      <c r="L272" s="3">
        <v>85.78441880457666</v>
      </c>
    </row>
    <row r="273" spans="1:12" x14ac:dyDescent="0.3">
      <c r="A273" s="3">
        <v>70603</v>
      </c>
      <c r="B273" s="3" t="s">
        <v>312</v>
      </c>
      <c r="C273" s="3" t="s">
        <v>257</v>
      </c>
      <c r="D273" s="3" t="s">
        <v>439</v>
      </c>
      <c r="E273" s="3">
        <v>83.030485910169674</v>
      </c>
      <c r="F273" s="3">
        <v>85.425299140839016</v>
      </c>
      <c r="G273" s="3">
        <v>71.701906925599957</v>
      </c>
      <c r="H273" s="3">
        <v>80.052563992202877</v>
      </c>
      <c r="I273" s="3">
        <v>91.633771070335726</v>
      </c>
      <c r="J273" s="3">
        <v>80.489123884456205</v>
      </c>
      <c r="K273" s="3">
        <v>79.954585701425259</v>
      </c>
      <c r="L273" s="3">
        <v>84.025826885405735</v>
      </c>
    </row>
    <row r="274" spans="1:12" x14ac:dyDescent="0.3">
      <c r="A274" s="3">
        <v>70701</v>
      </c>
      <c r="B274" s="3" t="s">
        <v>274</v>
      </c>
      <c r="C274" s="3" t="s">
        <v>257</v>
      </c>
      <c r="D274" s="3" t="s">
        <v>440</v>
      </c>
      <c r="E274" s="3">
        <v>35.042500631934388</v>
      </c>
      <c r="F274" s="3">
        <v>68.318186435263513</v>
      </c>
      <c r="G274" s="3">
        <v>90.496990158057741</v>
      </c>
      <c r="H274" s="3">
        <v>64.61922574175189</v>
      </c>
      <c r="I274" s="3">
        <v>63.737145817209807</v>
      </c>
      <c r="J274" s="3">
        <v>83.017379538329408</v>
      </c>
      <c r="K274" s="3">
        <v>73.83437163226651</v>
      </c>
      <c r="L274" s="3">
        <v>73.52963232926858</v>
      </c>
    </row>
    <row r="275" spans="1:12" x14ac:dyDescent="0.3">
      <c r="A275" s="3">
        <v>70702</v>
      </c>
      <c r="B275" s="3" t="s">
        <v>275</v>
      </c>
      <c r="C275" s="3" t="s">
        <v>257</v>
      </c>
      <c r="D275" s="3" t="s">
        <v>440</v>
      </c>
      <c r="E275" s="3">
        <v>80.849304915536635</v>
      </c>
      <c r="F275" s="3">
        <v>65.71921125245423</v>
      </c>
      <c r="G275" s="3">
        <v>76.504881655159934</v>
      </c>
      <c r="H275" s="3">
        <v>74.357799274383595</v>
      </c>
      <c r="I275" s="3">
        <v>70.369552353716728</v>
      </c>
      <c r="J275" s="3">
        <v>70.369552353716728</v>
      </c>
      <c r="K275" s="3">
        <v>82.778389455172103</v>
      </c>
      <c r="L275" s="3">
        <v>74.505831387535181</v>
      </c>
    </row>
    <row r="276" spans="1:12" x14ac:dyDescent="0.3">
      <c r="A276" s="3">
        <v>70703</v>
      </c>
      <c r="B276" s="3" t="s">
        <v>276</v>
      </c>
      <c r="C276" s="3" t="s">
        <v>257</v>
      </c>
      <c r="D276" s="3" t="s">
        <v>440</v>
      </c>
      <c r="E276" s="3">
        <v>67.12483623837096</v>
      </c>
      <c r="F276" s="3">
        <v>79.083059227492782</v>
      </c>
      <c r="G276" s="3">
        <v>68.497295302268739</v>
      </c>
      <c r="H276" s="3">
        <v>71.568396922710818</v>
      </c>
      <c r="I276" s="3">
        <v>78.491555473306505</v>
      </c>
      <c r="J276" s="3">
        <v>81.060304291613022</v>
      </c>
      <c r="K276" s="3">
        <v>85.674284613520229</v>
      </c>
      <c r="L276" s="3">
        <v>81.742048126146585</v>
      </c>
    </row>
    <row r="277" spans="1:12" x14ac:dyDescent="0.3">
      <c r="A277" s="3">
        <v>70704</v>
      </c>
      <c r="B277" s="3" t="s">
        <v>277</v>
      </c>
      <c r="C277" s="3" t="s">
        <v>257</v>
      </c>
      <c r="D277" s="3" t="s">
        <v>440</v>
      </c>
      <c r="E277" s="3">
        <v>66.392934198134753</v>
      </c>
      <c r="F277" s="3">
        <v>53.890165332273767</v>
      </c>
      <c r="G277" s="3">
        <v>46.745020480626152</v>
      </c>
      <c r="H277" s="3">
        <v>55.676040003678224</v>
      </c>
      <c r="I277" s="3">
        <v>53.413979484042059</v>
      </c>
      <c r="J277" s="3">
        <v>66.723504580127582</v>
      </c>
      <c r="K277" s="3">
        <v>80.307902906114663</v>
      </c>
      <c r="L277" s="3">
        <v>66.815128990094763</v>
      </c>
    </row>
    <row r="278" spans="1:12" x14ac:dyDescent="0.3">
      <c r="A278" s="3">
        <v>70705</v>
      </c>
      <c r="B278" s="3" t="s">
        <v>278</v>
      </c>
      <c r="C278" s="3" t="s">
        <v>257</v>
      </c>
      <c r="D278" s="3" t="s">
        <v>440</v>
      </c>
      <c r="E278" s="3">
        <v>73.204186079073068</v>
      </c>
      <c r="F278" s="3">
        <v>75.696973676895993</v>
      </c>
      <c r="G278" s="3">
        <v>69.124403529451527</v>
      </c>
      <c r="H278" s="3">
        <v>72.675187761806853</v>
      </c>
      <c r="I278" s="3">
        <v>65.051600638216016</v>
      </c>
      <c r="J278" s="3">
        <v>90.023323609046003</v>
      </c>
      <c r="K278" s="3">
        <v>83.799284824518978</v>
      </c>
      <c r="L278" s="3">
        <v>79.624736357260318</v>
      </c>
    </row>
    <row r="279" spans="1:12" x14ac:dyDescent="0.3">
      <c r="A279" s="3">
        <v>70706</v>
      </c>
      <c r="B279" s="3" t="s">
        <v>279</v>
      </c>
      <c r="C279" s="3" t="s">
        <v>257</v>
      </c>
      <c r="D279" s="3" t="s">
        <v>440</v>
      </c>
      <c r="E279" s="3">
        <v>92.714774787329148</v>
      </c>
      <c r="F279" s="3">
        <v>94.854462871212746</v>
      </c>
      <c r="G279" s="3">
        <v>87.42933632420079</v>
      </c>
      <c r="H279" s="3">
        <v>91.666191327580904</v>
      </c>
      <c r="I279" s="3">
        <v>83.59256633122753</v>
      </c>
      <c r="J279" s="3">
        <v>90.869500745399193</v>
      </c>
      <c r="K279" s="3">
        <v>72.897471238488777</v>
      </c>
      <c r="L279" s="3">
        <v>82.453179438371833</v>
      </c>
    </row>
    <row r="280" spans="1:12" x14ac:dyDescent="0.3">
      <c r="A280" s="3">
        <v>70707</v>
      </c>
      <c r="B280" s="3" t="s">
        <v>280</v>
      </c>
      <c r="C280" s="3" t="s">
        <v>257</v>
      </c>
      <c r="D280" s="3" t="s">
        <v>440</v>
      </c>
      <c r="E280" s="3">
        <v>68.405224657230562</v>
      </c>
      <c r="F280" s="3">
        <v>73.953774254166802</v>
      </c>
      <c r="G280" s="3">
        <v>43.703330568373133</v>
      </c>
      <c r="H280" s="3">
        <v>62.020776493256825</v>
      </c>
      <c r="I280" s="3">
        <v>72.147982459812042</v>
      </c>
      <c r="J280" s="3">
        <v>66.149666523635986</v>
      </c>
      <c r="K280" s="3">
        <v>72.041725320260127</v>
      </c>
      <c r="L280" s="3">
        <v>70.113124767902718</v>
      </c>
    </row>
    <row r="281" spans="1:12" x14ac:dyDescent="0.3">
      <c r="A281" s="3">
        <v>70801</v>
      </c>
      <c r="B281" s="3" t="s">
        <v>281</v>
      </c>
      <c r="C281" s="3" t="s">
        <v>257</v>
      </c>
      <c r="D281" s="3" t="s">
        <v>441</v>
      </c>
      <c r="E281" s="3">
        <v>72.491632931950363</v>
      </c>
      <c r="F281" s="3">
        <v>81.579439311418184</v>
      </c>
      <c r="G281" s="3">
        <v>47.704220761720457</v>
      </c>
      <c r="H281" s="3">
        <v>67.258431001696337</v>
      </c>
      <c r="I281" s="3">
        <v>78.968309940106508</v>
      </c>
      <c r="J281" s="3">
        <v>86.452487813605586</v>
      </c>
      <c r="K281" s="3">
        <v>85.883419274207768</v>
      </c>
      <c r="L281" s="3">
        <v>83.768072342639954</v>
      </c>
    </row>
    <row r="282" spans="1:12" x14ac:dyDescent="0.3">
      <c r="A282" s="3">
        <v>70802</v>
      </c>
      <c r="B282" s="3" t="s">
        <v>282</v>
      </c>
      <c r="C282" s="3" t="s">
        <v>257</v>
      </c>
      <c r="D282" s="3" t="s">
        <v>441</v>
      </c>
      <c r="E282" s="3">
        <v>67.746612809363668</v>
      </c>
      <c r="F282" s="3">
        <v>70.992479537089096</v>
      </c>
      <c r="G282" s="3">
        <v>49.6912122584895</v>
      </c>
      <c r="H282" s="3">
        <v>62.810101534980753</v>
      </c>
      <c r="I282" s="3">
        <v>77.285054235486342</v>
      </c>
      <c r="J282" s="3">
        <v>90.13683307718378</v>
      </c>
      <c r="K282" s="3">
        <v>86.273108972496487</v>
      </c>
      <c r="L282" s="3">
        <v>84.564998761722208</v>
      </c>
    </row>
    <row r="283" spans="1:12" x14ac:dyDescent="0.3">
      <c r="A283" s="3">
        <v>70803</v>
      </c>
      <c r="B283" s="3" t="s">
        <v>283</v>
      </c>
      <c r="C283" s="3" t="s">
        <v>257</v>
      </c>
      <c r="D283" s="3" t="s">
        <v>441</v>
      </c>
      <c r="E283" s="3">
        <v>73.577535480327455</v>
      </c>
      <c r="F283" s="3">
        <v>86.034329236884815</v>
      </c>
      <c r="G283" s="3">
        <v>69.142853840318423</v>
      </c>
      <c r="H283" s="3">
        <v>76.251572852510222</v>
      </c>
      <c r="I283" s="3">
        <v>91.996584703741433</v>
      </c>
      <c r="J283" s="3">
        <v>50.651521184563343</v>
      </c>
      <c r="K283" s="3">
        <v>76.060648043947666</v>
      </c>
      <c r="L283" s="3">
        <v>72.902917977417474</v>
      </c>
    </row>
    <row r="284" spans="1:12" x14ac:dyDescent="0.3">
      <c r="A284" s="3">
        <v>70804</v>
      </c>
      <c r="B284" s="3" t="s">
        <v>284</v>
      </c>
      <c r="C284" s="3" t="s">
        <v>257</v>
      </c>
      <c r="D284" s="3" t="s">
        <v>441</v>
      </c>
      <c r="E284" s="3">
        <v>81.725052648304171</v>
      </c>
      <c r="F284" s="3">
        <v>74.251104444658083</v>
      </c>
      <c r="G284" s="3">
        <v>46.693459079215629</v>
      </c>
      <c r="H284" s="3">
        <v>67.556538724059294</v>
      </c>
      <c r="I284" s="3">
        <v>19.442580266669271</v>
      </c>
      <c r="J284" s="3">
        <v>70.504459586884423</v>
      </c>
      <c r="K284" s="3">
        <v>63.835690432980613</v>
      </c>
      <c r="L284" s="3">
        <v>51.260910095511434</v>
      </c>
    </row>
    <row r="285" spans="1:12" x14ac:dyDescent="0.3">
      <c r="A285" s="3">
        <v>70805</v>
      </c>
      <c r="B285" s="3" t="s">
        <v>285</v>
      </c>
      <c r="C285" s="3" t="s">
        <v>257</v>
      </c>
      <c r="D285" s="3" t="s">
        <v>441</v>
      </c>
      <c r="E285" s="3">
        <v>60.180748324464894</v>
      </c>
      <c r="F285" s="3">
        <v>66.543330065250643</v>
      </c>
      <c r="G285" s="3">
        <v>62.649425644808183</v>
      </c>
      <c r="H285" s="3">
        <v>63.124501344841242</v>
      </c>
      <c r="I285" s="3">
        <v>92.541558869004405</v>
      </c>
      <c r="J285" s="3">
        <v>51.859549703570771</v>
      </c>
      <c r="K285" s="3">
        <v>77.300148290434507</v>
      </c>
      <c r="L285" s="3">
        <v>73.900418954336558</v>
      </c>
    </row>
    <row r="286" spans="1:12" x14ac:dyDescent="0.3">
      <c r="A286" s="3">
        <v>70901</v>
      </c>
      <c r="B286" s="3" t="s">
        <v>286</v>
      </c>
      <c r="C286" s="3" t="s">
        <v>257</v>
      </c>
      <c r="D286" s="3" t="s">
        <v>442</v>
      </c>
      <c r="E286" s="3">
        <v>90.709438439451844</v>
      </c>
      <c r="F286" s="3">
        <v>64.855719096939026</v>
      </c>
      <c r="G286" s="3">
        <v>74.039296702255797</v>
      </c>
      <c r="H286" s="3">
        <v>76.534818079548884</v>
      </c>
      <c r="I286" s="3">
        <v>86.283306311527156</v>
      </c>
      <c r="J286" s="3">
        <v>61.639603616662583</v>
      </c>
      <c r="K286" s="3">
        <v>73.565327459808657</v>
      </c>
      <c r="L286" s="3">
        <v>73.829412462666127</v>
      </c>
    </row>
    <row r="287" spans="1:12" x14ac:dyDescent="0.3">
      <c r="A287" s="3">
        <v>70902</v>
      </c>
      <c r="B287" s="3" t="s">
        <v>287</v>
      </c>
      <c r="C287" s="3" t="s">
        <v>257</v>
      </c>
      <c r="D287" s="3" t="s">
        <v>442</v>
      </c>
      <c r="E287" s="3">
        <v>62.225569879435177</v>
      </c>
      <c r="F287" s="3">
        <v>85.041709957923146</v>
      </c>
      <c r="G287" s="3">
        <v>83.139573143609866</v>
      </c>
      <c r="H287" s="3">
        <v>76.802284326989408</v>
      </c>
      <c r="I287" s="3">
        <v>78.233459785121283</v>
      </c>
      <c r="J287" s="3">
        <v>74.353191566927322</v>
      </c>
      <c r="K287" s="3">
        <v>59.819449557852238</v>
      </c>
      <c r="L287" s="3">
        <v>70.80203363663361</v>
      </c>
    </row>
    <row r="288" spans="1:12" x14ac:dyDescent="0.3">
      <c r="A288" s="3">
        <v>70903</v>
      </c>
      <c r="B288" s="3" t="s">
        <v>288</v>
      </c>
      <c r="C288" s="3" t="s">
        <v>257</v>
      </c>
      <c r="D288" s="3" t="s">
        <v>442</v>
      </c>
      <c r="E288" s="3">
        <v>80.115489584236528</v>
      </c>
      <c r="F288" s="3">
        <v>84.072234847500127</v>
      </c>
      <c r="G288" s="3">
        <v>62.887717029861733</v>
      </c>
      <c r="H288" s="3">
        <v>75.691813820532801</v>
      </c>
      <c r="I288" s="3">
        <v>70.847837881005674</v>
      </c>
      <c r="J288" s="3">
        <v>54.013379023140033</v>
      </c>
      <c r="K288" s="3">
        <v>71.285428624820725</v>
      </c>
      <c r="L288" s="3">
        <v>65.382215176322134</v>
      </c>
    </row>
    <row r="289" spans="1:12" x14ac:dyDescent="0.3">
      <c r="A289" s="3">
        <v>70904</v>
      </c>
      <c r="B289" s="3" t="s">
        <v>289</v>
      </c>
      <c r="C289" s="3" t="s">
        <v>257</v>
      </c>
      <c r="D289" s="3" t="s">
        <v>442</v>
      </c>
      <c r="E289" s="3">
        <v>64.50081440736308</v>
      </c>
      <c r="F289" s="3">
        <v>41.792895235862979</v>
      </c>
      <c r="G289" s="3">
        <v>41.476435447551147</v>
      </c>
      <c r="H289" s="3">
        <v>49.256715030259073</v>
      </c>
      <c r="I289" s="3">
        <v>51.883885969279028</v>
      </c>
      <c r="J289" s="3">
        <v>75.046372512736781</v>
      </c>
      <c r="K289" s="3">
        <v>91.929682443711982</v>
      </c>
      <c r="L289" s="3">
        <v>72.953313641909261</v>
      </c>
    </row>
    <row r="290" spans="1:12" x14ac:dyDescent="0.3">
      <c r="A290" s="3">
        <v>71001</v>
      </c>
      <c r="B290" s="3" t="s">
        <v>290</v>
      </c>
      <c r="C290" s="3" t="s">
        <v>257</v>
      </c>
      <c r="D290" s="3" t="s">
        <v>443</v>
      </c>
      <c r="E290" s="3">
        <v>77.965861969293371</v>
      </c>
      <c r="F290" s="3">
        <v>72.94225858465758</v>
      </c>
      <c r="G290" s="3">
        <v>67.877655115484032</v>
      </c>
      <c r="H290" s="3">
        <v>72.928591889811656</v>
      </c>
      <c r="I290" s="3">
        <v>66.941481866609138</v>
      </c>
      <c r="J290" s="3">
        <v>78.326939008375604</v>
      </c>
      <c r="K290" s="3">
        <v>87.231081185911393</v>
      </c>
      <c r="L290" s="3">
        <v>77.499834020298707</v>
      </c>
    </row>
    <row r="291" spans="1:12" x14ac:dyDescent="0.3">
      <c r="A291" s="3">
        <v>71002</v>
      </c>
      <c r="B291" s="3" t="s">
        <v>291</v>
      </c>
      <c r="C291" s="3" t="s">
        <v>257</v>
      </c>
      <c r="D291" s="3" t="s">
        <v>443</v>
      </c>
      <c r="E291" s="3">
        <v>73.195364669388738</v>
      </c>
      <c r="F291" s="3">
        <v>75.124464097684765</v>
      </c>
      <c r="G291" s="3">
        <v>76.380437486478314</v>
      </c>
      <c r="H291" s="3">
        <v>74.90008875118393</v>
      </c>
      <c r="I291" s="3">
        <v>88.316693187711849</v>
      </c>
      <c r="J291" s="3">
        <v>78.08911324224448</v>
      </c>
      <c r="K291" s="3">
        <v>80.852360320503308</v>
      </c>
      <c r="L291" s="3">
        <v>82.419388916819869</v>
      </c>
    </row>
    <row r="292" spans="1:12" x14ac:dyDescent="0.3">
      <c r="A292" s="3">
        <v>71003</v>
      </c>
      <c r="B292" s="3" t="s">
        <v>292</v>
      </c>
      <c r="C292" s="3" t="s">
        <v>257</v>
      </c>
      <c r="D292" s="3" t="s">
        <v>443</v>
      </c>
      <c r="E292" s="3">
        <v>90.489299185035293</v>
      </c>
      <c r="F292" s="3">
        <v>88.614020879921966</v>
      </c>
      <c r="G292" s="3">
        <v>76.286982635756942</v>
      </c>
      <c r="H292" s="3">
        <v>85.130100900238062</v>
      </c>
      <c r="I292" s="3">
        <v>75.770664195735833</v>
      </c>
      <c r="J292" s="3">
        <v>84.420026859946489</v>
      </c>
      <c r="K292" s="3">
        <v>84.664008246998677</v>
      </c>
      <c r="L292" s="3">
        <v>81.618233100893676</v>
      </c>
    </row>
    <row r="293" spans="1:12" x14ac:dyDescent="0.3">
      <c r="A293" s="3">
        <v>71004</v>
      </c>
      <c r="B293" s="3" t="s">
        <v>309</v>
      </c>
      <c r="C293" s="3" t="s">
        <v>257</v>
      </c>
      <c r="D293" s="3" t="s">
        <v>443</v>
      </c>
      <c r="E293" s="3">
        <v>77.205243863992393</v>
      </c>
      <c r="F293" s="3">
        <v>71.819222880907944</v>
      </c>
      <c r="G293" s="3">
        <v>62.555085574983323</v>
      </c>
      <c r="H293" s="3">
        <v>70.526517439961211</v>
      </c>
      <c r="I293" s="3">
        <v>91.264679605072402</v>
      </c>
      <c r="J293" s="3">
        <v>81.078364805134058</v>
      </c>
      <c r="K293" s="3">
        <v>79.980485125172081</v>
      </c>
      <c r="L293" s="3">
        <v>84.107843178459518</v>
      </c>
    </row>
    <row r="294" spans="1:12" x14ac:dyDescent="0.3">
      <c r="A294" s="3">
        <v>71005</v>
      </c>
      <c r="B294" s="3" t="s">
        <v>310</v>
      </c>
      <c r="C294" s="3" t="s">
        <v>257</v>
      </c>
      <c r="D294" s="3" t="s">
        <v>443</v>
      </c>
      <c r="E294" s="3">
        <v>62.416184663428353</v>
      </c>
      <c r="F294" s="3">
        <v>61.70263644930597</v>
      </c>
      <c r="G294" s="3">
        <v>57.853446924435417</v>
      </c>
      <c r="H294" s="3">
        <v>60.657422679056573</v>
      </c>
      <c r="I294" s="3">
        <v>87.515030662036366</v>
      </c>
      <c r="J294" s="3">
        <v>70.854871396921396</v>
      </c>
      <c r="K294" s="3">
        <v>70.79770640127181</v>
      </c>
      <c r="L294" s="3">
        <v>76.389202820076534</v>
      </c>
    </row>
    <row r="295" spans="1:12" x14ac:dyDescent="0.3">
      <c r="A295" s="3">
        <v>71101</v>
      </c>
      <c r="B295" s="3" t="s">
        <v>293</v>
      </c>
      <c r="C295" s="3" t="s">
        <v>257</v>
      </c>
      <c r="D295" s="3" t="s">
        <v>444</v>
      </c>
      <c r="E295" s="3">
        <v>85.092716487622994</v>
      </c>
      <c r="F295" s="3">
        <v>70.589374918535256</v>
      </c>
      <c r="G295" s="3">
        <v>76.760905060698903</v>
      </c>
      <c r="H295" s="3">
        <v>77.480998822285713</v>
      </c>
      <c r="I295" s="3">
        <v>85.205554647194887</v>
      </c>
      <c r="J295" s="3">
        <v>74.379659370575411</v>
      </c>
      <c r="K295" s="3">
        <v>75.325048370579836</v>
      </c>
      <c r="L295" s="3">
        <v>78.303420796116711</v>
      </c>
    </row>
    <row r="296" spans="1:12" x14ac:dyDescent="0.3">
      <c r="A296" s="3">
        <v>71102</v>
      </c>
      <c r="B296" s="3" t="s">
        <v>294</v>
      </c>
      <c r="C296" s="3" t="s">
        <v>257</v>
      </c>
      <c r="D296" s="3" t="s">
        <v>444</v>
      </c>
      <c r="E296" s="3">
        <v>77.150059141170686</v>
      </c>
      <c r="F296" s="3">
        <v>88.040240836479782</v>
      </c>
      <c r="G296" s="3">
        <v>73.503555639859712</v>
      </c>
      <c r="H296" s="3">
        <v>79.564618539170056</v>
      </c>
      <c r="I296" s="3">
        <v>83.594653296152757</v>
      </c>
      <c r="J296" s="3">
        <v>64.682924128684107</v>
      </c>
      <c r="K296" s="3">
        <v>80.848072774584978</v>
      </c>
      <c r="L296" s="3">
        <v>76.375216733140618</v>
      </c>
    </row>
    <row r="297" spans="1:12" x14ac:dyDescent="0.3">
      <c r="A297" s="3">
        <v>71103</v>
      </c>
      <c r="B297" s="3" t="s">
        <v>306</v>
      </c>
      <c r="C297" s="3" t="s">
        <v>257</v>
      </c>
      <c r="D297" s="3" t="s">
        <v>444</v>
      </c>
      <c r="E297" s="3">
        <v>59.038393258553768</v>
      </c>
      <c r="F297" s="3">
        <v>66.824190187909778</v>
      </c>
      <c r="G297" s="3">
        <v>82.090446476065665</v>
      </c>
      <c r="H297" s="3">
        <v>69.317676640843061</v>
      </c>
      <c r="I297" s="3">
        <v>84.035739176098929</v>
      </c>
      <c r="J297" s="3">
        <v>93.029165410679937</v>
      </c>
      <c r="K297" s="3">
        <v>61.936259648151591</v>
      </c>
      <c r="L297" s="3">
        <v>79.667054744976824</v>
      </c>
    </row>
    <row r="298" spans="1:12" x14ac:dyDescent="0.3">
      <c r="A298" s="3">
        <v>71104</v>
      </c>
      <c r="B298" s="3" t="s">
        <v>295</v>
      </c>
      <c r="C298" s="3" t="s">
        <v>257</v>
      </c>
      <c r="D298" s="3" t="s">
        <v>444</v>
      </c>
      <c r="E298" s="3">
        <v>66.752297582256276</v>
      </c>
      <c r="F298" s="3">
        <v>65.989323296066331</v>
      </c>
      <c r="G298" s="3">
        <v>74.269179784992673</v>
      </c>
      <c r="H298" s="3">
        <v>69.003600221105089</v>
      </c>
      <c r="I298" s="3">
        <v>88.902302662724381</v>
      </c>
      <c r="J298" s="3">
        <v>79.769821332595441</v>
      </c>
      <c r="K298" s="3">
        <v>79.240215474931347</v>
      </c>
      <c r="L298" s="3">
        <v>82.637446490083718</v>
      </c>
    </row>
    <row r="299" spans="1:12" x14ac:dyDescent="0.3">
      <c r="A299" s="3">
        <v>71105</v>
      </c>
      <c r="B299" s="3" t="s">
        <v>305</v>
      </c>
      <c r="C299" s="3" t="s">
        <v>257</v>
      </c>
      <c r="D299" s="3" t="s">
        <v>444</v>
      </c>
      <c r="E299" s="3">
        <v>90.63299923402441</v>
      </c>
      <c r="F299" s="3">
        <v>82.384322418953076</v>
      </c>
      <c r="G299" s="3">
        <v>48.299324490540663</v>
      </c>
      <c r="H299" s="3">
        <v>73.772215381172728</v>
      </c>
      <c r="I299" s="3">
        <v>67.299139311951947</v>
      </c>
      <c r="J299" s="3">
        <v>84.957264108731422</v>
      </c>
      <c r="K299" s="3">
        <v>87.412118577877578</v>
      </c>
      <c r="L299" s="3">
        <v>79.889507332853654</v>
      </c>
    </row>
    <row r="300" spans="1:12" x14ac:dyDescent="0.3">
      <c r="A300" s="3">
        <v>71106</v>
      </c>
      <c r="B300" s="3" t="s">
        <v>311</v>
      </c>
      <c r="C300" s="3" t="s">
        <v>257</v>
      </c>
      <c r="D300" s="3" t="s">
        <v>444</v>
      </c>
      <c r="E300" s="3">
        <v>83.854580402781707</v>
      </c>
      <c r="F300" s="3">
        <v>75.855510325877432</v>
      </c>
      <c r="G300" s="3">
        <v>67.047629624420836</v>
      </c>
      <c r="H300" s="3">
        <v>75.585906784359992</v>
      </c>
      <c r="I300" s="3">
        <v>77.327479254998963</v>
      </c>
      <c r="J300" s="3">
        <v>77.837048934454813</v>
      </c>
      <c r="K300" s="3">
        <v>79.076473276646979</v>
      </c>
      <c r="L300" s="3">
        <v>78.080333822033595</v>
      </c>
    </row>
    <row r="301" spans="1:12" x14ac:dyDescent="0.3">
      <c r="A301" s="3">
        <v>71201</v>
      </c>
      <c r="B301" s="3" t="s">
        <v>296</v>
      </c>
      <c r="C301" s="3" t="s">
        <v>257</v>
      </c>
      <c r="D301" s="3" t="s">
        <v>445</v>
      </c>
      <c r="E301" s="3">
        <v>68.763825040923678</v>
      </c>
      <c r="F301" s="3">
        <v>65.008444622489137</v>
      </c>
      <c r="G301" s="3">
        <v>72.131343865062092</v>
      </c>
      <c r="H301" s="3">
        <v>68.634537842824969</v>
      </c>
      <c r="I301" s="3">
        <v>83.301689018927334</v>
      </c>
      <c r="J301" s="3">
        <v>86.078514012412683</v>
      </c>
      <c r="K301" s="3">
        <v>88.515429917109671</v>
      </c>
      <c r="L301" s="3">
        <v>85.965210982816572</v>
      </c>
    </row>
    <row r="302" spans="1:12" x14ac:dyDescent="0.3">
      <c r="A302" s="3">
        <v>71301</v>
      </c>
      <c r="B302" s="3" t="s">
        <v>297</v>
      </c>
      <c r="C302" s="3" t="s">
        <v>257</v>
      </c>
      <c r="D302" s="3" t="s">
        <v>446</v>
      </c>
      <c r="E302" s="3">
        <v>82.397768885740973</v>
      </c>
      <c r="F302" s="3">
        <v>80.093067233366583</v>
      </c>
      <c r="G302" s="3">
        <v>63.699815984341399</v>
      </c>
      <c r="H302" s="3">
        <v>75.39688403448298</v>
      </c>
      <c r="I302" s="3">
        <v>70.37685644715792</v>
      </c>
      <c r="J302" s="3">
        <v>81.023254244057725</v>
      </c>
      <c r="K302" s="3">
        <v>89.826980420145432</v>
      </c>
      <c r="L302" s="3">
        <v>80.409030370453692</v>
      </c>
    </row>
    <row r="303" spans="1:12" x14ac:dyDescent="0.3">
      <c r="A303" s="3">
        <v>71302</v>
      </c>
      <c r="B303" s="3" t="s">
        <v>298</v>
      </c>
      <c r="C303" s="3" t="s">
        <v>257</v>
      </c>
      <c r="D303" s="3" t="s">
        <v>446</v>
      </c>
      <c r="E303" s="3">
        <v>34.394359748138463</v>
      </c>
      <c r="F303" s="3">
        <v>25.73865335501991</v>
      </c>
      <c r="G303" s="3">
        <v>55.148552807147787</v>
      </c>
      <c r="H303" s="3">
        <v>38.427188636768726</v>
      </c>
      <c r="I303" s="3">
        <v>86.71603124795692</v>
      </c>
      <c r="J303" s="3">
        <v>56.883838349993631</v>
      </c>
      <c r="K303" s="3">
        <v>65.606657411712803</v>
      </c>
      <c r="L303" s="3">
        <v>69.735509003221111</v>
      </c>
    </row>
    <row r="304" spans="1:12" x14ac:dyDescent="0.3">
      <c r="A304" s="3">
        <v>71401</v>
      </c>
      <c r="B304" s="3" t="s">
        <v>299</v>
      </c>
      <c r="C304" s="3" t="s">
        <v>257</v>
      </c>
      <c r="D304" s="3" t="s">
        <v>447</v>
      </c>
      <c r="E304" s="3">
        <v>87.913086076676166</v>
      </c>
      <c r="F304" s="3">
        <v>38.838774465974844</v>
      </c>
      <c r="G304" s="3">
        <v>44.457769702139409</v>
      </c>
      <c r="H304" s="3">
        <v>57.069876748263475</v>
      </c>
      <c r="I304" s="3">
        <v>71.175175025411662</v>
      </c>
      <c r="J304" s="3">
        <v>84.142349370176731</v>
      </c>
      <c r="K304" s="3">
        <v>77.144663640337868</v>
      </c>
      <c r="L304" s="3">
        <v>77.48739601197542</v>
      </c>
    </row>
    <row r="305" spans="1:12" x14ac:dyDescent="0.3">
      <c r="A305" s="3">
        <v>71402</v>
      </c>
      <c r="B305" s="3" t="s">
        <v>300</v>
      </c>
      <c r="C305" s="3" t="s">
        <v>257</v>
      </c>
      <c r="D305" s="3" t="s">
        <v>447</v>
      </c>
      <c r="E305" s="3">
        <v>85.266651110151685</v>
      </c>
      <c r="F305" s="3">
        <v>88.12646097401047</v>
      </c>
      <c r="G305" s="3">
        <v>81.453439085531855</v>
      </c>
      <c r="H305" s="3">
        <v>84.948850389897999</v>
      </c>
      <c r="I305" s="3">
        <v>85.590655764733356</v>
      </c>
      <c r="J305" s="3">
        <v>98.026757083034752</v>
      </c>
      <c r="K305" s="3">
        <v>71.62588204968155</v>
      </c>
      <c r="L305" s="3">
        <v>85.081098299149872</v>
      </c>
    </row>
    <row r="306" spans="1:12" x14ac:dyDescent="0.3">
      <c r="A306" s="3">
        <v>71403</v>
      </c>
      <c r="B306" s="3" t="s">
        <v>307</v>
      </c>
      <c r="C306" s="3" t="s">
        <v>257</v>
      </c>
      <c r="D306" s="3" t="s">
        <v>447</v>
      </c>
      <c r="E306" s="3">
        <v>67.755847218785775</v>
      </c>
      <c r="F306" s="3">
        <v>38.118697077237421</v>
      </c>
      <c r="G306" s="3">
        <v>49.316731183462593</v>
      </c>
      <c r="H306" s="3">
        <v>51.730425159828599</v>
      </c>
      <c r="I306" s="3">
        <v>74.997638847991951</v>
      </c>
      <c r="J306" s="3">
        <v>80.731083959619539</v>
      </c>
      <c r="K306" s="3">
        <v>85.60240761561812</v>
      </c>
      <c r="L306" s="3">
        <v>80.443710141076537</v>
      </c>
    </row>
    <row r="307" spans="1:12" x14ac:dyDescent="0.3">
      <c r="A307" s="3">
        <v>71501</v>
      </c>
      <c r="B307" s="3" t="s">
        <v>301</v>
      </c>
      <c r="C307" s="3" t="s">
        <v>257</v>
      </c>
      <c r="D307" s="3" t="s">
        <v>448</v>
      </c>
      <c r="E307" s="3">
        <v>56.373784195655411</v>
      </c>
      <c r="F307" s="3">
        <v>70.292738853996042</v>
      </c>
      <c r="G307" s="3">
        <v>78.529085771109379</v>
      </c>
      <c r="H307" s="3">
        <v>68.398536273586942</v>
      </c>
      <c r="I307" s="3">
        <v>87.293608116095129</v>
      </c>
      <c r="J307" s="3">
        <v>73.783206948030525</v>
      </c>
      <c r="K307" s="3">
        <v>85.628380629023667</v>
      </c>
      <c r="L307" s="3">
        <v>82.235065231049774</v>
      </c>
    </row>
    <row r="308" spans="1:12" x14ac:dyDescent="0.3">
      <c r="A308" s="3">
        <v>71502</v>
      </c>
      <c r="B308" s="3" t="s">
        <v>302</v>
      </c>
      <c r="C308" s="3" t="s">
        <v>257</v>
      </c>
      <c r="D308" s="3" t="s">
        <v>448</v>
      </c>
      <c r="E308" s="3">
        <v>79.851798604978669</v>
      </c>
      <c r="F308" s="3">
        <v>85.602461915112016</v>
      </c>
      <c r="G308" s="3">
        <v>57.984325706469598</v>
      </c>
      <c r="H308" s="3">
        <v>74.479528742186758</v>
      </c>
      <c r="I308" s="3">
        <v>74.048884806078405</v>
      </c>
      <c r="J308" s="3">
        <v>90.047976754730087</v>
      </c>
      <c r="K308" s="3">
        <v>78.854456119277955</v>
      </c>
      <c r="L308" s="3">
        <v>80.983772560028811</v>
      </c>
    </row>
    <row r="309" spans="1:12" x14ac:dyDescent="0.3">
      <c r="A309" s="3">
        <v>71503</v>
      </c>
      <c r="B309" s="3" t="s">
        <v>303</v>
      </c>
      <c r="C309" s="3" t="s">
        <v>257</v>
      </c>
      <c r="D309" s="3" t="s">
        <v>448</v>
      </c>
      <c r="E309" s="3">
        <v>58.491137590214862</v>
      </c>
      <c r="F309" s="3">
        <v>55.874033950442538</v>
      </c>
      <c r="G309" s="3">
        <v>69.687507763301511</v>
      </c>
      <c r="H309" s="3">
        <v>61.350893101319635</v>
      </c>
      <c r="I309" s="3">
        <v>81.759826243265294</v>
      </c>
      <c r="J309" s="3">
        <v>80.525125293277895</v>
      </c>
      <c r="K309" s="3">
        <v>74.646592858917273</v>
      </c>
      <c r="L309" s="3">
        <v>78.977181465153492</v>
      </c>
    </row>
    <row r="310" spans="1:12" x14ac:dyDescent="0.3">
      <c r="A310" s="3">
        <v>80101</v>
      </c>
      <c r="B310" s="3" t="s">
        <v>313</v>
      </c>
      <c r="C310" s="3" t="s">
        <v>314</v>
      </c>
      <c r="D310" s="3" t="s">
        <v>380</v>
      </c>
      <c r="E310" s="3">
        <v>69.59891703041589</v>
      </c>
      <c r="F310" s="3">
        <v>67.764708356440593</v>
      </c>
      <c r="G310" s="3">
        <v>68.970697801761148</v>
      </c>
      <c r="H310" s="3">
        <v>68.778107729539215</v>
      </c>
      <c r="I310" s="3">
        <v>80.050994678824111</v>
      </c>
      <c r="J310" s="3">
        <v>86.442410796367383</v>
      </c>
      <c r="K310" s="3">
        <v>71.437725460941664</v>
      </c>
      <c r="L310" s="3">
        <v>79.310376978711048</v>
      </c>
    </row>
    <row r="311" spans="1:12" x14ac:dyDescent="0.3">
      <c r="A311" s="3">
        <v>80102</v>
      </c>
      <c r="B311" s="3" t="s">
        <v>315</v>
      </c>
      <c r="C311" s="3" t="s">
        <v>314</v>
      </c>
      <c r="D311" s="3" t="s">
        <v>380</v>
      </c>
      <c r="E311" s="3">
        <v>67.368527301214741</v>
      </c>
      <c r="F311" s="3">
        <v>86.594223635170835</v>
      </c>
      <c r="G311" s="3">
        <v>90.363277601640917</v>
      </c>
      <c r="H311" s="3">
        <v>81.442009512675497</v>
      </c>
      <c r="I311" s="3">
        <v>78.905191618755524</v>
      </c>
      <c r="J311" s="3">
        <v>72.341158399502376</v>
      </c>
      <c r="K311" s="3">
        <v>87.619953956445741</v>
      </c>
      <c r="L311" s="3">
        <v>79.622101324901209</v>
      </c>
    </row>
    <row r="312" spans="1:12" x14ac:dyDescent="0.3">
      <c r="A312" s="3">
        <v>80201</v>
      </c>
      <c r="B312" s="3" t="s">
        <v>316</v>
      </c>
      <c r="C312" s="3" t="s">
        <v>314</v>
      </c>
      <c r="D312" s="3" t="s">
        <v>449</v>
      </c>
      <c r="E312" s="3">
        <v>56.708131007744022</v>
      </c>
      <c r="F312" s="3">
        <v>55.537282653683747</v>
      </c>
      <c r="G312" s="3">
        <v>62.510898743960752</v>
      </c>
      <c r="H312" s="3">
        <v>58.252104135129507</v>
      </c>
      <c r="I312" s="3">
        <v>81.022944204989969</v>
      </c>
      <c r="J312" s="3">
        <v>79.048256387738036</v>
      </c>
      <c r="K312" s="3">
        <v>87.169915749517031</v>
      </c>
      <c r="L312" s="3">
        <v>82.413705447415012</v>
      </c>
    </row>
    <row r="313" spans="1:12" x14ac:dyDescent="0.3">
      <c r="A313" s="3">
        <v>80202</v>
      </c>
      <c r="B313" s="3" t="s">
        <v>317</v>
      </c>
      <c r="C313" s="3" t="s">
        <v>314</v>
      </c>
      <c r="D313" s="3" t="s">
        <v>449</v>
      </c>
      <c r="E313" s="3">
        <v>79.143373442492049</v>
      </c>
      <c r="F313" s="3">
        <v>75.120189266924214</v>
      </c>
      <c r="G313" s="3">
        <v>68.941019394146537</v>
      </c>
      <c r="H313" s="3">
        <v>74.401527367854257</v>
      </c>
      <c r="I313" s="3">
        <v>79.457705430719599</v>
      </c>
      <c r="J313" s="3">
        <v>76.56721494058965</v>
      </c>
      <c r="K313" s="3">
        <v>90.760430629729456</v>
      </c>
      <c r="L313" s="3">
        <v>82.261783667012892</v>
      </c>
    </row>
    <row r="314" spans="1:12" x14ac:dyDescent="0.3">
      <c r="A314" s="3">
        <v>80301</v>
      </c>
      <c r="B314" s="3" t="s">
        <v>318</v>
      </c>
      <c r="C314" s="3" t="s">
        <v>314</v>
      </c>
      <c r="D314" s="3" t="s">
        <v>450</v>
      </c>
      <c r="E314" s="3">
        <v>85.683297490995017</v>
      </c>
      <c r="F314" s="3">
        <v>84.558436089053217</v>
      </c>
      <c r="G314" s="3">
        <v>83.597836078083787</v>
      </c>
      <c r="H314" s="3">
        <v>84.613189886043997</v>
      </c>
      <c r="I314" s="3">
        <v>72.779005889506109</v>
      </c>
      <c r="J314" s="3">
        <v>66.335567315976718</v>
      </c>
      <c r="K314" s="3">
        <v>79.892426588385007</v>
      </c>
      <c r="L314" s="3">
        <v>73.002333264622607</v>
      </c>
    </row>
    <row r="315" spans="1:12" x14ac:dyDescent="0.3">
      <c r="A315" s="3">
        <v>80302</v>
      </c>
      <c r="B315" s="3" t="s">
        <v>320</v>
      </c>
      <c r="C315" s="3" t="s">
        <v>314</v>
      </c>
      <c r="D315" s="3" t="s">
        <v>451</v>
      </c>
      <c r="E315" s="3">
        <v>84.374092923376637</v>
      </c>
      <c r="F315" s="3">
        <v>74.49766429640718</v>
      </c>
      <c r="G315" s="3">
        <v>86.324264318879202</v>
      </c>
      <c r="H315" s="3">
        <v>81.732007179554344</v>
      </c>
      <c r="I315" s="3">
        <v>85.669070213720715</v>
      </c>
      <c r="J315" s="3">
        <v>85.675409833284306</v>
      </c>
      <c r="K315" s="3">
        <v>93.461755162594756</v>
      </c>
      <c r="L315" s="3">
        <v>88.268745069866597</v>
      </c>
    </row>
    <row r="316" spans="1:12" x14ac:dyDescent="0.3">
      <c r="A316" s="3">
        <v>80303</v>
      </c>
      <c r="B316" s="3" t="s">
        <v>321</v>
      </c>
      <c r="C316" s="3" t="s">
        <v>314</v>
      </c>
      <c r="D316" s="3" t="s">
        <v>451</v>
      </c>
      <c r="E316" s="3">
        <v>93.194559766606616</v>
      </c>
      <c r="F316" s="3">
        <v>98.203617340751265</v>
      </c>
      <c r="G316" s="3">
        <v>91.930371093127476</v>
      </c>
      <c r="H316" s="3">
        <v>94.442849400161776</v>
      </c>
      <c r="I316" s="3">
        <v>79.606456765811032</v>
      </c>
      <c r="J316" s="3">
        <v>86.297268574016272</v>
      </c>
      <c r="K316" s="3">
        <v>81.871987894143189</v>
      </c>
      <c r="L316" s="3">
        <v>82.591904411323497</v>
      </c>
    </row>
    <row r="317" spans="1:12" x14ac:dyDescent="0.3">
      <c r="A317" s="3">
        <v>80304</v>
      </c>
      <c r="B317" s="3" t="s">
        <v>319</v>
      </c>
      <c r="C317" s="3" t="s">
        <v>314</v>
      </c>
      <c r="D317" s="3" t="s">
        <v>451</v>
      </c>
      <c r="E317" s="3">
        <v>82.886893097658941</v>
      </c>
      <c r="F317" s="3">
        <v>83.726953883882217</v>
      </c>
      <c r="G317" s="3">
        <v>79.86469777568314</v>
      </c>
      <c r="H317" s="3">
        <v>82.159514919074766</v>
      </c>
      <c r="I317" s="3">
        <v>78.397525486983923</v>
      </c>
      <c r="J317" s="3">
        <v>82.060218838165355</v>
      </c>
      <c r="K317" s="3">
        <v>82.353451947531369</v>
      </c>
      <c r="L317" s="3">
        <v>80.937065424226887</v>
      </c>
    </row>
    <row r="318" spans="1:12" x14ac:dyDescent="0.3">
      <c r="A318" s="3">
        <v>80401</v>
      </c>
      <c r="B318" s="3" t="s">
        <v>322</v>
      </c>
      <c r="C318" s="3" t="s">
        <v>314</v>
      </c>
      <c r="D318" s="3" t="s">
        <v>452</v>
      </c>
      <c r="E318" s="3">
        <v>78.541942120674761</v>
      </c>
      <c r="F318" s="3">
        <v>70.614044147184146</v>
      </c>
      <c r="G318" s="3">
        <v>71.909942507033236</v>
      </c>
      <c r="H318" s="3">
        <v>73.688642924964043</v>
      </c>
      <c r="I318" s="3">
        <v>87.785436437865897</v>
      </c>
      <c r="J318" s="3">
        <v>83.451052047776585</v>
      </c>
      <c r="K318" s="3">
        <v>77.053210848227593</v>
      </c>
      <c r="L318" s="3">
        <v>82.763233111290035</v>
      </c>
    </row>
    <row r="319" spans="1:12" x14ac:dyDescent="0.3">
      <c r="A319" s="3">
        <v>80402</v>
      </c>
      <c r="B319" s="3" t="s">
        <v>332</v>
      </c>
      <c r="C319" s="3" t="s">
        <v>314</v>
      </c>
      <c r="D319" s="3" t="s">
        <v>452</v>
      </c>
      <c r="E319" s="3">
        <v>25.40024815476038</v>
      </c>
      <c r="F319" s="3">
        <v>56.30715559676581</v>
      </c>
      <c r="G319" s="3">
        <v>47.199472390809497</v>
      </c>
      <c r="H319" s="3">
        <v>42.968958714111892</v>
      </c>
      <c r="I319" s="3">
        <v>45.41566306610423</v>
      </c>
      <c r="J319" s="3">
        <v>67.629388892440943</v>
      </c>
      <c r="K319" s="3">
        <v>74.132209625616014</v>
      </c>
      <c r="L319" s="3">
        <v>62.392420528053727</v>
      </c>
    </row>
    <row r="320" spans="1:12" x14ac:dyDescent="0.3">
      <c r="A320" s="3">
        <v>80501</v>
      </c>
      <c r="B320" s="3" t="s">
        <v>323</v>
      </c>
      <c r="C320" s="3" t="s">
        <v>314</v>
      </c>
      <c r="D320" s="3" t="s">
        <v>453</v>
      </c>
      <c r="E320" s="3">
        <v>76.111690611411873</v>
      </c>
      <c r="F320" s="3">
        <v>60.169729609757937</v>
      </c>
      <c r="G320" s="3">
        <v>60.410487320888457</v>
      </c>
      <c r="H320" s="3">
        <v>65.563969180686087</v>
      </c>
      <c r="I320" s="3">
        <v>81.593848678318338</v>
      </c>
      <c r="J320" s="3">
        <v>89.543968018556413</v>
      </c>
      <c r="K320" s="3">
        <v>89.796322916018056</v>
      </c>
      <c r="L320" s="3">
        <v>86.978046537630931</v>
      </c>
    </row>
    <row r="321" spans="1:12" x14ac:dyDescent="0.3">
      <c r="A321" s="3">
        <v>80601</v>
      </c>
      <c r="B321" s="3" t="s">
        <v>324</v>
      </c>
      <c r="C321" s="3" t="s">
        <v>314</v>
      </c>
      <c r="D321" s="3" t="s">
        <v>454</v>
      </c>
      <c r="E321" s="3">
        <v>74.27772248748883</v>
      </c>
      <c r="F321" s="3">
        <v>72.674423030139877</v>
      </c>
      <c r="G321" s="3">
        <v>69.415529189233723</v>
      </c>
      <c r="H321" s="3">
        <v>72.122558235620815</v>
      </c>
      <c r="I321" s="3">
        <v>79.335751631928147</v>
      </c>
      <c r="J321" s="3">
        <v>64.312603418990236</v>
      </c>
      <c r="K321" s="3">
        <v>84.056149285622212</v>
      </c>
      <c r="L321" s="3">
        <v>75.901501445513532</v>
      </c>
    </row>
    <row r="322" spans="1:12" x14ac:dyDescent="0.3">
      <c r="A322" s="3">
        <v>80602</v>
      </c>
      <c r="B322" s="3" t="s">
        <v>325</v>
      </c>
      <c r="C322" s="3" t="s">
        <v>314</v>
      </c>
      <c r="D322" s="3" t="s">
        <v>454</v>
      </c>
      <c r="E322" s="3">
        <v>85.503971053660905</v>
      </c>
      <c r="F322" s="3">
        <v>73.826424476994291</v>
      </c>
      <c r="G322" s="3">
        <v>90.954633268852049</v>
      </c>
      <c r="H322" s="3">
        <v>83.428342933169077</v>
      </c>
      <c r="I322" s="3">
        <v>75.964942850020648</v>
      </c>
      <c r="J322" s="3">
        <v>77.366567884815524</v>
      </c>
      <c r="K322" s="3">
        <v>82.983350368143093</v>
      </c>
      <c r="L322" s="3">
        <v>78.77162036765975</v>
      </c>
    </row>
    <row r="323" spans="1:12" x14ac:dyDescent="0.3">
      <c r="A323" s="3">
        <v>80701</v>
      </c>
      <c r="B323" s="3" t="s">
        <v>326</v>
      </c>
      <c r="C323" s="3" t="s">
        <v>314</v>
      </c>
      <c r="D323" s="3" t="s">
        <v>455</v>
      </c>
      <c r="E323" s="3">
        <v>78.993177107870466</v>
      </c>
      <c r="F323" s="3">
        <v>81.134494080619262</v>
      </c>
      <c r="G323" s="3">
        <v>82.707398006723594</v>
      </c>
      <c r="H323" s="3">
        <v>80.945023065071112</v>
      </c>
      <c r="I323" s="3">
        <v>49.82966031104116</v>
      </c>
      <c r="J323" s="3">
        <v>79.844005661431993</v>
      </c>
      <c r="K323" s="3">
        <v>95.21082361678755</v>
      </c>
      <c r="L323" s="3">
        <v>74.96149652975356</v>
      </c>
    </row>
    <row r="324" spans="1:12" x14ac:dyDescent="0.3">
      <c r="A324" s="3">
        <v>80702</v>
      </c>
      <c r="B324" s="3" t="s">
        <v>327</v>
      </c>
      <c r="C324" s="3" t="s">
        <v>314</v>
      </c>
      <c r="D324" s="3" t="s">
        <v>455</v>
      </c>
      <c r="E324" s="3">
        <v>90.871826031311571</v>
      </c>
      <c r="F324" s="3">
        <v>46.144165703565371</v>
      </c>
      <c r="G324" s="3">
        <v>56.322243932682412</v>
      </c>
      <c r="H324" s="3">
        <v>64.446078555853106</v>
      </c>
      <c r="I324" s="3">
        <v>63.488167106029692</v>
      </c>
      <c r="J324" s="3">
        <v>75.656111139270152</v>
      </c>
      <c r="K324" s="3">
        <v>78.034452019748912</v>
      </c>
      <c r="L324" s="3">
        <v>72.392910088349595</v>
      </c>
    </row>
    <row r="325" spans="1:12" x14ac:dyDescent="0.3">
      <c r="A325" s="3">
        <v>80703</v>
      </c>
      <c r="B325" s="3" t="s">
        <v>328</v>
      </c>
      <c r="C325" s="3" t="s">
        <v>314</v>
      </c>
      <c r="D325" s="3" t="s">
        <v>455</v>
      </c>
      <c r="E325" s="3">
        <v>79.93752979053437</v>
      </c>
      <c r="F325" s="3">
        <v>51.824160745284061</v>
      </c>
      <c r="G325" s="3">
        <v>21.421081610815602</v>
      </c>
      <c r="H325" s="3">
        <v>51.060924048878015</v>
      </c>
      <c r="I325" s="3">
        <v>66.455311479043161</v>
      </c>
      <c r="J325" s="3">
        <v>90.847336962511491</v>
      </c>
      <c r="K325" s="3">
        <v>90.607727517214983</v>
      </c>
      <c r="L325" s="3">
        <v>82.63679198625654</v>
      </c>
    </row>
    <row r="326" spans="1:12" x14ac:dyDescent="0.3">
      <c r="A326" s="3">
        <v>80801</v>
      </c>
      <c r="B326" s="3" t="s">
        <v>329</v>
      </c>
      <c r="C326" s="3" t="s">
        <v>314</v>
      </c>
      <c r="D326" s="3" t="s">
        <v>456</v>
      </c>
      <c r="E326" s="3">
        <v>82.539837593986093</v>
      </c>
      <c r="F326" s="3">
        <v>69.836082709232713</v>
      </c>
      <c r="G326" s="3">
        <v>86.033582910026524</v>
      </c>
      <c r="H326" s="3">
        <v>79.46983440441511</v>
      </c>
      <c r="I326" s="3">
        <v>69.969266370167915</v>
      </c>
      <c r="J326" s="3">
        <v>86.139713671478106</v>
      </c>
      <c r="K326" s="3">
        <v>87.466057788176357</v>
      </c>
      <c r="L326" s="3">
        <v>81.191679276607459</v>
      </c>
    </row>
    <row r="327" spans="1:12" x14ac:dyDescent="0.3">
      <c r="A327" s="3">
        <v>80802</v>
      </c>
      <c r="B327" s="3" t="s">
        <v>330</v>
      </c>
      <c r="C327" s="3" t="s">
        <v>314</v>
      </c>
      <c r="D327" s="3" t="s">
        <v>456</v>
      </c>
      <c r="E327" s="3">
        <v>94.325051538163862</v>
      </c>
      <c r="F327" s="3">
        <v>75.970745747662733</v>
      </c>
      <c r="G327" s="3">
        <v>85.501071175478984</v>
      </c>
      <c r="H327" s="3">
        <v>85.265622820435198</v>
      </c>
      <c r="I327" s="3">
        <v>69.96108381911111</v>
      </c>
      <c r="J327" s="3">
        <v>78.983825562623039</v>
      </c>
      <c r="K327" s="3">
        <v>90.632253075780298</v>
      </c>
      <c r="L327" s="3">
        <v>79.859054152504811</v>
      </c>
    </row>
    <row r="328" spans="1:12" x14ac:dyDescent="0.3">
      <c r="A328" s="3">
        <v>80803</v>
      </c>
      <c r="B328" s="3" t="s">
        <v>331</v>
      </c>
      <c r="C328" s="3" t="s">
        <v>314</v>
      </c>
      <c r="D328" s="3" t="s">
        <v>456</v>
      </c>
      <c r="E328" s="3">
        <v>72.239316987261887</v>
      </c>
      <c r="F328" s="3">
        <v>85.217593161582926</v>
      </c>
      <c r="G328" s="3">
        <v>45.579710537932783</v>
      </c>
      <c r="H328" s="3">
        <v>67.678873562259199</v>
      </c>
      <c r="I328" s="3">
        <v>76.959110113388704</v>
      </c>
      <c r="J328" s="3">
        <v>81.560461625008159</v>
      </c>
      <c r="K328" s="3">
        <v>97.249577379451708</v>
      </c>
      <c r="L328" s="3">
        <v>85.256383039282852</v>
      </c>
    </row>
    <row r="329" spans="1:12" x14ac:dyDescent="0.3">
      <c r="A329" s="3">
        <v>80901</v>
      </c>
      <c r="B329" s="3" t="s">
        <v>477</v>
      </c>
      <c r="C329" s="3" t="s">
        <v>314</v>
      </c>
      <c r="D329" s="3" t="s">
        <v>478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87.689935202809153</v>
      </c>
    </row>
    <row r="330" spans="1:12" x14ac:dyDescent="0.3">
      <c r="A330" s="3">
        <v>90101</v>
      </c>
      <c r="B330" s="3" t="s">
        <v>333</v>
      </c>
      <c r="C330" s="3" t="s">
        <v>334</v>
      </c>
      <c r="D330" s="3" t="s">
        <v>457</v>
      </c>
      <c r="E330" s="3">
        <v>75.762852403248544</v>
      </c>
      <c r="F330" s="3">
        <v>74.827854424999913</v>
      </c>
      <c r="G330" s="3">
        <v>66.756687967463819</v>
      </c>
      <c r="H330" s="3">
        <v>72.449131598570759</v>
      </c>
      <c r="I330" s="3">
        <v>85.984474817677551</v>
      </c>
      <c r="J330" s="3">
        <v>85.486668701221731</v>
      </c>
      <c r="K330" s="3">
        <v>83.836442181484529</v>
      </c>
      <c r="L330" s="3">
        <v>85.102528566794604</v>
      </c>
    </row>
    <row r="331" spans="1:12" x14ac:dyDescent="0.3">
      <c r="A331" s="3">
        <v>90102</v>
      </c>
      <c r="B331" s="3" t="s">
        <v>335</v>
      </c>
      <c r="C331" s="3" t="s">
        <v>334</v>
      </c>
      <c r="D331" s="3" t="s">
        <v>457</v>
      </c>
      <c r="E331" s="3">
        <v>84.244729270370371</v>
      </c>
      <c r="F331" s="3">
        <v>70.705280528205662</v>
      </c>
      <c r="G331" s="3">
        <v>79.467789946742585</v>
      </c>
      <c r="H331" s="3">
        <v>78.139266581772873</v>
      </c>
      <c r="I331" s="3">
        <v>91.747711809161743</v>
      </c>
      <c r="J331" s="3">
        <v>90.301632240203062</v>
      </c>
      <c r="K331" s="3">
        <v>90.4459162286485</v>
      </c>
      <c r="L331" s="3">
        <v>90.831753426004425</v>
      </c>
    </row>
    <row r="332" spans="1:12" x14ac:dyDescent="0.3">
      <c r="A332" s="3">
        <v>90103</v>
      </c>
      <c r="B332" s="3" t="s">
        <v>336</v>
      </c>
      <c r="C332" s="3" t="s">
        <v>334</v>
      </c>
      <c r="D332" s="3" t="s">
        <v>457</v>
      </c>
      <c r="E332" s="3">
        <v>80.692465467309958</v>
      </c>
      <c r="F332" s="3">
        <v>89.346225539576707</v>
      </c>
      <c r="G332" s="3">
        <v>71.212148806211061</v>
      </c>
      <c r="H332" s="3">
        <v>80.416946604365918</v>
      </c>
      <c r="I332" s="3">
        <v>77.530942452409747</v>
      </c>
      <c r="J332" s="3">
        <v>72.743610207911274</v>
      </c>
      <c r="K332" s="3">
        <v>62.509779277309121</v>
      </c>
      <c r="L332" s="3">
        <v>70.928110645876714</v>
      </c>
    </row>
    <row r="333" spans="1:12" x14ac:dyDescent="0.3">
      <c r="A333" s="3">
        <v>90104</v>
      </c>
      <c r="B333" s="3" t="s">
        <v>337</v>
      </c>
      <c r="C333" s="3" t="s">
        <v>334</v>
      </c>
      <c r="D333" s="3" t="s">
        <v>457</v>
      </c>
      <c r="E333" s="3">
        <v>74.175621701683909</v>
      </c>
      <c r="F333" s="3">
        <v>70.534155054567833</v>
      </c>
      <c r="G333" s="3">
        <v>77.409619963324701</v>
      </c>
      <c r="H333" s="3">
        <v>74.03979890652549</v>
      </c>
      <c r="I333" s="3">
        <v>82.307400586297703</v>
      </c>
      <c r="J333" s="3">
        <v>86.79296079715877</v>
      </c>
      <c r="K333" s="3">
        <v>83.392315322745219</v>
      </c>
      <c r="L333" s="3">
        <v>84.164225568733897</v>
      </c>
    </row>
    <row r="334" spans="1:12" x14ac:dyDescent="0.3">
      <c r="A334" s="3">
        <v>90201</v>
      </c>
      <c r="B334" s="3" t="s">
        <v>338</v>
      </c>
      <c r="C334" s="3" t="s">
        <v>334</v>
      </c>
      <c r="D334" s="3" t="s">
        <v>458</v>
      </c>
      <c r="E334" s="3">
        <v>89.149272372696842</v>
      </c>
      <c r="F334" s="3">
        <v>87.686560240375826</v>
      </c>
      <c r="G334" s="3">
        <v>81.386216645088751</v>
      </c>
      <c r="H334" s="3">
        <v>86.074016419387135</v>
      </c>
      <c r="I334" s="3">
        <v>62.381228265612791</v>
      </c>
      <c r="J334" s="3">
        <v>93.01075444366306</v>
      </c>
      <c r="K334" s="3">
        <v>66.438820152618561</v>
      </c>
      <c r="L334" s="3">
        <v>73.943600953964804</v>
      </c>
    </row>
    <row r="335" spans="1:12" x14ac:dyDescent="0.3">
      <c r="A335" s="3">
        <v>90202</v>
      </c>
      <c r="B335" s="3" t="s">
        <v>339</v>
      </c>
      <c r="C335" s="3" t="s">
        <v>334</v>
      </c>
      <c r="D335" s="3" t="s">
        <v>458</v>
      </c>
      <c r="E335" s="3">
        <v>88.628123634339261</v>
      </c>
      <c r="F335" s="3">
        <v>78.48749336864492</v>
      </c>
      <c r="G335" s="3">
        <v>71.303684728293348</v>
      </c>
      <c r="H335" s="3">
        <v>79.473100577092509</v>
      </c>
      <c r="I335" s="3">
        <v>92.97989515600932</v>
      </c>
      <c r="J335" s="3">
        <v>90.871391416241025</v>
      </c>
      <c r="K335" s="3">
        <v>89.26223281450369</v>
      </c>
      <c r="L335" s="3">
        <v>91.037839795584674</v>
      </c>
    </row>
    <row r="336" spans="1:12" x14ac:dyDescent="0.3">
      <c r="A336" s="3">
        <v>90203</v>
      </c>
      <c r="B336" s="3" t="s">
        <v>340</v>
      </c>
      <c r="C336" s="3" t="s">
        <v>334</v>
      </c>
      <c r="D336" s="3" t="s">
        <v>458</v>
      </c>
      <c r="E336" s="3">
        <v>85.081697448509161</v>
      </c>
      <c r="F336" s="3">
        <v>84.921600488519658</v>
      </c>
      <c r="G336" s="3">
        <v>76.373298095746208</v>
      </c>
      <c r="H336" s="3">
        <v>82.125532010925014</v>
      </c>
      <c r="I336" s="3">
        <v>86.212816480152227</v>
      </c>
      <c r="J336" s="3">
        <v>89.09039151183066</v>
      </c>
      <c r="K336" s="3">
        <v>88.93554253917732</v>
      </c>
      <c r="L336" s="3">
        <v>88.07958351038674</v>
      </c>
    </row>
    <row r="337" spans="1:12" x14ac:dyDescent="0.3">
      <c r="A337" s="3">
        <v>90301</v>
      </c>
      <c r="B337" s="3" t="s">
        <v>341</v>
      </c>
      <c r="C337" s="3" t="s">
        <v>334</v>
      </c>
      <c r="D337" s="3" t="s">
        <v>459</v>
      </c>
      <c r="E337" s="3">
        <v>89.485093504020966</v>
      </c>
      <c r="F337" s="3">
        <v>93.750298156631331</v>
      </c>
      <c r="G337" s="3">
        <v>80.979399076061682</v>
      </c>
      <c r="H337" s="3">
        <v>88.071596912237979</v>
      </c>
      <c r="I337" s="3">
        <v>78.948281630375632</v>
      </c>
      <c r="J337" s="3">
        <v>87.713494887654008</v>
      </c>
      <c r="K337" s="3">
        <v>81.661236213854124</v>
      </c>
      <c r="L337" s="3">
        <v>82.774337577294588</v>
      </c>
    </row>
    <row r="338" spans="1:12" x14ac:dyDescent="0.3">
      <c r="A338" s="3">
        <v>90302</v>
      </c>
      <c r="B338" s="3" t="s">
        <v>342</v>
      </c>
      <c r="C338" s="3" t="s">
        <v>334</v>
      </c>
      <c r="D338" s="3" t="s">
        <v>459</v>
      </c>
      <c r="E338" s="3">
        <v>90.166719692831151</v>
      </c>
      <c r="F338" s="3">
        <v>82.949402469159196</v>
      </c>
      <c r="G338" s="3">
        <v>88.728614505770381</v>
      </c>
      <c r="H338" s="3">
        <v>87.281578889253581</v>
      </c>
      <c r="I338" s="3">
        <v>88.173066121136117</v>
      </c>
      <c r="J338" s="3">
        <v>88.847654249008812</v>
      </c>
      <c r="K338" s="3">
        <v>91.776750859803897</v>
      </c>
      <c r="L338" s="3">
        <v>89.599157076649604</v>
      </c>
    </row>
    <row r="339" spans="1:12" x14ac:dyDescent="0.3">
      <c r="A339" s="3">
        <v>90303</v>
      </c>
      <c r="B339" s="3" t="s">
        <v>343</v>
      </c>
      <c r="C339" s="3" t="s">
        <v>334</v>
      </c>
      <c r="D339" s="3" t="s">
        <v>459</v>
      </c>
      <c r="E339" s="3">
        <v>64.007583772153765</v>
      </c>
      <c r="F339" s="3">
        <v>77.829978460345956</v>
      </c>
      <c r="G339" s="3">
        <v>80.144505613446967</v>
      </c>
      <c r="H339" s="3">
        <v>73.994022615315558</v>
      </c>
      <c r="I339" s="3">
        <v>51.677107181701153</v>
      </c>
      <c r="J339" s="3">
        <v>80.147506701174137</v>
      </c>
      <c r="K339" s="3">
        <v>84.079715030642916</v>
      </c>
      <c r="L339" s="3">
        <v>71.968109637839405</v>
      </c>
    </row>
    <row r="340" spans="1:12" x14ac:dyDescent="0.3">
      <c r="A340" s="3">
        <v>90401</v>
      </c>
      <c r="B340" s="3" t="s">
        <v>344</v>
      </c>
      <c r="C340" s="3" t="s">
        <v>334</v>
      </c>
      <c r="D340" s="3" t="s">
        <v>460</v>
      </c>
      <c r="E340" s="3">
        <v>78.228474040971889</v>
      </c>
      <c r="F340" s="3">
        <v>79.136547711598638</v>
      </c>
      <c r="G340" s="3">
        <v>78.467217662640536</v>
      </c>
      <c r="H340" s="3">
        <v>78.610746471737016</v>
      </c>
      <c r="I340" s="3">
        <v>56.266730167615663</v>
      </c>
      <c r="J340" s="3">
        <v>68.682088791328923</v>
      </c>
      <c r="K340" s="3">
        <v>73.491926491611608</v>
      </c>
      <c r="L340" s="3">
        <v>66.146915150185393</v>
      </c>
    </row>
    <row r="341" spans="1:12" x14ac:dyDescent="0.3">
      <c r="A341" s="3">
        <v>90402</v>
      </c>
      <c r="B341" s="3" t="s">
        <v>345</v>
      </c>
      <c r="C341" s="3" t="s">
        <v>334</v>
      </c>
      <c r="D341" s="3" t="s">
        <v>460</v>
      </c>
      <c r="E341" s="3">
        <v>73.95098357031344</v>
      </c>
      <c r="F341" s="3">
        <v>78.85128722160141</v>
      </c>
      <c r="G341" s="3">
        <v>67.913121958301687</v>
      </c>
      <c r="H341" s="3">
        <v>73.571797583405512</v>
      </c>
      <c r="I341" s="3">
        <v>33.475677424849287</v>
      </c>
      <c r="J341" s="3">
        <v>81.147351403487676</v>
      </c>
      <c r="K341" s="3">
        <v>72.259912287457723</v>
      </c>
      <c r="L341" s="3">
        <v>62.294313705264898</v>
      </c>
    </row>
    <row r="342" spans="1:12" x14ac:dyDescent="0.3">
      <c r="A342" s="3">
        <v>90501</v>
      </c>
      <c r="B342" s="3" t="s">
        <v>346</v>
      </c>
      <c r="C342" s="3" t="s">
        <v>334</v>
      </c>
      <c r="D342" s="3" t="s">
        <v>461</v>
      </c>
      <c r="E342" s="3">
        <v>94.731297353311845</v>
      </c>
      <c r="F342" s="3">
        <v>57.875439883708758</v>
      </c>
      <c r="G342" s="3">
        <v>70.953231661123269</v>
      </c>
      <c r="H342" s="3">
        <v>74.519989632714626</v>
      </c>
      <c r="I342" s="3">
        <v>77.678825916882772</v>
      </c>
      <c r="J342" s="3">
        <v>75.996943215347059</v>
      </c>
      <c r="K342" s="3">
        <v>79.186809371091599</v>
      </c>
      <c r="L342" s="3">
        <v>77.620859501107148</v>
      </c>
    </row>
    <row r="343" spans="1:12" x14ac:dyDescent="0.3">
      <c r="A343" s="3">
        <v>90502</v>
      </c>
      <c r="B343" s="3" t="s">
        <v>347</v>
      </c>
      <c r="C343" s="3" t="s">
        <v>334</v>
      </c>
      <c r="D343" s="3" t="s">
        <v>461</v>
      </c>
      <c r="E343" s="3">
        <v>89.628407387771404</v>
      </c>
      <c r="F343" s="3">
        <v>79.402368039254966</v>
      </c>
      <c r="G343" s="3">
        <v>70.461892804744991</v>
      </c>
      <c r="H343" s="3">
        <v>79.830889410590444</v>
      </c>
      <c r="I343" s="3">
        <v>84.788422055615598</v>
      </c>
      <c r="J343" s="3">
        <v>98.611970035117892</v>
      </c>
      <c r="K343" s="3">
        <v>88.226911702766728</v>
      </c>
      <c r="L343" s="3">
        <v>90.542434597833406</v>
      </c>
    </row>
    <row r="344" spans="1:12" x14ac:dyDescent="0.3">
      <c r="A344" s="3">
        <v>90503</v>
      </c>
      <c r="B344" s="3" t="s">
        <v>348</v>
      </c>
      <c r="C344" s="3" t="s">
        <v>334</v>
      </c>
      <c r="D344" s="3" t="s">
        <v>461</v>
      </c>
      <c r="E344" s="3">
        <v>76.576065972703688</v>
      </c>
      <c r="F344" s="3">
        <v>74.089399506558095</v>
      </c>
      <c r="G344" s="3">
        <v>60.66896015166401</v>
      </c>
      <c r="H344" s="3">
        <v>70.44480854364194</v>
      </c>
      <c r="I344" s="3">
        <v>93.797946744466387</v>
      </c>
      <c r="J344" s="3">
        <v>91.839328641302203</v>
      </c>
      <c r="K344" s="3">
        <v>88.476359526712585</v>
      </c>
      <c r="L344" s="3">
        <v>91.37121163749373</v>
      </c>
    </row>
  </sheetData>
  <sortState xmlns:xlrd2="http://schemas.microsoft.com/office/spreadsheetml/2017/richdata2" ref="A2:L353">
    <sortCondition ref="A1:A3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0201-A00A-4CE4-B4EB-A8483EA64FA0}">
  <dimension ref="A1:D344"/>
  <sheetViews>
    <sheetView topLeftCell="A232" workbookViewId="0">
      <selection activeCell="C30" sqref="C2:C30"/>
    </sheetView>
  </sheetViews>
  <sheetFormatPr defaultRowHeight="13.8" x14ac:dyDescent="0.3"/>
  <cols>
    <col min="1" max="1" width="14.88671875" style="4" customWidth="1"/>
    <col min="2" max="2" width="17" style="4" customWidth="1"/>
    <col min="3" max="4" width="14.88671875" style="4" customWidth="1"/>
    <col min="5" max="16384" width="8.88671875" style="4"/>
  </cols>
  <sheetData>
    <row r="1" spans="1:4" x14ac:dyDescent="0.3">
      <c r="A1" s="5" t="s">
        <v>349</v>
      </c>
      <c r="B1" s="5" t="s">
        <v>464</v>
      </c>
      <c r="C1" s="5" t="s">
        <v>473</v>
      </c>
      <c r="D1" s="5" t="s">
        <v>474</v>
      </c>
    </row>
    <row r="2" spans="1:4" x14ac:dyDescent="0.3">
      <c r="A2" s="6">
        <v>10101</v>
      </c>
      <c r="B2" s="6" t="s">
        <v>0</v>
      </c>
      <c r="C2" s="7">
        <v>57.027727731875757</v>
      </c>
      <c r="D2" s="7">
        <v>83.334530540341376</v>
      </c>
    </row>
    <row r="3" spans="1:4" x14ac:dyDescent="0.3">
      <c r="A3" s="6">
        <v>10102</v>
      </c>
      <c r="B3" s="6" t="s">
        <v>2</v>
      </c>
      <c r="C3" s="7">
        <v>60.495508243967095</v>
      </c>
      <c r="D3" s="7">
        <v>77.414887392249526</v>
      </c>
    </row>
    <row r="4" spans="1:4" x14ac:dyDescent="0.3">
      <c r="A4" s="6">
        <v>10103</v>
      </c>
      <c r="B4" s="6" t="s">
        <v>3</v>
      </c>
      <c r="C4" s="7">
        <v>72.889020847883657</v>
      </c>
      <c r="D4" s="7">
        <v>77.866234199135491</v>
      </c>
    </row>
    <row r="5" spans="1:4" x14ac:dyDescent="0.3">
      <c r="A5" s="6">
        <v>10201</v>
      </c>
      <c r="B5" s="6" t="s">
        <v>4</v>
      </c>
      <c r="C5" s="7">
        <v>61.885946415647119</v>
      </c>
      <c r="D5" s="7">
        <v>84.202336098954092</v>
      </c>
    </row>
    <row r="6" spans="1:4" x14ac:dyDescent="0.3">
      <c r="A6" s="6">
        <v>10202</v>
      </c>
      <c r="B6" s="6" t="s">
        <v>5</v>
      </c>
      <c r="C6" s="7">
        <v>79.925693358512746</v>
      </c>
      <c r="D6" s="7">
        <v>85.282356881532607</v>
      </c>
    </row>
    <row r="7" spans="1:4" x14ac:dyDescent="0.3">
      <c r="A7" s="6">
        <v>10301</v>
      </c>
      <c r="B7" s="6" t="s">
        <v>6</v>
      </c>
      <c r="C7" s="7">
        <v>66.911960731901488</v>
      </c>
      <c r="D7" s="7">
        <v>79.075691833709655</v>
      </c>
    </row>
    <row r="8" spans="1:4" x14ac:dyDescent="0.3">
      <c r="A8" s="6">
        <v>10302</v>
      </c>
      <c r="B8" s="6" t="s">
        <v>7</v>
      </c>
      <c r="C8" s="7">
        <v>74.666824844690396</v>
      </c>
      <c r="D8" s="7">
        <v>76.174704025465303</v>
      </c>
    </row>
    <row r="9" spans="1:4" x14ac:dyDescent="0.3">
      <c r="A9" s="6">
        <v>10303</v>
      </c>
      <c r="B9" s="6" t="s">
        <v>8</v>
      </c>
      <c r="C9" s="7">
        <v>56.855790369397823</v>
      </c>
      <c r="D9" s="7">
        <v>81.676562054634758</v>
      </c>
    </row>
    <row r="10" spans="1:4" x14ac:dyDescent="0.3">
      <c r="A10" s="6">
        <v>10304</v>
      </c>
      <c r="B10" s="6" t="s">
        <v>9</v>
      </c>
      <c r="C10" s="7">
        <v>64.142481796248475</v>
      </c>
      <c r="D10" s="7">
        <v>85.628203326386298</v>
      </c>
    </row>
    <row r="11" spans="1:4" x14ac:dyDescent="0.3">
      <c r="A11" s="6">
        <v>10401</v>
      </c>
      <c r="B11" s="6" t="s">
        <v>10</v>
      </c>
      <c r="C11" s="7">
        <v>75.266040992414048</v>
      </c>
      <c r="D11" s="7">
        <v>82.328058043019567</v>
      </c>
    </row>
    <row r="12" spans="1:4" x14ac:dyDescent="0.3">
      <c r="A12" s="6">
        <v>10402</v>
      </c>
      <c r="B12" s="6" t="s">
        <v>11</v>
      </c>
      <c r="C12" s="7">
        <v>77.832618472289482</v>
      </c>
      <c r="D12" s="7">
        <v>87.814249203915168</v>
      </c>
    </row>
    <row r="13" spans="1:4" x14ac:dyDescent="0.3">
      <c r="A13" s="6">
        <v>10403</v>
      </c>
      <c r="B13" s="6" t="s">
        <v>12</v>
      </c>
      <c r="C13" s="7">
        <v>66.359377853048699</v>
      </c>
      <c r="D13" s="7">
        <v>77.55227197333808</v>
      </c>
    </row>
    <row r="14" spans="1:4" x14ac:dyDescent="0.3">
      <c r="A14" s="6">
        <v>10404</v>
      </c>
      <c r="B14" s="6" t="s">
        <v>13</v>
      </c>
      <c r="C14" s="7">
        <v>59.000817647792339</v>
      </c>
      <c r="D14" s="7">
        <v>79.352814169169108</v>
      </c>
    </row>
    <row r="15" spans="1:4" x14ac:dyDescent="0.3">
      <c r="A15" s="6">
        <v>10405</v>
      </c>
      <c r="B15" s="6" t="s">
        <v>14</v>
      </c>
      <c r="C15" s="7">
        <v>63.74965177837214</v>
      </c>
      <c r="D15" s="7">
        <v>74.988303707997645</v>
      </c>
    </row>
    <row r="16" spans="1:4" x14ac:dyDescent="0.3">
      <c r="A16" s="6">
        <v>10501</v>
      </c>
      <c r="B16" s="6" t="s">
        <v>15</v>
      </c>
      <c r="C16" s="7">
        <v>61.185175923987693</v>
      </c>
      <c r="D16" s="7">
        <v>76.766476799256552</v>
      </c>
    </row>
    <row r="17" spans="1:4" x14ac:dyDescent="0.3">
      <c r="A17" s="6">
        <v>10502</v>
      </c>
      <c r="B17" s="6" t="s">
        <v>16</v>
      </c>
      <c r="C17" s="7">
        <v>55.098317320606668</v>
      </c>
      <c r="D17" s="7">
        <v>88.40085783665306</v>
      </c>
    </row>
    <row r="18" spans="1:4" x14ac:dyDescent="0.3">
      <c r="A18" s="6">
        <v>10601</v>
      </c>
      <c r="B18" s="6" t="s">
        <v>17</v>
      </c>
      <c r="C18" s="7">
        <v>81.008687148348656</v>
      </c>
      <c r="D18" s="7">
        <v>70.514825469125654</v>
      </c>
    </row>
    <row r="19" spans="1:4" x14ac:dyDescent="0.3">
      <c r="A19" s="6">
        <v>10602</v>
      </c>
      <c r="B19" s="6" t="s">
        <v>18</v>
      </c>
      <c r="C19" s="7">
        <v>79.969283833953071</v>
      </c>
      <c r="D19" s="7">
        <v>79.281029597967276</v>
      </c>
    </row>
    <row r="20" spans="1:4" x14ac:dyDescent="0.3">
      <c r="A20" s="6">
        <v>10701</v>
      </c>
      <c r="B20" s="6" t="s">
        <v>19</v>
      </c>
      <c r="C20" s="7">
        <v>66.736926429991641</v>
      </c>
      <c r="D20" s="7">
        <v>82.393218196258388</v>
      </c>
    </row>
    <row r="21" spans="1:4" x14ac:dyDescent="0.3">
      <c r="A21" s="6">
        <v>10702</v>
      </c>
      <c r="B21" s="6" t="s">
        <v>20</v>
      </c>
      <c r="C21" s="7">
        <v>74.753347245113588</v>
      </c>
      <c r="D21" s="7">
        <v>83.236537900614465</v>
      </c>
    </row>
    <row r="22" spans="1:4" x14ac:dyDescent="0.3">
      <c r="A22" s="6">
        <v>10703</v>
      </c>
      <c r="B22" s="6" t="s">
        <v>21</v>
      </c>
      <c r="C22" s="7">
        <v>66.024444028150967</v>
      </c>
      <c r="D22" s="7">
        <v>77.945538696416222</v>
      </c>
    </row>
    <row r="23" spans="1:4" x14ac:dyDescent="0.3">
      <c r="A23" s="6">
        <v>10704</v>
      </c>
      <c r="B23" s="6" t="s">
        <v>29</v>
      </c>
      <c r="C23" s="7">
        <v>62.782534980451395</v>
      </c>
      <c r="D23" s="7">
        <v>84.264040070531777</v>
      </c>
    </row>
    <row r="24" spans="1:4" x14ac:dyDescent="0.3">
      <c r="A24" s="6">
        <v>10801</v>
      </c>
      <c r="B24" s="6" t="s">
        <v>22</v>
      </c>
      <c r="C24" s="7">
        <v>81.275517360915373</v>
      </c>
      <c r="D24" s="7">
        <v>84.287387300794137</v>
      </c>
    </row>
    <row r="25" spans="1:4" x14ac:dyDescent="0.3">
      <c r="A25" s="6">
        <v>10901</v>
      </c>
      <c r="B25" s="6" t="s">
        <v>23</v>
      </c>
      <c r="C25" s="7">
        <v>73.897684595815193</v>
      </c>
      <c r="D25" s="7">
        <v>83.679813829073296</v>
      </c>
    </row>
    <row r="26" spans="1:4" x14ac:dyDescent="0.3">
      <c r="A26" s="6">
        <v>10902</v>
      </c>
      <c r="B26" s="6" t="s">
        <v>24</v>
      </c>
      <c r="C26" s="7">
        <v>79.566951032579482</v>
      </c>
      <c r="D26" s="7">
        <v>75.207095639249943</v>
      </c>
    </row>
    <row r="27" spans="1:4" x14ac:dyDescent="0.3">
      <c r="A27" s="6">
        <v>10903</v>
      </c>
      <c r="B27" s="6" t="s">
        <v>25</v>
      </c>
      <c r="C27" s="7">
        <v>44.802245523682437</v>
      </c>
      <c r="D27" s="7">
        <v>76.871116567339342</v>
      </c>
    </row>
    <row r="28" spans="1:4" x14ac:dyDescent="0.3">
      <c r="A28" s="6">
        <v>11001</v>
      </c>
      <c r="B28" s="6" t="s">
        <v>26</v>
      </c>
      <c r="C28" s="7">
        <v>60.508460239143197</v>
      </c>
      <c r="D28" s="7">
        <v>85.151040364934786</v>
      </c>
    </row>
    <row r="29" spans="1:4" x14ac:dyDescent="0.3">
      <c r="A29" s="6">
        <v>11002</v>
      </c>
      <c r="B29" s="6" t="s">
        <v>27</v>
      </c>
      <c r="C29" s="7">
        <v>61.581750334812853</v>
      </c>
      <c r="D29" s="7">
        <v>63.673793141551727</v>
      </c>
    </row>
    <row r="30" spans="1:4" x14ac:dyDescent="0.3">
      <c r="A30" s="6">
        <v>11003</v>
      </c>
      <c r="B30" s="6" t="s">
        <v>28</v>
      </c>
      <c r="C30" s="7">
        <v>62.63094370156773</v>
      </c>
      <c r="D30" s="7">
        <v>76.740156180164504</v>
      </c>
    </row>
    <row r="31" spans="1:4" x14ac:dyDescent="0.3">
      <c r="A31" s="6">
        <v>20101</v>
      </c>
      <c r="B31" s="6" t="s">
        <v>30</v>
      </c>
      <c r="C31" s="7">
        <v>76.485613714341426</v>
      </c>
      <c r="D31" s="7">
        <v>81.318487603180472</v>
      </c>
    </row>
    <row r="32" spans="1:4" x14ac:dyDescent="0.3">
      <c r="A32" s="6">
        <v>20102</v>
      </c>
      <c r="B32" s="6" t="s">
        <v>32</v>
      </c>
      <c r="C32" s="7">
        <v>55.135570280306403</v>
      </c>
      <c r="D32" s="7">
        <v>76.636080241379076</v>
      </c>
    </row>
    <row r="33" spans="1:4" x14ac:dyDescent="0.3">
      <c r="A33" s="6">
        <v>20103</v>
      </c>
      <c r="B33" s="6" t="s">
        <v>33</v>
      </c>
      <c r="C33" s="7">
        <v>32.179296063221919</v>
      </c>
      <c r="D33" s="7">
        <v>84.436029176028356</v>
      </c>
    </row>
    <row r="34" spans="1:4" x14ac:dyDescent="0.3">
      <c r="A34" s="6">
        <v>20104</v>
      </c>
      <c r="B34" s="6" t="s">
        <v>34</v>
      </c>
      <c r="C34" s="7">
        <v>69.951195172752122</v>
      </c>
      <c r="D34" s="7">
        <v>73.830672991287827</v>
      </c>
    </row>
    <row r="35" spans="1:4" x14ac:dyDescent="0.3">
      <c r="A35" s="6">
        <v>20105</v>
      </c>
      <c r="B35" s="6" t="s">
        <v>35</v>
      </c>
      <c r="C35" s="7">
        <v>59.786893691127489</v>
      </c>
      <c r="D35" s="7">
        <v>87.04279251367177</v>
      </c>
    </row>
    <row r="36" spans="1:4" x14ac:dyDescent="0.3">
      <c r="A36" s="6">
        <v>20201</v>
      </c>
      <c r="B36" s="6" t="s">
        <v>54</v>
      </c>
      <c r="C36" s="7">
        <v>53.673563887367095</v>
      </c>
      <c r="D36" s="7">
        <v>72.757127569142042</v>
      </c>
    </row>
    <row r="37" spans="1:4" x14ac:dyDescent="0.3">
      <c r="A37" s="6">
        <v>20202</v>
      </c>
      <c r="B37" s="6" t="s">
        <v>55</v>
      </c>
      <c r="C37" s="7">
        <v>61.308198977243883</v>
      </c>
      <c r="D37" s="7">
        <v>83.245707404007703</v>
      </c>
    </row>
    <row r="38" spans="1:4" x14ac:dyDescent="0.3">
      <c r="A38" s="6">
        <v>20203</v>
      </c>
      <c r="B38" s="6" t="s">
        <v>117</v>
      </c>
      <c r="C38" s="7">
        <v>35.833961343222853</v>
      </c>
      <c r="D38" s="7">
        <v>69.223440598778168</v>
      </c>
    </row>
    <row r="39" spans="1:4" x14ac:dyDescent="0.3">
      <c r="A39" s="6">
        <v>20204</v>
      </c>
      <c r="B39" s="6" t="s">
        <v>111</v>
      </c>
      <c r="C39" s="7">
        <v>43.59791168254629</v>
      </c>
      <c r="D39" s="7">
        <v>75.015772327851849</v>
      </c>
    </row>
    <row r="40" spans="1:4" x14ac:dyDescent="0.3">
      <c r="A40" s="6">
        <v>20205</v>
      </c>
      <c r="B40" s="6" t="s">
        <v>112</v>
      </c>
      <c r="C40" s="7">
        <v>50.141601433063563</v>
      </c>
      <c r="D40" s="7">
        <v>64.318435494511974</v>
      </c>
    </row>
    <row r="41" spans="1:4" x14ac:dyDescent="0.3">
      <c r="A41" s="6">
        <v>20206</v>
      </c>
      <c r="B41" s="6" t="s">
        <v>116</v>
      </c>
      <c r="C41" s="7">
        <v>70.630793017427536</v>
      </c>
      <c r="D41" s="7">
        <v>80.86607538006426</v>
      </c>
    </row>
    <row r="42" spans="1:4" x14ac:dyDescent="0.3">
      <c r="A42" s="6">
        <v>20301</v>
      </c>
      <c r="B42" s="6" t="s">
        <v>68</v>
      </c>
      <c r="C42" s="7">
        <v>42.30489293549261</v>
      </c>
      <c r="D42" s="7">
        <v>74.125906042185136</v>
      </c>
    </row>
    <row r="43" spans="1:4" x14ac:dyDescent="0.3">
      <c r="A43" s="6">
        <v>20302</v>
      </c>
      <c r="B43" s="6" t="s">
        <v>69</v>
      </c>
      <c r="C43" s="7">
        <v>66.709282602036652</v>
      </c>
      <c r="D43" s="7">
        <v>60.038906172601465</v>
      </c>
    </row>
    <row r="44" spans="1:4" x14ac:dyDescent="0.3">
      <c r="A44" s="6">
        <v>20303</v>
      </c>
      <c r="B44" s="6" t="s">
        <v>70</v>
      </c>
      <c r="C44" s="7">
        <v>43.221411275486844</v>
      </c>
      <c r="D44" s="7">
        <v>81.332874323611676</v>
      </c>
    </row>
    <row r="45" spans="1:4" x14ac:dyDescent="0.3">
      <c r="A45" s="6">
        <v>20304</v>
      </c>
      <c r="B45" s="6" t="s">
        <v>71</v>
      </c>
      <c r="C45" s="7">
        <v>39.650988517938885</v>
      </c>
      <c r="D45" s="7">
        <v>68.055517311434713</v>
      </c>
    </row>
    <row r="46" spans="1:4" x14ac:dyDescent="0.3">
      <c r="A46" s="6">
        <v>20305</v>
      </c>
      <c r="B46" s="6" t="s">
        <v>72</v>
      </c>
      <c r="C46" s="7">
        <v>47.966550932571785</v>
      </c>
      <c r="D46" s="7">
        <v>55.521935803843199</v>
      </c>
    </row>
    <row r="47" spans="1:4" x14ac:dyDescent="0.3">
      <c r="A47" s="6">
        <v>20306</v>
      </c>
      <c r="B47" s="6" t="s">
        <v>73</v>
      </c>
      <c r="C47" s="7">
        <v>69.447313779832825</v>
      </c>
      <c r="D47" s="7">
        <v>83.200408944770075</v>
      </c>
    </row>
    <row r="48" spans="1:4" x14ac:dyDescent="0.3">
      <c r="A48" s="6">
        <v>20307</v>
      </c>
      <c r="B48" s="6" t="s">
        <v>74</v>
      </c>
      <c r="C48" s="7">
        <v>40.338372805151103</v>
      </c>
      <c r="D48" s="7">
        <v>66.244775526509272</v>
      </c>
    </row>
    <row r="49" spans="1:4" x14ac:dyDescent="0.3">
      <c r="A49" s="6">
        <v>20308</v>
      </c>
      <c r="B49" s="6" t="s">
        <v>75</v>
      </c>
      <c r="C49" s="7">
        <v>59.480224272196381</v>
      </c>
      <c r="D49" s="7">
        <v>73.513503978314077</v>
      </c>
    </row>
    <row r="50" spans="1:4" x14ac:dyDescent="0.3">
      <c r="A50" s="6">
        <v>20401</v>
      </c>
      <c r="B50" s="6" t="s">
        <v>76</v>
      </c>
      <c r="C50" s="7">
        <v>44.746987776695846</v>
      </c>
      <c r="D50" s="7">
        <v>66.268388190645496</v>
      </c>
    </row>
    <row r="51" spans="1:4" x14ac:dyDescent="0.3">
      <c r="A51" s="6">
        <v>20402</v>
      </c>
      <c r="B51" s="6" t="s">
        <v>77</v>
      </c>
      <c r="C51" s="7">
        <v>56.320262520254325</v>
      </c>
      <c r="D51" s="7">
        <v>70.310273160632619</v>
      </c>
    </row>
    <row r="52" spans="1:4" x14ac:dyDescent="0.3">
      <c r="A52" s="6">
        <v>20403</v>
      </c>
      <c r="B52" s="6" t="s">
        <v>78</v>
      </c>
      <c r="C52" s="7">
        <v>51.484975012733493</v>
      </c>
      <c r="D52" s="7">
        <v>80.153163508039142</v>
      </c>
    </row>
    <row r="53" spans="1:4" x14ac:dyDescent="0.3">
      <c r="A53" s="6">
        <v>20404</v>
      </c>
      <c r="B53" s="6" t="s">
        <v>114</v>
      </c>
      <c r="C53" s="7">
        <v>64.140096450256351</v>
      </c>
      <c r="D53" s="7">
        <v>77.356011596013289</v>
      </c>
    </row>
    <row r="54" spans="1:4" x14ac:dyDescent="0.3">
      <c r="A54" s="6">
        <v>20405</v>
      </c>
      <c r="B54" s="6" t="s">
        <v>113</v>
      </c>
      <c r="C54" s="7">
        <v>57.0623406387964</v>
      </c>
      <c r="D54" s="7">
        <v>80.833053412486677</v>
      </c>
    </row>
    <row r="55" spans="1:4" x14ac:dyDescent="0.3">
      <c r="A55" s="6">
        <v>20501</v>
      </c>
      <c r="B55" s="6" t="s">
        <v>65</v>
      </c>
      <c r="C55" s="7">
        <v>54.075214044645975</v>
      </c>
      <c r="D55" s="7">
        <v>66.418124686271071</v>
      </c>
    </row>
    <row r="56" spans="1:4" x14ac:dyDescent="0.3">
      <c r="A56" s="6">
        <v>20502</v>
      </c>
      <c r="B56" s="6" t="s">
        <v>66</v>
      </c>
      <c r="C56" s="7">
        <v>60.704708088977277</v>
      </c>
      <c r="D56" s="7">
        <v>70.061685003869741</v>
      </c>
    </row>
    <row r="57" spans="1:4" x14ac:dyDescent="0.3">
      <c r="A57" s="6">
        <v>20503</v>
      </c>
      <c r="B57" s="6" t="s">
        <v>67</v>
      </c>
      <c r="C57" s="7">
        <v>61.136785261963048</v>
      </c>
      <c r="D57" s="7">
        <v>76.509961778109869</v>
      </c>
    </row>
    <row r="58" spans="1:4" x14ac:dyDescent="0.3">
      <c r="A58" s="6">
        <v>20601</v>
      </c>
      <c r="B58" s="6" t="s">
        <v>56</v>
      </c>
      <c r="C58" s="7">
        <v>34.380149604065132</v>
      </c>
      <c r="D58" s="7">
        <v>79.998247169485992</v>
      </c>
    </row>
    <row r="59" spans="1:4" x14ac:dyDescent="0.3">
      <c r="A59" s="6">
        <v>20602</v>
      </c>
      <c r="B59" s="6" t="s">
        <v>57</v>
      </c>
      <c r="C59" s="7">
        <v>65.499555756784034</v>
      </c>
      <c r="D59" s="7">
        <v>76.708610733045518</v>
      </c>
    </row>
    <row r="60" spans="1:4" x14ac:dyDescent="0.3">
      <c r="A60" s="6">
        <v>20603</v>
      </c>
      <c r="B60" s="6" t="s">
        <v>58</v>
      </c>
      <c r="C60" s="7">
        <v>60.561097928984907</v>
      </c>
      <c r="D60" s="7">
        <v>57.383164868619019</v>
      </c>
    </row>
    <row r="61" spans="1:4" x14ac:dyDescent="0.3">
      <c r="A61" s="6">
        <v>20604</v>
      </c>
      <c r="B61" s="6" t="s">
        <v>60</v>
      </c>
      <c r="C61" s="7">
        <v>69.722167384446053</v>
      </c>
      <c r="D61" s="7">
        <v>68.249786810696875</v>
      </c>
    </row>
    <row r="62" spans="1:4" x14ac:dyDescent="0.3">
      <c r="A62" s="6">
        <v>20605</v>
      </c>
      <c r="B62" s="6" t="s">
        <v>61</v>
      </c>
      <c r="C62" s="7">
        <v>71.215906444731885</v>
      </c>
      <c r="D62" s="7">
        <v>79.949149372600715</v>
      </c>
    </row>
    <row r="63" spans="1:4" x14ac:dyDescent="0.3">
      <c r="A63" s="6">
        <v>20606</v>
      </c>
      <c r="B63" s="6" t="s">
        <v>59</v>
      </c>
      <c r="C63" s="7">
        <v>58.388317729799617</v>
      </c>
      <c r="D63" s="7">
        <v>77.087035279866441</v>
      </c>
    </row>
    <row r="64" spans="1:4" x14ac:dyDescent="0.3">
      <c r="A64" s="6">
        <v>20607</v>
      </c>
      <c r="B64" s="6" t="s">
        <v>106</v>
      </c>
      <c r="C64" s="7">
        <v>56.240435384826839</v>
      </c>
      <c r="D64" s="7">
        <v>75.452401035443458</v>
      </c>
    </row>
    <row r="65" spans="1:4" x14ac:dyDescent="0.3">
      <c r="A65" s="6">
        <v>20608</v>
      </c>
      <c r="B65" s="6" t="s">
        <v>107</v>
      </c>
      <c r="C65" s="7">
        <v>53.499298180892588</v>
      </c>
      <c r="D65" s="7">
        <v>63.559732266689714</v>
      </c>
    </row>
    <row r="66" spans="1:4" x14ac:dyDescent="0.3">
      <c r="A66" s="6">
        <v>20701</v>
      </c>
      <c r="B66" s="6" t="s">
        <v>79</v>
      </c>
      <c r="C66" s="7">
        <v>59.985022993842705</v>
      </c>
      <c r="D66" s="7">
        <v>66.80868312667576</v>
      </c>
    </row>
    <row r="67" spans="1:4" x14ac:dyDescent="0.3">
      <c r="A67" s="6">
        <v>20702</v>
      </c>
      <c r="B67" s="6" t="s">
        <v>80</v>
      </c>
      <c r="C67" s="7">
        <v>56.310453144018567</v>
      </c>
      <c r="D67" s="7">
        <v>45.778172735498885</v>
      </c>
    </row>
    <row r="68" spans="1:4" x14ac:dyDescent="0.3">
      <c r="A68" s="6">
        <v>20801</v>
      </c>
      <c r="B68" s="6" t="s">
        <v>36</v>
      </c>
      <c r="C68" s="7">
        <v>59.388923326909214</v>
      </c>
      <c r="D68" s="7">
        <v>85.213621478753907</v>
      </c>
    </row>
    <row r="69" spans="1:4" x14ac:dyDescent="0.3">
      <c r="A69" s="6">
        <v>20802</v>
      </c>
      <c r="B69" s="6" t="s">
        <v>37</v>
      </c>
      <c r="C69" s="7">
        <v>80.092175612105834</v>
      </c>
      <c r="D69" s="7">
        <v>76.830241508454492</v>
      </c>
    </row>
    <row r="70" spans="1:4" x14ac:dyDescent="0.3">
      <c r="A70" s="6">
        <v>20803</v>
      </c>
      <c r="B70" s="6" t="s">
        <v>38</v>
      </c>
      <c r="C70" s="7">
        <v>63.328861075196862</v>
      </c>
      <c r="D70" s="7">
        <v>71.46110879886686</v>
      </c>
    </row>
    <row r="71" spans="1:4" x14ac:dyDescent="0.3">
      <c r="A71" s="6">
        <v>20804</v>
      </c>
      <c r="B71" s="6" t="s">
        <v>39</v>
      </c>
      <c r="C71" s="7">
        <v>73.987156994137464</v>
      </c>
      <c r="D71" s="7">
        <v>83.762402724503701</v>
      </c>
    </row>
    <row r="72" spans="1:4" x14ac:dyDescent="0.3">
      <c r="A72" s="6">
        <v>20805</v>
      </c>
      <c r="B72" s="6" t="s">
        <v>108</v>
      </c>
      <c r="C72" s="7">
        <v>69.416646993353666</v>
      </c>
      <c r="D72" s="7">
        <v>82.040879012206872</v>
      </c>
    </row>
    <row r="73" spans="1:4" x14ac:dyDescent="0.3">
      <c r="A73" s="6">
        <v>20806</v>
      </c>
      <c r="B73" s="6" t="s">
        <v>109</v>
      </c>
      <c r="C73" s="7">
        <v>57.87493317514123</v>
      </c>
      <c r="D73" s="7">
        <v>74.883334487040656</v>
      </c>
    </row>
    <row r="74" spans="1:4" x14ac:dyDescent="0.3">
      <c r="A74" s="6">
        <v>20807</v>
      </c>
      <c r="B74" s="6" t="s">
        <v>110</v>
      </c>
      <c r="C74" s="7">
        <v>61.719771828769446</v>
      </c>
      <c r="D74" s="7">
        <v>74.01620678565989</v>
      </c>
    </row>
    <row r="75" spans="1:4" x14ac:dyDescent="0.3">
      <c r="A75" s="6">
        <v>20901</v>
      </c>
      <c r="B75" s="6" t="s">
        <v>81</v>
      </c>
      <c r="C75" s="7">
        <v>60.507039663116892</v>
      </c>
      <c r="D75" s="7">
        <v>78.659673128448546</v>
      </c>
    </row>
    <row r="76" spans="1:4" x14ac:dyDescent="0.3">
      <c r="A76" s="6">
        <v>20902</v>
      </c>
      <c r="B76" s="6" t="s">
        <v>82</v>
      </c>
      <c r="C76" s="7">
        <v>51.075126226076485</v>
      </c>
      <c r="D76" s="7">
        <v>82.528210144315338</v>
      </c>
    </row>
    <row r="77" spans="1:4" x14ac:dyDescent="0.3">
      <c r="A77" s="6">
        <v>20903</v>
      </c>
      <c r="B77" s="6" t="s">
        <v>83</v>
      </c>
      <c r="C77" s="7">
        <v>56.186415863027356</v>
      </c>
      <c r="D77" s="7">
        <v>70.447624842771248</v>
      </c>
    </row>
    <row r="78" spans="1:4" x14ac:dyDescent="0.3">
      <c r="A78" s="6">
        <v>20904</v>
      </c>
      <c r="B78" s="6" t="s">
        <v>84</v>
      </c>
      <c r="C78" s="7">
        <v>42.993466644205121</v>
      </c>
      <c r="D78" s="7">
        <v>80.284249744658041</v>
      </c>
    </row>
    <row r="79" spans="1:4" x14ac:dyDescent="0.3">
      <c r="A79" s="6">
        <v>20905</v>
      </c>
      <c r="B79" s="6" t="s">
        <v>85</v>
      </c>
      <c r="C79" s="7">
        <v>65.748545620989276</v>
      </c>
      <c r="D79" s="7">
        <v>76.379224376764967</v>
      </c>
    </row>
    <row r="80" spans="1:4" x14ac:dyDescent="0.3">
      <c r="A80" s="6">
        <v>21001</v>
      </c>
      <c r="B80" s="6" t="s">
        <v>48</v>
      </c>
      <c r="C80" s="7">
        <v>68.595930609343057</v>
      </c>
      <c r="D80" s="7">
        <v>74.206949467346277</v>
      </c>
    </row>
    <row r="81" spans="1:4" x14ac:dyDescent="0.3">
      <c r="A81" s="6">
        <v>21002</v>
      </c>
      <c r="B81" s="6" t="s">
        <v>49</v>
      </c>
      <c r="C81" s="7">
        <v>69.692000001479983</v>
      </c>
      <c r="D81" s="7">
        <v>66.246157122816058</v>
      </c>
    </row>
    <row r="82" spans="1:4" x14ac:dyDescent="0.3">
      <c r="A82" s="6">
        <v>21003</v>
      </c>
      <c r="B82" s="6" t="s">
        <v>50</v>
      </c>
      <c r="C82" s="7">
        <v>63.502322253999559</v>
      </c>
      <c r="D82" s="7">
        <v>83.358253710980847</v>
      </c>
    </row>
    <row r="83" spans="1:4" x14ac:dyDescent="0.3">
      <c r="A83" s="6">
        <v>21004</v>
      </c>
      <c r="B83" s="6" t="s">
        <v>51</v>
      </c>
      <c r="C83" s="7">
        <v>58.637277996105801</v>
      </c>
      <c r="D83" s="7">
        <v>78.530566074969656</v>
      </c>
    </row>
    <row r="84" spans="1:4" x14ac:dyDescent="0.3">
      <c r="A84" s="6">
        <v>21005</v>
      </c>
      <c r="B84" s="6" t="s">
        <v>52</v>
      </c>
      <c r="C84" s="7">
        <v>55.829815085684849</v>
      </c>
      <c r="D84" s="7">
        <v>73.47652903894182</v>
      </c>
    </row>
    <row r="85" spans="1:4" x14ac:dyDescent="0.3">
      <c r="A85" s="6">
        <v>21006</v>
      </c>
      <c r="B85" s="6" t="s">
        <v>53</v>
      </c>
      <c r="C85" s="7">
        <v>51.902738910874966</v>
      </c>
      <c r="D85" s="7">
        <v>75.790154913568102</v>
      </c>
    </row>
    <row r="86" spans="1:4" x14ac:dyDescent="0.3">
      <c r="A86" s="6">
        <v>21101</v>
      </c>
      <c r="B86" s="6" t="s">
        <v>86</v>
      </c>
      <c r="C86" s="7">
        <v>44.305565178641075</v>
      </c>
      <c r="D86" s="7">
        <v>72.363675579352389</v>
      </c>
    </row>
    <row r="87" spans="1:4" x14ac:dyDescent="0.3">
      <c r="A87" s="6">
        <v>21102</v>
      </c>
      <c r="B87" s="6" t="s">
        <v>87</v>
      </c>
      <c r="C87" s="7">
        <v>61.892737401382874</v>
      </c>
      <c r="D87" s="7">
        <v>77.942946568881567</v>
      </c>
    </row>
    <row r="88" spans="1:4" x14ac:dyDescent="0.3">
      <c r="A88" s="6">
        <v>21103</v>
      </c>
      <c r="B88" s="6" t="s">
        <v>88</v>
      </c>
      <c r="C88" s="7">
        <v>62.362442632111517</v>
      </c>
      <c r="D88" s="7">
        <v>82.50443803014339</v>
      </c>
    </row>
    <row r="89" spans="1:4" x14ac:dyDescent="0.3">
      <c r="A89" s="6">
        <v>21104</v>
      </c>
      <c r="B89" s="6" t="s">
        <v>89</v>
      </c>
      <c r="C89" s="7">
        <v>65.852265036749372</v>
      </c>
      <c r="D89" s="7">
        <v>82.565059374028763</v>
      </c>
    </row>
    <row r="90" spans="1:4" x14ac:dyDescent="0.3">
      <c r="A90" s="6">
        <v>21105</v>
      </c>
      <c r="B90" s="6" t="s">
        <v>90</v>
      </c>
      <c r="C90" s="7">
        <v>58.502030656546488</v>
      </c>
      <c r="D90" s="7">
        <v>82.160612322769424</v>
      </c>
    </row>
    <row r="91" spans="1:4" x14ac:dyDescent="0.3">
      <c r="A91" s="6">
        <v>21201</v>
      </c>
      <c r="B91" s="6" t="s">
        <v>91</v>
      </c>
      <c r="C91" s="7">
        <v>62.734986141276238</v>
      </c>
      <c r="D91" s="7">
        <v>81.514056554814815</v>
      </c>
    </row>
    <row r="92" spans="1:4" x14ac:dyDescent="0.3">
      <c r="A92" s="6">
        <v>21202</v>
      </c>
      <c r="B92" s="6" t="s">
        <v>92</v>
      </c>
      <c r="C92" s="7">
        <v>47.620684683745566</v>
      </c>
      <c r="D92" s="7">
        <v>81.030774051599664</v>
      </c>
    </row>
    <row r="93" spans="1:4" x14ac:dyDescent="0.3">
      <c r="A93" s="6">
        <v>21203</v>
      </c>
      <c r="B93" s="6" t="s">
        <v>93</v>
      </c>
      <c r="C93" s="7">
        <v>48.264492933277459</v>
      </c>
      <c r="D93" s="7">
        <v>70.575827340094278</v>
      </c>
    </row>
    <row r="94" spans="1:4" x14ac:dyDescent="0.3">
      <c r="A94" s="6">
        <v>21204</v>
      </c>
      <c r="B94" s="6" t="s">
        <v>94</v>
      </c>
      <c r="C94" s="7">
        <v>50.942391317507202</v>
      </c>
      <c r="D94" s="7">
        <v>78.173190547735075</v>
      </c>
    </row>
    <row r="95" spans="1:4" x14ac:dyDescent="0.3">
      <c r="A95" s="6">
        <v>21301</v>
      </c>
      <c r="B95" s="6" t="s">
        <v>41</v>
      </c>
      <c r="C95" s="7">
        <v>78.822854942217475</v>
      </c>
      <c r="D95" s="7">
        <v>82.499434201941341</v>
      </c>
    </row>
    <row r="96" spans="1:4" x14ac:dyDescent="0.3">
      <c r="A96" s="6">
        <v>21302</v>
      </c>
      <c r="B96" s="6" t="s">
        <v>42</v>
      </c>
      <c r="C96" s="7">
        <v>56.46109990060458</v>
      </c>
      <c r="D96" s="7">
        <v>81.834019100441168</v>
      </c>
    </row>
    <row r="97" spans="1:4" x14ac:dyDescent="0.3">
      <c r="A97" s="6">
        <v>21303</v>
      </c>
      <c r="B97" s="6" t="s">
        <v>43</v>
      </c>
      <c r="C97" s="7">
        <v>57.010195090045109</v>
      </c>
      <c r="D97" s="7">
        <v>66.203168358146414</v>
      </c>
    </row>
    <row r="98" spans="1:4" x14ac:dyDescent="0.3">
      <c r="A98" s="6">
        <v>21304</v>
      </c>
      <c r="B98" s="6" t="s">
        <v>44</v>
      </c>
      <c r="C98" s="7">
        <v>60.122811550684354</v>
      </c>
      <c r="D98" s="7">
        <v>75.377712590418014</v>
      </c>
    </row>
    <row r="99" spans="1:4" x14ac:dyDescent="0.3">
      <c r="A99" s="6">
        <v>21305</v>
      </c>
      <c r="B99" s="6" t="s">
        <v>45</v>
      </c>
      <c r="C99" s="7">
        <v>78.989967938062549</v>
      </c>
      <c r="D99" s="7">
        <v>81.91946376106965</v>
      </c>
    </row>
    <row r="100" spans="1:4" x14ac:dyDescent="0.3">
      <c r="A100" s="6">
        <v>21306</v>
      </c>
      <c r="B100" s="6" t="s">
        <v>46</v>
      </c>
      <c r="C100" s="7">
        <v>46.892913918181272</v>
      </c>
      <c r="D100" s="7">
        <v>76.047354871566768</v>
      </c>
    </row>
    <row r="101" spans="1:4" x14ac:dyDescent="0.3">
      <c r="A101" s="6">
        <v>21307</v>
      </c>
      <c r="B101" s="6" t="s">
        <v>47</v>
      </c>
      <c r="C101" s="7">
        <v>61.335426048532497</v>
      </c>
      <c r="D101" s="7">
        <v>70.625440721838245</v>
      </c>
    </row>
    <row r="102" spans="1:4" x14ac:dyDescent="0.3">
      <c r="A102" s="6">
        <v>21401</v>
      </c>
      <c r="B102" s="6" t="s">
        <v>95</v>
      </c>
      <c r="C102" s="7">
        <v>72.491658676905004</v>
      </c>
      <c r="D102" s="7">
        <v>73.401413915498793</v>
      </c>
    </row>
    <row r="103" spans="1:4" x14ac:dyDescent="0.3">
      <c r="A103" s="6">
        <v>21402</v>
      </c>
      <c r="B103" s="6" t="s">
        <v>96</v>
      </c>
      <c r="C103" s="7">
        <v>50.454947683182503</v>
      </c>
      <c r="D103" s="7">
        <v>77.310119842962706</v>
      </c>
    </row>
    <row r="104" spans="1:4" x14ac:dyDescent="0.3">
      <c r="A104" s="6">
        <v>21501</v>
      </c>
      <c r="B104" s="6" t="s">
        <v>97</v>
      </c>
      <c r="C104" s="7">
        <v>17.733700871027491</v>
      </c>
      <c r="D104" s="7">
        <v>65.870307083949442</v>
      </c>
    </row>
    <row r="105" spans="1:4" x14ac:dyDescent="0.3">
      <c r="A105" s="6">
        <v>21502</v>
      </c>
      <c r="B105" s="6" t="s">
        <v>98</v>
      </c>
      <c r="C105" s="7">
        <v>59.948511582710275</v>
      </c>
      <c r="D105" s="7">
        <v>81.355397759607129</v>
      </c>
    </row>
    <row r="106" spans="1:4" x14ac:dyDescent="0.3">
      <c r="A106" s="6">
        <v>21601</v>
      </c>
      <c r="B106" s="6" t="s">
        <v>99</v>
      </c>
      <c r="C106" s="7">
        <v>49.14378079584565</v>
      </c>
      <c r="D106" s="7">
        <v>79.87378877958372</v>
      </c>
    </row>
    <row r="107" spans="1:4" x14ac:dyDescent="0.3">
      <c r="A107" s="6">
        <v>21602</v>
      </c>
      <c r="B107" s="6" t="s">
        <v>100</v>
      </c>
      <c r="C107" s="7">
        <v>58.405928168164358</v>
      </c>
      <c r="D107" s="7">
        <v>77.123380884230144</v>
      </c>
    </row>
    <row r="108" spans="1:4" x14ac:dyDescent="0.3">
      <c r="A108" s="6">
        <v>21701</v>
      </c>
      <c r="B108" s="6" t="s">
        <v>62</v>
      </c>
      <c r="C108" s="7">
        <v>59.86728498158957</v>
      </c>
      <c r="D108" s="7">
        <v>50.504734825995889</v>
      </c>
    </row>
    <row r="109" spans="1:4" x14ac:dyDescent="0.3">
      <c r="A109" s="6">
        <v>21702</v>
      </c>
      <c r="B109" s="6" t="s">
        <v>63</v>
      </c>
      <c r="C109" s="7">
        <v>38.954533172440158</v>
      </c>
      <c r="D109" s="7">
        <v>78.713399485267402</v>
      </c>
    </row>
    <row r="110" spans="1:4" x14ac:dyDescent="0.3">
      <c r="A110" s="6">
        <v>21703</v>
      </c>
      <c r="B110" s="6" t="s">
        <v>64</v>
      </c>
      <c r="C110" s="7">
        <v>66.462332803680098</v>
      </c>
      <c r="D110" s="7">
        <v>73.152626724655306</v>
      </c>
    </row>
    <row r="111" spans="1:4" x14ac:dyDescent="0.3">
      <c r="A111" s="6">
        <v>21801</v>
      </c>
      <c r="B111" s="6" t="s">
        <v>101</v>
      </c>
      <c r="C111" s="7">
        <v>50.108825513051897</v>
      </c>
      <c r="D111" s="7">
        <v>59.778029235496568</v>
      </c>
    </row>
    <row r="112" spans="1:4" x14ac:dyDescent="0.3">
      <c r="A112" s="6">
        <v>21802</v>
      </c>
      <c r="B112" s="6" t="s">
        <v>102</v>
      </c>
      <c r="C112" s="7">
        <v>68.738647517865545</v>
      </c>
      <c r="D112" s="7">
        <v>69.8935934498748</v>
      </c>
    </row>
    <row r="113" spans="1:4" x14ac:dyDescent="0.3">
      <c r="A113" s="6">
        <v>21803</v>
      </c>
      <c r="B113" s="6" t="s">
        <v>103</v>
      </c>
      <c r="C113" s="7">
        <v>54.961893917393553</v>
      </c>
      <c r="D113" s="7">
        <v>66.349463955344731</v>
      </c>
    </row>
    <row r="114" spans="1:4" x14ac:dyDescent="0.3">
      <c r="A114" s="6">
        <v>21901</v>
      </c>
      <c r="B114" s="6" t="s">
        <v>104</v>
      </c>
      <c r="C114" s="7">
        <v>70.504798367748933</v>
      </c>
      <c r="D114" s="7">
        <v>52.688049410417136</v>
      </c>
    </row>
    <row r="115" spans="1:4" x14ac:dyDescent="0.3">
      <c r="A115" s="6">
        <v>21902</v>
      </c>
      <c r="B115" s="6" t="s">
        <v>105</v>
      </c>
      <c r="C115" s="7">
        <v>45.595350271876704</v>
      </c>
      <c r="D115" s="7">
        <v>86.606800171576523</v>
      </c>
    </row>
    <row r="116" spans="1:4" x14ac:dyDescent="0.3">
      <c r="A116" s="6">
        <v>22001</v>
      </c>
      <c r="B116" s="6" t="s">
        <v>40</v>
      </c>
      <c r="C116" s="7">
        <v>39.015033399607447</v>
      </c>
      <c r="D116" s="7">
        <v>67.702717190997689</v>
      </c>
    </row>
    <row r="117" spans="1:4" x14ac:dyDescent="0.3">
      <c r="A117" s="6">
        <v>22002</v>
      </c>
      <c r="B117" s="6" t="s">
        <v>115</v>
      </c>
      <c r="C117" s="7">
        <v>73.483138961082247</v>
      </c>
      <c r="D117" s="7">
        <v>79.464480428426882</v>
      </c>
    </row>
    <row r="118" spans="1:4" x14ac:dyDescent="0.3">
      <c r="A118" s="6">
        <v>30101</v>
      </c>
      <c r="B118" s="6" t="s">
        <v>118</v>
      </c>
      <c r="C118" s="7">
        <v>64.11128421385574</v>
      </c>
      <c r="D118" s="7">
        <v>85.10683727664771</v>
      </c>
    </row>
    <row r="119" spans="1:4" x14ac:dyDescent="0.3">
      <c r="A119" s="6">
        <v>30201</v>
      </c>
      <c r="B119" s="6" t="s">
        <v>125</v>
      </c>
      <c r="C119" s="7">
        <v>51.066655472366698</v>
      </c>
      <c r="D119" s="7">
        <v>83.131113446882082</v>
      </c>
    </row>
    <row r="120" spans="1:4" x14ac:dyDescent="0.3">
      <c r="A120" s="6">
        <v>30202</v>
      </c>
      <c r="B120" s="6" t="s">
        <v>126</v>
      </c>
      <c r="C120" s="7">
        <v>64.769256167130848</v>
      </c>
      <c r="D120" s="7">
        <v>75.864352836940313</v>
      </c>
    </row>
    <row r="121" spans="1:4" x14ac:dyDescent="0.3">
      <c r="A121" s="6">
        <v>30203</v>
      </c>
      <c r="B121" s="6" t="s">
        <v>127</v>
      </c>
      <c r="C121" s="7">
        <v>54.898943446251479</v>
      </c>
      <c r="D121" s="7">
        <v>64.550747320142662</v>
      </c>
    </row>
    <row r="122" spans="1:4" x14ac:dyDescent="0.3">
      <c r="A122" s="6">
        <v>30301</v>
      </c>
      <c r="B122" s="6" t="s">
        <v>128</v>
      </c>
      <c r="C122" s="7">
        <v>85.436741326243634</v>
      </c>
      <c r="D122" s="7">
        <v>79.910018731467858</v>
      </c>
    </row>
    <row r="123" spans="1:4" x14ac:dyDescent="0.3">
      <c r="A123" s="6">
        <v>30302</v>
      </c>
      <c r="B123" s="6" t="s">
        <v>129</v>
      </c>
      <c r="C123" s="7">
        <v>56.765848706196856</v>
      </c>
      <c r="D123" s="7">
        <v>74.422236539351502</v>
      </c>
    </row>
    <row r="124" spans="1:4" x14ac:dyDescent="0.3">
      <c r="A124" s="6">
        <v>30303</v>
      </c>
      <c r="B124" s="6" t="s">
        <v>164</v>
      </c>
      <c r="C124" s="7">
        <v>67.200450131548095</v>
      </c>
      <c r="D124" s="7">
        <v>74.406483771966464</v>
      </c>
    </row>
    <row r="125" spans="1:4" x14ac:dyDescent="0.3">
      <c r="A125" s="6">
        <v>30401</v>
      </c>
      <c r="B125" s="6" t="s">
        <v>138</v>
      </c>
      <c r="C125" s="7">
        <v>65.492975325632685</v>
      </c>
      <c r="D125" s="7">
        <v>74.765550452158834</v>
      </c>
    </row>
    <row r="126" spans="1:4" x14ac:dyDescent="0.3">
      <c r="A126" s="6">
        <v>30402</v>
      </c>
      <c r="B126" s="6" t="s">
        <v>139</v>
      </c>
      <c r="C126" s="7">
        <v>62.907246417236877</v>
      </c>
      <c r="D126" s="7">
        <v>81.366535461571331</v>
      </c>
    </row>
    <row r="127" spans="1:4" x14ac:dyDescent="0.3">
      <c r="A127" s="6">
        <v>30403</v>
      </c>
      <c r="B127" s="6" t="s">
        <v>140</v>
      </c>
      <c r="C127" s="7">
        <v>75.109058699130046</v>
      </c>
      <c r="D127" s="7">
        <v>81.150518481916833</v>
      </c>
    </row>
    <row r="128" spans="1:4" x14ac:dyDescent="0.3">
      <c r="A128" s="6">
        <v>30404</v>
      </c>
      <c r="B128" s="6" t="s">
        <v>141</v>
      </c>
      <c r="C128" s="7">
        <v>59.637339424235812</v>
      </c>
      <c r="D128" s="7">
        <v>81.469198547343822</v>
      </c>
    </row>
    <row r="129" spans="1:4" x14ac:dyDescent="0.3">
      <c r="A129" s="6">
        <v>30501</v>
      </c>
      <c r="B129" s="6" t="s">
        <v>154</v>
      </c>
      <c r="C129" s="7">
        <v>58.241704089394794</v>
      </c>
      <c r="D129" s="7">
        <v>75.998348717744889</v>
      </c>
    </row>
    <row r="130" spans="1:4" x14ac:dyDescent="0.3">
      <c r="A130" s="6">
        <v>30502</v>
      </c>
      <c r="B130" s="6" t="s">
        <v>155</v>
      </c>
      <c r="C130" s="7">
        <v>61.394931666190992</v>
      </c>
      <c r="D130" s="7">
        <v>77.375266584410198</v>
      </c>
    </row>
    <row r="131" spans="1:4" x14ac:dyDescent="0.3">
      <c r="A131" s="6">
        <v>30601</v>
      </c>
      <c r="B131" s="6" t="s">
        <v>156</v>
      </c>
      <c r="C131" s="7">
        <v>64.463061027136533</v>
      </c>
      <c r="D131" s="7">
        <v>76.052536459504935</v>
      </c>
    </row>
    <row r="132" spans="1:4" x14ac:dyDescent="0.3">
      <c r="A132" s="6">
        <v>30602</v>
      </c>
      <c r="B132" s="6" t="s">
        <v>157</v>
      </c>
      <c r="C132" s="7">
        <v>61.824726807829535</v>
      </c>
      <c r="D132" s="7">
        <v>66.807876934045865</v>
      </c>
    </row>
    <row r="133" spans="1:4" x14ac:dyDescent="0.3">
      <c r="A133" s="6">
        <v>30701</v>
      </c>
      <c r="B133" s="6" t="s">
        <v>145</v>
      </c>
      <c r="C133" s="7">
        <v>62.206470965176358</v>
      </c>
      <c r="D133" s="7">
        <v>68.942630778119209</v>
      </c>
    </row>
    <row r="134" spans="1:4" x14ac:dyDescent="0.3">
      <c r="A134" s="6">
        <v>30702</v>
      </c>
      <c r="B134" s="6" t="s">
        <v>146</v>
      </c>
      <c r="C134" s="7">
        <v>55.970182975410864</v>
      </c>
      <c r="D134" s="7">
        <v>79.899274337525441</v>
      </c>
    </row>
    <row r="135" spans="1:4" x14ac:dyDescent="0.3">
      <c r="A135" s="6">
        <v>30703</v>
      </c>
      <c r="B135" s="6" t="s">
        <v>147</v>
      </c>
      <c r="C135" s="7">
        <v>52.523277904835254</v>
      </c>
      <c r="D135" s="7">
        <v>73.021735183722882</v>
      </c>
    </row>
    <row r="136" spans="1:4" x14ac:dyDescent="0.3">
      <c r="A136" s="6">
        <v>30801</v>
      </c>
      <c r="B136" s="6" t="s">
        <v>142</v>
      </c>
      <c r="C136" s="7">
        <v>68.682455622877669</v>
      </c>
      <c r="D136" s="7">
        <v>80.558102745481207</v>
      </c>
    </row>
    <row r="137" spans="1:4" x14ac:dyDescent="0.3">
      <c r="A137" s="6">
        <v>30802</v>
      </c>
      <c r="B137" s="6" t="s">
        <v>143</v>
      </c>
      <c r="C137" s="7">
        <v>53.68619464195644</v>
      </c>
      <c r="D137" s="7">
        <v>73.327814059579737</v>
      </c>
    </row>
    <row r="138" spans="1:4" x14ac:dyDescent="0.3">
      <c r="A138" s="6">
        <v>30803</v>
      </c>
      <c r="B138" s="6" t="s">
        <v>144</v>
      </c>
      <c r="C138" s="7">
        <v>74.942521891023418</v>
      </c>
      <c r="D138" s="7">
        <v>70.496595806184871</v>
      </c>
    </row>
    <row r="139" spans="1:4" x14ac:dyDescent="0.3">
      <c r="A139" s="6">
        <v>30901</v>
      </c>
      <c r="B139" s="6" t="s">
        <v>120</v>
      </c>
      <c r="C139" s="7">
        <v>50.741837529655918</v>
      </c>
      <c r="D139" s="7">
        <v>68.270042989668582</v>
      </c>
    </row>
    <row r="140" spans="1:4" x14ac:dyDescent="0.3">
      <c r="A140" s="6">
        <v>30902</v>
      </c>
      <c r="B140" s="6" t="s">
        <v>121</v>
      </c>
      <c r="C140" s="7">
        <v>70.42564700187171</v>
      </c>
      <c r="D140" s="7">
        <v>83.938323425031584</v>
      </c>
    </row>
    <row r="141" spans="1:4" x14ac:dyDescent="0.3">
      <c r="A141" s="6">
        <v>30903</v>
      </c>
      <c r="B141" s="6" t="s">
        <v>122</v>
      </c>
      <c r="C141" s="7">
        <v>76.573033791698847</v>
      </c>
      <c r="D141" s="7">
        <v>85.768652705688623</v>
      </c>
    </row>
    <row r="142" spans="1:4" x14ac:dyDescent="0.3">
      <c r="A142" s="6">
        <v>30904</v>
      </c>
      <c r="B142" s="6" t="s">
        <v>123</v>
      </c>
      <c r="C142" s="7">
        <v>64.745292846009121</v>
      </c>
      <c r="D142" s="7">
        <v>85.248905325868918</v>
      </c>
    </row>
    <row r="143" spans="1:4" x14ac:dyDescent="0.3">
      <c r="A143" s="6">
        <v>30905</v>
      </c>
      <c r="B143" s="6" t="s">
        <v>124</v>
      </c>
      <c r="C143" s="7">
        <v>57.955662128839549</v>
      </c>
      <c r="D143" s="7">
        <v>80.435796250961104</v>
      </c>
    </row>
    <row r="144" spans="1:4" x14ac:dyDescent="0.3">
      <c r="A144" s="6">
        <v>31001</v>
      </c>
      <c r="B144" s="6" t="s">
        <v>130</v>
      </c>
      <c r="C144" s="7">
        <v>61.51380647123429</v>
      </c>
      <c r="D144" s="7">
        <v>83.482578695784625</v>
      </c>
    </row>
    <row r="145" spans="1:4" x14ac:dyDescent="0.3">
      <c r="A145" s="6">
        <v>31002</v>
      </c>
      <c r="B145" s="6" t="s">
        <v>131</v>
      </c>
      <c r="C145" s="7">
        <v>51.23110203535223</v>
      </c>
      <c r="D145" s="7">
        <v>86.351056561512678</v>
      </c>
    </row>
    <row r="146" spans="1:4" x14ac:dyDescent="0.3">
      <c r="A146" s="6">
        <v>31003</v>
      </c>
      <c r="B146" s="6" t="s">
        <v>132</v>
      </c>
      <c r="C146" s="7">
        <v>63.885625869273646</v>
      </c>
      <c r="D146" s="7">
        <v>85.096698694863122</v>
      </c>
    </row>
    <row r="147" spans="1:4" x14ac:dyDescent="0.3">
      <c r="A147" s="6">
        <v>31101</v>
      </c>
      <c r="B147" s="6" t="s">
        <v>148</v>
      </c>
      <c r="C147" s="7">
        <v>71.697372159542851</v>
      </c>
      <c r="D147" s="7">
        <v>81.049328655537465</v>
      </c>
    </row>
    <row r="148" spans="1:4" x14ac:dyDescent="0.3">
      <c r="A148" s="6">
        <v>31201</v>
      </c>
      <c r="B148" s="6" t="s">
        <v>149</v>
      </c>
      <c r="C148" s="7">
        <v>66.644993327956385</v>
      </c>
      <c r="D148" s="7">
        <v>72.550992083329518</v>
      </c>
    </row>
    <row r="149" spans="1:4" x14ac:dyDescent="0.3">
      <c r="A149" s="6">
        <v>31202</v>
      </c>
      <c r="B149" s="6" t="s">
        <v>150</v>
      </c>
      <c r="C149" s="7">
        <v>73.241230024099025</v>
      </c>
      <c r="D149" s="7">
        <v>79.229815800655373</v>
      </c>
    </row>
    <row r="150" spans="1:4" x14ac:dyDescent="0.3">
      <c r="A150" s="6">
        <v>31203</v>
      </c>
      <c r="B150" s="6" t="s">
        <v>151</v>
      </c>
      <c r="C150" s="7">
        <v>69.011507017529382</v>
      </c>
      <c r="D150" s="7">
        <v>66.188794269034162</v>
      </c>
    </row>
    <row r="151" spans="1:4" x14ac:dyDescent="0.3">
      <c r="A151" s="6">
        <v>31204</v>
      </c>
      <c r="B151" s="6" t="s">
        <v>152</v>
      </c>
      <c r="C151" s="7">
        <v>61.044141877473407</v>
      </c>
      <c r="D151" s="7">
        <v>84.455387395562113</v>
      </c>
    </row>
    <row r="152" spans="1:4" x14ac:dyDescent="0.3">
      <c r="A152" s="6">
        <v>31205</v>
      </c>
      <c r="B152" s="6" t="s">
        <v>153</v>
      </c>
      <c r="C152" s="7">
        <v>60.837465292938134</v>
      </c>
      <c r="D152" s="7">
        <v>86.868818119545722</v>
      </c>
    </row>
    <row r="153" spans="1:4" x14ac:dyDescent="0.3">
      <c r="A153" s="6">
        <v>31206</v>
      </c>
      <c r="B153" s="6" t="s">
        <v>163</v>
      </c>
      <c r="C153" s="7">
        <v>65.975047988347796</v>
      </c>
      <c r="D153" s="7">
        <v>72.870629185061162</v>
      </c>
    </row>
    <row r="154" spans="1:4" x14ac:dyDescent="0.3">
      <c r="A154" s="6">
        <v>31301</v>
      </c>
      <c r="B154" s="6" t="s">
        <v>160</v>
      </c>
      <c r="C154" s="7">
        <v>72.809099571261626</v>
      </c>
      <c r="D154" s="7">
        <v>80.600357928286869</v>
      </c>
    </row>
    <row r="155" spans="1:4" x14ac:dyDescent="0.3">
      <c r="A155" s="6">
        <v>31302</v>
      </c>
      <c r="B155" s="6" t="s">
        <v>161</v>
      </c>
      <c r="C155" s="7">
        <v>62.818433430390378</v>
      </c>
      <c r="D155" s="7">
        <v>84.86026397503143</v>
      </c>
    </row>
    <row r="156" spans="1:4" x14ac:dyDescent="0.3">
      <c r="A156" s="6">
        <v>31303</v>
      </c>
      <c r="B156" s="6" t="s">
        <v>162</v>
      </c>
      <c r="C156" s="7">
        <v>66.430215812290825</v>
      </c>
      <c r="D156" s="7">
        <v>77.735623501833302</v>
      </c>
    </row>
    <row r="157" spans="1:4" x14ac:dyDescent="0.3">
      <c r="A157" s="6">
        <v>31304</v>
      </c>
      <c r="B157" s="6" t="s">
        <v>475</v>
      </c>
      <c r="C157" s="7">
        <v>72.809099571261626</v>
      </c>
      <c r="D157" s="7">
        <v>63.67182291263773</v>
      </c>
    </row>
    <row r="158" spans="1:4" x14ac:dyDescent="0.3">
      <c r="A158" s="6">
        <v>31401</v>
      </c>
      <c r="B158" s="6" t="s">
        <v>133</v>
      </c>
      <c r="C158" s="7">
        <v>65.998285429064182</v>
      </c>
      <c r="D158" s="7">
        <v>83.437779629675575</v>
      </c>
    </row>
    <row r="159" spans="1:4" x14ac:dyDescent="0.3">
      <c r="A159" s="6">
        <v>31402</v>
      </c>
      <c r="B159" s="6" t="s">
        <v>134</v>
      </c>
      <c r="C159" s="7">
        <v>67.961694388530404</v>
      </c>
      <c r="D159" s="7">
        <v>75.275700442655406</v>
      </c>
    </row>
    <row r="160" spans="1:4" x14ac:dyDescent="0.3">
      <c r="A160" s="6">
        <v>31403</v>
      </c>
      <c r="B160" s="6" t="s">
        <v>135</v>
      </c>
      <c r="C160" s="7">
        <v>45.722027861979846</v>
      </c>
      <c r="D160" s="7">
        <v>79.552656640009062</v>
      </c>
    </row>
    <row r="161" spans="1:4" x14ac:dyDescent="0.3">
      <c r="A161" s="6">
        <v>31404</v>
      </c>
      <c r="B161" s="6" t="s">
        <v>136</v>
      </c>
      <c r="C161" s="7">
        <v>30.38749608559765</v>
      </c>
      <c r="D161" s="7">
        <v>80.611539312598865</v>
      </c>
    </row>
    <row r="162" spans="1:4" x14ac:dyDescent="0.3">
      <c r="A162" s="6">
        <v>31405</v>
      </c>
      <c r="B162" s="6" t="s">
        <v>137</v>
      </c>
      <c r="C162" s="7">
        <v>33.967704361958049</v>
      </c>
      <c r="D162" s="7">
        <v>71.986470801399207</v>
      </c>
    </row>
    <row r="163" spans="1:4" x14ac:dyDescent="0.3">
      <c r="A163" s="6">
        <v>31501</v>
      </c>
      <c r="B163" s="6" t="s">
        <v>158</v>
      </c>
      <c r="C163" s="7">
        <v>79.438239193096905</v>
      </c>
      <c r="D163" s="7">
        <v>83.178438782406616</v>
      </c>
    </row>
    <row r="164" spans="1:4" x14ac:dyDescent="0.3">
      <c r="A164" s="6">
        <v>31601</v>
      </c>
      <c r="B164" s="6" t="s">
        <v>159</v>
      </c>
      <c r="C164" s="7">
        <v>54.416402316536477</v>
      </c>
      <c r="D164" s="7">
        <v>72.84044894347862</v>
      </c>
    </row>
    <row r="165" spans="1:4" x14ac:dyDescent="0.3">
      <c r="A165" s="6">
        <v>31602</v>
      </c>
      <c r="B165" s="6" t="s">
        <v>165</v>
      </c>
      <c r="C165" s="7">
        <v>71.941693002292809</v>
      </c>
      <c r="D165" s="7">
        <v>82.45186365901408</v>
      </c>
    </row>
    <row r="166" spans="1:4" x14ac:dyDescent="0.3">
      <c r="A166" s="6">
        <v>40101</v>
      </c>
      <c r="B166" s="6" t="s">
        <v>166</v>
      </c>
      <c r="C166" s="7">
        <v>59.60132422157298</v>
      </c>
      <c r="D166" s="7">
        <v>85.515275651691738</v>
      </c>
    </row>
    <row r="167" spans="1:4" x14ac:dyDescent="0.3">
      <c r="A167" s="6">
        <v>40102</v>
      </c>
      <c r="B167" s="6" t="s">
        <v>168</v>
      </c>
      <c r="C167" s="7">
        <v>65.85073045695664</v>
      </c>
      <c r="D167" s="7">
        <v>77.616634965363602</v>
      </c>
    </row>
    <row r="168" spans="1:4" x14ac:dyDescent="0.3">
      <c r="A168" s="6">
        <v>40103</v>
      </c>
      <c r="B168" s="6" t="s">
        <v>169</v>
      </c>
      <c r="C168" s="7">
        <v>51.898144461980372</v>
      </c>
      <c r="D168" s="7">
        <v>69.883962788105222</v>
      </c>
    </row>
    <row r="169" spans="1:4" x14ac:dyDescent="0.3">
      <c r="A169" s="6">
        <v>40104</v>
      </c>
      <c r="B169" s="6" t="s">
        <v>201</v>
      </c>
      <c r="C169" s="7">
        <v>82.232980629334676</v>
      </c>
      <c r="D169" s="7">
        <v>80.605585572258562</v>
      </c>
    </row>
    <row r="170" spans="1:4" x14ac:dyDescent="0.3">
      <c r="A170" s="6">
        <v>40201</v>
      </c>
      <c r="B170" s="6" t="s">
        <v>170</v>
      </c>
      <c r="C170" s="7">
        <v>58.362439667704393</v>
      </c>
      <c r="D170" s="7">
        <v>85.321066024418698</v>
      </c>
    </row>
    <row r="171" spans="1:4" x14ac:dyDescent="0.3">
      <c r="A171" s="6">
        <v>40202</v>
      </c>
      <c r="B171" s="6" t="s">
        <v>171</v>
      </c>
      <c r="C171" s="7">
        <v>72.142791789014339</v>
      </c>
      <c r="D171" s="7">
        <v>72.151229187154101</v>
      </c>
    </row>
    <row r="172" spans="1:4" x14ac:dyDescent="0.3">
      <c r="A172" s="6">
        <v>40301</v>
      </c>
      <c r="B172" s="6" t="s">
        <v>180</v>
      </c>
      <c r="C172" s="7">
        <v>63.646446108203882</v>
      </c>
      <c r="D172" s="7">
        <v>83.003893350938256</v>
      </c>
    </row>
    <row r="173" spans="1:4" x14ac:dyDescent="0.3">
      <c r="A173" s="6">
        <v>40302</v>
      </c>
      <c r="B173" s="6" t="s">
        <v>181</v>
      </c>
      <c r="C173" s="7">
        <v>60.853051600086282</v>
      </c>
      <c r="D173" s="7">
        <v>81.020546605866159</v>
      </c>
    </row>
    <row r="174" spans="1:4" x14ac:dyDescent="0.3">
      <c r="A174" s="6">
        <v>40401</v>
      </c>
      <c r="B174" s="6" t="s">
        <v>182</v>
      </c>
      <c r="C174" s="7">
        <v>72.463984686322064</v>
      </c>
      <c r="D174" s="7">
        <v>80.567430517482549</v>
      </c>
    </row>
    <row r="175" spans="1:4" x14ac:dyDescent="0.3">
      <c r="A175" s="6">
        <v>40402</v>
      </c>
      <c r="B175" s="6" t="s">
        <v>183</v>
      </c>
      <c r="C175" s="7">
        <v>62.258681047570072</v>
      </c>
      <c r="D175" s="7">
        <v>67.835272648659114</v>
      </c>
    </row>
    <row r="176" spans="1:4" x14ac:dyDescent="0.3">
      <c r="A176" s="6">
        <v>40501</v>
      </c>
      <c r="B176" s="6" t="s">
        <v>184</v>
      </c>
      <c r="C176" s="7">
        <v>52.10585524531632</v>
      </c>
      <c r="D176" s="7">
        <v>59.956958799794371</v>
      </c>
    </row>
    <row r="177" spans="1:4" x14ac:dyDescent="0.3">
      <c r="A177" s="6">
        <v>40502</v>
      </c>
      <c r="B177" s="6" t="s">
        <v>185</v>
      </c>
      <c r="C177" s="7">
        <v>64.834569691934107</v>
      </c>
      <c r="D177" s="7">
        <v>72.159436408946604</v>
      </c>
    </row>
    <row r="178" spans="1:4" x14ac:dyDescent="0.3">
      <c r="A178" s="6">
        <v>40503</v>
      </c>
      <c r="B178" s="6" t="s">
        <v>186</v>
      </c>
      <c r="C178" s="7">
        <v>38.079894585085128</v>
      </c>
      <c r="D178" s="7">
        <v>69.671014483372204</v>
      </c>
    </row>
    <row r="179" spans="1:4" x14ac:dyDescent="0.3">
      <c r="A179" s="6">
        <v>40504</v>
      </c>
      <c r="B179" s="6" t="s">
        <v>187</v>
      </c>
      <c r="C179" s="7">
        <v>56.870924607892043</v>
      </c>
      <c r="D179" s="7">
        <v>74.212124196678204</v>
      </c>
    </row>
    <row r="180" spans="1:4" x14ac:dyDescent="0.3">
      <c r="A180" s="6">
        <v>40505</v>
      </c>
      <c r="B180" s="6" t="s">
        <v>188</v>
      </c>
      <c r="C180" s="7">
        <v>63.74636120478457</v>
      </c>
      <c r="D180" s="7">
        <v>76.701663636416299</v>
      </c>
    </row>
    <row r="181" spans="1:4" x14ac:dyDescent="0.3">
      <c r="A181" s="6">
        <v>40601</v>
      </c>
      <c r="B181" s="6" t="s">
        <v>174</v>
      </c>
      <c r="C181" s="7">
        <v>70.654740028085627</v>
      </c>
      <c r="D181" s="7">
        <v>77.773962654418739</v>
      </c>
    </row>
    <row r="182" spans="1:4" x14ac:dyDescent="0.3">
      <c r="A182" s="6">
        <v>40602</v>
      </c>
      <c r="B182" s="6" t="s">
        <v>175</v>
      </c>
      <c r="C182" s="7">
        <v>59.441204593599558</v>
      </c>
      <c r="D182" s="7">
        <v>83.838555627139684</v>
      </c>
    </row>
    <row r="183" spans="1:4" x14ac:dyDescent="0.3">
      <c r="A183" s="6">
        <v>40603</v>
      </c>
      <c r="B183" s="6" t="s">
        <v>176</v>
      </c>
      <c r="C183" s="7">
        <v>37.305506750283165</v>
      </c>
      <c r="D183" s="7">
        <v>68.84293245107979</v>
      </c>
    </row>
    <row r="184" spans="1:4" x14ac:dyDescent="0.3">
      <c r="A184" s="6">
        <v>40701</v>
      </c>
      <c r="B184" s="6" t="s">
        <v>172</v>
      </c>
      <c r="C184" s="7">
        <v>59.623541842024032</v>
      </c>
      <c r="D184" s="7">
        <v>78.294349241714912</v>
      </c>
    </row>
    <row r="185" spans="1:4" x14ac:dyDescent="0.3">
      <c r="A185" s="6">
        <v>40702</v>
      </c>
      <c r="B185" s="6" t="s">
        <v>173</v>
      </c>
      <c r="C185" s="7">
        <v>54.114475734419976</v>
      </c>
      <c r="D185" s="7">
        <v>89.128412447387703</v>
      </c>
    </row>
    <row r="186" spans="1:4" x14ac:dyDescent="0.3">
      <c r="A186" s="6">
        <v>40801</v>
      </c>
      <c r="B186" s="6" t="s">
        <v>192</v>
      </c>
      <c r="C186" s="7">
        <v>60.075581743245102</v>
      </c>
      <c r="D186" s="7">
        <v>55.900087985914773</v>
      </c>
    </row>
    <row r="187" spans="1:4" x14ac:dyDescent="0.3">
      <c r="A187" s="6">
        <v>40802</v>
      </c>
      <c r="B187" s="6" t="s">
        <v>193</v>
      </c>
      <c r="C187" s="7">
        <v>48.097489649443482</v>
      </c>
      <c r="D187" s="7">
        <v>79.492918941203058</v>
      </c>
    </row>
    <row r="188" spans="1:4" x14ac:dyDescent="0.3">
      <c r="A188" s="6">
        <v>40901</v>
      </c>
      <c r="B188" s="6" t="s">
        <v>197</v>
      </c>
      <c r="C188" s="7">
        <v>55.095124540803369</v>
      </c>
      <c r="D188" s="7">
        <v>62.771542483028092</v>
      </c>
    </row>
    <row r="189" spans="1:4" x14ac:dyDescent="0.3">
      <c r="A189" s="6">
        <v>40902</v>
      </c>
      <c r="B189" s="6" t="s">
        <v>198</v>
      </c>
      <c r="C189" s="7">
        <v>59.364980901702893</v>
      </c>
      <c r="D189" s="7">
        <v>79.518408115064574</v>
      </c>
    </row>
    <row r="190" spans="1:4" x14ac:dyDescent="0.3">
      <c r="A190" s="6">
        <v>40903</v>
      </c>
      <c r="B190" s="6" t="s">
        <v>199</v>
      </c>
      <c r="C190" s="7">
        <v>51.464560946418338</v>
      </c>
      <c r="D190" s="7">
        <v>71.331801944497613</v>
      </c>
    </row>
    <row r="191" spans="1:4" x14ac:dyDescent="0.3">
      <c r="A191" s="6">
        <v>41001</v>
      </c>
      <c r="B191" s="6" t="s">
        <v>189</v>
      </c>
      <c r="C191" s="7">
        <v>69.640438205587927</v>
      </c>
      <c r="D191" s="7">
        <v>74.764983590406601</v>
      </c>
    </row>
    <row r="192" spans="1:4" x14ac:dyDescent="0.3">
      <c r="A192" s="6">
        <v>41101</v>
      </c>
      <c r="B192" s="6" t="s">
        <v>177</v>
      </c>
      <c r="C192" s="7">
        <v>49.210895953976632</v>
      </c>
      <c r="D192" s="7">
        <v>71.022315621771824</v>
      </c>
    </row>
    <row r="193" spans="1:4" x14ac:dyDescent="0.3">
      <c r="A193" s="6">
        <v>41201</v>
      </c>
      <c r="B193" s="6" t="s">
        <v>190</v>
      </c>
      <c r="C193" s="7">
        <v>51.236707484686583</v>
      </c>
      <c r="D193" s="7">
        <v>66.838512322638536</v>
      </c>
    </row>
    <row r="194" spans="1:4" x14ac:dyDescent="0.3">
      <c r="A194" s="6">
        <v>41202</v>
      </c>
      <c r="B194" s="6" t="s">
        <v>191</v>
      </c>
      <c r="C194" s="7">
        <v>56.966645852564234</v>
      </c>
      <c r="D194" s="7">
        <v>81.623891935586187</v>
      </c>
    </row>
    <row r="195" spans="1:4" x14ac:dyDescent="0.3">
      <c r="A195" s="6">
        <v>41301</v>
      </c>
      <c r="B195" s="6" t="s">
        <v>179</v>
      </c>
      <c r="C195" s="7">
        <v>72.267783937042608</v>
      </c>
      <c r="D195" s="7">
        <v>74.19203643288229</v>
      </c>
    </row>
    <row r="196" spans="1:4" x14ac:dyDescent="0.3">
      <c r="A196" s="6">
        <v>41401</v>
      </c>
      <c r="B196" s="6" t="s">
        <v>178</v>
      </c>
      <c r="C196" s="7">
        <v>76.437673205206423</v>
      </c>
      <c r="D196" s="7">
        <v>71.350282164265806</v>
      </c>
    </row>
    <row r="197" spans="1:4" x14ac:dyDescent="0.3">
      <c r="A197" s="6">
        <v>41501</v>
      </c>
      <c r="B197" s="6" t="s">
        <v>194</v>
      </c>
      <c r="C197" s="7">
        <v>78.592561485813349</v>
      </c>
      <c r="D197" s="7">
        <v>69.132279850317047</v>
      </c>
    </row>
    <row r="198" spans="1:4" x14ac:dyDescent="0.3">
      <c r="A198" s="6">
        <v>41502</v>
      </c>
      <c r="B198" s="6" t="s">
        <v>195</v>
      </c>
      <c r="C198" s="7">
        <v>39.304262124330087</v>
      </c>
      <c r="D198" s="7">
        <v>63.681927367297725</v>
      </c>
    </row>
    <row r="199" spans="1:4" x14ac:dyDescent="0.3">
      <c r="A199" s="6">
        <v>41503</v>
      </c>
      <c r="B199" s="6" t="s">
        <v>196</v>
      </c>
      <c r="C199" s="7">
        <v>42.456207725032833</v>
      </c>
      <c r="D199" s="7">
        <v>59.521492431303443</v>
      </c>
    </row>
    <row r="200" spans="1:4" x14ac:dyDescent="0.3">
      <c r="A200" s="6">
        <v>41601</v>
      </c>
      <c r="B200" s="6" t="s">
        <v>200</v>
      </c>
      <c r="C200" s="7">
        <v>71.052404485597037</v>
      </c>
      <c r="D200" s="7">
        <v>78.702195993580048</v>
      </c>
    </row>
    <row r="201" spans="1:4" x14ac:dyDescent="0.3">
      <c r="A201" s="6">
        <v>50101</v>
      </c>
      <c r="B201" s="6" t="s">
        <v>202</v>
      </c>
      <c r="C201" s="7">
        <v>63.871510553819348</v>
      </c>
      <c r="D201" s="7">
        <v>75.203395438275507</v>
      </c>
    </row>
    <row r="202" spans="1:4" x14ac:dyDescent="0.3">
      <c r="A202" s="6">
        <v>50102</v>
      </c>
      <c r="B202" s="6" t="s">
        <v>204</v>
      </c>
      <c r="C202" s="7">
        <v>40.290333279701748</v>
      </c>
      <c r="D202" s="7">
        <v>72.508627826135253</v>
      </c>
    </row>
    <row r="203" spans="1:4" x14ac:dyDescent="0.3">
      <c r="A203" s="6">
        <v>50103</v>
      </c>
      <c r="B203" s="6" t="s">
        <v>205</v>
      </c>
      <c r="C203" s="7">
        <v>47.582944334504219</v>
      </c>
      <c r="D203" s="7">
        <v>74.024943423557829</v>
      </c>
    </row>
    <row r="204" spans="1:4" x14ac:dyDescent="0.3">
      <c r="A204" s="6">
        <v>50104</v>
      </c>
      <c r="B204" s="6" t="s">
        <v>206</v>
      </c>
      <c r="C204" s="7">
        <v>40.961818687324026</v>
      </c>
      <c r="D204" s="7">
        <v>74.937779975457033</v>
      </c>
    </row>
    <row r="205" spans="1:4" x14ac:dyDescent="0.3">
      <c r="A205" s="6">
        <v>50201</v>
      </c>
      <c r="B205" s="6" t="s">
        <v>207</v>
      </c>
      <c r="C205" s="7">
        <v>56.226242099152877</v>
      </c>
      <c r="D205" s="7">
        <v>85.052276719511454</v>
      </c>
    </row>
    <row r="206" spans="1:4" x14ac:dyDescent="0.3">
      <c r="A206" s="6">
        <v>50202</v>
      </c>
      <c r="B206" s="6" t="s">
        <v>208</v>
      </c>
      <c r="C206" s="7">
        <v>42.27812609783161</v>
      </c>
      <c r="D206" s="7">
        <v>68.78272515131566</v>
      </c>
    </row>
    <row r="207" spans="1:4" x14ac:dyDescent="0.3">
      <c r="A207" s="6">
        <v>50203</v>
      </c>
      <c r="B207" s="6" t="s">
        <v>209</v>
      </c>
      <c r="C207" s="7">
        <v>52.12057291429528</v>
      </c>
      <c r="D207" s="7">
        <v>80.158750024471018</v>
      </c>
    </row>
    <row r="208" spans="1:4" x14ac:dyDescent="0.3">
      <c r="A208" s="6">
        <v>50204</v>
      </c>
      <c r="B208" s="6" t="s">
        <v>242</v>
      </c>
      <c r="C208" s="7">
        <v>55.125872441193849</v>
      </c>
      <c r="D208" s="7">
        <v>74.856944478747792</v>
      </c>
    </row>
    <row r="209" spans="1:4" x14ac:dyDescent="0.3">
      <c r="A209" s="6">
        <v>50301</v>
      </c>
      <c r="B209" s="6" t="s">
        <v>210</v>
      </c>
      <c r="C209" s="7">
        <v>72.314411962850897</v>
      </c>
      <c r="D209" s="7">
        <v>81.0233403515346</v>
      </c>
    </row>
    <row r="210" spans="1:4" x14ac:dyDescent="0.3">
      <c r="A210" s="6">
        <v>50302</v>
      </c>
      <c r="B210" s="6" t="s">
        <v>211</v>
      </c>
      <c r="C210" s="7">
        <v>61.60808565179665</v>
      </c>
      <c r="D210" s="7">
        <v>71.320075584291303</v>
      </c>
    </row>
    <row r="211" spans="1:4" x14ac:dyDescent="0.3">
      <c r="A211" s="6">
        <v>50303</v>
      </c>
      <c r="B211" s="6" t="s">
        <v>212</v>
      </c>
      <c r="C211" s="7">
        <v>28.528482806849922</v>
      </c>
      <c r="D211" s="7">
        <v>57.869574706476577</v>
      </c>
    </row>
    <row r="212" spans="1:4" x14ac:dyDescent="0.3">
      <c r="A212" s="6">
        <v>50401</v>
      </c>
      <c r="B212" s="6" t="s">
        <v>213</v>
      </c>
      <c r="C212" s="7">
        <v>49.261904794169702</v>
      </c>
      <c r="D212" s="7">
        <v>73.083928347974279</v>
      </c>
    </row>
    <row r="213" spans="1:4" x14ac:dyDescent="0.3">
      <c r="A213" s="6">
        <v>50402</v>
      </c>
      <c r="B213" s="6" t="s">
        <v>214</v>
      </c>
      <c r="C213" s="7">
        <v>60.547523064114579</v>
      </c>
      <c r="D213" s="7">
        <v>76.603330074585685</v>
      </c>
    </row>
    <row r="214" spans="1:4" x14ac:dyDescent="0.3">
      <c r="A214" s="6">
        <v>50403</v>
      </c>
      <c r="B214" s="6" t="s">
        <v>215</v>
      </c>
      <c r="C214" s="7">
        <v>48.119549007944833</v>
      </c>
      <c r="D214" s="7">
        <v>71.298809601448525</v>
      </c>
    </row>
    <row r="215" spans="1:4" x14ac:dyDescent="0.3">
      <c r="A215" s="6">
        <v>50404</v>
      </c>
      <c r="B215" s="6" t="s">
        <v>216</v>
      </c>
      <c r="C215" s="7">
        <v>61.226369891930894</v>
      </c>
      <c r="D215" s="7">
        <v>72.019062202288083</v>
      </c>
    </row>
    <row r="216" spans="1:4" x14ac:dyDescent="0.3">
      <c r="A216" s="6">
        <v>50405</v>
      </c>
      <c r="B216" s="6" t="s">
        <v>243</v>
      </c>
      <c r="C216" s="7">
        <v>49.261904794169702</v>
      </c>
      <c r="D216" s="7">
        <v>66.649507107819616</v>
      </c>
    </row>
    <row r="217" spans="1:4" x14ac:dyDescent="0.3">
      <c r="A217" s="6">
        <v>50501</v>
      </c>
      <c r="B217" s="6" t="s">
        <v>217</v>
      </c>
      <c r="C217" s="7">
        <v>50.026724840556348</v>
      </c>
      <c r="D217" s="7">
        <v>71.470659968186723</v>
      </c>
    </row>
    <row r="218" spans="1:4" x14ac:dyDescent="0.3">
      <c r="A218" s="6">
        <v>50502</v>
      </c>
      <c r="B218" s="6" t="s">
        <v>218</v>
      </c>
      <c r="C218" s="7">
        <v>64.006642223596074</v>
      </c>
      <c r="D218" s="7">
        <v>75.781542618911942</v>
      </c>
    </row>
    <row r="219" spans="1:4" x14ac:dyDescent="0.3">
      <c r="A219" s="6">
        <v>50601</v>
      </c>
      <c r="B219" s="6" t="s">
        <v>219</v>
      </c>
      <c r="C219" s="7">
        <v>37.701081938709649</v>
      </c>
      <c r="D219" s="7">
        <v>57.389678824216439</v>
      </c>
    </row>
    <row r="220" spans="1:4" x14ac:dyDescent="0.3">
      <c r="A220" s="6">
        <v>50602</v>
      </c>
      <c r="B220" s="6" t="s">
        <v>220</v>
      </c>
      <c r="C220" s="7">
        <v>48.047586796811991</v>
      </c>
      <c r="D220" s="7">
        <v>83.100955742697138</v>
      </c>
    </row>
    <row r="221" spans="1:4" x14ac:dyDescent="0.3">
      <c r="A221" s="6">
        <v>50701</v>
      </c>
      <c r="B221" s="6" t="s">
        <v>228</v>
      </c>
      <c r="C221" s="7">
        <v>55.40164772259957</v>
      </c>
      <c r="D221" s="7">
        <v>63.075433157895255</v>
      </c>
    </row>
    <row r="222" spans="1:4" x14ac:dyDescent="0.3">
      <c r="A222" s="6">
        <v>50702</v>
      </c>
      <c r="B222" s="6" t="s">
        <v>229</v>
      </c>
      <c r="C222" s="7">
        <v>66.526788037870958</v>
      </c>
      <c r="D222" s="7">
        <v>67.38891800933753</v>
      </c>
    </row>
    <row r="223" spans="1:4" x14ac:dyDescent="0.3">
      <c r="A223" s="6">
        <v>50801</v>
      </c>
      <c r="B223" s="6" t="s">
        <v>221</v>
      </c>
      <c r="C223" s="7">
        <v>54.241978144169479</v>
      </c>
      <c r="D223" s="7">
        <v>72.441203462226596</v>
      </c>
    </row>
    <row r="224" spans="1:4" x14ac:dyDescent="0.3">
      <c r="A224" s="6">
        <v>50802</v>
      </c>
      <c r="B224" s="6" t="s">
        <v>222</v>
      </c>
      <c r="C224" s="7">
        <v>42.764721625457206</v>
      </c>
      <c r="D224" s="7">
        <v>58.430005452526281</v>
      </c>
    </row>
    <row r="225" spans="1:4" x14ac:dyDescent="0.3">
      <c r="A225" s="6">
        <v>50901</v>
      </c>
      <c r="B225" s="6" t="s">
        <v>223</v>
      </c>
      <c r="C225" s="7">
        <v>38.742364613839165</v>
      </c>
      <c r="D225" s="7">
        <v>68.020211338151853</v>
      </c>
    </row>
    <row r="226" spans="1:4" x14ac:dyDescent="0.3">
      <c r="A226" s="6">
        <v>50902</v>
      </c>
      <c r="B226" s="6" t="s">
        <v>224</v>
      </c>
      <c r="C226" s="7">
        <v>32.062514645273936</v>
      </c>
      <c r="D226" s="7">
        <v>69.663166181784689</v>
      </c>
    </row>
    <row r="227" spans="1:4" x14ac:dyDescent="0.3">
      <c r="A227" s="6">
        <v>51001</v>
      </c>
      <c r="B227" s="6" t="s">
        <v>225</v>
      </c>
      <c r="C227" s="7">
        <v>45.295105257819181</v>
      </c>
      <c r="D227" s="7">
        <v>80.22591435345818</v>
      </c>
    </row>
    <row r="228" spans="1:4" x14ac:dyDescent="0.3">
      <c r="A228" s="6">
        <v>51002</v>
      </c>
      <c r="B228" s="6" t="s">
        <v>226</v>
      </c>
      <c r="C228" s="7">
        <v>27.140423202783648</v>
      </c>
      <c r="D228" s="7">
        <v>75.576393900198923</v>
      </c>
    </row>
    <row r="229" spans="1:4" x14ac:dyDescent="0.3">
      <c r="A229" s="6">
        <v>51003</v>
      </c>
      <c r="B229" s="6" t="s">
        <v>227</v>
      </c>
      <c r="C229" s="7">
        <v>58.335175641616537</v>
      </c>
      <c r="D229" s="7">
        <v>79.523408272668959</v>
      </c>
    </row>
    <row r="230" spans="1:4" x14ac:dyDescent="0.3">
      <c r="A230" s="6">
        <v>51101</v>
      </c>
      <c r="B230" s="6" t="s">
        <v>230</v>
      </c>
      <c r="C230" s="7">
        <v>67.419287913061112</v>
      </c>
      <c r="D230" s="7">
        <v>84.950385491060317</v>
      </c>
    </row>
    <row r="231" spans="1:4" x14ac:dyDescent="0.3">
      <c r="A231" s="6">
        <v>51102</v>
      </c>
      <c r="B231" s="6" t="s">
        <v>231</v>
      </c>
      <c r="C231" s="7">
        <v>54.065006507717406</v>
      </c>
      <c r="D231" s="7">
        <v>70.627366034938447</v>
      </c>
    </row>
    <row r="232" spans="1:4" x14ac:dyDescent="0.3">
      <c r="A232" s="6">
        <v>51103</v>
      </c>
      <c r="B232" s="6" t="s">
        <v>241</v>
      </c>
      <c r="C232" s="7">
        <v>46.19750208945019</v>
      </c>
      <c r="D232" s="7">
        <v>66.136614810354146</v>
      </c>
    </row>
    <row r="233" spans="1:4" x14ac:dyDescent="0.3">
      <c r="A233" s="6">
        <v>51201</v>
      </c>
      <c r="B233" s="6" t="s">
        <v>232</v>
      </c>
      <c r="C233" s="7">
        <v>58.298245528811002</v>
      </c>
      <c r="D233" s="7">
        <v>66.918552498268355</v>
      </c>
    </row>
    <row r="234" spans="1:4" x14ac:dyDescent="0.3">
      <c r="A234" s="6">
        <v>51202</v>
      </c>
      <c r="B234" s="6" t="s">
        <v>233</v>
      </c>
      <c r="C234" s="7">
        <v>46.346114618914839</v>
      </c>
      <c r="D234" s="7">
        <v>74.090393463355824</v>
      </c>
    </row>
    <row r="235" spans="1:4" x14ac:dyDescent="0.3">
      <c r="A235" s="6">
        <v>51203</v>
      </c>
      <c r="B235" s="6" t="s">
        <v>234</v>
      </c>
      <c r="C235" s="7">
        <v>40.770267283347771</v>
      </c>
      <c r="D235" s="7">
        <v>66.889304430050572</v>
      </c>
    </row>
    <row r="236" spans="1:4" x14ac:dyDescent="0.3">
      <c r="A236" s="6">
        <v>51204</v>
      </c>
      <c r="B236" s="6" t="s">
        <v>476</v>
      </c>
      <c r="C236" s="7">
        <v>46.346114618914839</v>
      </c>
      <c r="D236" s="7">
        <v>48.71254782951808</v>
      </c>
    </row>
    <row r="237" spans="1:4" x14ac:dyDescent="0.3">
      <c r="A237" s="6">
        <v>51301</v>
      </c>
      <c r="B237" s="6" t="s">
        <v>235</v>
      </c>
      <c r="C237" s="7">
        <v>76.293986942179913</v>
      </c>
      <c r="D237" s="7">
        <v>79.975942985063512</v>
      </c>
    </row>
    <row r="238" spans="1:4" x14ac:dyDescent="0.3">
      <c r="A238" s="6">
        <v>51302</v>
      </c>
      <c r="B238" s="6" t="s">
        <v>236</v>
      </c>
      <c r="C238" s="7">
        <v>54.482647713765026</v>
      </c>
      <c r="D238" s="7">
        <v>84.009472221430428</v>
      </c>
    </row>
    <row r="239" spans="1:4" x14ac:dyDescent="0.3">
      <c r="A239" s="6">
        <v>51401</v>
      </c>
      <c r="B239" s="6" t="s">
        <v>237</v>
      </c>
      <c r="C239" s="7">
        <v>52.065182038606189</v>
      </c>
      <c r="D239" s="7">
        <v>65.775086431940608</v>
      </c>
    </row>
    <row r="240" spans="1:4" x14ac:dyDescent="0.3">
      <c r="A240" s="6">
        <v>51402</v>
      </c>
      <c r="B240" s="6" t="s">
        <v>238</v>
      </c>
      <c r="C240" s="7">
        <v>41.634419130612265</v>
      </c>
      <c r="D240" s="7">
        <v>71.931604812476891</v>
      </c>
    </row>
    <row r="241" spans="1:4" x14ac:dyDescent="0.3">
      <c r="A241" s="6">
        <v>51501</v>
      </c>
      <c r="B241" s="6" t="s">
        <v>239</v>
      </c>
      <c r="C241" s="7">
        <v>64.227900794117232</v>
      </c>
      <c r="D241" s="7">
        <v>79.984201454587264</v>
      </c>
    </row>
    <row r="242" spans="1:4" x14ac:dyDescent="0.3">
      <c r="A242" s="6">
        <v>51601</v>
      </c>
      <c r="B242" s="6" t="s">
        <v>240</v>
      </c>
      <c r="C242" s="7">
        <v>43.141373845032263</v>
      </c>
      <c r="D242" s="7">
        <v>72.778256068827929</v>
      </c>
    </row>
    <row r="243" spans="1:4" x14ac:dyDescent="0.3">
      <c r="A243" s="6">
        <v>60101</v>
      </c>
      <c r="B243" s="6" t="s">
        <v>244</v>
      </c>
      <c r="C243" s="7">
        <v>49.32502158089153</v>
      </c>
      <c r="D243" s="7">
        <v>76.014792374965154</v>
      </c>
    </row>
    <row r="244" spans="1:4" x14ac:dyDescent="0.3">
      <c r="A244" s="6">
        <v>60201</v>
      </c>
      <c r="B244" s="6" t="s">
        <v>246</v>
      </c>
      <c r="C244" s="7">
        <v>63.414417579618522</v>
      </c>
      <c r="D244" s="7">
        <v>78.542971864137712</v>
      </c>
    </row>
    <row r="245" spans="1:4" x14ac:dyDescent="0.3">
      <c r="A245" s="6">
        <v>60202</v>
      </c>
      <c r="B245" s="6" t="s">
        <v>247</v>
      </c>
      <c r="C245" s="7">
        <v>78.697085246183505</v>
      </c>
      <c r="D245" s="7">
        <v>75.438044454688907</v>
      </c>
    </row>
    <row r="246" spans="1:4" x14ac:dyDescent="0.3">
      <c r="A246" s="6">
        <v>60301</v>
      </c>
      <c r="B246" s="6" t="s">
        <v>248</v>
      </c>
      <c r="C246" s="7">
        <v>69.487306322084706</v>
      </c>
      <c r="D246" s="7">
        <v>73.136384103259147</v>
      </c>
    </row>
    <row r="247" spans="1:4" x14ac:dyDescent="0.3">
      <c r="A247" s="6">
        <v>60302</v>
      </c>
      <c r="B247" s="6" t="s">
        <v>249</v>
      </c>
      <c r="C247" s="7">
        <v>68.003421046105899</v>
      </c>
      <c r="D247" s="7">
        <v>74.602259452267745</v>
      </c>
    </row>
    <row r="248" spans="1:4" x14ac:dyDescent="0.3">
      <c r="A248" s="6">
        <v>60303</v>
      </c>
      <c r="B248" s="6" t="s">
        <v>250</v>
      </c>
      <c r="C248" s="7">
        <v>80.238863340770777</v>
      </c>
      <c r="D248" s="7">
        <v>78.969592991875047</v>
      </c>
    </row>
    <row r="249" spans="1:4" x14ac:dyDescent="0.3">
      <c r="A249" s="6">
        <v>60401</v>
      </c>
      <c r="B249" s="6" t="s">
        <v>251</v>
      </c>
      <c r="C249" s="7">
        <v>70.985991530897977</v>
      </c>
      <c r="D249" s="7">
        <v>72.710876155401081</v>
      </c>
    </row>
    <row r="250" spans="1:4" x14ac:dyDescent="0.3">
      <c r="A250" s="6">
        <v>60402</v>
      </c>
      <c r="B250" s="6" t="s">
        <v>252</v>
      </c>
      <c r="C250" s="7">
        <v>68.970519574169643</v>
      </c>
      <c r="D250" s="7">
        <v>68.779101218984295</v>
      </c>
    </row>
    <row r="251" spans="1:4" x14ac:dyDescent="0.3">
      <c r="A251" s="6">
        <v>60501</v>
      </c>
      <c r="B251" s="6" t="s">
        <v>253</v>
      </c>
      <c r="C251" s="7">
        <v>49.443265748741453</v>
      </c>
      <c r="D251" s="7">
        <v>77.428541420676055</v>
      </c>
    </row>
    <row r="252" spans="1:4" x14ac:dyDescent="0.3">
      <c r="A252" s="6">
        <v>60502</v>
      </c>
      <c r="B252" s="6" t="s">
        <v>254</v>
      </c>
      <c r="C252" s="7">
        <v>62.667051250280075</v>
      </c>
      <c r="D252" s="7">
        <v>69.353470991186725</v>
      </c>
    </row>
    <row r="253" spans="1:4" x14ac:dyDescent="0.3">
      <c r="A253" s="6">
        <v>60601</v>
      </c>
      <c r="B253" s="6" t="s">
        <v>255</v>
      </c>
      <c r="C253" s="7">
        <v>74.981357490100933</v>
      </c>
      <c r="D253" s="7">
        <v>85.975329498026341</v>
      </c>
    </row>
    <row r="254" spans="1:4" x14ac:dyDescent="0.3">
      <c r="A254" s="6">
        <v>70101</v>
      </c>
      <c r="B254" s="6" t="s">
        <v>256</v>
      </c>
      <c r="C254" s="7">
        <v>72.567372761054784</v>
      </c>
      <c r="D254" s="7">
        <v>78.896745319521457</v>
      </c>
    </row>
    <row r="255" spans="1:4" x14ac:dyDescent="0.3">
      <c r="A255" s="6">
        <v>70102</v>
      </c>
      <c r="B255" s="6" t="s">
        <v>258</v>
      </c>
      <c r="C255" s="7">
        <v>78.298255536081527</v>
      </c>
      <c r="D255" s="7">
        <v>94.944386301319184</v>
      </c>
    </row>
    <row r="256" spans="1:4" x14ac:dyDescent="0.3">
      <c r="A256" s="6">
        <v>70103</v>
      </c>
      <c r="B256" s="6" t="s">
        <v>259</v>
      </c>
      <c r="C256" s="7">
        <v>53.306329175982192</v>
      </c>
      <c r="D256" s="7">
        <v>66.434993048541784</v>
      </c>
    </row>
    <row r="257" spans="1:4" x14ac:dyDescent="0.3">
      <c r="A257" s="6">
        <v>70104</v>
      </c>
      <c r="B257" s="6" t="s">
        <v>260</v>
      </c>
      <c r="C257" s="7">
        <v>75.33131657860342</v>
      </c>
      <c r="D257" s="7">
        <v>79.775976232946675</v>
      </c>
    </row>
    <row r="258" spans="1:4" x14ac:dyDescent="0.3">
      <c r="A258" s="6">
        <v>70105</v>
      </c>
      <c r="B258" s="6" t="s">
        <v>261</v>
      </c>
      <c r="C258" s="7">
        <v>69.301125407359834</v>
      </c>
      <c r="D258" s="7">
        <v>74.738510698148914</v>
      </c>
    </row>
    <row r="259" spans="1:4" x14ac:dyDescent="0.3">
      <c r="A259" s="6">
        <v>70201</v>
      </c>
      <c r="B259" s="6" t="s">
        <v>262</v>
      </c>
      <c r="C259" s="7">
        <v>63.787344205432561</v>
      </c>
      <c r="D259" s="7">
        <v>71.078515534215413</v>
      </c>
    </row>
    <row r="260" spans="1:4" x14ac:dyDescent="0.3">
      <c r="A260" s="6">
        <v>70202</v>
      </c>
      <c r="B260" s="6" t="s">
        <v>304</v>
      </c>
      <c r="C260" s="7">
        <v>57.220510025066268</v>
      </c>
      <c r="D260" s="7">
        <v>86.189740840102743</v>
      </c>
    </row>
    <row r="261" spans="1:4" x14ac:dyDescent="0.3">
      <c r="A261" s="6">
        <v>70301</v>
      </c>
      <c r="B261" s="6" t="s">
        <v>263</v>
      </c>
      <c r="C261" s="7">
        <v>85.278383452520757</v>
      </c>
      <c r="D261" s="7">
        <v>81.189774628248074</v>
      </c>
    </row>
    <row r="262" spans="1:4" x14ac:dyDescent="0.3">
      <c r="A262" s="6">
        <v>70302</v>
      </c>
      <c r="B262" s="6" t="s">
        <v>264</v>
      </c>
      <c r="C262" s="7">
        <v>73.201736724716739</v>
      </c>
      <c r="D262" s="7">
        <v>70.561162100239429</v>
      </c>
    </row>
    <row r="263" spans="1:4" x14ac:dyDescent="0.3">
      <c r="A263" s="6">
        <v>70303</v>
      </c>
      <c r="B263" s="6" t="s">
        <v>265</v>
      </c>
      <c r="C263" s="7">
        <v>64.246513139105915</v>
      </c>
      <c r="D263" s="7">
        <v>90.376811394261225</v>
      </c>
    </row>
    <row r="264" spans="1:4" x14ac:dyDescent="0.3">
      <c r="A264" s="6">
        <v>70401</v>
      </c>
      <c r="B264" s="6" t="s">
        <v>266</v>
      </c>
      <c r="C264" s="7">
        <v>51.567606622820598</v>
      </c>
      <c r="D264" s="7">
        <v>63.566643260293667</v>
      </c>
    </row>
    <row r="265" spans="1:4" x14ac:dyDescent="0.3">
      <c r="A265" s="6">
        <v>70402</v>
      </c>
      <c r="B265" s="6" t="s">
        <v>267</v>
      </c>
      <c r="C265" s="7">
        <v>66.564464199216033</v>
      </c>
      <c r="D265" s="7">
        <v>82.085218403853844</v>
      </c>
    </row>
    <row r="266" spans="1:4" x14ac:dyDescent="0.3">
      <c r="A266" s="6">
        <v>70403</v>
      </c>
      <c r="B266" s="6" t="s">
        <v>268</v>
      </c>
      <c r="C266" s="7">
        <v>49.432451201131329</v>
      </c>
      <c r="D266" s="7">
        <v>73.955710369241487</v>
      </c>
    </row>
    <row r="267" spans="1:4" x14ac:dyDescent="0.3">
      <c r="A267" s="6">
        <v>70404</v>
      </c>
      <c r="B267" s="6" t="s">
        <v>308</v>
      </c>
      <c r="C267" s="7">
        <v>72.048219494157522</v>
      </c>
      <c r="D267" s="7">
        <v>84.614261415310679</v>
      </c>
    </row>
    <row r="268" spans="1:4" x14ac:dyDescent="0.3">
      <c r="A268" s="6">
        <v>70501</v>
      </c>
      <c r="B268" s="6" t="s">
        <v>269</v>
      </c>
      <c r="C268" s="7">
        <v>67.697414291284602</v>
      </c>
      <c r="D268" s="7">
        <v>85.141421487693876</v>
      </c>
    </row>
    <row r="269" spans="1:4" x14ac:dyDescent="0.3">
      <c r="A269" s="6">
        <v>70502</v>
      </c>
      <c r="B269" s="6" t="s">
        <v>270</v>
      </c>
      <c r="C269" s="7">
        <v>61.690092283695627</v>
      </c>
      <c r="D269" s="7">
        <v>75.285213143311736</v>
      </c>
    </row>
    <row r="270" spans="1:4" x14ac:dyDescent="0.3">
      <c r="A270" s="6">
        <v>70503</v>
      </c>
      <c r="B270" s="6" t="s">
        <v>271</v>
      </c>
      <c r="C270" s="7">
        <v>80.052564505542122</v>
      </c>
      <c r="D270" s="7">
        <v>90.658044226886133</v>
      </c>
    </row>
    <row r="271" spans="1:4" x14ac:dyDescent="0.3">
      <c r="A271" s="6">
        <v>70601</v>
      </c>
      <c r="B271" s="6" t="s">
        <v>272</v>
      </c>
      <c r="C271" s="7">
        <v>82.403035063816318</v>
      </c>
      <c r="D271" s="7">
        <v>71.217305757792403</v>
      </c>
    </row>
    <row r="272" spans="1:4" x14ac:dyDescent="0.3">
      <c r="A272" s="6">
        <v>70602</v>
      </c>
      <c r="B272" s="6" t="s">
        <v>273</v>
      </c>
      <c r="C272" s="7">
        <v>67.914106165820144</v>
      </c>
      <c r="D272" s="7">
        <v>85.78441880457666</v>
      </c>
    </row>
    <row r="273" spans="1:4" x14ac:dyDescent="0.3">
      <c r="A273" s="6">
        <v>70603</v>
      </c>
      <c r="B273" s="6" t="s">
        <v>312</v>
      </c>
      <c r="C273" s="7">
        <v>80.052563992202877</v>
      </c>
      <c r="D273" s="7">
        <v>84.025826885405735</v>
      </c>
    </row>
    <row r="274" spans="1:4" x14ac:dyDescent="0.3">
      <c r="A274" s="6">
        <v>70701</v>
      </c>
      <c r="B274" s="6" t="s">
        <v>274</v>
      </c>
      <c r="C274" s="7">
        <v>64.61922574175189</v>
      </c>
      <c r="D274" s="7">
        <v>73.52963232926858</v>
      </c>
    </row>
    <row r="275" spans="1:4" x14ac:dyDescent="0.3">
      <c r="A275" s="6">
        <v>70702</v>
      </c>
      <c r="B275" s="6" t="s">
        <v>275</v>
      </c>
      <c r="C275" s="7">
        <v>74.357799274383595</v>
      </c>
      <c r="D275" s="7">
        <v>74.505831387535181</v>
      </c>
    </row>
    <row r="276" spans="1:4" x14ac:dyDescent="0.3">
      <c r="A276" s="6">
        <v>70703</v>
      </c>
      <c r="B276" s="6" t="s">
        <v>276</v>
      </c>
      <c r="C276" s="7">
        <v>71.568396922710818</v>
      </c>
      <c r="D276" s="7">
        <v>81.742048126146585</v>
      </c>
    </row>
    <row r="277" spans="1:4" x14ac:dyDescent="0.3">
      <c r="A277" s="6">
        <v>70704</v>
      </c>
      <c r="B277" s="6" t="s">
        <v>277</v>
      </c>
      <c r="C277" s="7">
        <v>55.676040003678224</v>
      </c>
      <c r="D277" s="7">
        <v>66.815128990094763</v>
      </c>
    </row>
    <row r="278" spans="1:4" x14ac:dyDescent="0.3">
      <c r="A278" s="6">
        <v>70705</v>
      </c>
      <c r="B278" s="6" t="s">
        <v>278</v>
      </c>
      <c r="C278" s="7">
        <v>72.675187761806853</v>
      </c>
      <c r="D278" s="7">
        <v>79.624736357260318</v>
      </c>
    </row>
    <row r="279" spans="1:4" x14ac:dyDescent="0.3">
      <c r="A279" s="6">
        <v>70706</v>
      </c>
      <c r="B279" s="6" t="s">
        <v>279</v>
      </c>
      <c r="C279" s="7">
        <v>91.666191327580904</v>
      </c>
      <c r="D279" s="7">
        <v>82.453179438371833</v>
      </c>
    </row>
    <row r="280" spans="1:4" x14ac:dyDescent="0.3">
      <c r="A280" s="6">
        <v>70707</v>
      </c>
      <c r="B280" s="6" t="s">
        <v>280</v>
      </c>
      <c r="C280" s="7">
        <v>62.020776493256825</v>
      </c>
      <c r="D280" s="7">
        <v>70.113124767902718</v>
      </c>
    </row>
    <row r="281" spans="1:4" x14ac:dyDescent="0.3">
      <c r="A281" s="6">
        <v>70801</v>
      </c>
      <c r="B281" s="6" t="s">
        <v>281</v>
      </c>
      <c r="C281" s="7">
        <v>67.258431001696337</v>
      </c>
      <c r="D281" s="7">
        <v>83.768072342639954</v>
      </c>
    </row>
    <row r="282" spans="1:4" x14ac:dyDescent="0.3">
      <c r="A282" s="6">
        <v>70802</v>
      </c>
      <c r="B282" s="6" t="s">
        <v>282</v>
      </c>
      <c r="C282" s="7">
        <v>62.810101534980753</v>
      </c>
      <c r="D282" s="7">
        <v>84.564998761722208</v>
      </c>
    </row>
    <row r="283" spans="1:4" x14ac:dyDescent="0.3">
      <c r="A283" s="6">
        <v>70803</v>
      </c>
      <c r="B283" s="6" t="s">
        <v>283</v>
      </c>
      <c r="C283" s="7">
        <v>76.251572852510222</v>
      </c>
      <c r="D283" s="7">
        <v>72.902917977417474</v>
      </c>
    </row>
    <row r="284" spans="1:4" x14ac:dyDescent="0.3">
      <c r="A284" s="6">
        <v>70804</v>
      </c>
      <c r="B284" s="6" t="s">
        <v>284</v>
      </c>
      <c r="C284" s="7">
        <v>67.556538724059294</v>
      </c>
      <c r="D284" s="7">
        <v>51.260910095511434</v>
      </c>
    </row>
    <row r="285" spans="1:4" x14ac:dyDescent="0.3">
      <c r="A285" s="6">
        <v>70805</v>
      </c>
      <c r="B285" s="6" t="s">
        <v>285</v>
      </c>
      <c r="C285" s="7">
        <v>63.124501344841242</v>
      </c>
      <c r="D285" s="7">
        <v>73.900418954336558</v>
      </c>
    </row>
    <row r="286" spans="1:4" x14ac:dyDescent="0.3">
      <c r="A286" s="6">
        <v>70901</v>
      </c>
      <c r="B286" s="6" t="s">
        <v>286</v>
      </c>
      <c r="C286" s="7">
        <v>76.534818079548884</v>
      </c>
      <c r="D286" s="7">
        <v>73.829412462666127</v>
      </c>
    </row>
    <row r="287" spans="1:4" x14ac:dyDescent="0.3">
      <c r="A287" s="6">
        <v>70902</v>
      </c>
      <c r="B287" s="6" t="s">
        <v>287</v>
      </c>
      <c r="C287" s="7">
        <v>76.802284326989408</v>
      </c>
      <c r="D287" s="7">
        <v>70.80203363663361</v>
      </c>
    </row>
    <row r="288" spans="1:4" x14ac:dyDescent="0.3">
      <c r="A288" s="6">
        <v>70903</v>
      </c>
      <c r="B288" s="6" t="s">
        <v>288</v>
      </c>
      <c r="C288" s="7">
        <v>75.691813820532801</v>
      </c>
      <c r="D288" s="7">
        <v>65.382215176322134</v>
      </c>
    </row>
    <row r="289" spans="1:4" x14ac:dyDescent="0.3">
      <c r="A289" s="6">
        <v>70904</v>
      </c>
      <c r="B289" s="6" t="s">
        <v>289</v>
      </c>
      <c r="C289" s="7">
        <v>49.256715030259073</v>
      </c>
      <c r="D289" s="7">
        <v>72.953313641909261</v>
      </c>
    </row>
    <row r="290" spans="1:4" x14ac:dyDescent="0.3">
      <c r="A290" s="6">
        <v>71001</v>
      </c>
      <c r="B290" s="6" t="s">
        <v>290</v>
      </c>
      <c r="C290" s="7">
        <v>72.928591889811656</v>
      </c>
      <c r="D290" s="7">
        <v>77.499834020298707</v>
      </c>
    </row>
    <row r="291" spans="1:4" x14ac:dyDescent="0.3">
      <c r="A291" s="6">
        <v>71002</v>
      </c>
      <c r="B291" s="6" t="s">
        <v>291</v>
      </c>
      <c r="C291" s="7">
        <v>74.90008875118393</v>
      </c>
      <c r="D291" s="7">
        <v>82.419388916819869</v>
      </c>
    </row>
    <row r="292" spans="1:4" x14ac:dyDescent="0.3">
      <c r="A292" s="6">
        <v>71003</v>
      </c>
      <c r="B292" s="6" t="s">
        <v>292</v>
      </c>
      <c r="C292" s="7">
        <v>85.130100900238062</v>
      </c>
      <c r="D292" s="7">
        <v>81.618233100893676</v>
      </c>
    </row>
    <row r="293" spans="1:4" x14ac:dyDescent="0.3">
      <c r="A293" s="6">
        <v>71004</v>
      </c>
      <c r="B293" s="6" t="s">
        <v>309</v>
      </c>
      <c r="C293" s="7">
        <v>70.526517439961211</v>
      </c>
      <c r="D293" s="7">
        <v>84.107843178459518</v>
      </c>
    </row>
    <row r="294" spans="1:4" x14ac:dyDescent="0.3">
      <c r="A294" s="6">
        <v>71005</v>
      </c>
      <c r="B294" s="6" t="s">
        <v>310</v>
      </c>
      <c r="C294" s="7">
        <v>60.657422679056573</v>
      </c>
      <c r="D294" s="7">
        <v>76.389202820076534</v>
      </c>
    </row>
    <row r="295" spans="1:4" x14ac:dyDescent="0.3">
      <c r="A295" s="6">
        <v>71101</v>
      </c>
      <c r="B295" s="6" t="s">
        <v>293</v>
      </c>
      <c r="C295" s="7">
        <v>77.480998822285713</v>
      </c>
      <c r="D295" s="7">
        <v>78.303420796116711</v>
      </c>
    </row>
    <row r="296" spans="1:4" x14ac:dyDescent="0.3">
      <c r="A296" s="6">
        <v>71102</v>
      </c>
      <c r="B296" s="6" t="s">
        <v>294</v>
      </c>
      <c r="C296" s="7">
        <v>79.564618539170056</v>
      </c>
      <c r="D296" s="7">
        <v>76.375216733140618</v>
      </c>
    </row>
    <row r="297" spans="1:4" x14ac:dyDescent="0.3">
      <c r="A297" s="6">
        <v>71103</v>
      </c>
      <c r="B297" s="6" t="s">
        <v>306</v>
      </c>
      <c r="C297" s="7">
        <v>69.317676640843061</v>
      </c>
      <c r="D297" s="7">
        <v>79.667054744976824</v>
      </c>
    </row>
    <row r="298" spans="1:4" x14ac:dyDescent="0.3">
      <c r="A298" s="6">
        <v>71104</v>
      </c>
      <c r="B298" s="6" t="s">
        <v>295</v>
      </c>
      <c r="C298" s="7">
        <v>69.003600221105089</v>
      </c>
      <c r="D298" s="7">
        <v>82.637446490083718</v>
      </c>
    </row>
    <row r="299" spans="1:4" x14ac:dyDescent="0.3">
      <c r="A299" s="6">
        <v>71105</v>
      </c>
      <c r="B299" s="6" t="s">
        <v>305</v>
      </c>
      <c r="C299" s="7">
        <v>73.772215381172728</v>
      </c>
      <c r="D299" s="7">
        <v>79.889507332853654</v>
      </c>
    </row>
    <row r="300" spans="1:4" x14ac:dyDescent="0.3">
      <c r="A300" s="6">
        <v>71106</v>
      </c>
      <c r="B300" s="6" t="s">
        <v>311</v>
      </c>
      <c r="C300" s="7">
        <v>75.585906784359992</v>
      </c>
      <c r="D300" s="7">
        <v>78.080333822033595</v>
      </c>
    </row>
    <row r="301" spans="1:4" x14ac:dyDescent="0.3">
      <c r="A301" s="6">
        <v>71201</v>
      </c>
      <c r="B301" s="6" t="s">
        <v>296</v>
      </c>
      <c r="C301" s="7">
        <v>68.634537842824969</v>
      </c>
      <c r="D301" s="7">
        <v>85.965210982816572</v>
      </c>
    </row>
    <row r="302" spans="1:4" x14ac:dyDescent="0.3">
      <c r="A302" s="6">
        <v>71301</v>
      </c>
      <c r="B302" s="6" t="s">
        <v>297</v>
      </c>
      <c r="C302" s="7">
        <v>75.39688403448298</v>
      </c>
      <c r="D302" s="7">
        <v>80.409030370453692</v>
      </c>
    </row>
    <row r="303" spans="1:4" x14ac:dyDescent="0.3">
      <c r="A303" s="6">
        <v>71302</v>
      </c>
      <c r="B303" s="6" t="s">
        <v>298</v>
      </c>
      <c r="C303" s="7">
        <v>38.427188636768726</v>
      </c>
      <c r="D303" s="7">
        <v>69.735509003221111</v>
      </c>
    </row>
    <row r="304" spans="1:4" x14ac:dyDescent="0.3">
      <c r="A304" s="6">
        <v>71401</v>
      </c>
      <c r="B304" s="6" t="s">
        <v>299</v>
      </c>
      <c r="C304" s="7">
        <v>57.069876748263475</v>
      </c>
      <c r="D304" s="7">
        <v>77.48739601197542</v>
      </c>
    </row>
    <row r="305" spans="1:4" x14ac:dyDescent="0.3">
      <c r="A305" s="6">
        <v>71402</v>
      </c>
      <c r="B305" s="6" t="s">
        <v>300</v>
      </c>
      <c r="C305" s="7">
        <v>84.948850389897999</v>
      </c>
      <c r="D305" s="7">
        <v>85.081098299149872</v>
      </c>
    </row>
    <row r="306" spans="1:4" x14ac:dyDescent="0.3">
      <c r="A306" s="6">
        <v>71403</v>
      </c>
      <c r="B306" s="6" t="s">
        <v>307</v>
      </c>
      <c r="C306" s="7">
        <v>51.730425159828599</v>
      </c>
      <c r="D306" s="7">
        <v>80.443710141076537</v>
      </c>
    </row>
    <row r="307" spans="1:4" x14ac:dyDescent="0.3">
      <c r="A307" s="6">
        <v>71501</v>
      </c>
      <c r="B307" s="6" t="s">
        <v>301</v>
      </c>
      <c r="C307" s="7">
        <v>68.398536273586942</v>
      </c>
      <c r="D307" s="7">
        <v>82.235065231049774</v>
      </c>
    </row>
    <row r="308" spans="1:4" x14ac:dyDescent="0.3">
      <c r="A308" s="6">
        <v>71502</v>
      </c>
      <c r="B308" s="6" t="s">
        <v>302</v>
      </c>
      <c r="C308" s="7">
        <v>74.479528742186758</v>
      </c>
      <c r="D308" s="7">
        <v>80.983772560028811</v>
      </c>
    </row>
    <row r="309" spans="1:4" x14ac:dyDescent="0.3">
      <c r="A309" s="6">
        <v>71503</v>
      </c>
      <c r="B309" s="6" t="s">
        <v>303</v>
      </c>
      <c r="C309" s="7">
        <v>61.350893101319635</v>
      </c>
      <c r="D309" s="7">
        <v>78.977181465153492</v>
      </c>
    </row>
    <row r="310" spans="1:4" x14ac:dyDescent="0.3">
      <c r="A310" s="6">
        <v>80101</v>
      </c>
      <c r="B310" s="6" t="s">
        <v>313</v>
      </c>
      <c r="C310" s="7">
        <v>68.778107729539215</v>
      </c>
      <c r="D310" s="7">
        <v>79.310376978711048</v>
      </c>
    </row>
    <row r="311" spans="1:4" x14ac:dyDescent="0.3">
      <c r="A311" s="6">
        <v>80102</v>
      </c>
      <c r="B311" s="6" t="s">
        <v>315</v>
      </c>
      <c r="C311" s="7">
        <v>81.442009512675497</v>
      </c>
      <c r="D311" s="7">
        <v>79.622101324901209</v>
      </c>
    </row>
    <row r="312" spans="1:4" x14ac:dyDescent="0.3">
      <c r="A312" s="6">
        <v>80201</v>
      </c>
      <c r="B312" s="6" t="s">
        <v>316</v>
      </c>
      <c r="C312" s="7">
        <v>58.252104135129507</v>
      </c>
      <c r="D312" s="7">
        <v>82.413705447415012</v>
      </c>
    </row>
    <row r="313" spans="1:4" x14ac:dyDescent="0.3">
      <c r="A313" s="6">
        <v>80202</v>
      </c>
      <c r="B313" s="6" t="s">
        <v>317</v>
      </c>
      <c r="C313" s="7">
        <v>74.401527367854257</v>
      </c>
      <c r="D313" s="7">
        <v>82.261783667012892</v>
      </c>
    </row>
    <row r="314" spans="1:4" x14ac:dyDescent="0.3">
      <c r="A314" s="6">
        <v>80301</v>
      </c>
      <c r="B314" s="6" t="s">
        <v>318</v>
      </c>
      <c r="C314" s="7">
        <v>84.613189886043997</v>
      </c>
      <c r="D314" s="7">
        <v>73.002333264622607</v>
      </c>
    </row>
    <row r="315" spans="1:4" x14ac:dyDescent="0.3">
      <c r="A315" s="6">
        <v>80302</v>
      </c>
      <c r="B315" s="6" t="s">
        <v>320</v>
      </c>
      <c r="C315" s="7">
        <v>81.732007179554344</v>
      </c>
      <c r="D315" s="7">
        <v>88.268745069866597</v>
      </c>
    </row>
    <row r="316" spans="1:4" x14ac:dyDescent="0.3">
      <c r="A316" s="6">
        <v>80303</v>
      </c>
      <c r="B316" s="6" t="s">
        <v>321</v>
      </c>
      <c r="C316" s="7">
        <v>94.442849400161776</v>
      </c>
      <c r="D316" s="7">
        <v>82.591904411323497</v>
      </c>
    </row>
    <row r="317" spans="1:4" x14ac:dyDescent="0.3">
      <c r="A317" s="6">
        <v>80304</v>
      </c>
      <c r="B317" s="6" t="s">
        <v>319</v>
      </c>
      <c r="C317" s="7">
        <v>82.159514919074766</v>
      </c>
      <c r="D317" s="7">
        <v>80.937065424226887</v>
      </c>
    </row>
    <row r="318" spans="1:4" x14ac:dyDescent="0.3">
      <c r="A318" s="6">
        <v>80401</v>
      </c>
      <c r="B318" s="6" t="s">
        <v>322</v>
      </c>
      <c r="C318" s="7">
        <v>73.688642924964043</v>
      </c>
      <c r="D318" s="7">
        <v>82.763233111290035</v>
      </c>
    </row>
    <row r="319" spans="1:4" x14ac:dyDescent="0.3">
      <c r="A319" s="6">
        <v>80402</v>
      </c>
      <c r="B319" s="6" t="s">
        <v>332</v>
      </c>
      <c r="C319" s="7">
        <v>42.968958714111892</v>
      </c>
      <c r="D319" s="7">
        <v>62.392420528053727</v>
      </c>
    </row>
    <row r="320" spans="1:4" x14ac:dyDescent="0.3">
      <c r="A320" s="6">
        <v>80501</v>
      </c>
      <c r="B320" s="6" t="s">
        <v>323</v>
      </c>
      <c r="C320" s="7">
        <v>65.563969180686087</v>
      </c>
      <c r="D320" s="7">
        <v>86.978046537630931</v>
      </c>
    </row>
    <row r="321" spans="1:4" x14ac:dyDescent="0.3">
      <c r="A321" s="6">
        <v>80601</v>
      </c>
      <c r="B321" s="6" t="s">
        <v>324</v>
      </c>
      <c r="C321" s="7">
        <v>72.122558235620815</v>
      </c>
      <c r="D321" s="7">
        <v>75.901501445513532</v>
      </c>
    </row>
    <row r="322" spans="1:4" x14ac:dyDescent="0.3">
      <c r="A322" s="6">
        <v>80602</v>
      </c>
      <c r="B322" s="6" t="s">
        <v>325</v>
      </c>
      <c r="C322" s="7">
        <v>83.428342933169077</v>
      </c>
      <c r="D322" s="7">
        <v>78.77162036765975</v>
      </c>
    </row>
    <row r="323" spans="1:4" x14ac:dyDescent="0.3">
      <c r="A323" s="6">
        <v>80701</v>
      </c>
      <c r="B323" s="6" t="s">
        <v>326</v>
      </c>
      <c r="C323" s="7">
        <v>80.945023065071112</v>
      </c>
      <c r="D323" s="7">
        <v>74.96149652975356</v>
      </c>
    </row>
    <row r="324" spans="1:4" x14ac:dyDescent="0.3">
      <c r="A324" s="6">
        <v>80702</v>
      </c>
      <c r="B324" s="6" t="s">
        <v>327</v>
      </c>
      <c r="C324" s="7">
        <v>64.446078555853106</v>
      </c>
      <c r="D324" s="7">
        <v>72.392910088349595</v>
      </c>
    </row>
    <row r="325" spans="1:4" x14ac:dyDescent="0.3">
      <c r="A325" s="6">
        <v>80703</v>
      </c>
      <c r="B325" s="6" t="s">
        <v>328</v>
      </c>
      <c r="C325" s="7">
        <v>51.060924048878015</v>
      </c>
      <c r="D325" s="7">
        <v>82.63679198625654</v>
      </c>
    </row>
    <row r="326" spans="1:4" x14ac:dyDescent="0.3">
      <c r="A326" s="6">
        <v>80801</v>
      </c>
      <c r="B326" s="6" t="s">
        <v>329</v>
      </c>
      <c r="C326" s="7">
        <v>79.46983440441511</v>
      </c>
      <c r="D326" s="7">
        <v>81.191679276607459</v>
      </c>
    </row>
    <row r="327" spans="1:4" x14ac:dyDescent="0.3">
      <c r="A327" s="6">
        <v>80802</v>
      </c>
      <c r="B327" s="6" t="s">
        <v>330</v>
      </c>
      <c r="C327" s="7">
        <v>85.265622820435198</v>
      </c>
      <c r="D327" s="7">
        <v>79.859054152504811</v>
      </c>
    </row>
    <row r="328" spans="1:4" x14ac:dyDescent="0.3">
      <c r="A328" s="6">
        <v>80803</v>
      </c>
      <c r="B328" s="6" t="s">
        <v>331</v>
      </c>
      <c r="C328" s="7">
        <v>67.678873562259199</v>
      </c>
      <c r="D328" s="7">
        <v>85.256383039282852</v>
      </c>
    </row>
    <row r="329" spans="1:4" x14ac:dyDescent="0.3">
      <c r="A329" s="6">
        <v>80901</v>
      </c>
      <c r="B329" s="6" t="s">
        <v>477</v>
      </c>
      <c r="C329" s="7">
        <v>69.626306052825072</v>
      </c>
      <c r="D329" s="7">
        <v>87.689935202809153</v>
      </c>
    </row>
    <row r="330" spans="1:4" x14ac:dyDescent="0.3">
      <c r="A330" s="6">
        <v>90101</v>
      </c>
      <c r="B330" s="6" t="s">
        <v>333</v>
      </c>
      <c r="C330" s="7">
        <v>72.449131598570759</v>
      </c>
      <c r="D330" s="7">
        <v>85.102528566794604</v>
      </c>
    </row>
    <row r="331" spans="1:4" x14ac:dyDescent="0.3">
      <c r="A331" s="6">
        <v>90102</v>
      </c>
      <c r="B331" s="6" t="s">
        <v>335</v>
      </c>
      <c r="C331" s="7">
        <v>78.139266581772873</v>
      </c>
      <c r="D331" s="7">
        <v>90.831753426004425</v>
      </c>
    </row>
    <row r="332" spans="1:4" x14ac:dyDescent="0.3">
      <c r="A332" s="6">
        <v>90103</v>
      </c>
      <c r="B332" s="6" t="s">
        <v>336</v>
      </c>
      <c r="C332" s="7">
        <v>80.416946604365918</v>
      </c>
      <c r="D332" s="7">
        <v>70.928110645876714</v>
      </c>
    </row>
    <row r="333" spans="1:4" x14ac:dyDescent="0.3">
      <c r="A333" s="6">
        <v>90104</v>
      </c>
      <c r="B333" s="6" t="s">
        <v>337</v>
      </c>
      <c r="C333" s="7">
        <v>74.03979890652549</v>
      </c>
      <c r="D333" s="7">
        <v>84.164225568733897</v>
      </c>
    </row>
    <row r="334" spans="1:4" x14ac:dyDescent="0.3">
      <c r="A334" s="6">
        <v>90201</v>
      </c>
      <c r="B334" s="6" t="s">
        <v>338</v>
      </c>
      <c r="C334" s="7">
        <v>86.074016419387135</v>
      </c>
      <c r="D334" s="7">
        <v>73.943600953964804</v>
      </c>
    </row>
    <row r="335" spans="1:4" x14ac:dyDescent="0.3">
      <c r="A335" s="6">
        <v>90202</v>
      </c>
      <c r="B335" s="6" t="s">
        <v>339</v>
      </c>
      <c r="C335" s="7">
        <v>79.473100577092509</v>
      </c>
      <c r="D335" s="7">
        <v>91.037839795584674</v>
      </c>
    </row>
    <row r="336" spans="1:4" x14ac:dyDescent="0.3">
      <c r="A336" s="6">
        <v>90203</v>
      </c>
      <c r="B336" s="6" t="s">
        <v>340</v>
      </c>
      <c r="C336" s="7">
        <v>82.125532010925014</v>
      </c>
      <c r="D336" s="7">
        <v>88.07958351038674</v>
      </c>
    </row>
    <row r="337" spans="1:4" x14ac:dyDescent="0.3">
      <c r="A337" s="6">
        <v>90301</v>
      </c>
      <c r="B337" s="6" t="s">
        <v>341</v>
      </c>
      <c r="C337" s="7">
        <v>88.071596912237979</v>
      </c>
      <c r="D337" s="7">
        <v>82.774337577294588</v>
      </c>
    </row>
    <row r="338" spans="1:4" x14ac:dyDescent="0.3">
      <c r="A338" s="6">
        <v>90302</v>
      </c>
      <c r="B338" s="6" t="s">
        <v>342</v>
      </c>
      <c r="C338" s="7">
        <v>87.281578889253581</v>
      </c>
      <c r="D338" s="7">
        <v>89.599157076649604</v>
      </c>
    </row>
    <row r="339" spans="1:4" x14ac:dyDescent="0.3">
      <c r="A339" s="6">
        <v>90303</v>
      </c>
      <c r="B339" s="6" t="s">
        <v>343</v>
      </c>
      <c r="C339" s="7">
        <v>73.994022615315558</v>
      </c>
      <c r="D339" s="7">
        <v>71.968109637839405</v>
      </c>
    </row>
    <row r="340" spans="1:4" x14ac:dyDescent="0.3">
      <c r="A340" s="6">
        <v>90401</v>
      </c>
      <c r="B340" s="6" t="s">
        <v>344</v>
      </c>
      <c r="C340" s="7">
        <v>78.610746471737016</v>
      </c>
      <c r="D340" s="7">
        <v>66.146915150185393</v>
      </c>
    </row>
    <row r="341" spans="1:4" x14ac:dyDescent="0.3">
      <c r="A341" s="6">
        <v>90402</v>
      </c>
      <c r="B341" s="6" t="s">
        <v>345</v>
      </c>
      <c r="C341" s="7">
        <v>73.571797583405512</v>
      </c>
      <c r="D341" s="7">
        <v>62.294313705264898</v>
      </c>
    </row>
    <row r="342" spans="1:4" x14ac:dyDescent="0.3">
      <c r="A342" s="6">
        <v>90501</v>
      </c>
      <c r="B342" s="6" t="s">
        <v>346</v>
      </c>
      <c r="C342" s="7">
        <v>74.519989632714626</v>
      </c>
      <c r="D342" s="7">
        <v>77.620859501107148</v>
      </c>
    </row>
    <row r="343" spans="1:4" x14ac:dyDescent="0.3">
      <c r="A343" s="6">
        <v>90502</v>
      </c>
      <c r="B343" s="6" t="s">
        <v>347</v>
      </c>
      <c r="C343" s="7">
        <v>79.830889410590444</v>
      </c>
      <c r="D343" s="7">
        <v>90.542434597833406</v>
      </c>
    </row>
    <row r="344" spans="1:4" x14ac:dyDescent="0.3">
      <c r="A344" s="6">
        <v>90503</v>
      </c>
      <c r="B344" s="6" t="s">
        <v>348</v>
      </c>
      <c r="C344" s="7">
        <v>70.44480854364194</v>
      </c>
      <c r="D344" s="7">
        <v>91.37121163749373</v>
      </c>
    </row>
  </sheetData>
  <sortState xmlns:xlrd2="http://schemas.microsoft.com/office/spreadsheetml/2017/richdata2" ref="A2:D345">
    <sortCondition ref="A1:A3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A167-E9C5-4435-A125-24FEDBCBD507}">
  <dimension ref="A1:D344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2" max="2" width="19.6640625" customWidth="1"/>
    <col min="3" max="4" width="42.33203125" customWidth="1"/>
  </cols>
  <sheetData>
    <row r="1" spans="1:4" x14ac:dyDescent="0.3">
      <c r="A1" s="2" t="s">
        <v>349</v>
      </c>
      <c r="B1" s="2" t="s">
        <v>464</v>
      </c>
      <c r="C1" s="2" t="s">
        <v>495</v>
      </c>
      <c r="D1" s="2" t="s">
        <v>496</v>
      </c>
    </row>
    <row r="2" spans="1:4" x14ac:dyDescent="0.3">
      <c r="A2" s="3">
        <v>10101</v>
      </c>
      <c r="B2" s="3" t="s">
        <v>0</v>
      </c>
      <c r="C2" s="3">
        <v>823817660.73999989</v>
      </c>
      <c r="D2" s="3">
        <v>655989169.76999998</v>
      </c>
    </row>
    <row r="3" spans="1:4" x14ac:dyDescent="0.3">
      <c r="A3" s="3">
        <v>10102</v>
      </c>
      <c r="B3" s="3" t="s">
        <v>2</v>
      </c>
      <c r="C3" s="3">
        <v>29591606.59</v>
      </c>
      <c r="D3" s="3">
        <v>23681146.109999996</v>
      </c>
    </row>
    <row r="4" spans="1:4" x14ac:dyDescent="0.3">
      <c r="A4" s="3">
        <v>10103</v>
      </c>
      <c r="B4" s="3" t="s">
        <v>3</v>
      </c>
      <c r="C4" s="3">
        <v>42188476.549999997</v>
      </c>
      <c r="D4" s="3">
        <v>29404514.440000009</v>
      </c>
    </row>
    <row r="5" spans="1:4" x14ac:dyDescent="0.3">
      <c r="A5" s="3">
        <v>10201</v>
      </c>
      <c r="B5" s="3" t="s">
        <v>4</v>
      </c>
      <c r="C5" s="3">
        <v>34177592.200000003</v>
      </c>
      <c r="D5" s="3">
        <v>24270091.959999997</v>
      </c>
    </row>
    <row r="6" spans="1:4" x14ac:dyDescent="0.3">
      <c r="A6" s="3">
        <v>10202</v>
      </c>
      <c r="B6" s="3" t="s">
        <v>5</v>
      </c>
      <c r="C6" s="3">
        <v>44725491.00333333</v>
      </c>
      <c r="D6" s="3">
        <v>23185038.670000002</v>
      </c>
    </row>
    <row r="7" spans="1:4" x14ac:dyDescent="0.3">
      <c r="A7" s="3">
        <v>10301</v>
      </c>
      <c r="B7" s="3" t="s">
        <v>6</v>
      </c>
      <c r="C7" s="3">
        <v>23057201.073333334</v>
      </c>
      <c r="D7" s="3">
        <v>24046461.760000002</v>
      </c>
    </row>
    <row r="8" spans="1:4" x14ac:dyDescent="0.3">
      <c r="A8" s="3">
        <v>10302</v>
      </c>
      <c r="B8" s="3" t="s">
        <v>7</v>
      </c>
      <c r="C8" s="3">
        <v>25973482.499999996</v>
      </c>
      <c r="D8" s="3">
        <v>25725791.756666664</v>
      </c>
    </row>
    <row r="9" spans="1:4" x14ac:dyDescent="0.3">
      <c r="A9" s="3">
        <v>10303</v>
      </c>
      <c r="B9" s="3" t="s">
        <v>8</v>
      </c>
      <c r="C9" s="3">
        <v>22676575.756666664</v>
      </c>
      <c r="D9" s="3">
        <v>23928989.359999999</v>
      </c>
    </row>
    <row r="10" spans="1:4" x14ac:dyDescent="0.3">
      <c r="A10" s="3">
        <v>10304</v>
      </c>
      <c r="B10" s="3" t="s">
        <v>9</v>
      </c>
      <c r="C10" s="3">
        <v>26961001.72666667</v>
      </c>
      <c r="D10" s="3">
        <v>14703569.256666668</v>
      </c>
    </row>
    <row r="11" spans="1:4" x14ac:dyDescent="0.3">
      <c r="A11" s="3">
        <v>10401</v>
      </c>
      <c r="B11" s="3" t="s">
        <v>10</v>
      </c>
      <c r="C11" s="3">
        <v>40962726.81666667</v>
      </c>
      <c r="D11" s="3">
        <v>41971551.490000002</v>
      </c>
    </row>
    <row r="12" spans="1:4" x14ac:dyDescent="0.3">
      <c r="A12" s="3">
        <v>10402</v>
      </c>
      <c r="B12" s="3" t="s">
        <v>11</v>
      </c>
      <c r="C12" s="3">
        <v>29447083.606666666</v>
      </c>
      <c r="D12" s="3">
        <v>14739402.783333333</v>
      </c>
    </row>
    <row r="13" spans="1:4" x14ac:dyDescent="0.3">
      <c r="A13" s="3">
        <v>10403</v>
      </c>
      <c r="B13" s="3" t="s">
        <v>12</v>
      </c>
      <c r="C13" s="3">
        <v>27561875.046666667</v>
      </c>
      <c r="D13" s="3">
        <v>18207977.323333338</v>
      </c>
    </row>
    <row r="14" spans="1:4" x14ac:dyDescent="0.3">
      <c r="A14" s="3">
        <v>10404</v>
      </c>
      <c r="B14" s="3" t="s">
        <v>13</v>
      </c>
      <c r="C14" s="3">
        <v>18651132.900000002</v>
      </c>
      <c r="D14" s="3">
        <v>9682317.6633333322</v>
      </c>
    </row>
    <row r="15" spans="1:4" x14ac:dyDescent="0.3">
      <c r="A15" s="3">
        <v>10405</v>
      </c>
      <c r="B15" s="3" t="s">
        <v>14</v>
      </c>
      <c r="C15" s="3">
        <v>15908842.106666669</v>
      </c>
      <c r="D15" s="3">
        <v>13721670.119999999</v>
      </c>
    </row>
    <row r="16" spans="1:4" x14ac:dyDescent="0.3">
      <c r="A16" s="3">
        <v>10501</v>
      </c>
      <c r="B16" s="3" t="s">
        <v>15</v>
      </c>
      <c r="C16" s="3">
        <v>91866139.276666656</v>
      </c>
      <c r="D16" s="3">
        <v>71111291.526666656</v>
      </c>
    </row>
    <row r="17" spans="1:4" x14ac:dyDescent="0.3">
      <c r="A17" s="3">
        <v>10502</v>
      </c>
      <c r="B17" s="3" t="s">
        <v>16</v>
      </c>
      <c r="C17" s="3">
        <v>33163002.136666667</v>
      </c>
      <c r="D17" s="3">
        <v>16445886.653333334</v>
      </c>
    </row>
    <row r="18" spans="1:4" x14ac:dyDescent="0.3">
      <c r="A18" s="3">
        <v>10601</v>
      </c>
      <c r="B18" s="3" t="s">
        <v>17</v>
      </c>
      <c r="C18" s="3">
        <v>53183277.306666672</v>
      </c>
      <c r="D18" s="3">
        <v>35104825.453333326</v>
      </c>
    </row>
    <row r="19" spans="1:4" x14ac:dyDescent="0.3">
      <c r="A19" s="3">
        <v>10602</v>
      </c>
      <c r="B19" s="3" t="s">
        <v>18</v>
      </c>
      <c r="C19" s="3">
        <v>31125454.493333336</v>
      </c>
      <c r="D19" s="3">
        <v>28458728.493333329</v>
      </c>
    </row>
    <row r="20" spans="1:4" x14ac:dyDescent="0.3">
      <c r="A20" s="3">
        <v>10701</v>
      </c>
      <c r="B20" s="3" t="s">
        <v>19</v>
      </c>
      <c r="C20" s="3">
        <v>48711529.680000007</v>
      </c>
      <c r="D20" s="3">
        <v>27534025.756666671</v>
      </c>
    </row>
    <row r="21" spans="1:4" x14ac:dyDescent="0.3">
      <c r="A21" s="3">
        <v>10702</v>
      </c>
      <c r="B21" s="3" t="s">
        <v>20</v>
      </c>
      <c r="C21" s="3">
        <v>94512667.450000003</v>
      </c>
      <c r="D21" s="3">
        <v>69172030.00333333</v>
      </c>
    </row>
    <row r="22" spans="1:4" x14ac:dyDescent="0.3">
      <c r="A22" s="3">
        <v>10703</v>
      </c>
      <c r="B22" s="3" t="s">
        <v>21</v>
      </c>
      <c r="C22" s="3">
        <v>32766802.893333334</v>
      </c>
      <c r="D22" s="3">
        <v>26524784.926666666</v>
      </c>
    </row>
    <row r="23" spans="1:4" x14ac:dyDescent="0.3">
      <c r="A23" s="3">
        <v>10704</v>
      </c>
      <c r="B23" s="3" t="s">
        <v>29</v>
      </c>
      <c r="C23" s="3">
        <v>37093162.446666665</v>
      </c>
      <c r="D23" s="3">
        <v>32853683.553333331</v>
      </c>
    </row>
    <row r="24" spans="1:4" x14ac:dyDescent="0.3">
      <c r="A24" s="3">
        <v>10801</v>
      </c>
      <c r="B24" s="3" t="s">
        <v>22</v>
      </c>
      <c r="C24" s="3">
        <v>34022657.359999992</v>
      </c>
      <c r="D24" s="3">
        <v>22459195.200000003</v>
      </c>
    </row>
    <row r="25" spans="1:4" x14ac:dyDescent="0.3">
      <c r="A25" s="3">
        <v>10901</v>
      </c>
      <c r="B25" s="3" t="s">
        <v>23</v>
      </c>
      <c r="C25" s="3">
        <v>13719022.316666668</v>
      </c>
      <c r="D25" s="3">
        <v>5870097.0966666667</v>
      </c>
    </row>
    <row r="26" spans="1:4" x14ac:dyDescent="0.3">
      <c r="A26" s="3">
        <v>10902</v>
      </c>
      <c r="B26" s="3" t="s">
        <v>24</v>
      </c>
      <c r="C26" s="3">
        <v>51792399.263333328</v>
      </c>
      <c r="D26" s="3">
        <v>43916234.109999992</v>
      </c>
    </row>
    <row r="27" spans="1:4" x14ac:dyDescent="0.3">
      <c r="A27" s="3">
        <v>10903</v>
      </c>
      <c r="B27" s="3" t="s">
        <v>25</v>
      </c>
      <c r="C27" s="3">
        <v>15999963.709999999</v>
      </c>
      <c r="D27" s="3">
        <v>11368941.01333333</v>
      </c>
    </row>
    <row r="28" spans="1:4" x14ac:dyDescent="0.3">
      <c r="A28" s="3">
        <v>11001</v>
      </c>
      <c r="B28" s="3" t="s">
        <v>26</v>
      </c>
      <c r="C28" s="3">
        <v>38771965.409999996</v>
      </c>
      <c r="D28" s="3">
        <v>21040403.68</v>
      </c>
    </row>
    <row r="29" spans="1:4" x14ac:dyDescent="0.3">
      <c r="A29" s="3">
        <v>11002</v>
      </c>
      <c r="B29" s="3" t="s">
        <v>27</v>
      </c>
      <c r="C29" s="3">
        <v>13487413.256666666</v>
      </c>
      <c r="D29" s="3">
        <v>6761202.2166666659</v>
      </c>
    </row>
    <row r="30" spans="1:4" x14ac:dyDescent="0.3">
      <c r="A30" s="3">
        <v>11003</v>
      </c>
      <c r="B30" s="3" t="s">
        <v>28</v>
      </c>
      <c r="C30" s="3">
        <v>25793197.723333333</v>
      </c>
      <c r="D30" s="3">
        <v>18630630.056666669</v>
      </c>
    </row>
    <row r="31" spans="1:4" x14ac:dyDescent="0.3">
      <c r="A31" s="3">
        <v>20101</v>
      </c>
      <c r="B31" s="3" t="s">
        <v>30</v>
      </c>
      <c r="C31" s="3">
        <v>2157326431.5966668</v>
      </c>
      <c r="D31" s="3">
        <v>2335357670.103333</v>
      </c>
    </row>
    <row r="32" spans="1:4" x14ac:dyDescent="0.3">
      <c r="A32" s="3">
        <v>20102</v>
      </c>
      <c r="B32" s="3" t="s">
        <v>32</v>
      </c>
      <c r="C32" s="3">
        <v>34094941.75333333</v>
      </c>
      <c r="D32" s="3">
        <v>44033571.723333336</v>
      </c>
    </row>
    <row r="33" spans="1:4" x14ac:dyDescent="0.3">
      <c r="A33" s="3">
        <v>20103</v>
      </c>
      <c r="B33" s="3" t="s">
        <v>33</v>
      </c>
      <c r="C33" s="3">
        <v>23185231.41333333</v>
      </c>
      <c r="D33" s="3">
        <v>33301873.636666667</v>
      </c>
    </row>
    <row r="34" spans="1:4" x14ac:dyDescent="0.3">
      <c r="A34" s="3">
        <v>20104</v>
      </c>
      <c r="B34" s="3" t="s">
        <v>34</v>
      </c>
      <c r="C34" s="3">
        <v>35221467.346666664</v>
      </c>
      <c r="D34" s="3">
        <v>93872632</v>
      </c>
    </row>
    <row r="35" spans="1:4" x14ac:dyDescent="0.3">
      <c r="A35" s="3">
        <v>20105</v>
      </c>
      <c r="B35" s="3" t="s">
        <v>35</v>
      </c>
      <c r="C35" s="3">
        <v>1613820018.7233334</v>
      </c>
      <c r="D35" s="3">
        <v>1599187565.7333336</v>
      </c>
    </row>
    <row r="36" spans="1:4" x14ac:dyDescent="0.3">
      <c r="A36" s="3">
        <v>20201</v>
      </c>
      <c r="B36" s="3" t="s">
        <v>54</v>
      </c>
      <c r="C36" s="3">
        <v>119773785.87666667</v>
      </c>
      <c r="D36" s="3">
        <v>68218719.376666665</v>
      </c>
    </row>
    <row r="37" spans="1:4" x14ac:dyDescent="0.3">
      <c r="A37" s="3">
        <v>20202</v>
      </c>
      <c r="B37" s="3" t="s">
        <v>55</v>
      </c>
      <c r="C37" s="3">
        <v>28050828.306666661</v>
      </c>
      <c r="D37" s="3">
        <v>17555259.746666666</v>
      </c>
    </row>
    <row r="38" spans="1:4" x14ac:dyDescent="0.3">
      <c r="A38" s="3">
        <v>20203</v>
      </c>
      <c r="B38" s="3" t="s">
        <v>117</v>
      </c>
      <c r="C38" s="3">
        <v>2764889.2266666666</v>
      </c>
      <c r="D38" s="3">
        <v>11771364.763333334</v>
      </c>
    </row>
    <row r="39" spans="1:4" x14ac:dyDescent="0.3">
      <c r="A39" s="3">
        <v>20204</v>
      </c>
      <c r="B39" s="3" t="s">
        <v>111</v>
      </c>
      <c r="C39" s="3">
        <v>21779373</v>
      </c>
      <c r="D39" s="3">
        <v>16161737.483333329</v>
      </c>
    </row>
    <row r="40" spans="1:4" x14ac:dyDescent="0.3">
      <c r="A40" s="3">
        <v>20205</v>
      </c>
      <c r="B40" s="3" t="s">
        <v>112</v>
      </c>
      <c r="C40" s="3">
        <v>2323211.4066666667</v>
      </c>
      <c r="D40" s="3">
        <v>9149084.6566666663</v>
      </c>
    </row>
    <row r="41" spans="1:4" x14ac:dyDescent="0.3">
      <c r="A41" s="3">
        <v>20206</v>
      </c>
      <c r="B41" s="3" t="s">
        <v>116</v>
      </c>
      <c r="C41" s="3">
        <v>36363278.020000003</v>
      </c>
      <c r="D41" s="3">
        <v>16800438.149999999</v>
      </c>
    </row>
    <row r="42" spans="1:4" x14ac:dyDescent="0.3">
      <c r="A42" s="3">
        <v>20301</v>
      </c>
      <c r="B42" s="3" t="s">
        <v>68</v>
      </c>
      <c r="C42" s="3">
        <v>22920523.736666668</v>
      </c>
      <c r="D42" s="3">
        <v>30823648.586666662</v>
      </c>
    </row>
    <row r="43" spans="1:4" x14ac:dyDescent="0.3">
      <c r="A43" s="3">
        <v>20302</v>
      </c>
      <c r="B43" s="3" t="s">
        <v>69</v>
      </c>
      <c r="C43" s="3">
        <v>21133608.566666666</v>
      </c>
      <c r="D43" s="3">
        <v>16168846.183333332</v>
      </c>
    </row>
    <row r="44" spans="1:4" x14ac:dyDescent="0.3">
      <c r="A44" s="3">
        <v>20303</v>
      </c>
      <c r="B44" s="3" t="s">
        <v>70</v>
      </c>
      <c r="C44" s="3">
        <v>8618438.5566666666</v>
      </c>
      <c r="D44" s="3">
        <v>10524168.323333332</v>
      </c>
    </row>
    <row r="45" spans="1:4" x14ac:dyDescent="0.3">
      <c r="A45" s="3">
        <v>20304</v>
      </c>
      <c r="B45" s="3" t="s">
        <v>71</v>
      </c>
      <c r="C45" s="3">
        <v>7485206.7699999996</v>
      </c>
      <c r="D45" s="3">
        <v>6097485.6499999994</v>
      </c>
    </row>
    <row r="46" spans="1:4" x14ac:dyDescent="0.3">
      <c r="A46" s="3">
        <v>20305</v>
      </c>
      <c r="B46" s="3" t="s">
        <v>72</v>
      </c>
      <c r="C46" s="3">
        <v>3303148.1199999996</v>
      </c>
      <c r="D46" s="3">
        <v>9367182.3733333331</v>
      </c>
    </row>
    <row r="47" spans="1:4" x14ac:dyDescent="0.3">
      <c r="A47" s="3">
        <v>20306</v>
      </c>
      <c r="B47" s="3" t="s">
        <v>73</v>
      </c>
      <c r="C47" s="3">
        <v>1762009.3033333335</v>
      </c>
      <c r="D47" s="3">
        <v>2335022.0066666664</v>
      </c>
    </row>
    <row r="48" spans="1:4" x14ac:dyDescent="0.3">
      <c r="A48" s="3">
        <v>20307</v>
      </c>
      <c r="B48" s="3" t="s">
        <v>74</v>
      </c>
      <c r="C48" s="3">
        <v>13744999.82</v>
      </c>
      <c r="D48" s="3">
        <v>12774378.823333332</v>
      </c>
    </row>
    <row r="49" spans="1:4" x14ac:dyDescent="0.3">
      <c r="A49" s="3">
        <v>20308</v>
      </c>
      <c r="B49" s="3" t="s">
        <v>75</v>
      </c>
      <c r="C49" s="3">
        <v>36399469.396666676</v>
      </c>
      <c r="D49" s="3">
        <v>17709854.993333329</v>
      </c>
    </row>
    <row r="50" spans="1:4" x14ac:dyDescent="0.3">
      <c r="A50" s="3">
        <v>20401</v>
      </c>
      <c r="B50" s="3" t="s">
        <v>76</v>
      </c>
      <c r="C50" s="3">
        <v>34551901.286666669</v>
      </c>
      <c r="D50" s="3">
        <v>26417076.003333334</v>
      </c>
    </row>
    <row r="51" spans="1:4" x14ac:dyDescent="0.3">
      <c r="A51" s="3">
        <v>20402</v>
      </c>
      <c r="B51" s="3" t="s">
        <v>77</v>
      </c>
      <c r="C51" s="3">
        <v>30435118.716666669</v>
      </c>
      <c r="D51" s="3">
        <v>22408997.810000002</v>
      </c>
    </row>
    <row r="52" spans="1:4" x14ac:dyDescent="0.3">
      <c r="A52" s="3">
        <v>20403</v>
      </c>
      <c r="B52" s="3" t="s">
        <v>78</v>
      </c>
      <c r="C52" s="3">
        <v>10096775.246666664</v>
      </c>
      <c r="D52" s="3">
        <v>9946788.1300000008</v>
      </c>
    </row>
    <row r="53" spans="1:4" x14ac:dyDescent="0.3">
      <c r="A53" s="3">
        <v>20404</v>
      </c>
      <c r="B53" s="3" t="s">
        <v>114</v>
      </c>
      <c r="C53" s="3">
        <v>17033702.116666667</v>
      </c>
      <c r="D53" s="3">
        <v>11055537.063333333</v>
      </c>
    </row>
    <row r="54" spans="1:4" x14ac:dyDescent="0.3">
      <c r="A54" s="3">
        <v>20405</v>
      </c>
      <c r="B54" s="3" t="s">
        <v>113</v>
      </c>
      <c r="C54" s="3">
        <v>30900929.260000002</v>
      </c>
      <c r="D54" s="3">
        <v>23565996.41333333</v>
      </c>
    </row>
    <row r="55" spans="1:4" x14ac:dyDescent="0.3">
      <c r="A55" s="3">
        <v>20501</v>
      </c>
      <c r="B55" s="3" t="s">
        <v>65</v>
      </c>
      <c r="C55" s="3">
        <v>14273562.933333332</v>
      </c>
      <c r="D55" s="3">
        <v>11875401.909999998</v>
      </c>
    </row>
    <row r="56" spans="1:4" x14ac:dyDescent="0.3">
      <c r="A56" s="3">
        <v>20502</v>
      </c>
      <c r="B56" s="3" t="s">
        <v>66</v>
      </c>
      <c r="C56" s="3">
        <v>8672717.0333333332</v>
      </c>
      <c r="D56" s="3">
        <v>7862682.8799999999</v>
      </c>
    </row>
    <row r="57" spans="1:4" x14ac:dyDescent="0.3">
      <c r="A57" s="3">
        <v>20503</v>
      </c>
      <c r="B57" s="3" t="s">
        <v>67</v>
      </c>
      <c r="C57" s="3">
        <v>47877510.060000002</v>
      </c>
      <c r="D57" s="3">
        <v>39639070.353333332</v>
      </c>
    </row>
    <row r="58" spans="1:4" x14ac:dyDescent="0.3">
      <c r="A58" s="3">
        <v>20601</v>
      </c>
      <c r="B58" s="3" t="s">
        <v>56</v>
      </c>
      <c r="C58" s="3">
        <v>20781576.723333336</v>
      </c>
      <c r="D58" s="3">
        <v>32296853.619999994</v>
      </c>
    </row>
    <row r="59" spans="1:4" x14ac:dyDescent="0.3">
      <c r="A59" s="3">
        <v>20602</v>
      </c>
      <c r="B59" s="3" t="s">
        <v>57</v>
      </c>
      <c r="C59" s="3">
        <v>11874241.193333333</v>
      </c>
      <c r="D59" s="3">
        <v>21514573.109999999</v>
      </c>
    </row>
    <row r="60" spans="1:4" x14ac:dyDescent="0.3">
      <c r="A60" s="3">
        <v>20603</v>
      </c>
      <c r="B60" s="3" t="s">
        <v>58</v>
      </c>
      <c r="C60" s="3">
        <v>5839292.4500000002</v>
      </c>
      <c r="D60" s="3">
        <v>5685720.7100000009</v>
      </c>
    </row>
    <row r="61" spans="1:4" x14ac:dyDescent="0.3">
      <c r="A61" s="3">
        <v>20604</v>
      </c>
      <c r="B61" s="3" t="s">
        <v>60</v>
      </c>
      <c r="C61" s="3">
        <v>5751375.0466666669</v>
      </c>
      <c r="D61" s="3">
        <v>6568199.3166666673</v>
      </c>
    </row>
    <row r="62" spans="1:4" x14ac:dyDescent="0.3">
      <c r="A62" s="3">
        <v>20605</v>
      </c>
      <c r="B62" s="3" t="s">
        <v>61</v>
      </c>
      <c r="C62" s="3">
        <v>17345440.853333335</v>
      </c>
      <c r="D62" s="3">
        <v>15208236.273333333</v>
      </c>
    </row>
    <row r="63" spans="1:4" x14ac:dyDescent="0.3">
      <c r="A63" s="3">
        <v>20606</v>
      </c>
      <c r="B63" s="3" t="s">
        <v>59</v>
      </c>
      <c r="C63" s="3">
        <v>24629324.66333333</v>
      </c>
      <c r="D63" s="3">
        <v>25995925.946666673</v>
      </c>
    </row>
    <row r="64" spans="1:4" x14ac:dyDescent="0.3">
      <c r="A64" s="3">
        <v>20607</v>
      </c>
      <c r="B64" s="3" t="s">
        <v>106</v>
      </c>
      <c r="C64" s="3">
        <v>14705826.799999999</v>
      </c>
      <c r="D64" s="3">
        <v>17848644.713333327</v>
      </c>
    </row>
    <row r="65" spans="1:4" x14ac:dyDescent="0.3">
      <c r="A65" s="3">
        <v>20608</v>
      </c>
      <c r="B65" s="3" t="s">
        <v>107</v>
      </c>
      <c r="C65" s="3">
        <v>27701538.206666663</v>
      </c>
      <c r="D65" s="3">
        <v>30398047.930000007</v>
      </c>
    </row>
    <row r="66" spans="1:4" x14ac:dyDescent="0.3">
      <c r="A66" s="3">
        <v>20701</v>
      </c>
      <c r="B66" s="3" t="s">
        <v>79</v>
      </c>
      <c r="C66" s="3">
        <v>11701865.439999999</v>
      </c>
      <c r="D66" s="3">
        <v>21448909</v>
      </c>
    </row>
    <row r="67" spans="1:4" x14ac:dyDescent="0.3">
      <c r="A67" s="3">
        <v>20702</v>
      </c>
      <c r="B67" s="3" t="s">
        <v>80</v>
      </c>
      <c r="C67" s="3">
        <v>124757668.08</v>
      </c>
      <c r="D67" s="3">
        <v>181905815.99666667</v>
      </c>
    </row>
    <row r="68" spans="1:4" x14ac:dyDescent="0.3">
      <c r="A68" s="3">
        <v>20801</v>
      </c>
      <c r="B68" s="3" t="s">
        <v>36</v>
      </c>
      <c r="C68" s="3">
        <v>13723134.709999999</v>
      </c>
      <c r="D68" s="3">
        <v>14449903.386666665</v>
      </c>
    </row>
    <row r="69" spans="1:4" x14ac:dyDescent="0.3">
      <c r="A69" s="3">
        <v>20802</v>
      </c>
      <c r="B69" s="3" t="s">
        <v>37</v>
      </c>
      <c r="C69" s="3">
        <v>31620692.97666667</v>
      </c>
      <c r="D69" s="3">
        <v>21046326.073333338</v>
      </c>
    </row>
    <row r="70" spans="1:4" x14ac:dyDescent="0.3">
      <c r="A70" s="3">
        <v>20803</v>
      </c>
      <c r="B70" s="3" t="s">
        <v>38</v>
      </c>
      <c r="C70" s="3">
        <v>9236950.7166666668</v>
      </c>
      <c r="D70" s="3">
        <v>12418565.146666666</v>
      </c>
    </row>
    <row r="71" spans="1:4" x14ac:dyDescent="0.3">
      <c r="A71" s="3">
        <v>20804</v>
      </c>
      <c r="B71" s="3" t="s">
        <v>39</v>
      </c>
      <c r="C71" s="3">
        <v>26993972.59</v>
      </c>
      <c r="D71" s="3">
        <v>22592516.733333331</v>
      </c>
    </row>
    <row r="72" spans="1:4" x14ac:dyDescent="0.3">
      <c r="A72" s="3">
        <v>20805</v>
      </c>
      <c r="B72" s="3" t="s">
        <v>108</v>
      </c>
      <c r="C72" s="3">
        <v>12951411.406666666</v>
      </c>
      <c r="D72" s="3">
        <v>9149950.9533333331</v>
      </c>
    </row>
    <row r="73" spans="1:4" x14ac:dyDescent="0.3">
      <c r="A73" s="3">
        <v>20806</v>
      </c>
      <c r="B73" s="3" t="s">
        <v>109</v>
      </c>
      <c r="C73" s="3">
        <v>26190001.52999999</v>
      </c>
      <c r="D73" s="3">
        <v>25461992.389999997</v>
      </c>
    </row>
    <row r="74" spans="1:4" x14ac:dyDescent="0.3">
      <c r="A74" s="3">
        <v>20807</v>
      </c>
      <c r="B74" s="3" t="s">
        <v>110</v>
      </c>
      <c r="C74" s="3">
        <v>13255441.213333333</v>
      </c>
      <c r="D74" s="3">
        <v>11262069.82</v>
      </c>
    </row>
    <row r="75" spans="1:4" x14ac:dyDescent="0.3">
      <c r="A75" s="3">
        <v>20901</v>
      </c>
      <c r="B75" s="3" t="s">
        <v>81</v>
      </c>
      <c r="C75" s="3">
        <v>20030642.349999998</v>
      </c>
      <c r="D75" s="3">
        <v>21187874.52</v>
      </c>
    </row>
    <row r="76" spans="1:4" x14ac:dyDescent="0.3">
      <c r="A76" s="3">
        <v>20902</v>
      </c>
      <c r="B76" s="3" t="s">
        <v>82</v>
      </c>
      <c r="C76" s="3">
        <v>27004315.143333334</v>
      </c>
      <c r="D76" s="3">
        <v>22069940.83666667</v>
      </c>
    </row>
    <row r="77" spans="1:4" x14ac:dyDescent="0.3">
      <c r="A77" s="3">
        <v>20903</v>
      </c>
      <c r="B77" s="3" t="s">
        <v>83</v>
      </c>
      <c r="C77" s="3">
        <v>16360721.733333334</v>
      </c>
      <c r="D77" s="3">
        <v>12391296.420000002</v>
      </c>
    </row>
    <row r="78" spans="1:4" x14ac:dyDescent="0.3">
      <c r="A78" s="3">
        <v>20904</v>
      </c>
      <c r="B78" s="3" t="s">
        <v>84</v>
      </c>
      <c r="C78" s="3">
        <v>11600335.060000001</v>
      </c>
      <c r="D78" s="3">
        <v>7742295.166666667</v>
      </c>
    </row>
    <row r="79" spans="1:4" x14ac:dyDescent="0.3">
      <c r="A79" s="3">
        <v>20905</v>
      </c>
      <c r="B79" s="3" t="s">
        <v>85</v>
      </c>
      <c r="C79" s="3">
        <v>18698169.146666668</v>
      </c>
      <c r="D79" s="3">
        <v>21961526.809999999</v>
      </c>
    </row>
    <row r="80" spans="1:4" x14ac:dyDescent="0.3">
      <c r="A80" s="3">
        <v>21001</v>
      </c>
      <c r="B80" s="3" t="s">
        <v>48</v>
      </c>
      <c r="C80" s="3">
        <v>33398644.176666666</v>
      </c>
      <c r="D80" s="3">
        <v>26336133.099999998</v>
      </c>
    </row>
    <row r="81" spans="1:4" x14ac:dyDescent="0.3">
      <c r="A81" s="3">
        <v>21002</v>
      </c>
      <c r="B81" s="3" t="s">
        <v>49</v>
      </c>
      <c r="C81" s="3">
        <v>15286088.996666664</v>
      </c>
      <c r="D81" s="3">
        <v>13952532.49</v>
      </c>
    </row>
    <row r="82" spans="1:4" x14ac:dyDescent="0.3">
      <c r="A82" s="3">
        <v>21003</v>
      </c>
      <c r="B82" s="3" t="s">
        <v>50</v>
      </c>
      <c r="C82" s="3">
        <v>19108840.836666666</v>
      </c>
      <c r="D82" s="3">
        <v>19588444.726666667</v>
      </c>
    </row>
    <row r="83" spans="1:4" x14ac:dyDescent="0.3">
      <c r="A83" s="3">
        <v>21004</v>
      </c>
      <c r="B83" s="3" t="s">
        <v>51</v>
      </c>
      <c r="C83" s="3">
        <v>55433003.903333336</v>
      </c>
      <c r="D83" s="3">
        <v>38892096.449999996</v>
      </c>
    </row>
    <row r="84" spans="1:4" x14ac:dyDescent="0.3">
      <c r="A84" s="3">
        <v>21005</v>
      </c>
      <c r="B84" s="3" t="s">
        <v>52</v>
      </c>
      <c r="C84" s="3">
        <v>15547128.216666669</v>
      </c>
      <c r="D84" s="3">
        <v>16293015.569999998</v>
      </c>
    </row>
    <row r="85" spans="1:4" x14ac:dyDescent="0.3">
      <c r="A85" s="3">
        <v>21006</v>
      </c>
      <c r="B85" s="3" t="s">
        <v>53</v>
      </c>
      <c r="C85" s="3">
        <v>6874301.4666666677</v>
      </c>
      <c r="D85" s="3">
        <v>9323944.9199999999</v>
      </c>
    </row>
    <row r="86" spans="1:4" x14ac:dyDescent="0.3">
      <c r="A86" s="3">
        <v>21101</v>
      </c>
      <c r="B86" s="3" t="s">
        <v>86</v>
      </c>
      <c r="C86" s="3">
        <v>27835146.906666666</v>
      </c>
      <c r="D86" s="3">
        <v>25160143.696666669</v>
      </c>
    </row>
    <row r="87" spans="1:4" x14ac:dyDescent="0.3">
      <c r="A87" s="3">
        <v>21102</v>
      </c>
      <c r="B87" s="3" t="s">
        <v>87</v>
      </c>
      <c r="C87" s="3">
        <v>27712500.010000002</v>
      </c>
      <c r="D87" s="3">
        <v>30514092.936666667</v>
      </c>
    </row>
    <row r="88" spans="1:4" x14ac:dyDescent="0.3">
      <c r="A88" s="3">
        <v>21103</v>
      </c>
      <c r="B88" s="3" t="s">
        <v>88</v>
      </c>
      <c r="C88" s="3">
        <v>10760327.15</v>
      </c>
      <c r="D88" s="3">
        <v>9023672.5700000003</v>
      </c>
    </row>
    <row r="89" spans="1:4" x14ac:dyDescent="0.3">
      <c r="A89" s="3">
        <v>21104</v>
      </c>
      <c r="B89" s="3" t="s">
        <v>89</v>
      </c>
      <c r="C89" s="3">
        <v>36152266.396666668</v>
      </c>
      <c r="D89" s="3">
        <v>41813192.863333337</v>
      </c>
    </row>
    <row r="90" spans="1:4" x14ac:dyDescent="0.3">
      <c r="A90" s="3">
        <v>21105</v>
      </c>
      <c r="B90" s="3" t="s">
        <v>90</v>
      </c>
      <c r="C90" s="3">
        <v>39243819.296666667</v>
      </c>
      <c r="D90" s="3">
        <v>80126423.75999999</v>
      </c>
    </row>
    <row r="91" spans="1:4" x14ac:dyDescent="0.3">
      <c r="A91" s="3">
        <v>21201</v>
      </c>
      <c r="B91" s="3" t="s">
        <v>91</v>
      </c>
      <c r="C91" s="3">
        <v>44166043.43</v>
      </c>
      <c r="D91" s="3">
        <v>54570272.216666669</v>
      </c>
    </row>
    <row r="92" spans="1:4" x14ac:dyDescent="0.3">
      <c r="A92" s="3">
        <v>21202</v>
      </c>
      <c r="B92" s="3" t="s">
        <v>92</v>
      </c>
      <c r="C92" s="3">
        <v>40873767.443333335</v>
      </c>
      <c r="D92" s="3">
        <v>44313449.769999988</v>
      </c>
    </row>
    <row r="93" spans="1:4" x14ac:dyDescent="0.3">
      <c r="A93" s="3">
        <v>21203</v>
      </c>
      <c r="B93" s="3" t="s">
        <v>93</v>
      </c>
      <c r="C93" s="3">
        <v>45327827.556666665</v>
      </c>
      <c r="D93" s="3">
        <v>36424514.413333334</v>
      </c>
    </row>
    <row r="94" spans="1:4" x14ac:dyDescent="0.3">
      <c r="A94" s="3">
        <v>21204</v>
      </c>
      <c r="B94" s="3" t="s">
        <v>94</v>
      </c>
      <c r="C94" s="3">
        <v>16915495.433333334</v>
      </c>
      <c r="D94" s="3">
        <v>10627736.68</v>
      </c>
    </row>
    <row r="95" spans="1:4" x14ac:dyDescent="0.3">
      <c r="A95" s="3">
        <v>21301</v>
      </c>
      <c r="B95" s="3" t="s">
        <v>41</v>
      </c>
      <c r="C95" s="3">
        <v>43172723.649999999</v>
      </c>
      <c r="D95" s="3">
        <v>42361831.68</v>
      </c>
    </row>
    <row r="96" spans="1:4" x14ac:dyDescent="0.3">
      <c r="A96" s="3">
        <v>21302</v>
      </c>
      <c r="B96" s="3" t="s">
        <v>42</v>
      </c>
      <c r="C96" s="3">
        <v>17874145.383333333</v>
      </c>
      <c r="D96" s="3">
        <v>15567856.769999998</v>
      </c>
    </row>
    <row r="97" spans="1:4" x14ac:dyDescent="0.3">
      <c r="A97" s="3">
        <v>21303</v>
      </c>
      <c r="B97" s="3" t="s">
        <v>43</v>
      </c>
      <c r="C97" s="3">
        <v>14853004.113333335</v>
      </c>
      <c r="D97" s="3">
        <v>14646716.123333335</v>
      </c>
    </row>
    <row r="98" spans="1:4" x14ac:dyDescent="0.3">
      <c r="A98" s="3">
        <v>21304</v>
      </c>
      <c r="B98" s="3" t="s">
        <v>44</v>
      </c>
      <c r="C98" s="3">
        <v>21622977.756666664</v>
      </c>
      <c r="D98" s="3">
        <v>29354700.440000001</v>
      </c>
    </row>
    <row r="99" spans="1:4" x14ac:dyDescent="0.3">
      <c r="A99" s="3">
        <v>21305</v>
      </c>
      <c r="B99" s="3" t="s">
        <v>45</v>
      </c>
      <c r="C99" s="3">
        <v>31140829.533333331</v>
      </c>
      <c r="D99" s="3">
        <v>40395647.343333334</v>
      </c>
    </row>
    <row r="100" spans="1:4" x14ac:dyDescent="0.3">
      <c r="A100" s="3">
        <v>21306</v>
      </c>
      <c r="B100" s="3" t="s">
        <v>46</v>
      </c>
      <c r="C100" s="3">
        <v>17816127.02</v>
      </c>
      <c r="D100" s="3">
        <v>14983020.01</v>
      </c>
    </row>
    <row r="101" spans="1:4" x14ac:dyDescent="0.3">
      <c r="A101" s="3">
        <v>21307</v>
      </c>
      <c r="B101" s="3" t="s">
        <v>47</v>
      </c>
      <c r="C101" s="3">
        <v>7635211.1366666667</v>
      </c>
      <c r="D101" s="3">
        <v>10974405.363333333</v>
      </c>
    </row>
    <row r="102" spans="1:4" x14ac:dyDescent="0.3">
      <c r="A102" s="3">
        <v>21401</v>
      </c>
      <c r="B102" s="3" t="s">
        <v>95</v>
      </c>
      <c r="C102" s="3">
        <v>28273478.453333329</v>
      </c>
      <c r="D102" s="3">
        <v>33635731.133333333</v>
      </c>
    </row>
    <row r="103" spans="1:4" x14ac:dyDescent="0.3">
      <c r="A103" s="3">
        <v>21402</v>
      </c>
      <c r="B103" s="3" t="s">
        <v>96</v>
      </c>
      <c r="C103" s="3">
        <v>29347437.906666663</v>
      </c>
      <c r="D103" s="3">
        <v>27876791.196666662</v>
      </c>
    </row>
    <row r="104" spans="1:4" x14ac:dyDescent="0.3">
      <c r="A104" s="3">
        <v>21501</v>
      </c>
      <c r="B104" s="3" t="s">
        <v>97</v>
      </c>
      <c r="C104" s="3">
        <v>14223178.983333334</v>
      </c>
      <c r="D104" s="3">
        <v>20273784.83333334</v>
      </c>
    </row>
    <row r="105" spans="1:4" x14ac:dyDescent="0.3">
      <c r="A105" s="3">
        <v>21502</v>
      </c>
      <c r="B105" s="3" t="s">
        <v>98</v>
      </c>
      <c r="C105" s="3">
        <v>14076344.536666667</v>
      </c>
      <c r="D105" s="3">
        <v>14521498.459999999</v>
      </c>
    </row>
    <row r="106" spans="1:4" x14ac:dyDescent="0.3">
      <c r="A106" s="3">
        <v>21601</v>
      </c>
      <c r="B106" s="3" t="s">
        <v>99</v>
      </c>
      <c r="C106" s="3">
        <v>19160357.43</v>
      </c>
      <c r="D106" s="3">
        <v>17208237.676666666</v>
      </c>
    </row>
    <row r="107" spans="1:4" x14ac:dyDescent="0.3">
      <c r="A107" s="3">
        <v>21602</v>
      </c>
      <c r="B107" s="3" t="s">
        <v>100</v>
      </c>
      <c r="C107" s="3">
        <v>4200692.1499999994</v>
      </c>
      <c r="D107" s="3">
        <v>6804552.7733333344</v>
      </c>
    </row>
    <row r="108" spans="1:4" x14ac:dyDescent="0.3">
      <c r="A108" s="3">
        <v>21701</v>
      </c>
      <c r="B108" s="3" t="s">
        <v>62</v>
      </c>
      <c r="C108" s="3">
        <v>30785680.083333332</v>
      </c>
      <c r="D108" s="3">
        <v>31222651.27333333</v>
      </c>
    </row>
    <row r="109" spans="1:4" x14ac:dyDescent="0.3">
      <c r="A109" s="3">
        <v>21702</v>
      </c>
      <c r="B109" s="3" t="s">
        <v>63</v>
      </c>
      <c r="C109" s="3">
        <v>11717418.770000001</v>
      </c>
      <c r="D109" s="3">
        <v>10625283.726666667</v>
      </c>
    </row>
    <row r="110" spans="1:4" x14ac:dyDescent="0.3">
      <c r="A110" s="3">
        <v>21703</v>
      </c>
      <c r="B110" s="3" t="s">
        <v>64</v>
      </c>
      <c r="C110" s="3">
        <v>5292338.1466666674</v>
      </c>
      <c r="D110" s="3">
        <v>7728930.8500000015</v>
      </c>
    </row>
    <row r="111" spans="1:4" x14ac:dyDescent="0.3">
      <c r="A111" s="3">
        <v>21801</v>
      </c>
      <c r="B111" s="3" t="s">
        <v>101</v>
      </c>
      <c r="C111" s="3">
        <v>16587321.496666668</v>
      </c>
      <c r="D111" s="3">
        <v>11616269.49</v>
      </c>
    </row>
    <row r="112" spans="1:4" x14ac:dyDescent="0.3">
      <c r="A112" s="3">
        <v>21802</v>
      </c>
      <c r="B112" s="3" t="s">
        <v>102</v>
      </c>
      <c r="C112" s="3">
        <v>15320714.143333333</v>
      </c>
      <c r="D112" s="3">
        <v>12093961.043333335</v>
      </c>
    </row>
    <row r="113" spans="1:4" x14ac:dyDescent="0.3">
      <c r="A113" s="3">
        <v>21803</v>
      </c>
      <c r="B113" s="3" t="s">
        <v>103</v>
      </c>
      <c r="C113" s="3">
        <v>4620860.07</v>
      </c>
      <c r="D113" s="3">
        <v>2591286.0033333339</v>
      </c>
    </row>
    <row r="114" spans="1:4" x14ac:dyDescent="0.3">
      <c r="A114" s="3">
        <v>21901</v>
      </c>
      <c r="B114" s="3" t="s">
        <v>104</v>
      </c>
      <c r="C114" s="3">
        <v>8824267.5366666671</v>
      </c>
      <c r="D114" s="3">
        <v>8708064.1433333326</v>
      </c>
    </row>
    <row r="115" spans="1:4" x14ac:dyDescent="0.3">
      <c r="A115" s="3">
        <v>21902</v>
      </c>
      <c r="B115" s="3" t="s">
        <v>105</v>
      </c>
      <c r="C115" s="3">
        <v>4136018.6166666667</v>
      </c>
      <c r="D115" s="3">
        <v>3899469.8166666664</v>
      </c>
    </row>
    <row r="116" spans="1:4" x14ac:dyDescent="0.3">
      <c r="A116" s="3">
        <v>22001</v>
      </c>
      <c r="B116" s="3" t="s">
        <v>40</v>
      </c>
      <c r="C116" s="3">
        <v>106995431.26666667</v>
      </c>
      <c r="D116" s="3">
        <v>89555649.353333339</v>
      </c>
    </row>
    <row r="117" spans="1:4" x14ac:dyDescent="0.3">
      <c r="A117" s="3">
        <v>22002</v>
      </c>
      <c r="B117" s="3" t="s">
        <v>115</v>
      </c>
      <c r="C117" s="3">
        <v>18241856.620000001</v>
      </c>
      <c r="D117" s="3">
        <v>17958766.446666669</v>
      </c>
    </row>
    <row r="118" spans="1:4" x14ac:dyDescent="0.3">
      <c r="A118" s="3">
        <v>30101</v>
      </c>
      <c r="B118" s="3" t="s">
        <v>118</v>
      </c>
      <c r="C118" s="3">
        <v>1489823254.9633334</v>
      </c>
      <c r="D118" s="3">
        <v>1651810953.8166666</v>
      </c>
    </row>
    <row r="119" spans="1:4" x14ac:dyDescent="0.3">
      <c r="A119" s="3">
        <v>30201</v>
      </c>
      <c r="B119" s="3" t="s">
        <v>125</v>
      </c>
      <c r="C119" s="3">
        <v>75381453.656666681</v>
      </c>
      <c r="D119" s="3">
        <v>52016893.560000002</v>
      </c>
    </row>
    <row r="120" spans="1:4" x14ac:dyDescent="0.3">
      <c r="A120" s="3">
        <v>30202</v>
      </c>
      <c r="B120" s="3" t="s">
        <v>126</v>
      </c>
      <c r="C120" s="3">
        <v>15472054.153333334</v>
      </c>
      <c r="D120" s="3">
        <v>11956249.576666666</v>
      </c>
    </row>
    <row r="121" spans="1:4" x14ac:dyDescent="0.3">
      <c r="A121" s="3">
        <v>30203</v>
      </c>
      <c r="B121" s="3" t="s">
        <v>127</v>
      </c>
      <c r="C121" s="3">
        <v>15697377.926666668</v>
      </c>
      <c r="D121" s="3">
        <v>16620498.520000001</v>
      </c>
    </row>
    <row r="122" spans="1:4" x14ac:dyDescent="0.3">
      <c r="A122" s="3">
        <v>30301</v>
      </c>
      <c r="B122" s="3" t="s">
        <v>128</v>
      </c>
      <c r="C122" s="3">
        <v>56783177.579999991</v>
      </c>
      <c r="D122" s="3">
        <v>36695748.223333336</v>
      </c>
    </row>
    <row r="123" spans="1:4" x14ac:dyDescent="0.3">
      <c r="A123" s="3">
        <v>30302</v>
      </c>
      <c r="B123" s="3" t="s">
        <v>129</v>
      </c>
      <c r="C123" s="3">
        <v>46461113.783333324</v>
      </c>
      <c r="D123" s="3">
        <v>22897366.040000003</v>
      </c>
    </row>
    <row r="124" spans="1:4" x14ac:dyDescent="0.3">
      <c r="A124" s="3">
        <v>30303</v>
      </c>
      <c r="B124" s="3" t="s">
        <v>164</v>
      </c>
      <c r="C124" s="3">
        <v>38532390.119999997</v>
      </c>
      <c r="D124" s="3">
        <v>31072535.383333337</v>
      </c>
    </row>
    <row r="125" spans="1:4" x14ac:dyDescent="0.3">
      <c r="A125" s="3">
        <v>30401</v>
      </c>
      <c r="B125" s="3" t="s">
        <v>138</v>
      </c>
      <c r="C125" s="3">
        <v>22616769.493333336</v>
      </c>
      <c r="D125" s="3">
        <v>19502829.010000002</v>
      </c>
    </row>
    <row r="126" spans="1:4" x14ac:dyDescent="0.3">
      <c r="A126" s="3">
        <v>30402</v>
      </c>
      <c r="B126" s="3" t="s">
        <v>139</v>
      </c>
      <c r="C126" s="3">
        <v>24752365.516666666</v>
      </c>
      <c r="D126" s="3">
        <v>12217384.043333331</v>
      </c>
    </row>
    <row r="127" spans="1:4" x14ac:dyDescent="0.3">
      <c r="A127" s="3">
        <v>30403</v>
      </c>
      <c r="B127" s="3" t="s">
        <v>140</v>
      </c>
      <c r="C127" s="3">
        <v>28195936.816666666</v>
      </c>
      <c r="D127" s="3">
        <v>32570269.913333338</v>
      </c>
    </row>
    <row r="128" spans="1:4" x14ac:dyDescent="0.3">
      <c r="A128" s="3">
        <v>30404</v>
      </c>
      <c r="B128" s="3" t="s">
        <v>141</v>
      </c>
      <c r="C128" s="3">
        <v>13385070.753333336</v>
      </c>
      <c r="D128" s="3">
        <v>6164946.4666666677</v>
      </c>
    </row>
    <row r="129" spans="1:4" x14ac:dyDescent="0.3">
      <c r="A129" s="3">
        <v>30501</v>
      </c>
      <c r="B129" s="3" t="s">
        <v>154</v>
      </c>
      <c r="C129" s="3">
        <v>27593037.989999998</v>
      </c>
      <c r="D129" s="3">
        <v>17955939.083333332</v>
      </c>
    </row>
    <row r="130" spans="1:4" x14ac:dyDescent="0.3">
      <c r="A130" s="3">
        <v>30502</v>
      </c>
      <c r="B130" s="3" t="s">
        <v>155</v>
      </c>
      <c r="C130" s="3">
        <v>28473851.453333329</v>
      </c>
      <c r="D130" s="3">
        <v>14438659.58</v>
      </c>
    </row>
    <row r="131" spans="1:4" x14ac:dyDescent="0.3">
      <c r="A131" s="3">
        <v>30601</v>
      </c>
      <c r="B131" s="3" t="s">
        <v>156</v>
      </c>
      <c r="C131" s="3">
        <v>27913291.003333341</v>
      </c>
      <c r="D131" s="3">
        <v>18953227.420000002</v>
      </c>
    </row>
    <row r="132" spans="1:4" x14ac:dyDescent="0.3">
      <c r="A132" s="3">
        <v>30602</v>
      </c>
      <c r="B132" s="3" t="s">
        <v>157</v>
      </c>
      <c r="C132" s="3">
        <v>27822361.800000001</v>
      </c>
      <c r="D132" s="3">
        <v>19481231.416666668</v>
      </c>
    </row>
    <row r="133" spans="1:4" x14ac:dyDescent="0.3">
      <c r="A133" s="3">
        <v>30701</v>
      </c>
      <c r="B133" s="3" t="s">
        <v>145</v>
      </c>
      <c r="C133" s="3">
        <v>42448725.276666678</v>
      </c>
      <c r="D133" s="3">
        <v>37847618.246666662</v>
      </c>
    </row>
    <row r="134" spans="1:4" x14ac:dyDescent="0.3">
      <c r="A134" s="3">
        <v>30702</v>
      </c>
      <c r="B134" s="3" t="s">
        <v>146</v>
      </c>
      <c r="C134" s="3">
        <v>19869171.556666669</v>
      </c>
      <c r="D134" s="3">
        <v>18572574.483333334</v>
      </c>
    </row>
    <row r="135" spans="1:4" x14ac:dyDescent="0.3">
      <c r="A135" s="3">
        <v>30703</v>
      </c>
      <c r="B135" s="3" t="s">
        <v>147</v>
      </c>
      <c r="C135" s="3">
        <v>8495824.913333334</v>
      </c>
      <c r="D135" s="3">
        <v>11317355.503333336</v>
      </c>
    </row>
    <row r="136" spans="1:4" x14ac:dyDescent="0.3">
      <c r="A136" s="3">
        <v>30801</v>
      </c>
      <c r="B136" s="3" t="s">
        <v>142</v>
      </c>
      <c r="C136" s="3">
        <v>47449100.960000008</v>
      </c>
      <c r="D136" s="3">
        <v>41175765.826666661</v>
      </c>
    </row>
    <row r="137" spans="1:4" x14ac:dyDescent="0.3">
      <c r="A137" s="3">
        <v>30802</v>
      </c>
      <c r="B137" s="3" t="s">
        <v>143</v>
      </c>
      <c r="C137" s="3">
        <v>21378351.59</v>
      </c>
      <c r="D137" s="3">
        <v>13837746.113333335</v>
      </c>
    </row>
    <row r="138" spans="1:4" x14ac:dyDescent="0.3">
      <c r="A138" s="3">
        <v>30803</v>
      </c>
      <c r="B138" s="3" t="s">
        <v>144</v>
      </c>
      <c r="C138" s="3">
        <v>14025711.49</v>
      </c>
      <c r="D138" s="3">
        <v>13243737.85</v>
      </c>
    </row>
    <row r="139" spans="1:4" x14ac:dyDescent="0.3">
      <c r="A139" s="3">
        <v>30901</v>
      </c>
      <c r="B139" s="3" t="s">
        <v>120</v>
      </c>
      <c r="C139" s="3">
        <v>318625205.31666666</v>
      </c>
      <c r="D139" s="3">
        <v>351707724.24666673</v>
      </c>
    </row>
    <row r="140" spans="1:4" x14ac:dyDescent="0.3">
      <c r="A140" s="3">
        <v>30902</v>
      </c>
      <c r="B140" s="3" t="s">
        <v>121</v>
      </c>
      <c r="C140" s="3">
        <v>60788738.423333324</v>
      </c>
      <c r="D140" s="3">
        <v>70315475.193333328</v>
      </c>
    </row>
    <row r="141" spans="1:4" x14ac:dyDescent="0.3">
      <c r="A141" s="3">
        <v>30903</v>
      </c>
      <c r="B141" s="3" t="s">
        <v>122</v>
      </c>
      <c r="C141" s="3">
        <v>81904521.49333334</v>
      </c>
      <c r="D141" s="3">
        <v>112572071.60000002</v>
      </c>
    </row>
    <row r="142" spans="1:4" x14ac:dyDescent="0.3">
      <c r="A142" s="3">
        <v>30904</v>
      </c>
      <c r="B142" s="3" t="s">
        <v>123</v>
      </c>
      <c r="C142" s="3">
        <v>67826871.466666669</v>
      </c>
      <c r="D142" s="3">
        <v>94128831.053333327</v>
      </c>
    </row>
    <row r="143" spans="1:4" x14ac:dyDescent="0.3">
      <c r="A143" s="3">
        <v>30905</v>
      </c>
      <c r="B143" s="3" t="s">
        <v>124</v>
      </c>
      <c r="C143" s="3">
        <v>93391396.326666668</v>
      </c>
      <c r="D143" s="3">
        <v>116220893.07000001</v>
      </c>
    </row>
    <row r="144" spans="1:4" x14ac:dyDescent="0.3">
      <c r="A144" s="3">
        <v>31001</v>
      </c>
      <c r="B144" s="3" t="s">
        <v>130</v>
      </c>
      <c r="C144" s="3">
        <v>319409485.89333332</v>
      </c>
      <c r="D144" s="3">
        <v>337778300.74333328</v>
      </c>
    </row>
    <row r="145" spans="1:4" x14ac:dyDescent="0.3">
      <c r="A145" s="3">
        <v>31002</v>
      </c>
      <c r="B145" s="3" t="s">
        <v>131</v>
      </c>
      <c r="C145" s="3">
        <v>53900592.67666667</v>
      </c>
      <c r="D145" s="3">
        <v>25975572.620000005</v>
      </c>
    </row>
    <row r="146" spans="1:4" x14ac:dyDescent="0.3">
      <c r="A146" s="3">
        <v>31003</v>
      </c>
      <c r="B146" s="3" t="s">
        <v>132</v>
      </c>
      <c r="C146" s="3">
        <v>201399798.97333333</v>
      </c>
      <c r="D146" s="3">
        <v>140104933.96333334</v>
      </c>
    </row>
    <row r="147" spans="1:4" x14ac:dyDescent="0.3">
      <c r="A147" s="3">
        <v>31101</v>
      </c>
      <c r="B147" s="3" t="s">
        <v>148</v>
      </c>
      <c r="C147" s="3">
        <v>51719365.383333348</v>
      </c>
      <c r="D147" s="3">
        <v>36452638.083333336</v>
      </c>
    </row>
    <row r="148" spans="1:4" x14ac:dyDescent="0.3">
      <c r="A148" s="3">
        <v>31201</v>
      </c>
      <c r="B148" s="3" t="s">
        <v>149</v>
      </c>
      <c r="C148" s="3">
        <v>28247873.966666669</v>
      </c>
      <c r="D148" s="3">
        <v>32783631.126666669</v>
      </c>
    </row>
    <row r="149" spans="1:4" x14ac:dyDescent="0.3">
      <c r="A149" s="3">
        <v>31202</v>
      </c>
      <c r="B149" s="3" t="s">
        <v>150</v>
      </c>
      <c r="C149" s="3">
        <v>24977879.25</v>
      </c>
      <c r="D149" s="3">
        <v>29834220.459999997</v>
      </c>
    </row>
    <row r="150" spans="1:4" x14ac:dyDescent="0.3">
      <c r="A150" s="3">
        <v>31203</v>
      </c>
      <c r="B150" s="3" t="s">
        <v>151</v>
      </c>
      <c r="C150" s="3">
        <v>26819809.58666667</v>
      </c>
      <c r="D150" s="3">
        <v>28999027.686666667</v>
      </c>
    </row>
    <row r="151" spans="1:4" x14ac:dyDescent="0.3">
      <c r="A151" s="3">
        <v>31204</v>
      </c>
      <c r="B151" s="3" t="s">
        <v>152</v>
      </c>
      <c r="C151" s="3">
        <v>61374286.093333326</v>
      </c>
      <c r="D151" s="3">
        <v>49551038.340000004</v>
      </c>
    </row>
    <row r="152" spans="1:4" x14ac:dyDescent="0.3">
      <c r="A152" s="3">
        <v>31205</v>
      </c>
      <c r="B152" s="3" t="s">
        <v>153</v>
      </c>
      <c r="C152" s="3">
        <v>110541959.04666667</v>
      </c>
      <c r="D152" s="3">
        <v>96966694.686666667</v>
      </c>
    </row>
    <row r="153" spans="1:4" x14ac:dyDescent="0.3">
      <c r="A153" s="3">
        <v>31206</v>
      </c>
      <c r="B153" s="3" t="s">
        <v>163</v>
      </c>
      <c r="C153" s="3">
        <v>67641082.200000003</v>
      </c>
      <c r="D153" s="3">
        <v>73235960.679999992</v>
      </c>
    </row>
    <row r="154" spans="1:4" x14ac:dyDescent="0.3">
      <c r="A154" s="3">
        <v>31301</v>
      </c>
      <c r="B154" s="3" t="s">
        <v>160</v>
      </c>
      <c r="C154" s="3">
        <v>56198363.229999997</v>
      </c>
      <c r="D154" s="3">
        <v>43904479.413333327</v>
      </c>
    </row>
    <row r="155" spans="1:4" x14ac:dyDescent="0.3">
      <c r="A155" s="3">
        <v>31302</v>
      </c>
      <c r="B155" s="3" t="s">
        <v>161</v>
      </c>
      <c r="C155" s="3">
        <v>11579815.226666667</v>
      </c>
      <c r="D155" s="3">
        <v>11044651.51</v>
      </c>
    </row>
    <row r="156" spans="1:4" x14ac:dyDescent="0.3">
      <c r="A156" s="3">
        <v>31303</v>
      </c>
      <c r="B156" s="3" t="s">
        <v>162</v>
      </c>
      <c r="C156" s="3">
        <v>13117746.266666666</v>
      </c>
      <c r="D156" s="3">
        <v>7719743.9033333333</v>
      </c>
    </row>
    <row r="157" spans="1:4" x14ac:dyDescent="0.3">
      <c r="A157" s="3">
        <v>31304</v>
      </c>
      <c r="B157" s="3" t="s">
        <v>475</v>
      </c>
      <c r="C157" s="3">
        <v>0</v>
      </c>
      <c r="D157" s="3">
        <v>18924099.953333333</v>
      </c>
    </row>
    <row r="158" spans="1:4" x14ac:dyDescent="0.3">
      <c r="A158" s="3">
        <v>31401</v>
      </c>
      <c r="B158" s="3" t="s">
        <v>133</v>
      </c>
      <c r="C158" s="3">
        <v>64776673.046666674</v>
      </c>
      <c r="D158" s="3">
        <v>68750806.149999991</v>
      </c>
    </row>
    <row r="159" spans="1:4" x14ac:dyDescent="0.3">
      <c r="A159" s="3">
        <v>31402</v>
      </c>
      <c r="B159" s="3" t="s">
        <v>134</v>
      </c>
      <c r="C159" s="3">
        <v>16200140.469999999</v>
      </c>
      <c r="D159" s="3">
        <v>12090928.093333334</v>
      </c>
    </row>
    <row r="160" spans="1:4" x14ac:dyDescent="0.3">
      <c r="A160" s="3">
        <v>31403</v>
      </c>
      <c r="B160" s="3" t="s">
        <v>135</v>
      </c>
      <c r="C160" s="3">
        <v>27508159.169999998</v>
      </c>
      <c r="D160" s="3">
        <v>29381402.823333334</v>
      </c>
    </row>
    <row r="161" spans="1:4" x14ac:dyDescent="0.3">
      <c r="A161" s="3">
        <v>31404</v>
      </c>
      <c r="B161" s="3" t="s">
        <v>136</v>
      </c>
      <c r="C161" s="3">
        <v>7422872.8399999999</v>
      </c>
      <c r="D161" s="3">
        <v>2373261.5533333332</v>
      </c>
    </row>
    <row r="162" spans="1:4" x14ac:dyDescent="0.3">
      <c r="A162" s="3">
        <v>31405</v>
      </c>
      <c r="B162" s="3" t="s">
        <v>137</v>
      </c>
      <c r="C162" s="3">
        <v>6290839.7333333334</v>
      </c>
      <c r="D162" s="3">
        <v>7308689.3233333332</v>
      </c>
    </row>
    <row r="163" spans="1:4" x14ac:dyDescent="0.3">
      <c r="A163" s="3">
        <v>31501</v>
      </c>
      <c r="B163" s="3" t="s">
        <v>158</v>
      </c>
      <c r="C163" s="3">
        <v>19260966.296666667</v>
      </c>
      <c r="D163" s="3">
        <v>12322358.573333332</v>
      </c>
    </row>
    <row r="164" spans="1:4" x14ac:dyDescent="0.3">
      <c r="A164" s="3">
        <v>31601</v>
      </c>
      <c r="B164" s="3" t="s">
        <v>159</v>
      </c>
      <c r="C164" s="3">
        <v>45358763.813333333</v>
      </c>
      <c r="D164" s="3">
        <v>43362068.153333329</v>
      </c>
    </row>
    <row r="165" spans="1:4" x14ac:dyDescent="0.3">
      <c r="A165" s="3">
        <v>31602</v>
      </c>
      <c r="B165" s="3" t="s">
        <v>165</v>
      </c>
      <c r="C165" s="3">
        <v>58592582.366666675</v>
      </c>
      <c r="D165" s="3">
        <v>37148083.860000007</v>
      </c>
    </row>
    <row r="166" spans="1:4" x14ac:dyDescent="0.3">
      <c r="A166" s="3">
        <v>40101</v>
      </c>
      <c r="B166" s="3" t="s">
        <v>166</v>
      </c>
      <c r="C166" s="3">
        <v>758558419.84666669</v>
      </c>
      <c r="D166" s="3">
        <v>657413738.83999991</v>
      </c>
    </row>
    <row r="167" spans="1:4" x14ac:dyDescent="0.3">
      <c r="A167" s="3">
        <v>40102</v>
      </c>
      <c r="B167" s="3" t="s">
        <v>168</v>
      </c>
      <c r="C167" s="3">
        <v>71770210.600000009</v>
      </c>
      <c r="D167" s="3">
        <v>48688772.606666677</v>
      </c>
    </row>
    <row r="168" spans="1:4" x14ac:dyDescent="0.3">
      <c r="A168" s="3">
        <v>40103</v>
      </c>
      <c r="B168" s="3" t="s">
        <v>169</v>
      </c>
      <c r="C168" s="3">
        <v>20917228.800000001</v>
      </c>
      <c r="D168" s="3">
        <v>19700392.830000002</v>
      </c>
    </row>
    <row r="169" spans="1:4" x14ac:dyDescent="0.3">
      <c r="A169" s="3">
        <v>40104</v>
      </c>
      <c r="B169" s="3" t="s">
        <v>201</v>
      </c>
      <c r="C169" s="3">
        <v>50864440.853333332</v>
      </c>
      <c r="D169" s="3">
        <v>32929714.74666667</v>
      </c>
    </row>
    <row r="170" spans="1:4" x14ac:dyDescent="0.3">
      <c r="A170" s="3">
        <v>40201</v>
      </c>
      <c r="B170" s="3" t="s">
        <v>170</v>
      </c>
      <c r="C170" s="3">
        <v>85991233.24666667</v>
      </c>
      <c r="D170" s="3">
        <v>57482938.773333333</v>
      </c>
    </row>
    <row r="171" spans="1:4" x14ac:dyDescent="0.3">
      <c r="A171" s="3">
        <v>40202</v>
      </c>
      <c r="B171" s="3" t="s">
        <v>171</v>
      </c>
      <c r="C171" s="3">
        <v>13906932.939999999</v>
      </c>
      <c r="D171" s="3">
        <v>10215696.910000002</v>
      </c>
    </row>
    <row r="172" spans="1:4" x14ac:dyDescent="0.3">
      <c r="A172" s="3">
        <v>40301</v>
      </c>
      <c r="B172" s="3" t="s">
        <v>180</v>
      </c>
      <c r="C172" s="3">
        <v>29177464.280000001</v>
      </c>
      <c r="D172" s="3">
        <v>17017880.010000002</v>
      </c>
    </row>
    <row r="173" spans="1:4" x14ac:dyDescent="0.3">
      <c r="A173" s="3">
        <v>40302</v>
      </c>
      <c r="B173" s="3" t="s">
        <v>181</v>
      </c>
      <c r="C173" s="3">
        <v>6819798.8633333333</v>
      </c>
      <c r="D173" s="3">
        <v>5302523.2133333338</v>
      </c>
    </row>
    <row r="174" spans="1:4" x14ac:dyDescent="0.3">
      <c r="A174" s="3">
        <v>40401</v>
      </c>
      <c r="B174" s="3" t="s">
        <v>182</v>
      </c>
      <c r="C174" s="3">
        <v>19680761.156666666</v>
      </c>
      <c r="D174" s="3">
        <v>9090135.5200000014</v>
      </c>
    </row>
    <row r="175" spans="1:4" x14ac:dyDescent="0.3">
      <c r="A175" s="3">
        <v>40402</v>
      </c>
      <c r="B175" s="3" t="s">
        <v>183</v>
      </c>
      <c r="C175" s="3">
        <v>21802300.183333334</v>
      </c>
      <c r="D175" s="3">
        <v>15478275.49</v>
      </c>
    </row>
    <row r="176" spans="1:4" x14ac:dyDescent="0.3">
      <c r="A176" s="3">
        <v>40501</v>
      </c>
      <c r="B176" s="3" t="s">
        <v>184</v>
      </c>
      <c r="C176" s="3">
        <v>8173045.2666666666</v>
      </c>
      <c r="D176" s="3">
        <v>3574276.6400000006</v>
      </c>
    </row>
    <row r="177" spans="1:4" x14ac:dyDescent="0.3">
      <c r="A177" s="3">
        <v>40502</v>
      </c>
      <c r="B177" s="3" t="s">
        <v>185</v>
      </c>
      <c r="C177" s="3">
        <v>6277562.7333333334</v>
      </c>
      <c r="D177" s="3">
        <v>12275026.479999999</v>
      </c>
    </row>
    <row r="178" spans="1:4" x14ac:dyDescent="0.3">
      <c r="A178" s="3">
        <v>40503</v>
      </c>
      <c r="B178" s="3" t="s">
        <v>186</v>
      </c>
      <c r="C178" s="3">
        <v>6053785.8600000003</v>
      </c>
      <c r="D178" s="3">
        <v>8851847.7733333334</v>
      </c>
    </row>
    <row r="179" spans="1:4" x14ac:dyDescent="0.3">
      <c r="A179" s="3">
        <v>40504</v>
      </c>
      <c r="B179" s="3" t="s">
        <v>187</v>
      </c>
      <c r="C179" s="3">
        <v>1661948.7033333331</v>
      </c>
      <c r="D179" s="3">
        <v>2408313.5833333335</v>
      </c>
    </row>
    <row r="180" spans="1:4" x14ac:dyDescent="0.3">
      <c r="A180" s="3">
        <v>40505</v>
      </c>
      <c r="B180" s="3" t="s">
        <v>188</v>
      </c>
      <c r="C180" s="3">
        <v>5012557.1166666662</v>
      </c>
      <c r="D180" s="3">
        <v>6562984.6200000001</v>
      </c>
    </row>
    <row r="181" spans="1:4" x14ac:dyDescent="0.3">
      <c r="A181" s="3">
        <v>40601</v>
      </c>
      <c r="B181" s="3" t="s">
        <v>174</v>
      </c>
      <c r="C181" s="3">
        <v>21812640.296666667</v>
      </c>
      <c r="D181" s="3">
        <v>26665290.010000005</v>
      </c>
    </row>
    <row r="182" spans="1:4" x14ac:dyDescent="0.3">
      <c r="A182" s="3">
        <v>40602</v>
      </c>
      <c r="B182" s="3" t="s">
        <v>175</v>
      </c>
      <c r="C182" s="3">
        <v>21327040.809999999</v>
      </c>
      <c r="D182" s="3">
        <v>11542586.866666667</v>
      </c>
    </row>
    <row r="183" spans="1:4" x14ac:dyDescent="0.3">
      <c r="A183" s="3">
        <v>40603</v>
      </c>
      <c r="B183" s="3" t="s">
        <v>176</v>
      </c>
      <c r="C183" s="3">
        <v>28045296.096666668</v>
      </c>
      <c r="D183" s="3">
        <v>15344289.76</v>
      </c>
    </row>
    <row r="184" spans="1:4" x14ac:dyDescent="0.3">
      <c r="A184" s="3">
        <v>40701</v>
      </c>
      <c r="B184" s="3" t="s">
        <v>172</v>
      </c>
      <c r="C184" s="3">
        <v>92407471.50333333</v>
      </c>
      <c r="D184" s="3">
        <v>57501315.030000001</v>
      </c>
    </row>
    <row r="185" spans="1:4" x14ac:dyDescent="0.3">
      <c r="A185" s="3">
        <v>40702</v>
      </c>
      <c r="B185" s="3" t="s">
        <v>173</v>
      </c>
      <c r="C185" s="3">
        <v>15541721.706666669</v>
      </c>
      <c r="D185" s="3">
        <v>11131213.720000001</v>
      </c>
    </row>
    <row r="186" spans="1:4" x14ac:dyDescent="0.3">
      <c r="A186" s="3">
        <v>40801</v>
      </c>
      <c r="B186" s="3" t="s">
        <v>192</v>
      </c>
      <c r="C186" s="3">
        <v>35405628.923333332</v>
      </c>
      <c r="D186" s="3">
        <v>36765648.906666666</v>
      </c>
    </row>
    <row r="187" spans="1:4" x14ac:dyDescent="0.3">
      <c r="A187" s="3">
        <v>40802</v>
      </c>
      <c r="B187" s="3" t="s">
        <v>193</v>
      </c>
      <c r="C187" s="3">
        <v>10982708.786666667</v>
      </c>
      <c r="D187" s="3">
        <v>9611694.5033333339</v>
      </c>
    </row>
    <row r="188" spans="1:4" x14ac:dyDescent="0.3">
      <c r="A188" s="3">
        <v>40901</v>
      </c>
      <c r="B188" s="3" t="s">
        <v>197</v>
      </c>
      <c r="C188" s="3">
        <v>25939166.876666665</v>
      </c>
      <c r="D188" s="3">
        <v>21091311.536666665</v>
      </c>
    </row>
    <row r="189" spans="1:4" x14ac:dyDescent="0.3">
      <c r="A189" s="3">
        <v>40902</v>
      </c>
      <c r="B189" s="3" t="s">
        <v>198</v>
      </c>
      <c r="C189" s="3">
        <v>3583447.0233333334</v>
      </c>
      <c r="D189" s="3">
        <v>5899957.9699999988</v>
      </c>
    </row>
    <row r="190" spans="1:4" x14ac:dyDescent="0.3">
      <c r="A190" s="3">
        <v>40903</v>
      </c>
      <c r="B190" s="3" t="s">
        <v>199</v>
      </c>
      <c r="C190" s="3">
        <v>7822115.3499999987</v>
      </c>
      <c r="D190" s="3">
        <v>5360310.8999999994</v>
      </c>
    </row>
    <row r="191" spans="1:4" x14ac:dyDescent="0.3">
      <c r="A191" s="3">
        <v>41001</v>
      </c>
      <c r="B191" s="3" t="s">
        <v>189</v>
      </c>
      <c r="C191" s="3">
        <v>28217375.59</v>
      </c>
      <c r="D191" s="3">
        <v>23809994.366666663</v>
      </c>
    </row>
    <row r="192" spans="1:4" x14ac:dyDescent="0.3">
      <c r="A192" s="3">
        <v>41101</v>
      </c>
      <c r="B192" s="3" t="s">
        <v>177</v>
      </c>
      <c r="C192" s="3">
        <v>19566425.106666666</v>
      </c>
      <c r="D192" s="3">
        <v>12491121.606666667</v>
      </c>
    </row>
    <row r="193" spans="1:4" x14ac:dyDescent="0.3">
      <c r="A193" s="3">
        <v>41201</v>
      </c>
      <c r="B193" s="3" t="s">
        <v>190</v>
      </c>
      <c r="C193" s="3">
        <v>25781686.699999999</v>
      </c>
      <c r="D193" s="3">
        <v>15968172.523333333</v>
      </c>
    </row>
    <row r="194" spans="1:4" x14ac:dyDescent="0.3">
      <c r="A194" s="3">
        <v>41202</v>
      </c>
      <c r="B194" s="3" t="s">
        <v>191</v>
      </c>
      <c r="C194" s="3">
        <v>8107188.8799999999</v>
      </c>
      <c r="D194" s="3">
        <v>7324938.916666667</v>
      </c>
    </row>
    <row r="195" spans="1:4" x14ac:dyDescent="0.3">
      <c r="A195" s="3">
        <v>41301</v>
      </c>
      <c r="B195" s="3" t="s">
        <v>179</v>
      </c>
      <c r="C195" s="3">
        <v>19206872.006666664</v>
      </c>
      <c r="D195" s="3">
        <v>13534329.356666667</v>
      </c>
    </row>
    <row r="196" spans="1:4" x14ac:dyDescent="0.3">
      <c r="A196" s="3">
        <v>41401</v>
      </c>
      <c r="B196" s="3" t="s">
        <v>178</v>
      </c>
      <c r="C196" s="3">
        <v>35063538.890000008</v>
      </c>
      <c r="D196" s="3">
        <v>32634876.299999997</v>
      </c>
    </row>
    <row r="197" spans="1:4" x14ac:dyDescent="0.3">
      <c r="A197" s="3">
        <v>41501</v>
      </c>
      <c r="B197" s="3" t="s">
        <v>194</v>
      </c>
      <c r="C197" s="3">
        <v>3417105.4033333338</v>
      </c>
      <c r="D197" s="3">
        <v>7057362.1433333335</v>
      </c>
    </row>
    <row r="198" spans="1:4" x14ac:dyDescent="0.3">
      <c r="A198" s="3">
        <v>41502</v>
      </c>
      <c r="B198" s="3" t="s">
        <v>195</v>
      </c>
      <c r="C198" s="3">
        <v>3286111.2633333332</v>
      </c>
      <c r="D198" s="3">
        <v>2679556.7133333334</v>
      </c>
    </row>
    <row r="199" spans="1:4" x14ac:dyDescent="0.3">
      <c r="A199" s="3">
        <v>41503</v>
      </c>
      <c r="B199" s="3" t="s">
        <v>196</v>
      </c>
      <c r="C199" s="3">
        <v>3493252.47</v>
      </c>
      <c r="D199" s="3">
        <v>5596615.1333333328</v>
      </c>
    </row>
    <row r="200" spans="1:4" x14ac:dyDescent="0.3">
      <c r="A200" s="3">
        <v>41601</v>
      </c>
      <c r="B200" s="3" t="s">
        <v>200</v>
      </c>
      <c r="C200" s="3">
        <v>22994388.466666669</v>
      </c>
      <c r="D200" s="3">
        <v>13288887.039999999</v>
      </c>
    </row>
    <row r="201" spans="1:4" x14ac:dyDescent="0.3">
      <c r="A201" s="3">
        <v>50101</v>
      </c>
      <c r="B201" s="3" t="s">
        <v>202</v>
      </c>
      <c r="C201" s="3">
        <v>450308158.52666664</v>
      </c>
      <c r="D201" s="3">
        <v>448110468.13666654</v>
      </c>
    </row>
    <row r="202" spans="1:4" x14ac:dyDescent="0.3">
      <c r="A202" s="3">
        <v>50102</v>
      </c>
      <c r="B202" s="3" t="s">
        <v>204</v>
      </c>
      <c r="C202" s="3">
        <v>63874349.306666672</v>
      </c>
      <c r="D202" s="3">
        <v>52599303.333333343</v>
      </c>
    </row>
    <row r="203" spans="1:4" x14ac:dyDescent="0.3">
      <c r="A203" s="3">
        <v>50103</v>
      </c>
      <c r="B203" s="3" t="s">
        <v>205</v>
      </c>
      <c r="C203" s="3">
        <v>26469663.58333334</v>
      </c>
      <c r="D203" s="3">
        <v>19889095.763333332</v>
      </c>
    </row>
    <row r="204" spans="1:4" x14ac:dyDescent="0.3">
      <c r="A204" s="3">
        <v>50104</v>
      </c>
      <c r="B204" s="3" t="s">
        <v>206</v>
      </c>
      <c r="C204" s="3">
        <v>8971437.1433333326</v>
      </c>
      <c r="D204" s="3">
        <v>5961746.1466666674</v>
      </c>
    </row>
    <row r="205" spans="1:4" x14ac:dyDescent="0.3">
      <c r="A205" s="3">
        <v>50201</v>
      </c>
      <c r="B205" s="3" t="s">
        <v>207</v>
      </c>
      <c r="C205" s="3">
        <v>52100262.523333333</v>
      </c>
      <c r="D205" s="3">
        <v>37817572.103333332</v>
      </c>
    </row>
    <row r="206" spans="1:4" x14ac:dyDescent="0.3">
      <c r="A206" s="3">
        <v>50202</v>
      </c>
      <c r="B206" s="3" t="s">
        <v>208</v>
      </c>
      <c r="C206" s="3">
        <v>43834720.329999991</v>
      </c>
      <c r="D206" s="3">
        <v>32444195.633333337</v>
      </c>
    </row>
    <row r="207" spans="1:4" x14ac:dyDescent="0.3">
      <c r="A207" s="3">
        <v>50203</v>
      </c>
      <c r="B207" s="3" t="s">
        <v>209</v>
      </c>
      <c r="C207" s="3">
        <v>113851534.15666664</v>
      </c>
      <c r="D207" s="3">
        <v>94444792.953333363</v>
      </c>
    </row>
    <row r="208" spans="1:4" x14ac:dyDescent="0.3">
      <c r="A208" s="3">
        <v>50204</v>
      </c>
      <c r="B208" s="3" t="s">
        <v>242</v>
      </c>
      <c r="C208" s="3">
        <v>17262138.226666667</v>
      </c>
      <c r="D208" s="3">
        <v>12871401</v>
      </c>
    </row>
    <row r="209" spans="1:4" x14ac:dyDescent="0.3">
      <c r="A209" s="3">
        <v>50301</v>
      </c>
      <c r="B209" s="3" t="s">
        <v>210</v>
      </c>
      <c r="C209" s="3">
        <v>77380465.670000002</v>
      </c>
      <c r="D209" s="3">
        <v>59639589.44333335</v>
      </c>
    </row>
    <row r="210" spans="1:4" x14ac:dyDescent="0.3">
      <c r="A210" s="3">
        <v>50302</v>
      </c>
      <c r="B210" s="3" t="s">
        <v>211</v>
      </c>
      <c r="C210" s="3">
        <v>29452925.056666672</v>
      </c>
      <c r="D210" s="3">
        <v>21113513.526666667</v>
      </c>
    </row>
    <row r="211" spans="1:4" x14ac:dyDescent="0.3">
      <c r="A211" s="3">
        <v>50303</v>
      </c>
      <c r="B211" s="3" t="s">
        <v>212</v>
      </c>
      <c r="C211" s="3">
        <v>46931969.740000002</v>
      </c>
      <c r="D211" s="3">
        <v>29613946.076666668</v>
      </c>
    </row>
    <row r="212" spans="1:4" x14ac:dyDescent="0.3">
      <c r="A212" s="3">
        <v>50401</v>
      </c>
      <c r="B212" s="3" t="s">
        <v>213</v>
      </c>
      <c r="C212" s="3">
        <v>87155257.673333332</v>
      </c>
      <c r="D212" s="3">
        <v>34948548.673333339</v>
      </c>
    </row>
    <row r="213" spans="1:4" x14ac:dyDescent="0.3">
      <c r="A213" s="3">
        <v>50402</v>
      </c>
      <c r="B213" s="3" t="s">
        <v>214</v>
      </c>
      <c r="C213" s="3">
        <v>59691687.113333337</v>
      </c>
      <c r="D213" s="3">
        <v>38088541.259999998</v>
      </c>
    </row>
    <row r="214" spans="1:4" x14ac:dyDescent="0.3">
      <c r="A214" s="3">
        <v>50403</v>
      </c>
      <c r="B214" s="3" t="s">
        <v>215</v>
      </c>
      <c r="C214" s="3">
        <v>57467930.916666679</v>
      </c>
      <c r="D214" s="3">
        <v>48171774.123333335</v>
      </c>
    </row>
    <row r="215" spans="1:4" x14ac:dyDescent="0.3">
      <c r="A215" s="3">
        <v>50404</v>
      </c>
      <c r="B215" s="3" t="s">
        <v>216</v>
      </c>
      <c r="C215" s="3">
        <v>41354272.700000003</v>
      </c>
      <c r="D215" s="3">
        <v>31194459.206666667</v>
      </c>
    </row>
    <row r="216" spans="1:4" x14ac:dyDescent="0.3">
      <c r="A216" s="3">
        <v>50405</v>
      </c>
      <c r="B216" s="3" t="s">
        <v>243</v>
      </c>
      <c r="C216" s="3">
        <v>0</v>
      </c>
      <c r="D216" s="3">
        <v>34958803.009999998</v>
      </c>
    </row>
    <row r="217" spans="1:4" x14ac:dyDescent="0.3">
      <c r="A217" s="3">
        <v>50501</v>
      </c>
      <c r="B217" s="3" t="s">
        <v>217</v>
      </c>
      <c r="C217" s="3">
        <v>86706119.683333322</v>
      </c>
      <c r="D217" s="3">
        <v>53833889.343333334</v>
      </c>
    </row>
    <row r="218" spans="1:4" x14ac:dyDescent="0.3">
      <c r="A218" s="3">
        <v>50502</v>
      </c>
      <c r="B218" s="3" t="s">
        <v>218</v>
      </c>
      <c r="C218" s="3">
        <v>30586836.02</v>
      </c>
      <c r="D218" s="3">
        <v>23063284.933333334</v>
      </c>
    </row>
    <row r="219" spans="1:4" x14ac:dyDescent="0.3">
      <c r="A219" s="3">
        <v>50601</v>
      </c>
      <c r="B219" s="3" t="s">
        <v>219</v>
      </c>
      <c r="C219" s="3">
        <v>80621972.936666667</v>
      </c>
      <c r="D219" s="3">
        <v>79637948.293333337</v>
      </c>
    </row>
    <row r="220" spans="1:4" x14ac:dyDescent="0.3">
      <c r="A220" s="3">
        <v>50602</v>
      </c>
      <c r="B220" s="3" t="s">
        <v>220</v>
      </c>
      <c r="C220" s="3">
        <v>31525400.406666666</v>
      </c>
      <c r="D220" s="3">
        <v>19279672.496666666</v>
      </c>
    </row>
    <row r="221" spans="1:4" x14ac:dyDescent="0.3">
      <c r="A221" s="3">
        <v>50701</v>
      </c>
      <c r="B221" s="3" t="s">
        <v>228</v>
      </c>
      <c r="C221" s="3">
        <v>51842925.830000006</v>
      </c>
      <c r="D221" s="3">
        <v>37886890.686666667</v>
      </c>
    </row>
    <row r="222" spans="1:4" x14ac:dyDescent="0.3">
      <c r="A222" s="3">
        <v>50702</v>
      </c>
      <c r="B222" s="3" t="s">
        <v>229</v>
      </c>
      <c r="C222" s="3">
        <v>27631108.783333331</v>
      </c>
      <c r="D222" s="3">
        <v>17713795.620000001</v>
      </c>
    </row>
    <row r="223" spans="1:4" x14ac:dyDescent="0.3">
      <c r="A223" s="3">
        <v>50801</v>
      </c>
      <c r="B223" s="3" t="s">
        <v>221</v>
      </c>
      <c r="C223" s="3">
        <v>109796421.38999999</v>
      </c>
      <c r="D223" s="3">
        <v>95049059.020000026</v>
      </c>
    </row>
    <row r="224" spans="1:4" x14ac:dyDescent="0.3">
      <c r="A224" s="3">
        <v>50802</v>
      </c>
      <c r="B224" s="3" t="s">
        <v>222</v>
      </c>
      <c r="C224" s="3">
        <v>53074511.639999993</v>
      </c>
      <c r="D224" s="3">
        <v>34915754.13666667</v>
      </c>
    </row>
    <row r="225" spans="1:4" x14ac:dyDescent="0.3">
      <c r="A225" s="3">
        <v>50901</v>
      </c>
      <c r="B225" s="3" t="s">
        <v>223</v>
      </c>
      <c r="C225" s="3">
        <v>159005378.56666666</v>
      </c>
      <c r="D225" s="3">
        <v>124269496.42999999</v>
      </c>
    </row>
    <row r="226" spans="1:4" x14ac:dyDescent="0.3">
      <c r="A226" s="3">
        <v>50902</v>
      </c>
      <c r="B226" s="3" t="s">
        <v>224</v>
      </c>
      <c r="C226" s="3">
        <v>6347813.2766666664</v>
      </c>
      <c r="D226" s="3">
        <v>7074946.419999999</v>
      </c>
    </row>
    <row r="227" spans="1:4" x14ac:dyDescent="0.3">
      <c r="A227" s="3">
        <v>51001</v>
      </c>
      <c r="B227" s="3" t="s">
        <v>225</v>
      </c>
      <c r="C227" s="3">
        <v>11450214.443333333</v>
      </c>
      <c r="D227" s="3">
        <v>7365686.1366666676</v>
      </c>
    </row>
    <row r="228" spans="1:4" x14ac:dyDescent="0.3">
      <c r="A228" s="3">
        <v>51002</v>
      </c>
      <c r="B228" s="3" t="s">
        <v>226</v>
      </c>
      <c r="C228" s="3">
        <v>6055818.913333334</v>
      </c>
      <c r="D228" s="3">
        <v>5154052.4800000014</v>
      </c>
    </row>
    <row r="229" spans="1:4" x14ac:dyDescent="0.3">
      <c r="A229" s="3">
        <v>51003</v>
      </c>
      <c r="B229" s="3" t="s">
        <v>227</v>
      </c>
      <c r="C229" s="3">
        <v>7083750.8066666676</v>
      </c>
      <c r="D229" s="3">
        <v>4955432.6000000006</v>
      </c>
    </row>
    <row r="230" spans="1:4" x14ac:dyDescent="0.3">
      <c r="A230" s="3">
        <v>51101</v>
      </c>
      <c r="B230" s="3" t="s">
        <v>230</v>
      </c>
      <c r="C230" s="3">
        <v>59550823.326666661</v>
      </c>
      <c r="D230" s="3">
        <v>31712802.210000005</v>
      </c>
    </row>
    <row r="231" spans="1:4" x14ac:dyDescent="0.3">
      <c r="A231" s="3">
        <v>51102</v>
      </c>
      <c r="B231" s="3" t="s">
        <v>231</v>
      </c>
      <c r="C231" s="3">
        <v>38793785.996666662</v>
      </c>
      <c r="D231" s="3">
        <v>28047267.003333334</v>
      </c>
    </row>
    <row r="232" spans="1:4" x14ac:dyDescent="0.3">
      <c r="A232" s="3">
        <v>51103</v>
      </c>
      <c r="B232" s="3" t="s">
        <v>241</v>
      </c>
      <c r="C232" s="3">
        <v>49352110.473333336</v>
      </c>
      <c r="D232" s="3">
        <v>35837140.616666667</v>
      </c>
    </row>
    <row r="233" spans="1:4" x14ac:dyDescent="0.3">
      <c r="A233" s="3">
        <v>51201</v>
      </c>
      <c r="B233" s="3" t="s">
        <v>232</v>
      </c>
      <c r="C233" s="3">
        <v>58484857.660000004</v>
      </c>
      <c r="D233" s="3">
        <v>70170951.903333336</v>
      </c>
    </row>
    <row r="234" spans="1:4" x14ac:dyDescent="0.3">
      <c r="A234" s="3">
        <v>51202</v>
      </c>
      <c r="B234" s="3" t="s">
        <v>233</v>
      </c>
      <c r="C234" s="3">
        <v>44466673.130000003</v>
      </c>
      <c r="D234" s="3">
        <v>25682501.983333331</v>
      </c>
    </row>
    <row r="235" spans="1:4" x14ac:dyDescent="0.3">
      <c r="A235" s="3">
        <v>51203</v>
      </c>
      <c r="B235" s="3" t="s">
        <v>234</v>
      </c>
      <c r="C235" s="3">
        <v>37542671.906666666</v>
      </c>
      <c r="D235" s="3">
        <v>40021472.096666656</v>
      </c>
    </row>
    <row r="236" spans="1:4" x14ac:dyDescent="0.3">
      <c r="A236" s="3">
        <v>51204</v>
      </c>
      <c r="B236" s="3" t="s">
        <v>476</v>
      </c>
      <c r="C236" s="3">
        <v>0</v>
      </c>
      <c r="D236" s="3">
        <v>6422372.2149999999</v>
      </c>
    </row>
    <row r="237" spans="1:4" x14ac:dyDescent="0.3">
      <c r="A237" s="3">
        <v>51301</v>
      </c>
      <c r="B237" s="3" t="s">
        <v>235</v>
      </c>
      <c r="C237" s="3">
        <v>15374428.626666665</v>
      </c>
      <c r="D237" s="3">
        <v>8766559.8266666662</v>
      </c>
    </row>
    <row r="238" spans="1:4" x14ac:dyDescent="0.3">
      <c r="A238" s="3">
        <v>51302</v>
      </c>
      <c r="B238" s="3" t="s">
        <v>236</v>
      </c>
      <c r="C238" s="3">
        <v>17258185.143333334</v>
      </c>
      <c r="D238" s="3">
        <v>9465275.2166666668</v>
      </c>
    </row>
    <row r="239" spans="1:4" x14ac:dyDescent="0.3">
      <c r="A239" s="3">
        <v>51401</v>
      </c>
      <c r="B239" s="3" t="s">
        <v>237</v>
      </c>
      <c r="C239" s="3">
        <v>11762778.780000001</v>
      </c>
      <c r="D239" s="3">
        <v>9170218.6566666681</v>
      </c>
    </row>
    <row r="240" spans="1:4" x14ac:dyDescent="0.3">
      <c r="A240" s="3">
        <v>51402</v>
      </c>
      <c r="B240" s="3" t="s">
        <v>238</v>
      </c>
      <c r="C240" s="3">
        <v>9835907.8233333323</v>
      </c>
      <c r="D240" s="3">
        <v>5954294.9833333334</v>
      </c>
    </row>
    <row r="241" spans="1:4" x14ac:dyDescent="0.3">
      <c r="A241" s="3">
        <v>51501</v>
      </c>
      <c r="B241" s="3" t="s">
        <v>239</v>
      </c>
      <c r="C241" s="3">
        <v>86662702.583333328</v>
      </c>
      <c r="D241" s="3">
        <v>83775913.13333334</v>
      </c>
    </row>
    <row r="242" spans="1:4" x14ac:dyDescent="0.3">
      <c r="A242" s="3">
        <v>51601</v>
      </c>
      <c r="B242" s="3" t="s">
        <v>240</v>
      </c>
      <c r="C242" s="3">
        <v>8716981.8699999992</v>
      </c>
      <c r="D242" s="3">
        <v>6836421.3866666658</v>
      </c>
    </row>
    <row r="243" spans="1:4" x14ac:dyDescent="0.3">
      <c r="A243" s="3">
        <v>60101</v>
      </c>
      <c r="B243" s="3" t="s">
        <v>244</v>
      </c>
      <c r="C243" s="3">
        <v>821768210.93999994</v>
      </c>
      <c r="D243" s="3">
        <v>650045578.01999998</v>
      </c>
    </row>
    <row r="244" spans="1:4" x14ac:dyDescent="0.3">
      <c r="A244" s="3">
        <v>60201</v>
      </c>
      <c r="B244" s="3" t="s">
        <v>246</v>
      </c>
      <c r="C244" s="3">
        <v>91113495.346666679</v>
      </c>
      <c r="D244" s="3">
        <v>52723446.523333333</v>
      </c>
    </row>
    <row r="245" spans="1:4" x14ac:dyDescent="0.3">
      <c r="A245" s="3">
        <v>60202</v>
      </c>
      <c r="B245" s="3" t="s">
        <v>247</v>
      </c>
      <c r="C245" s="3">
        <v>158765343.83333334</v>
      </c>
      <c r="D245" s="3">
        <v>103563171.96666665</v>
      </c>
    </row>
    <row r="246" spans="1:4" x14ac:dyDescent="0.3">
      <c r="A246" s="3">
        <v>60301</v>
      </c>
      <c r="B246" s="3" t="s">
        <v>248</v>
      </c>
      <c r="C246" s="3">
        <v>512231734.67333335</v>
      </c>
      <c r="D246" s="3">
        <v>274517779.46333337</v>
      </c>
    </row>
    <row r="247" spans="1:4" x14ac:dyDescent="0.3">
      <c r="A247" s="3">
        <v>60302</v>
      </c>
      <c r="B247" s="3" t="s">
        <v>249</v>
      </c>
      <c r="C247" s="3">
        <v>225122651.91333333</v>
      </c>
      <c r="D247" s="3">
        <v>103548494.90333332</v>
      </c>
    </row>
    <row r="248" spans="1:4" x14ac:dyDescent="0.3">
      <c r="A248" s="3">
        <v>60303</v>
      </c>
      <c r="B248" s="3" t="s">
        <v>250</v>
      </c>
      <c r="C248" s="3">
        <v>261345816.85666665</v>
      </c>
      <c r="D248" s="3">
        <v>147712067.26666674</v>
      </c>
    </row>
    <row r="249" spans="1:4" x14ac:dyDescent="0.3">
      <c r="A249" s="3">
        <v>60401</v>
      </c>
      <c r="B249" s="3" t="s">
        <v>251</v>
      </c>
      <c r="C249" s="3">
        <v>70260903.810000002</v>
      </c>
      <c r="D249" s="3">
        <v>48163953.800000012</v>
      </c>
    </row>
    <row r="250" spans="1:4" x14ac:dyDescent="0.3">
      <c r="A250" s="3">
        <v>60402</v>
      </c>
      <c r="B250" s="3" t="s">
        <v>252</v>
      </c>
      <c r="C250" s="3">
        <v>41290431.183333337</v>
      </c>
      <c r="D250" s="3">
        <v>25106146.680000003</v>
      </c>
    </row>
    <row r="251" spans="1:4" x14ac:dyDescent="0.3">
      <c r="A251" s="3">
        <v>60501</v>
      </c>
      <c r="B251" s="3" t="s">
        <v>253</v>
      </c>
      <c r="C251" s="3">
        <v>107281752.53666668</v>
      </c>
      <c r="D251" s="3">
        <v>69361687.030000016</v>
      </c>
    </row>
    <row r="252" spans="1:4" x14ac:dyDescent="0.3">
      <c r="A252" s="3">
        <v>60502</v>
      </c>
      <c r="B252" s="3" t="s">
        <v>254</v>
      </c>
      <c r="C252" s="3">
        <v>60395081.516666658</v>
      </c>
      <c r="D252" s="3">
        <v>40598841.296666674</v>
      </c>
    </row>
    <row r="253" spans="1:4" x14ac:dyDescent="0.3">
      <c r="A253" s="3">
        <v>60601</v>
      </c>
      <c r="B253" s="3" t="s">
        <v>255</v>
      </c>
      <c r="C253" s="3">
        <v>92333325.196666658</v>
      </c>
      <c r="D253" s="3">
        <v>49181677.399999999</v>
      </c>
    </row>
    <row r="254" spans="1:4" x14ac:dyDescent="0.3">
      <c r="A254" s="3">
        <v>70101</v>
      </c>
      <c r="B254" s="3" t="s">
        <v>256</v>
      </c>
      <c r="C254" s="3">
        <v>2869410719.9866676</v>
      </c>
      <c r="D254" s="3">
        <v>3817918325.0033374</v>
      </c>
    </row>
    <row r="255" spans="1:4" x14ac:dyDescent="0.3">
      <c r="A255" s="3">
        <v>70102</v>
      </c>
      <c r="B255" s="3" t="s">
        <v>258</v>
      </c>
      <c r="C255" s="3">
        <v>75883596.336666688</v>
      </c>
      <c r="D255" s="3">
        <v>118451273.62666667</v>
      </c>
    </row>
    <row r="256" spans="1:4" x14ac:dyDescent="0.3">
      <c r="A256" s="3">
        <v>70103</v>
      </c>
      <c r="B256" s="3" t="s">
        <v>259</v>
      </c>
      <c r="C256" s="3">
        <v>38738979.446666665</v>
      </c>
      <c r="D256" s="3">
        <v>100217393.64666666</v>
      </c>
    </row>
    <row r="257" spans="1:4" x14ac:dyDescent="0.3">
      <c r="A257" s="3">
        <v>70104</v>
      </c>
      <c r="B257" s="3" t="s">
        <v>260</v>
      </c>
      <c r="C257" s="3">
        <v>101551600.60999997</v>
      </c>
      <c r="D257" s="3">
        <v>216516788.36333337</v>
      </c>
    </row>
    <row r="258" spans="1:4" x14ac:dyDescent="0.3">
      <c r="A258" s="3">
        <v>70105</v>
      </c>
      <c r="B258" s="3" t="s">
        <v>261</v>
      </c>
      <c r="C258" s="3">
        <v>80875406.813333347</v>
      </c>
      <c r="D258" s="3">
        <v>97292356.403333351</v>
      </c>
    </row>
    <row r="259" spans="1:4" x14ac:dyDescent="0.3">
      <c r="A259" s="3">
        <v>70201</v>
      </c>
      <c r="B259" s="3" t="s">
        <v>262</v>
      </c>
      <c r="C259" s="3">
        <v>172578469.56333333</v>
      </c>
      <c r="D259" s="3">
        <v>309210604.33666664</v>
      </c>
    </row>
    <row r="260" spans="1:4" x14ac:dyDescent="0.3">
      <c r="A260" s="3">
        <v>70202</v>
      </c>
      <c r="B260" s="3" t="s">
        <v>304</v>
      </c>
      <c r="C260" s="3">
        <v>24752677.673333332</v>
      </c>
      <c r="D260" s="3">
        <v>20581329.179999996</v>
      </c>
    </row>
    <row r="261" spans="1:4" x14ac:dyDescent="0.3">
      <c r="A261" s="3">
        <v>70301</v>
      </c>
      <c r="B261" s="3" t="s">
        <v>263</v>
      </c>
      <c r="C261" s="3">
        <v>69937953.796666667</v>
      </c>
      <c r="D261" s="3">
        <v>88441391.200000003</v>
      </c>
    </row>
    <row r="262" spans="1:4" x14ac:dyDescent="0.3">
      <c r="A262" s="3">
        <v>70302</v>
      </c>
      <c r="B262" s="3" t="s">
        <v>264</v>
      </c>
      <c r="C262" s="3">
        <v>23158372.22666667</v>
      </c>
      <c r="D262" s="3">
        <v>20874394.213333335</v>
      </c>
    </row>
    <row r="263" spans="1:4" x14ac:dyDescent="0.3">
      <c r="A263" s="3">
        <v>70303</v>
      </c>
      <c r="B263" s="3" t="s">
        <v>265</v>
      </c>
      <c r="C263" s="3">
        <v>10659073.866666667</v>
      </c>
      <c r="D263" s="3">
        <v>8989132.1899999995</v>
      </c>
    </row>
    <row r="264" spans="1:4" x14ac:dyDescent="0.3">
      <c r="A264" s="3">
        <v>70401</v>
      </c>
      <c r="B264" s="3" t="s">
        <v>266</v>
      </c>
      <c r="C264" s="3">
        <v>22565227.776666671</v>
      </c>
      <c r="D264" s="3">
        <v>25481128.919999998</v>
      </c>
    </row>
    <row r="265" spans="1:4" x14ac:dyDescent="0.3">
      <c r="A265" s="3">
        <v>70402</v>
      </c>
      <c r="B265" s="3" t="s">
        <v>267</v>
      </c>
      <c r="C265" s="3">
        <v>38018346.990000002</v>
      </c>
      <c r="D265" s="3">
        <v>40909833.466666669</v>
      </c>
    </row>
    <row r="266" spans="1:4" x14ac:dyDescent="0.3">
      <c r="A266" s="3">
        <v>70403</v>
      </c>
      <c r="B266" s="3" t="s">
        <v>268</v>
      </c>
      <c r="C266" s="3">
        <v>78386482.629999995</v>
      </c>
      <c r="D266" s="3">
        <v>108498819.72333334</v>
      </c>
    </row>
    <row r="267" spans="1:4" x14ac:dyDescent="0.3">
      <c r="A267" s="3">
        <v>70404</v>
      </c>
      <c r="B267" s="3" t="s">
        <v>308</v>
      </c>
      <c r="C267" s="3">
        <v>21947967.599999998</v>
      </c>
      <c r="D267" s="3">
        <v>13948688.459999999</v>
      </c>
    </row>
    <row r="268" spans="1:4" x14ac:dyDescent="0.3">
      <c r="A268" s="3">
        <v>70501</v>
      </c>
      <c r="B268" s="3" t="s">
        <v>269</v>
      </c>
      <c r="C268" s="3">
        <v>43702952.223333329</v>
      </c>
      <c r="D268" s="3">
        <v>36842658.826666676</v>
      </c>
    </row>
    <row r="269" spans="1:4" x14ac:dyDescent="0.3">
      <c r="A269" s="3">
        <v>70502</v>
      </c>
      <c r="B269" s="3" t="s">
        <v>270</v>
      </c>
      <c r="C269" s="3">
        <v>58054962.553333335</v>
      </c>
      <c r="D269" s="3">
        <v>73090029.800000012</v>
      </c>
    </row>
    <row r="270" spans="1:4" x14ac:dyDescent="0.3">
      <c r="A270" s="3">
        <v>70503</v>
      </c>
      <c r="B270" s="3" t="s">
        <v>271</v>
      </c>
      <c r="C270" s="3">
        <v>29839372.856666658</v>
      </c>
      <c r="D270" s="3">
        <v>22819165.97666667</v>
      </c>
    </row>
    <row r="271" spans="1:4" x14ac:dyDescent="0.3">
      <c r="A271" s="3">
        <v>70601</v>
      </c>
      <c r="B271" s="3" t="s">
        <v>272</v>
      </c>
      <c r="C271" s="3">
        <v>34160000.023333341</v>
      </c>
      <c r="D271" s="3">
        <v>39674181.45000001</v>
      </c>
    </row>
    <row r="272" spans="1:4" x14ac:dyDescent="0.3">
      <c r="A272" s="3">
        <v>70602</v>
      </c>
      <c r="B272" s="3" t="s">
        <v>273</v>
      </c>
      <c r="C272" s="3">
        <v>31337273.86999999</v>
      </c>
      <c r="D272" s="3">
        <v>31431122.52</v>
      </c>
    </row>
    <row r="273" spans="1:4" x14ac:dyDescent="0.3">
      <c r="A273" s="3">
        <v>70603</v>
      </c>
      <c r="B273" s="3" t="s">
        <v>312</v>
      </c>
      <c r="C273" s="3">
        <v>15247387.416666666</v>
      </c>
      <c r="D273" s="3">
        <v>27421148.023333337</v>
      </c>
    </row>
    <row r="274" spans="1:4" x14ac:dyDescent="0.3">
      <c r="A274" s="3">
        <v>70701</v>
      </c>
      <c r="B274" s="3" t="s">
        <v>274</v>
      </c>
      <c r="C274" s="3">
        <v>12888622.74</v>
      </c>
      <c r="D274" s="3">
        <v>8349723.4233333347</v>
      </c>
    </row>
    <row r="275" spans="1:4" x14ac:dyDescent="0.3">
      <c r="A275" s="3">
        <v>70702</v>
      </c>
      <c r="B275" s="3" t="s">
        <v>275</v>
      </c>
      <c r="C275" s="3">
        <v>46674799.603333332</v>
      </c>
      <c r="D275" s="3">
        <v>43144181.639999993</v>
      </c>
    </row>
    <row r="276" spans="1:4" x14ac:dyDescent="0.3">
      <c r="A276" s="3">
        <v>70703</v>
      </c>
      <c r="B276" s="3" t="s">
        <v>276</v>
      </c>
      <c r="C276" s="3">
        <v>48774713.600000001</v>
      </c>
      <c r="D276" s="3">
        <v>42546598.499999993</v>
      </c>
    </row>
    <row r="277" spans="1:4" x14ac:dyDescent="0.3">
      <c r="A277" s="3">
        <v>70704</v>
      </c>
      <c r="B277" s="3" t="s">
        <v>277</v>
      </c>
      <c r="C277" s="3">
        <v>11446310.643333333</v>
      </c>
      <c r="D277" s="3">
        <v>15450757.863333335</v>
      </c>
    </row>
    <row r="278" spans="1:4" x14ac:dyDescent="0.3">
      <c r="A278" s="3">
        <v>70705</v>
      </c>
      <c r="B278" s="3" t="s">
        <v>278</v>
      </c>
      <c r="C278" s="3">
        <v>22406432.629999999</v>
      </c>
      <c r="D278" s="3">
        <v>14516912</v>
      </c>
    </row>
    <row r="279" spans="1:4" x14ac:dyDescent="0.3">
      <c r="A279" s="3">
        <v>70706</v>
      </c>
      <c r="B279" s="3" t="s">
        <v>279</v>
      </c>
      <c r="C279" s="3">
        <v>58397734.863333322</v>
      </c>
      <c r="D279" s="3">
        <v>54428026.453333341</v>
      </c>
    </row>
    <row r="280" spans="1:4" x14ac:dyDescent="0.3">
      <c r="A280" s="3">
        <v>70707</v>
      </c>
      <c r="B280" s="3" t="s">
        <v>280</v>
      </c>
      <c r="C280" s="3">
        <v>11623665.336666666</v>
      </c>
      <c r="D280" s="3">
        <v>12816957.643333333</v>
      </c>
    </row>
    <row r="281" spans="1:4" x14ac:dyDescent="0.3">
      <c r="A281" s="3">
        <v>70801</v>
      </c>
      <c r="B281" s="3" t="s">
        <v>281</v>
      </c>
      <c r="C281" s="3">
        <v>41769791.793333329</v>
      </c>
      <c r="D281" s="3">
        <v>32001423.353333343</v>
      </c>
    </row>
    <row r="282" spans="1:4" x14ac:dyDescent="0.3">
      <c r="A282" s="3">
        <v>70802</v>
      </c>
      <c r="B282" s="3" t="s">
        <v>282</v>
      </c>
      <c r="C282" s="3">
        <v>6679907.7899999991</v>
      </c>
      <c r="D282" s="3">
        <v>2927566.8733333326</v>
      </c>
    </row>
    <row r="283" spans="1:4" x14ac:dyDescent="0.3">
      <c r="A283" s="3">
        <v>70803</v>
      </c>
      <c r="B283" s="3" t="s">
        <v>283</v>
      </c>
      <c r="C283" s="3">
        <v>9992364.1033333335</v>
      </c>
      <c r="D283" s="3">
        <v>6775456.1500000013</v>
      </c>
    </row>
    <row r="284" spans="1:4" x14ac:dyDescent="0.3">
      <c r="A284" s="3">
        <v>70804</v>
      </c>
      <c r="B284" s="3" t="s">
        <v>284</v>
      </c>
      <c r="C284" s="3">
        <v>6418637.7466666671</v>
      </c>
      <c r="D284" s="3">
        <v>3313964.1433333331</v>
      </c>
    </row>
    <row r="285" spans="1:4" x14ac:dyDescent="0.3">
      <c r="A285" s="3">
        <v>70805</v>
      </c>
      <c r="B285" s="3" t="s">
        <v>285</v>
      </c>
      <c r="C285" s="3">
        <v>7539977.1799999997</v>
      </c>
      <c r="D285" s="3">
        <v>7036208.6866666665</v>
      </c>
    </row>
    <row r="286" spans="1:4" x14ac:dyDescent="0.3">
      <c r="A286" s="3">
        <v>70901</v>
      </c>
      <c r="B286" s="3" t="s">
        <v>286</v>
      </c>
      <c r="C286" s="3">
        <v>15852068.443333333</v>
      </c>
      <c r="D286" s="3">
        <v>30170056.530000001</v>
      </c>
    </row>
    <row r="287" spans="1:4" x14ac:dyDescent="0.3">
      <c r="A287" s="3">
        <v>70902</v>
      </c>
      <c r="B287" s="3" t="s">
        <v>287</v>
      </c>
      <c r="C287" s="3">
        <v>17321925.946666669</v>
      </c>
      <c r="D287" s="3">
        <v>16861674.710000001</v>
      </c>
    </row>
    <row r="288" spans="1:4" x14ac:dyDescent="0.3">
      <c r="A288" s="3">
        <v>70903</v>
      </c>
      <c r="B288" s="3" t="s">
        <v>288</v>
      </c>
      <c r="C288" s="3">
        <v>17409463.993333336</v>
      </c>
      <c r="D288" s="3">
        <v>30745604.096666668</v>
      </c>
    </row>
    <row r="289" spans="1:4" x14ac:dyDescent="0.3">
      <c r="A289" s="3">
        <v>70904</v>
      </c>
      <c r="B289" s="3" t="s">
        <v>289</v>
      </c>
      <c r="C289" s="3">
        <v>5064545.0233333334</v>
      </c>
      <c r="D289" s="3">
        <v>3923139.59</v>
      </c>
    </row>
    <row r="290" spans="1:4" x14ac:dyDescent="0.3">
      <c r="A290" s="3">
        <v>71001</v>
      </c>
      <c r="B290" s="3" t="s">
        <v>290</v>
      </c>
      <c r="C290" s="3">
        <v>193877547.30333331</v>
      </c>
      <c r="D290" s="3">
        <v>231357456.86666664</v>
      </c>
    </row>
    <row r="291" spans="1:4" x14ac:dyDescent="0.3">
      <c r="A291" s="3">
        <v>71002</v>
      </c>
      <c r="B291" s="3" t="s">
        <v>291</v>
      </c>
      <c r="C291" s="3">
        <v>29787207.849999998</v>
      </c>
      <c r="D291" s="3">
        <v>24834538.88666667</v>
      </c>
    </row>
    <row r="292" spans="1:4" x14ac:dyDescent="0.3">
      <c r="A292" s="3">
        <v>71003</v>
      </c>
      <c r="B292" s="3" t="s">
        <v>292</v>
      </c>
      <c r="C292" s="3">
        <v>35882487.25666666</v>
      </c>
      <c r="D292" s="3">
        <v>34710064.833333343</v>
      </c>
    </row>
    <row r="293" spans="1:4" x14ac:dyDescent="0.3">
      <c r="A293" s="3">
        <v>71004</v>
      </c>
      <c r="B293" s="3" t="s">
        <v>309</v>
      </c>
      <c r="C293" s="3">
        <v>26351592.893333334</v>
      </c>
      <c r="D293" s="3">
        <v>26795349.58666667</v>
      </c>
    </row>
    <row r="294" spans="1:4" x14ac:dyDescent="0.3">
      <c r="A294" s="3">
        <v>71005</v>
      </c>
      <c r="B294" s="3" t="s">
        <v>310</v>
      </c>
      <c r="C294" s="3">
        <v>32690128.646666672</v>
      </c>
      <c r="D294" s="3">
        <v>33029595.539999995</v>
      </c>
    </row>
    <row r="295" spans="1:4" x14ac:dyDescent="0.3">
      <c r="A295" s="3">
        <v>71101</v>
      </c>
      <c r="B295" s="3" t="s">
        <v>293</v>
      </c>
      <c r="C295" s="3">
        <v>35790797.000000007</v>
      </c>
      <c r="D295" s="3">
        <v>32035486.683333334</v>
      </c>
    </row>
    <row r="296" spans="1:4" x14ac:dyDescent="0.3">
      <c r="A296" s="3">
        <v>71102</v>
      </c>
      <c r="B296" s="3" t="s">
        <v>294</v>
      </c>
      <c r="C296" s="3">
        <v>20991499.840000004</v>
      </c>
      <c r="D296" s="3">
        <v>26934744.540000007</v>
      </c>
    </row>
    <row r="297" spans="1:4" x14ac:dyDescent="0.3">
      <c r="A297" s="3">
        <v>71103</v>
      </c>
      <c r="B297" s="3" t="s">
        <v>306</v>
      </c>
      <c r="C297" s="3">
        <v>12317220.813333333</v>
      </c>
      <c r="D297" s="3">
        <v>28759828.413333338</v>
      </c>
    </row>
    <row r="298" spans="1:4" x14ac:dyDescent="0.3">
      <c r="A298" s="3">
        <v>71104</v>
      </c>
      <c r="B298" s="3" t="s">
        <v>295</v>
      </c>
      <c r="C298" s="3">
        <v>79771077.406666651</v>
      </c>
      <c r="D298" s="3">
        <v>79797671.446666643</v>
      </c>
    </row>
    <row r="299" spans="1:4" x14ac:dyDescent="0.3">
      <c r="A299" s="3">
        <v>71105</v>
      </c>
      <c r="B299" s="3" t="s">
        <v>305</v>
      </c>
      <c r="C299" s="3">
        <v>11499265.229999999</v>
      </c>
      <c r="D299" s="3">
        <v>9810322.0766666681</v>
      </c>
    </row>
    <row r="300" spans="1:4" x14ac:dyDescent="0.3">
      <c r="A300" s="3">
        <v>71106</v>
      </c>
      <c r="B300" s="3" t="s">
        <v>311</v>
      </c>
      <c r="C300" s="3">
        <v>41770217.776666671</v>
      </c>
      <c r="D300" s="3">
        <v>53952588.359999992</v>
      </c>
    </row>
    <row r="301" spans="1:4" x14ac:dyDescent="0.3">
      <c r="A301" s="3">
        <v>71201</v>
      </c>
      <c r="B301" s="3" t="s">
        <v>296</v>
      </c>
      <c r="C301" s="3">
        <v>37065848.31666667</v>
      </c>
      <c r="D301" s="3">
        <v>17095527.210000005</v>
      </c>
    </row>
    <row r="302" spans="1:4" x14ac:dyDescent="0.3">
      <c r="A302" s="3">
        <v>71301</v>
      </c>
      <c r="B302" s="3" t="s">
        <v>297</v>
      </c>
      <c r="C302" s="3">
        <v>31578775.279999997</v>
      </c>
      <c r="D302" s="3">
        <v>28296079.75</v>
      </c>
    </row>
    <row r="303" spans="1:4" x14ac:dyDescent="0.3">
      <c r="A303" s="3">
        <v>71302</v>
      </c>
      <c r="B303" s="3" t="s">
        <v>298</v>
      </c>
      <c r="C303" s="3">
        <v>27487707.149999995</v>
      </c>
      <c r="D303" s="3">
        <v>14652709.453333328</v>
      </c>
    </row>
    <row r="304" spans="1:4" x14ac:dyDescent="0.3">
      <c r="A304" s="3">
        <v>71401</v>
      </c>
      <c r="B304" s="3" t="s">
        <v>299</v>
      </c>
      <c r="C304" s="3">
        <v>41822586.626666665</v>
      </c>
      <c r="D304" s="3">
        <v>30535119.636666667</v>
      </c>
    </row>
    <row r="305" spans="1:4" x14ac:dyDescent="0.3">
      <c r="A305" s="3">
        <v>71402</v>
      </c>
      <c r="B305" s="3" t="s">
        <v>300</v>
      </c>
      <c r="C305" s="3">
        <v>25867846.41</v>
      </c>
      <c r="D305" s="3">
        <v>32381618.443333328</v>
      </c>
    </row>
    <row r="306" spans="1:4" x14ac:dyDescent="0.3">
      <c r="A306" s="3">
        <v>71403</v>
      </c>
      <c r="B306" s="3" t="s">
        <v>307</v>
      </c>
      <c r="C306" s="3">
        <v>14558060.296666667</v>
      </c>
      <c r="D306" s="3">
        <v>12291469.483333334</v>
      </c>
    </row>
    <row r="307" spans="1:4" x14ac:dyDescent="0.3">
      <c r="A307" s="3">
        <v>71501</v>
      </c>
      <c r="B307" s="3" t="s">
        <v>301</v>
      </c>
      <c r="C307" s="3">
        <v>39495276.949999996</v>
      </c>
      <c r="D307" s="3">
        <v>46261475.630000003</v>
      </c>
    </row>
    <row r="308" spans="1:4" x14ac:dyDescent="0.3">
      <c r="A308" s="3">
        <v>71502</v>
      </c>
      <c r="B308" s="3" t="s">
        <v>302</v>
      </c>
      <c r="C308" s="3">
        <v>13365078.043333331</v>
      </c>
      <c r="D308" s="3">
        <v>8664483.1133333314</v>
      </c>
    </row>
    <row r="309" spans="1:4" x14ac:dyDescent="0.3">
      <c r="A309" s="3">
        <v>71503</v>
      </c>
      <c r="B309" s="3" t="s">
        <v>303</v>
      </c>
      <c r="C309" s="3">
        <v>19443184.650000002</v>
      </c>
      <c r="D309" s="3">
        <v>25581228.77666666</v>
      </c>
    </row>
    <row r="310" spans="1:4" x14ac:dyDescent="0.3">
      <c r="A310" s="3">
        <v>80101</v>
      </c>
      <c r="B310" s="3" t="s">
        <v>313</v>
      </c>
      <c r="C310" s="3">
        <v>289718573.32333332</v>
      </c>
      <c r="D310" s="3">
        <v>261887657.33666667</v>
      </c>
    </row>
    <row r="311" spans="1:4" x14ac:dyDescent="0.3">
      <c r="A311" s="3">
        <v>80102</v>
      </c>
      <c r="B311" s="3" t="s">
        <v>315</v>
      </c>
      <c r="C311" s="3">
        <v>9751011.6566666663</v>
      </c>
      <c r="D311" s="3">
        <v>9751955.8900000006</v>
      </c>
    </row>
    <row r="312" spans="1:4" x14ac:dyDescent="0.3">
      <c r="A312" s="3">
        <v>80201</v>
      </c>
      <c r="B312" s="3" t="s">
        <v>316</v>
      </c>
      <c r="C312" s="3">
        <v>285225988.80000001</v>
      </c>
      <c r="D312" s="3">
        <v>186853127.75666669</v>
      </c>
    </row>
    <row r="313" spans="1:4" x14ac:dyDescent="0.3">
      <c r="A313" s="3">
        <v>80202</v>
      </c>
      <c r="B313" s="3" t="s">
        <v>317</v>
      </c>
      <c r="C313" s="3">
        <v>124888597.65666668</v>
      </c>
      <c r="D313" s="3">
        <v>82260190.856666654</v>
      </c>
    </row>
    <row r="314" spans="1:4" x14ac:dyDescent="0.3">
      <c r="A314" s="3">
        <v>80301</v>
      </c>
      <c r="B314" s="3" t="s">
        <v>318</v>
      </c>
      <c r="C314" s="3">
        <v>29089188.849999994</v>
      </c>
      <c r="D314" s="3">
        <v>25447513.323333342</v>
      </c>
    </row>
    <row r="315" spans="1:4" x14ac:dyDescent="0.3">
      <c r="A315" s="3">
        <v>80302</v>
      </c>
      <c r="B315" s="3" t="s">
        <v>320</v>
      </c>
      <c r="C315" s="3">
        <v>101833991.58</v>
      </c>
      <c r="D315" s="3">
        <v>61721310.569999993</v>
      </c>
    </row>
    <row r="316" spans="1:4" x14ac:dyDescent="0.3">
      <c r="A316" s="3">
        <v>80303</v>
      </c>
      <c r="B316" s="3" t="s">
        <v>321</v>
      </c>
      <c r="C316" s="3">
        <v>29948640.966666669</v>
      </c>
      <c r="D316" s="3">
        <v>22576833.096666664</v>
      </c>
    </row>
    <row r="317" spans="1:4" x14ac:dyDescent="0.3">
      <c r="A317" s="3">
        <v>80304</v>
      </c>
      <c r="B317" s="3" t="s">
        <v>319</v>
      </c>
      <c r="C317" s="3">
        <v>41600157.980000012</v>
      </c>
      <c r="D317" s="3">
        <v>40946263.553333327</v>
      </c>
    </row>
    <row r="318" spans="1:4" x14ac:dyDescent="0.3">
      <c r="A318" s="3">
        <v>80401</v>
      </c>
      <c r="B318" s="3" t="s">
        <v>322</v>
      </c>
      <c r="C318" s="3">
        <v>73848821.583333328</v>
      </c>
      <c r="D318" s="3">
        <v>45796041.589999996</v>
      </c>
    </row>
    <row r="319" spans="1:4" x14ac:dyDescent="0.3">
      <c r="A319" s="3">
        <v>80402</v>
      </c>
      <c r="B319" s="3" t="s">
        <v>332</v>
      </c>
      <c r="C319" s="3">
        <v>21962127.873333331</v>
      </c>
      <c r="D319" s="3">
        <v>16638230.656666664</v>
      </c>
    </row>
    <row r="320" spans="1:4" x14ac:dyDescent="0.3">
      <c r="A320" s="3">
        <v>80501</v>
      </c>
      <c r="B320" s="3" t="s">
        <v>323</v>
      </c>
      <c r="C320" s="3">
        <v>56220380.413333327</v>
      </c>
      <c r="D320" s="3">
        <v>34546094.159999996</v>
      </c>
    </row>
    <row r="321" spans="1:4" x14ac:dyDescent="0.3">
      <c r="A321" s="3">
        <v>80601</v>
      </c>
      <c r="B321" s="3" t="s">
        <v>324</v>
      </c>
      <c r="C321" s="3">
        <v>13970543.189999999</v>
      </c>
      <c r="D321" s="3">
        <v>10180518.033333333</v>
      </c>
    </row>
    <row r="322" spans="1:4" x14ac:dyDescent="0.3">
      <c r="A322" s="3">
        <v>80602</v>
      </c>
      <c r="B322" s="3" t="s">
        <v>325</v>
      </c>
      <c r="C322" s="3">
        <v>31145374.140000004</v>
      </c>
      <c r="D322" s="3">
        <v>28015033.590000004</v>
      </c>
    </row>
    <row r="323" spans="1:4" x14ac:dyDescent="0.3">
      <c r="A323" s="3">
        <v>80701</v>
      </c>
      <c r="B323" s="3" t="s">
        <v>326</v>
      </c>
      <c r="C323" s="3">
        <v>18946955.02</v>
      </c>
      <c r="D323" s="3">
        <v>19002685.829999998</v>
      </c>
    </row>
    <row r="324" spans="1:4" x14ac:dyDescent="0.3">
      <c r="A324" s="3">
        <v>80702</v>
      </c>
      <c r="B324" s="3" t="s">
        <v>327</v>
      </c>
      <c r="C324" s="3">
        <v>13949522.333333334</v>
      </c>
      <c r="D324" s="3">
        <v>15560305.973333335</v>
      </c>
    </row>
    <row r="325" spans="1:4" x14ac:dyDescent="0.3">
      <c r="A325" s="3">
        <v>80703</v>
      </c>
      <c r="B325" s="3" t="s">
        <v>328</v>
      </c>
      <c r="C325" s="3">
        <v>4933204.3833333338</v>
      </c>
      <c r="D325" s="3">
        <v>4377928.41</v>
      </c>
    </row>
    <row r="326" spans="1:4" x14ac:dyDescent="0.3">
      <c r="A326" s="3">
        <v>80801</v>
      </c>
      <c r="B326" s="3" t="s">
        <v>329</v>
      </c>
      <c r="C326" s="3">
        <v>34335115.110000007</v>
      </c>
      <c r="D326" s="3">
        <v>24748105.73</v>
      </c>
    </row>
    <row r="327" spans="1:4" x14ac:dyDescent="0.3">
      <c r="A327" s="3">
        <v>80802</v>
      </c>
      <c r="B327" s="3" t="s">
        <v>330</v>
      </c>
      <c r="C327" s="3">
        <v>18587622.120000001</v>
      </c>
      <c r="D327" s="3">
        <v>21243987.753333334</v>
      </c>
    </row>
    <row r="328" spans="1:4" x14ac:dyDescent="0.3">
      <c r="A328" s="3">
        <v>80803</v>
      </c>
      <c r="B328" s="3" t="s">
        <v>331</v>
      </c>
      <c r="C328" s="3">
        <v>10113662.406666666</v>
      </c>
      <c r="D328" s="3">
        <v>11895237.426666668</v>
      </c>
    </row>
    <row r="329" spans="1:4" x14ac:dyDescent="0.3">
      <c r="A329" s="3">
        <v>80901</v>
      </c>
      <c r="B329" s="3" t="s">
        <v>477</v>
      </c>
      <c r="C329" s="3">
        <v>0</v>
      </c>
      <c r="D329" s="3">
        <v>4438927</v>
      </c>
    </row>
    <row r="330" spans="1:4" x14ac:dyDescent="0.3">
      <c r="A330" s="3">
        <v>90101</v>
      </c>
      <c r="B330" s="3" t="s">
        <v>333</v>
      </c>
      <c r="C330" s="3">
        <v>328849903.51999992</v>
      </c>
      <c r="D330" s="3">
        <v>252718232.04666665</v>
      </c>
    </row>
    <row r="331" spans="1:4" x14ac:dyDescent="0.3">
      <c r="A331" s="3">
        <v>90102</v>
      </c>
      <c r="B331" s="3" t="s">
        <v>335</v>
      </c>
      <c r="C331" s="3">
        <v>57760292.256666683</v>
      </c>
      <c r="D331" s="3">
        <v>30479517.47000001</v>
      </c>
    </row>
    <row r="332" spans="1:4" x14ac:dyDescent="0.3">
      <c r="A332" s="3">
        <v>90103</v>
      </c>
      <c r="B332" s="3" t="s">
        <v>336</v>
      </c>
      <c r="C332" s="3">
        <v>18408615.216666665</v>
      </c>
      <c r="D332" s="3">
        <v>13623557.42</v>
      </c>
    </row>
    <row r="333" spans="1:4" x14ac:dyDescent="0.3">
      <c r="A333" s="3">
        <v>90104</v>
      </c>
      <c r="B333" s="3" t="s">
        <v>337</v>
      </c>
      <c r="C333" s="3">
        <v>34098921.526666671</v>
      </c>
      <c r="D333" s="3">
        <v>20408560.670000002</v>
      </c>
    </row>
    <row r="334" spans="1:4" x14ac:dyDescent="0.3">
      <c r="A334" s="3">
        <v>90201</v>
      </c>
      <c r="B334" s="3" t="s">
        <v>338</v>
      </c>
      <c r="C334" s="3">
        <v>50614630.410000004</v>
      </c>
      <c r="D334" s="3">
        <v>21557769.713333335</v>
      </c>
    </row>
    <row r="335" spans="1:4" x14ac:dyDescent="0.3">
      <c r="A335" s="3">
        <v>90202</v>
      </c>
      <c r="B335" s="3" t="s">
        <v>339</v>
      </c>
      <c r="C335" s="3">
        <v>15859710.096666669</v>
      </c>
      <c r="D335" s="3">
        <v>10552610.969999999</v>
      </c>
    </row>
    <row r="336" spans="1:4" x14ac:dyDescent="0.3">
      <c r="A336" s="3">
        <v>90203</v>
      </c>
      <c r="B336" s="3" t="s">
        <v>340</v>
      </c>
      <c r="C336" s="3">
        <v>43694781.733333327</v>
      </c>
      <c r="D336" s="3">
        <v>24454130.600000005</v>
      </c>
    </row>
    <row r="337" spans="1:4" x14ac:dyDescent="0.3">
      <c r="A337" s="3">
        <v>90301</v>
      </c>
      <c r="B337" s="3" t="s">
        <v>341</v>
      </c>
      <c r="C337" s="3">
        <v>53561227.483333327</v>
      </c>
      <c r="D337" s="3">
        <v>31785658.819999993</v>
      </c>
    </row>
    <row r="338" spans="1:4" x14ac:dyDescent="0.3">
      <c r="A338" s="3">
        <v>90302</v>
      </c>
      <c r="B338" s="3" t="s">
        <v>342</v>
      </c>
      <c r="C338" s="3">
        <v>48801194.580000006</v>
      </c>
      <c r="D338" s="3">
        <v>30877105.849999998</v>
      </c>
    </row>
    <row r="339" spans="1:4" x14ac:dyDescent="0.3">
      <c r="A339" s="3">
        <v>90303</v>
      </c>
      <c r="B339" s="3" t="s">
        <v>343</v>
      </c>
      <c r="C339" s="3">
        <v>32030144.226666663</v>
      </c>
      <c r="D339" s="3">
        <v>34210749.93666666</v>
      </c>
    </row>
    <row r="340" spans="1:4" x14ac:dyDescent="0.3">
      <c r="A340" s="3">
        <v>90401</v>
      </c>
      <c r="B340" s="3" t="s">
        <v>344</v>
      </c>
      <c r="C340" s="3">
        <v>27765316.773333337</v>
      </c>
      <c r="D340" s="3">
        <v>11886892.553333333</v>
      </c>
    </row>
    <row r="341" spans="1:4" x14ac:dyDescent="0.3">
      <c r="A341" s="3">
        <v>90402</v>
      </c>
      <c r="B341" s="3" t="s">
        <v>345</v>
      </c>
      <c r="C341" s="3">
        <v>13934960.049999999</v>
      </c>
      <c r="D341" s="3">
        <v>6360026.3566666665</v>
      </c>
    </row>
    <row r="342" spans="1:4" x14ac:dyDescent="0.3">
      <c r="A342" s="3">
        <v>90501</v>
      </c>
      <c r="B342" s="3" t="s">
        <v>346</v>
      </c>
      <c r="C342" s="3">
        <v>10991518.063333334</v>
      </c>
      <c r="D342" s="3">
        <v>9223407.9699999988</v>
      </c>
    </row>
    <row r="343" spans="1:4" x14ac:dyDescent="0.3">
      <c r="A343" s="3">
        <v>90502</v>
      </c>
      <c r="B343" s="3" t="s">
        <v>347</v>
      </c>
      <c r="C343" s="3">
        <v>14484060.996666664</v>
      </c>
      <c r="D343" s="3">
        <v>10100547.493333334</v>
      </c>
    </row>
    <row r="344" spans="1:4" x14ac:dyDescent="0.3">
      <c r="A344" s="3">
        <v>90503</v>
      </c>
      <c r="B344" s="3" t="s">
        <v>348</v>
      </c>
      <c r="C344" s="3">
        <v>8047668.1866666675</v>
      </c>
      <c r="D344" s="3">
        <v>7180630.6900000004</v>
      </c>
    </row>
  </sheetData>
  <sortState xmlns:xlrd2="http://schemas.microsoft.com/office/spreadsheetml/2017/richdata2" ref="A2:D344">
    <sortCondition ref="A1:A3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497A-9EC2-4EA4-A067-CA568ABF027C}">
  <dimension ref="A1:D12"/>
  <sheetViews>
    <sheetView workbookViewId="0">
      <selection activeCell="C6" sqref="C6"/>
    </sheetView>
  </sheetViews>
  <sheetFormatPr defaultRowHeight="14.4" x14ac:dyDescent="0.3"/>
  <cols>
    <col min="1" max="4" width="17.88671875" customWidth="1"/>
  </cols>
  <sheetData>
    <row r="1" spans="1:4" x14ac:dyDescent="0.3">
      <c r="A1" s="19" t="s">
        <v>497</v>
      </c>
      <c r="B1" s="19" t="s">
        <v>463</v>
      </c>
      <c r="C1" s="5" t="s">
        <v>473</v>
      </c>
      <c r="D1" s="5" t="s">
        <v>474</v>
      </c>
    </row>
    <row r="2" spans="1:4" x14ac:dyDescent="0.3">
      <c r="A2" s="13">
        <v>1</v>
      </c>
      <c r="B2" s="13" t="s">
        <v>1</v>
      </c>
      <c r="C2" s="20">
        <v>67.201094164936592</v>
      </c>
      <c r="D2" s="20">
        <v>80.038073484130351</v>
      </c>
    </row>
    <row r="3" spans="1:4" x14ac:dyDescent="0.3">
      <c r="A3" s="13">
        <v>2</v>
      </c>
      <c r="B3" s="13" t="s">
        <v>31</v>
      </c>
      <c r="C3" s="20">
        <v>57.261836674302259</v>
      </c>
      <c r="D3" s="20">
        <v>74.262654696754694</v>
      </c>
    </row>
    <row r="4" spans="1:4" x14ac:dyDescent="0.3">
      <c r="A4" s="13">
        <v>3</v>
      </c>
      <c r="B4" s="13" t="s">
        <v>119</v>
      </c>
      <c r="C4" s="20">
        <v>61.223882994510035</v>
      </c>
      <c r="D4" s="20">
        <v>77.846511690830013</v>
      </c>
    </row>
    <row r="5" spans="1:4" x14ac:dyDescent="0.3">
      <c r="A5" s="13">
        <v>4</v>
      </c>
      <c r="B5" s="13" t="s">
        <v>167</v>
      </c>
      <c r="C5" s="20">
        <v>59.638599062674892</v>
      </c>
      <c r="D5" s="20">
        <v>74.11271384110411</v>
      </c>
    </row>
    <row r="6" spans="1:4" x14ac:dyDescent="0.3">
      <c r="A6" s="13">
        <v>5</v>
      </c>
      <c r="B6" s="13" t="s">
        <v>203</v>
      </c>
      <c r="C6" s="20">
        <v>48.697581825814282</v>
      </c>
      <c r="D6" s="20">
        <v>72.149054543524358</v>
      </c>
    </row>
    <row r="7" spans="1:4" x14ac:dyDescent="0.3">
      <c r="A7" s="13">
        <v>6</v>
      </c>
      <c r="B7" s="13" t="s">
        <v>245</v>
      </c>
      <c r="C7" s="20">
        <v>66.928572791804086</v>
      </c>
      <c r="D7" s="20">
        <v>75.541033138678927</v>
      </c>
    </row>
    <row r="8" spans="1:4" x14ac:dyDescent="0.3">
      <c r="A8" s="13">
        <v>7</v>
      </c>
      <c r="B8" s="13" t="s">
        <v>257</v>
      </c>
      <c r="C8" s="20">
        <v>69.091718893652612</v>
      </c>
      <c r="D8" s="20">
        <v>77.981680541398717</v>
      </c>
    </row>
    <row r="9" spans="1:4" x14ac:dyDescent="0.3">
      <c r="A9" s="13">
        <v>8</v>
      </c>
      <c r="B9" s="13" t="s">
        <v>314</v>
      </c>
      <c r="C9" s="20">
        <v>69.623006928774856</v>
      </c>
      <c r="D9" s="20">
        <v>79.960154392689574</v>
      </c>
    </row>
    <row r="10" spans="1:4" x14ac:dyDescent="0.3">
      <c r="A10" s="13">
        <v>9</v>
      </c>
      <c r="B10" s="13" t="s">
        <v>334</v>
      </c>
      <c r="C10" s="20">
        <v>78.602881517169109</v>
      </c>
      <c r="D10" s="20">
        <v>81.09366542340095</v>
      </c>
    </row>
    <row r="11" spans="1:4" x14ac:dyDescent="0.3">
      <c r="A11" s="21">
        <v>10</v>
      </c>
      <c r="B11" s="21" t="s">
        <v>429</v>
      </c>
      <c r="C11" s="23">
        <f>AVERAGE(Indicador_MUN!C246:C248)</f>
        <v>72.576530236320465</v>
      </c>
      <c r="D11" s="23">
        <f>AVERAGE(Indicador_MUN!D246:D248)</f>
        <v>75.569412182467318</v>
      </c>
    </row>
    <row r="12" spans="1:4" x14ac:dyDescent="0.3">
      <c r="A12" s="21">
        <v>11</v>
      </c>
      <c r="B12" s="21" t="s">
        <v>498</v>
      </c>
      <c r="C12" s="23">
        <f>AVERAGE(Indicador_MUN!C2:C344)</f>
        <v>62.439955260018586</v>
      </c>
      <c r="D12" s="23">
        <f>AVERAGE(Indicador_MUN!D2:D344)</f>
        <v>76.257511574730458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B596-44C7-4055-812D-A732503D8512}">
  <dimension ref="A1:D12"/>
  <sheetViews>
    <sheetView workbookViewId="0">
      <selection activeCell="D8" sqref="D8"/>
    </sheetView>
  </sheetViews>
  <sheetFormatPr defaultRowHeight="14.4" x14ac:dyDescent="0.3"/>
  <cols>
    <col min="1" max="1" width="13.5546875" customWidth="1"/>
    <col min="2" max="2" width="15" customWidth="1"/>
    <col min="3" max="4" width="25" customWidth="1"/>
    <col min="6" max="6" width="11" bestFit="1" customWidth="1"/>
  </cols>
  <sheetData>
    <row r="1" spans="1:4" x14ac:dyDescent="0.3">
      <c r="A1" s="19" t="s">
        <v>497</v>
      </c>
      <c r="B1" s="19" t="s">
        <v>463</v>
      </c>
      <c r="C1" s="2" t="s">
        <v>495</v>
      </c>
      <c r="D1" s="2" t="s">
        <v>496</v>
      </c>
    </row>
    <row r="2" spans="1:4" x14ac:dyDescent="0.3">
      <c r="A2" s="13">
        <v>1</v>
      </c>
      <c r="B2" s="13" t="s">
        <v>1</v>
      </c>
      <c r="C2" s="13">
        <v>1821709403.3400002</v>
      </c>
      <c r="D2" s="13">
        <v>1380509652.2033331</v>
      </c>
    </row>
    <row r="3" spans="1:4" x14ac:dyDescent="0.3">
      <c r="A3" s="13">
        <v>2</v>
      </c>
      <c r="B3" s="13" t="s">
        <v>31</v>
      </c>
      <c r="C3" s="13">
        <v>5797220631.6500034</v>
      </c>
      <c r="D3" s="13">
        <v>6006152011.8633337</v>
      </c>
    </row>
    <row r="4" spans="1:4" x14ac:dyDescent="0.3">
      <c r="A4" s="13">
        <v>3</v>
      </c>
      <c r="B4" s="13" t="s">
        <v>119</v>
      </c>
      <c r="C4" s="13">
        <v>3987446181.353333</v>
      </c>
      <c r="D4" s="13">
        <v>3991307116.9399991</v>
      </c>
    </row>
    <row r="5" spans="1:4" x14ac:dyDescent="0.3">
      <c r="A5" s="13">
        <v>4</v>
      </c>
      <c r="B5" s="13" t="s">
        <v>167</v>
      </c>
      <c r="C5" s="13">
        <v>1538668872.5999999</v>
      </c>
      <c r="D5" s="13">
        <v>1242291991.3399999</v>
      </c>
    </row>
    <row r="6" spans="1:4" x14ac:dyDescent="0.3">
      <c r="A6" s="13">
        <v>5</v>
      </c>
      <c r="B6" s="13" t="s">
        <v>203</v>
      </c>
      <c r="C6" s="13">
        <v>2275636952.6833339</v>
      </c>
      <c r="D6" s="13">
        <v>1873930850.2183337</v>
      </c>
    </row>
    <row r="7" spans="1:4" x14ac:dyDescent="0.3">
      <c r="A7" s="13">
        <v>6</v>
      </c>
      <c r="B7" s="13" t="s">
        <v>245</v>
      </c>
      <c r="C7" s="13">
        <v>2441908747.8066669</v>
      </c>
      <c r="D7" s="13">
        <v>1564522844.3500001</v>
      </c>
    </row>
    <row r="8" spans="1:4" x14ac:dyDescent="0.3">
      <c r="A8" s="13">
        <v>7</v>
      </c>
      <c r="B8" s="13" t="s">
        <v>257</v>
      </c>
      <c r="C8" s="13">
        <v>4952481191.4366674</v>
      </c>
      <c r="D8" s="13">
        <v>6341395375.7166691</v>
      </c>
    </row>
    <row r="9" spans="1:4" x14ac:dyDescent="0.3">
      <c r="A9" s="13">
        <v>8</v>
      </c>
      <c r="B9" s="13" t="s">
        <v>314</v>
      </c>
      <c r="C9" s="13">
        <v>1210069479.3866668</v>
      </c>
      <c r="D9" s="24">
        <v>927887948.53666663</v>
      </c>
    </row>
    <row r="10" spans="1:4" x14ac:dyDescent="0.3">
      <c r="A10" s="13">
        <v>9</v>
      </c>
      <c r="B10" s="13" t="s">
        <v>334</v>
      </c>
      <c r="C10" s="24">
        <v>758902945.11999989</v>
      </c>
      <c r="D10" s="24">
        <v>515419398.56</v>
      </c>
    </row>
    <row r="11" spans="1:4" x14ac:dyDescent="0.3">
      <c r="A11" s="21">
        <v>10</v>
      </c>
      <c r="B11" s="21" t="s">
        <v>429</v>
      </c>
      <c r="C11" s="22">
        <f>SUM(Absoluto_MUN!C246:C248)</f>
        <v>998700203.44333339</v>
      </c>
      <c r="D11" s="22">
        <f>SUM(Absoluto_MUN!D246:D248)</f>
        <v>525778341.63333344</v>
      </c>
    </row>
    <row r="12" spans="1:4" x14ac:dyDescent="0.3">
      <c r="A12" s="21">
        <v>11</v>
      </c>
      <c r="B12" s="21" t="s">
        <v>498</v>
      </c>
      <c r="C12" s="22">
        <f>SUM(Absoluto_MUN!C2:C344)</f>
        <v>24784044405.376675</v>
      </c>
      <c r="D12" s="22">
        <f>SUM(Absoluto_MUN!D2:D344)</f>
        <v>23843417189.72834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1EFF-B3CD-481A-929C-DC5C8EC1FC9E}">
  <dimension ref="A1:J4"/>
  <sheetViews>
    <sheetView workbookViewId="0">
      <selection activeCell="B2" sqref="B2"/>
    </sheetView>
  </sheetViews>
  <sheetFormatPr defaultRowHeight="14.4" x14ac:dyDescent="0.3"/>
  <cols>
    <col min="2" max="2" width="27.6640625" customWidth="1"/>
  </cols>
  <sheetData>
    <row r="1" spans="1:10" ht="48" x14ac:dyDescent="0.3">
      <c r="A1" s="8" t="s">
        <v>479</v>
      </c>
      <c r="B1" s="8" t="s">
        <v>480</v>
      </c>
      <c r="C1" s="9" t="s">
        <v>481</v>
      </c>
      <c r="D1" s="9" t="s">
        <v>482</v>
      </c>
      <c r="E1" s="10" t="s">
        <v>483</v>
      </c>
      <c r="F1" s="10" t="s">
        <v>484</v>
      </c>
      <c r="G1" s="11" t="s">
        <v>485</v>
      </c>
      <c r="H1" s="11" t="s">
        <v>486</v>
      </c>
      <c r="I1" s="12" t="s">
        <v>487</v>
      </c>
      <c r="J1" s="12" t="s">
        <v>488</v>
      </c>
    </row>
    <row r="2" spans="1:10" x14ac:dyDescent="0.3">
      <c r="A2" s="13">
        <v>16</v>
      </c>
      <c r="B2" s="13" t="s">
        <v>489</v>
      </c>
      <c r="C2" s="13">
        <v>95</v>
      </c>
      <c r="D2" s="13">
        <v>83.4</v>
      </c>
      <c r="E2" s="13">
        <v>83.4</v>
      </c>
      <c r="F2" s="13">
        <v>71.7</v>
      </c>
      <c r="G2" s="13">
        <v>71.7</v>
      </c>
      <c r="H2" s="13">
        <v>60</v>
      </c>
      <c r="I2" s="13">
        <v>60</v>
      </c>
      <c r="J2" s="13">
        <v>0</v>
      </c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4FC5-28AD-4A49-ACDF-AC620C4E14F3}">
  <dimension ref="A1:C11"/>
  <sheetViews>
    <sheetView workbookViewId="0">
      <selection activeCell="I23" sqref="I23"/>
    </sheetView>
  </sheetViews>
  <sheetFormatPr defaultRowHeight="14.4" x14ac:dyDescent="0.3"/>
  <cols>
    <col min="1" max="1" width="26.88671875" style="16" customWidth="1"/>
    <col min="2" max="16384" width="8.88671875" style="16"/>
  </cols>
  <sheetData>
    <row r="1" spans="1:3" x14ac:dyDescent="0.3">
      <c r="A1" s="14" t="s">
        <v>490</v>
      </c>
      <c r="B1" s="15">
        <v>2012</v>
      </c>
      <c r="C1" s="15">
        <v>2024</v>
      </c>
    </row>
    <row r="2" spans="1:3" x14ac:dyDescent="0.3">
      <c r="A2" s="17" t="s">
        <v>491</v>
      </c>
      <c r="B2" s="18">
        <v>12</v>
      </c>
      <c r="C2" s="18">
        <v>58</v>
      </c>
    </row>
    <row r="3" spans="1:3" x14ac:dyDescent="0.3">
      <c r="A3" s="17" t="s">
        <v>492</v>
      </c>
      <c r="B3" s="18">
        <v>77</v>
      </c>
      <c r="C3" s="18">
        <v>199</v>
      </c>
    </row>
    <row r="4" spans="1:3" x14ac:dyDescent="0.3">
      <c r="A4" s="17" t="s">
        <v>493</v>
      </c>
      <c r="B4" s="18">
        <v>116</v>
      </c>
      <c r="C4" s="18">
        <v>72</v>
      </c>
    </row>
    <row r="5" spans="1:3" x14ac:dyDescent="0.3">
      <c r="A5" s="17" t="s">
        <v>494</v>
      </c>
      <c r="B5" s="18">
        <v>138</v>
      </c>
      <c r="C5" s="18">
        <v>14</v>
      </c>
    </row>
    <row r="7" spans="1:3" x14ac:dyDescent="0.3">
      <c r="A7"/>
      <c r="B7"/>
      <c r="C7"/>
    </row>
    <row r="8" spans="1:3" x14ac:dyDescent="0.3">
      <c r="A8"/>
      <c r="B8"/>
      <c r="C8"/>
    </row>
    <row r="9" spans="1:3" x14ac:dyDescent="0.3">
      <c r="A9"/>
      <c r="B9"/>
      <c r="C9"/>
    </row>
    <row r="10" spans="1:3" x14ac:dyDescent="0.3">
      <c r="A10"/>
      <c r="B10"/>
      <c r="C10"/>
    </row>
    <row r="11" spans="1:3" x14ac:dyDescent="0.3">
      <c r="A11"/>
      <c r="B11"/>
      <c r="C1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3D19-D26F-4575-A7A2-FD65C84BEB1F}">
  <dimension ref="A1"/>
  <sheetViews>
    <sheetView tabSelected="1" workbookViewId="0">
      <selection activeCell="P32" sqref="P3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Datos procesados</vt:lpstr>
      <vt:lpstr>Indicador_MUN</vt:lpstr>
      <vt:lpstr>Absoluto_MUN</vt:lpstr>
      <vt:lpstr>Indicador_DEP</vt:lpstr>
      <vt:lpstr>Absoluto_DEP</vt:lpstr>
      <vt:lpstr>Umbral</vt:lpstr>
      <vt:lpstr>Gráficos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Diego Calderón Acebey</cp:lastModifiedBy>
  <dcterms:created xsi:type="dcterms:W3CDTF">2026-01-28T15:49:15Z</dcterms:created>
  <dcterms:modified xsi:type="dcterms:W3CDTF">2026-05-04T15:23:04Z</dcterms:modified>
</cp:coreProperties>
</file>