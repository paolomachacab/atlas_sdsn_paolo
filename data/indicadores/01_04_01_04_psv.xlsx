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crudos" sheetId="1" r:id="rId5"/>
    <sheet state="visible" name="Datos procesados" sheetId="2" r:id="rId6"/>
    <sheet state="visible" name="Indicador_MUN" sheetId="3" r:id="rId7"/>
    <sheet state="visible" name="Absoluto_MUN" sheetId="4" r:id="rId8"/>
    <sheet state="visible" name="Indicador_DEP" sheetId="5" r:id="rId9"/>
    <sheet state="visible" name="Absoluto_DEP" sheetId="6" r:id="rId10"/>
    <sheet state="visible" name="Umbral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<sst xmlns="http://schemas.openxmlformats.org/spreadsheetml/2006/main" count="8084" uniqueCount="539">
  <si>
    <r>
      <rPr>
        <rFont val="Arial, sans-serif"/>
        <color rgb="FF1155CC"/>
        <u/>
      </rPr>
      <t>ÍNDICE</t>
    </r>
  </si>
  <si>
    <t>Cuadro N° 5</t>
  </si>
  <si>
    <t>BOLIVIA: POBLACIÓN QUE VIVE EN LA CALLE O EN TRÁNSITO, SEGÚN DEPARTAMENTO, PROVINCIA, MUNICIPIO O TERRITORIO INDÍGENA ORIGINARIO CAMPESINO (TIOC) Y ÁREA, CENSO 2024</t>
  </si>
  <si>
    <t>Datos 2012</t>
  </si>
  <si>
    <t>(En número y porcentaje)</t>
  </si>
  <si>
    <t>N°</t>
  </si>
  <si>
    <t>NIVEL</t>
  </si>
  <si>
    <t>DEPARTAMENTO</t>
  </si>
  <si>
    <t>PROVINCIA</t>
  </si>
  <si>
    <t>MUNICIPIO/TIOC</t>
  </si>
  <si>
    <t>ÁREA</t>
  </si>
  <si>
    <t>NÚMERO DE PERSONAS</t>
  </si>
  <si>
    <t>DISTRIBUCIÓN PORCENTUAL</t>
  </si>
  <si>
    <t>MUN</t>
  </si>
  <si>
    <t>poblacion2012</t>
  </si>
  <si>
    <t>calle2012</t>
  </si>
  <si>
    <t># de personas que viven en la calle por cada 100.000 personas (2012)</t>
  </si>
  <si>
    <t>Total</t>
  </si>
  <si>
    <t>Personas que viven en la calle</t>
  </si>
  <si>
    <t>En tránsito: terminal, aeropuerto, puerto u otro</t>
  </si>
  <si>
    <t>País</t>
  </si>
  <si>
    <t>Bolivia</t>
  </si>
  <si>
    <t>max</t>
  </si>
  <si>
    <t>Urbana</t>
  </si>
  <si>
    <t>min</t>
  </si>
  <si>
    <t>Rural</t>
  </si>
  <si>
    <t>Departamento</t>
  </si>
  <si>
    <t>Chuquisaca</t>
  </si>
  <si>
    <t>promedio</t>
  </si>
  <si>
    <t>desv</t>
  </si>
  <si>
    <t>Provincia</t>
  </si>
  <si>
    <t>Oropeza</t>
  </si>
  <si>
    <t>Municipio/TIOC</t>
  </si>
  <si>
    <t>Sucre</t>
  </si>
  <si>
    <t>(prom+desv) / 2</t>
  </si>
  <si>
    <t>(prom+desv) * 2</t>
  </si>
  <si>
    <t>Yotala</t>
  </si>
  <si>
    <t>Poroma</t>
  </si>
  <si>
    <t>prom+desv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</si>
  <si>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</si>
  <si>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</si>
  <si>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</si>
  <si>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</si>
  <si>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</si>
  <si>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</si>
  <si>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</si>
  <si>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</si>
  <si>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</si>
  <si>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</si>
  <si>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</si>
  <si>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</si>
  <si>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</si>
  <si>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</si>
  <si>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</si>
  <si>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</si>
  <si>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</si>
  <si>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</si>
  <si>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</si>
  <si>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</si>
  <si>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</si>
  <si>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</si>
  <si>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</si>
  <si>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</si>
  <si>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</si>
  <si>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</si>
  <si>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</si>
  <si>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</si>
  <si>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</si>
  <si>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</si>
  <si>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</si>
  <si>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</si>
  <si>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</si>
  <si>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</si>
  <si>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</si>
  <si>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</si>
  <si>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</si>
  <si>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</si>
  <si>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</si>
  <si>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</si>
  <si>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</si>
  <si>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</si>
  <si>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</si>
  <si>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</si>
  <si>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</si>
  <si>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</si>
  <si>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</si>
  <si>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</si>
  <si>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</si>
  <si>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</si>
  <si>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</si>
  <si>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</si>
  <si>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</si>
  <si>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</si>
  <si>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</si>
  <si>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</si>
  <si>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</si>
  <si>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</si>
  <si>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</si>
  <si>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</si>
  <si>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</si>
  <si>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</si>
  <si>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</si>
  <si>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</si>
  <si>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</si>
  <si>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</si>
  <si>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</si>
  <si>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</si>
  <si>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</si>
  <si>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</si>
  <si>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</si>
  <si>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</si>
  <si>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</si>
  <si>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</si>
  <si>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</si>
  <si>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</si>
  <si>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</si>
  <si>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</si>
  <si>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</si>
  <si>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</si>
  <si>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</si>
  <si>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</si>
  <si>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</si>
  <si>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</si>
  <si>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</si>
  <si>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</si>
  <si>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</si>
  <si>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</si>
  <si>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</si>
  <si>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</si>
  <si>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</si>
  <si>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</si>
  <si>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</si>
  <si>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</si>
  <si>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</si>
  <si>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</si>
  <si>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</si>
  <si>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</si>
  <si>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</si>
  <si>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</si>
  <si>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</si>
  <si>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</si>
  <si>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</si>
  <si>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</si>
  <si>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</si>
  <si>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</si>
  <si>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</si>
  <si>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</si>
  <si>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</si>
  <si>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</si>
  <si>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</si>
  <si>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</si>
  <si>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</si>
  <si>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</si>
  <si>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</si>
  <si>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</si>
  <si>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</si>
  <si>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</si>
  <si>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</si>
  <si>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</si>
  <si>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</si>
  <si>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</si>
  <si>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</si>
  <si>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</si>
  <si>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</si>
  <si>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</si>
  <si>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</si>
  <si>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</si>
  <si>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</si>
  <si>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</si>
  <si>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</si>
  <si>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</si>
  <si>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</si>
  <si>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</si>
  <si>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</si>
  <si>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</si>
  <si>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</si>
  <si>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</si>
  <si>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</si>
  <si>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</si>
  <si>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</si>
  <si>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</si>
  <si>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</si>
  <si>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</si>
  <si>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</si>
  <si>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</si>
  <si>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</si>
  <si>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</si>
  <si>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</si>
  <si>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</si>
  <si>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</si>
  <si>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</si>
  <si>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</si>
  <si>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</si>
  <si>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</si>
  <si>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</si>
  <si>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</si>
  <si>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</si>
  <si>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</si>
  <si>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</si>
  <si>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</si>
  <si>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</si>
  <si>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</si>
  <si>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</si>
  <si>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</si>
  <si>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</si>
  <si>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</si>
  <si>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</si>
  <si>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</si>
  <si>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</si>
  <si>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</si>
  <si>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</si>
  <si>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</si>
  <si>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</si>
  <si>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</si>
  <si>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</si>
  <si>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</si>
  <si>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</si>
  <si>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</si>
  <si>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</si>
  <si>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</si>
  <si>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</si>
  <si>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</si>
  <si>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</si>
  <si>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</si>
  <si>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</si>
  <si>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</si>
  <si>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</si>
  <si>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</si>
  <si>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</si>
  <si>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</si>
  <si>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</si>
  <si>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</si>
  <si>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</si>
  <si>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</si>
  <si>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</si>
  <si>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</si>
  <si>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</si>
  <si>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</si>
  <si>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</si>
  <si>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</si>
  <si>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</si>
  <si>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</si>
  <si>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</si>
  <si>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</si>
  <si>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</si>
  <si>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</si>
  <si>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</si>
  <si>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</si>
  <si>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</si>
  <si>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</si>
  <si>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</si>
  <si>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</si>
  <si>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</si>
  <si>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</si>
  <si>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</si>
  <si>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</si>
  <si>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</si>
  <si>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</si>
  <si>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</si>
  <si>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</si>
  <si>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</si>
  <si>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</si>
  <si>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</si>
  <si>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</si>
  <si>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</si>
  <si>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</si>
  <si>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</si>
  <si>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</si>
  <si>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</si>
  <si>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</si>
  <si>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</si>
  <si>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</si>
  <si>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</si>
  <si>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</si>
  <si>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</si>
  <si>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</si>
  <si>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</si>
  <si>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</si>
  <si>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</si>
  <si>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</si>
  <si>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</si>
  <si>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</si>
  <si>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</si>
  <si>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</si>
  <si>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</si>
  <si>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</si>
  <si>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</si>
  <si>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</si>
  <si>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</si>
  <si>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</si>
  <si>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</si>
  <si>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</si>
  <si>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</si>
  <si>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</si>
  <si>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</si>
  <si>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</si>
  <si>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</si>
  <si>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</si>
  <si>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</si>
  <si>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</si>
  <si>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</si>
  <si>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</si>
  <si>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</si>
  <si>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</si>
  <si>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</si>
  <si>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</si>
  <si>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</si>
  <si>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</si>
  <si>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</si>
  <si>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</si>
  <si>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</si>
  <si>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</si>
  <si>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</si>
  <si>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</si>
  <si>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</si>
  <si>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</si>
  <si>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</si>
  <si>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</si>
  <si>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</si>
  <si>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</si>
  <si>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</si>
  <si>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</si>
  <si>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</si>
  <si>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</si>
  <si>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</si>
  <si>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</si>
  <si>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</si>
  <si>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</si>
  <si>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</si>
  <si>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</si>
  <si>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</si>
  <si>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</si>
  <si>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</si>
  <si>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</si>
  <si>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</si>
  <si>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</si>
  <si>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</si>
  <si>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</si>
  <si>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</si>
  <si>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</si>
  <si>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</si>
  <si>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</si>
  <si>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</si>
  <si>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</si>
  <si>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</si>
  <si>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</si>
  <si>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</si>
  <si>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</si>
  <si>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</si>
  <si>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</si>
  <si>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</si>
  <si>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</si>
  <si>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</si>
  <si>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</si>
  <si>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</si>
  <si>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</si>
  <si>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</si>
  <si>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</si>
  <si>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</si>
  <si>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</si>
  <si>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</si>
  <si>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</si>
  <si>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</si>
  <si>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</si>
  <si>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</si>
  <si>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</si>
  <si>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</si>
  <si>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</si>
  <si>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</si>
  <si>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</si>
  <si>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</si>
  <si>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</si>
  <si>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</si>
  <si>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</si>
  <si>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</si>
  <si>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</si>
  <si>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</si>
  <si>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</si>
  <si>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</si>
  <si>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</si>
  <si>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</si>
  <si>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</si>
  <si>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</si>
  <si>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</si>
  <si>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</si>
  <si>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</si>
  <si>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</si>
  <si>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</si>
  <si>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</si>
  <si>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</si>
  <si>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</si>
  <si>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</si>
  <si>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</si>
  <si>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</si>
  <si>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</si>
  <si>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</si>
  <si>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</si>
  <si>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</si>
  <si>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</si>
  <si>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</si>
  <si>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</si>
  <si>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</si>
  <si>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</si>
  <si>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</si>
  <si>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</si>
  <si>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</si>
  <si>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</si>
  <si>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</si>
  <si>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</si>
  <si>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</si>
  <si>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</si>
  <si>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</si>
  <si>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</si>
  <si>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</si>
  <si>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</si>
  <si>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</si>
  <si>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</si>
  <si>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</si>
  <si>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</si>
  <si>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</si>
  <si>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</si>
  <si>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</si>
  <si>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</si>
  <si>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</si>
  <si>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</si>
  <si>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</si>
  <si>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</si>
  <si>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</si>
  <si>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</si>
  <si>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</si>
  <si>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</si>
  <si>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</si>
  <si>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</si>
  <si>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</si>
  <si>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</si>
  <si>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</si>
  <si>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</si>
  <si>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</si>
  <si>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</si>
  <si>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</si>
  <si>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</si>
  <si>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</si>
  <si>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</si>
  <si>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</si>
  <si>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</si>
  <si>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</si>
  <si>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</si>
  <si>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</si>
  <si>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</si>
  <si>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</si>
  <si>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</si>
  <si>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</si>
  <si>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</si>
  <si>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</si>
  <si>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</si>
  <si>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</si>
  <si>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</si>
  <si>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</si>
  <si>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</si>
  <si>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</si>
  <si>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t>id</t>
  </si>
  <si>
    <t>MUNICIPIO</t>
  </si>
  <si>
    <t>Total2012</t>
  </si>
  <si>
    <t>Total2024</t>
  </si>
  <si>
    <t>personas que viven en la calle 2012</t>
  </si>
  <si>
    <t>personas que viven en la calle 2024</t>
  </si>
  <si>
    <t># de personas que viven en la calle por cada 100.000 personas (2024)</t>
  </si>
  <si>
    <t>SUM de Total2012</t>
  </si>
  <si>
    <t>SUM de Total2024</t>
  </si>
  <si>
    <t>SUM de personas que viven en la calle 2012</t>
  </si>
  <si>
    <t>SUM de personas que viven en la calle 2024</t>
  </si>
  <si>
    <t xml:space="preserve">Bolivia </t>
  </si>
  <si>
    <t>Villa Azurduy</t>
  </si>
  <si>
    <t>Zudañez</t>
  </si>
  <si>
    <t>Villa Mojocoya</t>
  </si>
  <si>
    <t>Villa Alcalá</t>
  </si>
  <si>
    <t>Suma total</t>
  </si>
  <si>
    <t>abs2012</t>
  </si>
  <si>
    <t>abs2024</t>
  </si>
  <si>
    <t>San Pablo de Huacareta</t>
  </si>
  <si>
    <t>Potosi</t>
  </si>
  <si>
    <t xml:space="preserve">Beni </t>
  </si>
  <si>
    <t xml:space="preserve">Gran Chaco </t>
  </si>
  <si>
    <t>Villa Vaca Guzman</t>
  </si>
  <si>
    <t>Huacaya</t>
  </si>
  <si>
    <t>Ancoraimes</t>
  </si>
  <si>
    <t>Coro Coro</t>
  </si>
  <si>
    <t>Waldo Ballivian</t>
  </si>
  <si>
    <t>Guaqui</t>
  </si>
  <si>
    <t>San Andrés de Machaca</t>
  </si>
  <si>
    <t>Jesús de Machaca</t>
  </si>
  <si>
    <t>Sica Sica</t>
  </si>
  <si>
    <t>General Juan José Pérez (Charazani)</t>
  </si>
  <si>
    <t>Independencia</t>
  </si>
  <si>
    <t>Santivañez</t>
  </si>
  <si>
    <t>Sipe Sipe</t>
  </si>
  <si>
    <t>Cuchumuela (Villa Gualberto Villarroel)</t>
  </si>
  <si>
    <t>Bolivar</t>
  </si>
  <si>
    <t>Soracachi</t>
  </si>
  <si>
    <t>Salinas de Garcí Mendoza</t>
  </si>
  <si>
    <t>Chipaya</t>
  </si>
  <si>
    <t>Santiago de Andamarca</t>
  </si>
  <si>
    <t>Huayllamarca (Santiago de Huayllamarca)</t>
  </si>
  <si>
    <t>Belén de Urmiri</t>
  </si>
  <si>
    <t>Chuquihuta - Ayllu Jucumani</t>
  </si>
  <si>
    <t>San Pedro de Buena Vista</t>
  </si>
  <si>
    <t>Sacaca (Villa de Sacaca)</t>
  </si>
  <si>
    <t>Colcha ''K'' (Villa Martin)</t>
  </si>
  <si>
    <t>San Pablo de Lipez</t>
  </si>
  <si>
    <t>Villa San Lorenzo</t>
  </si>
  <si>
    <t>San Ignacio de Velasco</t>
  </si>
  <si>
    <t>San Miguel de Velasco</t>
  </si>
  <si>
    <t>San José de Chiquitos</t>
  </si>
  <si>
    <t>Santa Rosa del Sara</t>
  </si>
  <si>
    <t>Charagua</t>
  </si>
  <si>
    <t>Gutiérrez</t>
  </si>
  <si>
    <t>Moro Moro</t>
  </si>
  <si>
    <t>Pampa Grande</t>
  </si>
  <si>
    <t>Puerto Suarez</t>
  </si>
  <si>
    <t>Rurrenabaque</t>
  </si>
  <si>
    <t>Santa Ana de Yacuma</t>
  </si>
  <si>
    <t>TIOC-Territorio Indigena Multiétnico</t>
  </si>
  <si>
    <t>Santa Rosa del Abuná</t>
  </si>
  <si>
    <t>Villa Nueva (Loma Alta)</t>
  </si>
  <si>
    <t>calle_2012</t>
  </si>
  <si>
    <t>calle_2024</t>
  </si>
  <si>
    <t>calle2024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</si>
  <si>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</si>
  <si>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</si>
  <si>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</si>
  <si>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</si>
  <si>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</si>
  <si>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</si>
  <si>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</si>
  <si>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</si>
  <si>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</si>
  <si>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</si>
  <si>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</si>
  <si>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 xml:space="preserve">Número de personas que viven en la calle por cada 100.000 personas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</si>
</sst>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"/>
    <numFmt numFmtId="165" formatCode="#,##0.0"/>
    <numFmt numFmtId="166" formatCode="0.0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color rgb="FF000000"/>
      <name val="Arial"/>
    </font>
    <font>
      <color theme="1"/>
      <name val="Arial"/>
      <scheme val="minor"/>
    </font>
    <font>
      <u/>
      <color rgb="FF0000FF"/>
      <name val="Arial"/>
    </font>
    <font>
      <b/>
      <color rgb="FF000000"/>
      <name val="Arial"/>
    </font>
    <font/>
    <font>
      <sz val="11.0"/>
      <color theme="1"/>
      <name val="Calibri"/>
    </font>
    <font>
      <sz val="9.0"/>
      <color rgb="FF000000"/>
      <name val="Arial"/>
    </font>
    <font>
      <b/>
      <sz val="9.0"/>
      <color rgb="FF000000"/>
      <name val="Arial"/>
    </font>
    <font>
      <sz val="8.0"/>
      <color rgb="FF000000"/>
      <name val="Arial"/>
    </font>
    <font>
      <sz val="9.0"/>
      <color theme="1"/>
      <name val="Arial"/>
    </font>
    <font>
      <b/>
      <sz val="11.0"/>
      <color theme="1"/>
      <name val="Calibri"/>
    </font>
    <font>
      <b/>
      <sz val="9.0"/>
      <color theme="1"/>
      <name val="Play"/>
    </font>
    <font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5D8CAF"/>
        <bgColor rgb="FF5D8CAF"/>
      </patternFill>
    </fill>
    <fill>
      <patternFill patternType="solid">
        <fgColor rgb="FFFFFFFF"/>
        <bgColor rgb="FFFFFFFF"/>
      </patternFill>
    </fill>
    <fill>
      <patternFill patternType="solid">
        <fgColor rgb="FF729CB7"/>
        <bgColor rgb="FF729CB7"/>
      </patternFill>
    </fill>
    <fill>
      <patternFill patternType="solid">
        <fgColor rgb="FF9CC2D3"/>
        <bgColor rgb="FF9CC2D3"/>
      </patternFill>
    </fill>
    <fill>
      <patternFill patternType="solid">
        <fgColor rgb="FFD8ECEF"/>
        <bgColor rgb="FFD8ECEF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0" fillId="0" fontId="3" numFmtId="1" xfId="0" applyFont="1" applyNumberFormat="1"/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bottom" wrapText="0"/>
    </xf>
    <xf borderId="1" fillId="2" fontId="5" numFmtId="0" xfId="0" applyAlignment="1" applyBorder="1" applyFill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0" fillId="0" fontId="7" numFmtId="164" xfId="0" applyAlignment="1" applyFont="1" applyNumberFormat="1">
      <alignment vertical="bottom"/>
    </xf>
    <xf borderId="0" fillId="0" fontId="7" numFmtId="0" xfId="0" applyAlignment="1" applyFont="1">
      <alignment readingOrder="0" vertical="bottom"/>
    </xf>
    <xf borderId="5" fillId="0" fontId="6" numFmtId="0" xfId="0" applyBorder="1" applyFont="1"/>
    <xf borderId="0" fillId="0" fontId="7" numFmtId="164" xfId="0" applyAlignment="1" applyFont="1" applyNumberFormat="1">
      <alignment horizontal="right" vertical="bottom"/>
    </xf>
    <xf borderId="0" fillId="0" fontId="7" numFmtId="1" xfId="0" applyAlignment="1" applyFont="1" applyNumberFormat="1">
      <alignment horizontal="right" vertical="bottom"/>
    </xf>
    <xf borderId="6" fillId="0" fontId="6" numFmtId="0" xfId="0" applyBorder="1" applyFont="1"/>
    <xf borderId="5" fillId="0" fontId="8" numFmtId="0" xfId="0" applyAlignment="1" applyBorder="1" applyFont="1">
      <alignment shrinkToFit="0" vertical="bottom" wrapText="0"/>
    </xf>
    <xf borderId="7" fillId="0" fontId="8" numFmtId="0" xfId="0" applyAlignment="1" applyBorder="1" applyFont="1">
      <alignment horizontal="left" shrinkToFit="0" wrapText="0"/>
    </xf>
    <xf borderId="7" fillId="0" fontId="8" numFmtId="0" xfId="0" applyAlignment="1" applyBorder="1" applyFont="1">
      <alignment shrinkToFit="0" vertical="bottom" wrapText="0"/>
    </xf>
    <xf borderId="7" fillId="3" fontId="8" numFmtId="0" xfId="0" applyAlignment="1" applyBorder="1" applyFill="1" applyFont="1">
      <alignment horizontal="left" shrinkToFit="0" vertical="bottom" wrapText="0"/>
    </xf>
    <xf borderId="1" fillId="4" fontId="9" numFmtId="0" xfId="0" applyAlignment="1" applyBorder="1" applyFill="1" applyFont="1">
      <alignment horizontal="right" readingOrder="0" shrinkToFit="0" wrapText="0"/>
    </xf>
    <xf borderId="8" fillId="4" fontId="9" numFmtId="0" xfId="0" applyAlignment="1" applyBorder="1" applyFont="1">
      <alignment horizontal="left" readingOrder="0" shrinkToFit="0" wrapText="0"/>
    </xf>
    <xf borderId="8" fillId="4" fontId="9" numFmtId="0" xfId="0" applyAlignment="1" applyBorder="1" applyFont="1">
      <alignment horizontal="left" shrinkToFit="0" wrapText="0"/>
    </xf>
    <xf borderId="8" fillId="4" fontId="9" numFmtId="3" xfId="0" applyAlignment="1" applyBorder="1" applyFont="1" applyNumberFormat="1">
      <alignment horizontal="right" readingOrder="0" shrinkToFit="0" wrapText="0"/>
    </xf>
    <xf borderId="8" fillId="4" fontId="9" numFmtId="0" xfId="0" applyAlignment="1" applyBorder="1" applyFont="1">
      <alignment horizontal="right" readingOrder="0" shrinkToFit="0" wrapText="0"/>
    </xf>
    <xf borderId="5" fillId="3" fontId="9" numFmtId="0" xfId="0" applyAlignment="1" applyBorder="1" applyFont="1">
      <alignment horizontal="right" readingOrder="0" shrinkToFit="0" wrapText="0"/>
    </xf>
    <xf borderId="7" fillId="3" fontId="9" numFmtId="0" xfId="0" applyAlignment="1" applyBorder="1" applyFont="1">
      <alignment horizontal="left" readingOrder="0" shrinkToFit="0" wrapText="0"/>
    </xf>
    <xf borderId="7" fillId="3" fontId="9" numFmtId="0" xfId="0" applyAlignment="1" applyBorder="1" applyFont="1">
      <alignment horizontal="left" shrinkToFit="0" wrapText="0"/>
    </xf>
    <xf borderId="7" fillId="3" fontId="9" numFmtId="3" xfId="0" applyAlignment="1" applyBorder="1" applyFont="1" applyNumberFormat="1">
      <alignment horizontal="right" readingOrder="0" shrinkToFit="0" wrapText="0"/>
    </xf>
    <xf borderId="7" fillId="3" fontId="9" numFmtId="0" xfId="0" applyAlignment="1" applyBorder="1" applyFont="1">
      <alignment horizontal="right" readingOrder="0" shrinkToFit="0" wrapText="0"/>
    </xf>
    <xf borderId="5" fillId="5" fontId="9" numFmtId="0" xfId="0" applyAlignment="1" applyBorder="1" applyFill="1" applyFont="1">
      <alignment horizontal="right" readingOrder="0" shrinkToFit="0" wrapText="0"/>
    </xf>
    <xf borderId="7" fillId="5" fontId="9" numFmtId="0" xfId="0" applyAlignment="1" applyBorder="1" applyFont="1">
      <alignment horizontal="left" readingOrder="0" shrinkToFit="0" wrapText="0"/>
    </xf>
    <xf borderId="7" fillId="5" fontId="9" numFmtId="0" xfId="0" applyAlignment="1" applyBorder="1" applyFont="1">
      <alignment horizontal="left" shrinkToFit="0" wrapText="0"/>
    </xf>
    <xf borderId="7" fillId="5" fontId="9" numFmtId="0" xfId="0" applyAlignment="1" applyBorder="1" applyFont="1">
      <alignment horizontal="right" readingOrder="0" shrinkToFit="0" wrapText="0"/>
    </xf>
    <xf borderId="5" fillId="0" fontId="8" numFmtId="0" xfId="0" applyAlignment="1" applyBorder="1" applyFont="1">
      <alignment horizontal="right" readingOrder="0" shrinkToFit="0" wrapText="0"/>
    </xf>
    <xf borderId="7" fillId="0" fontId="8" numFmtId="0" xfId="0" applyAlignment="1" applyBorder="1" applyFont="1">
      <alignment readingOrder="0" shrinkToFit="0" wrapText="0"/>
    </xf>
    <xf borderId="7" fillId="0" fontId="8" numFmtId="0" xfId="0" applyAlignment="1" applyBorder="1" applyFont="1">
      <alignment shrinkToFit="0" wrapText="0"/>
    </xf>
    <xf borderId="7" fillId="3" fontId="8" numFmtId="0" xfId="0" applyAlignment="1" applyBorder="1" applyFont="1">
      <alignment horizontal="left" readingOrder="0" shrinkToFit="0" wrapText="0"/>
    </xf>
    <xf borderId="7" fillId="3" fontId="8" numFmtId="0" xfId="0" applyAlignment="1" applyBorder="1" applyFont="1">
      <alignment horizontal="right" readingOrder="0" shrinkToFit="0" wrapText="0"/>
    </xf>
    <xf borderId="5" fillId="6" fontId="8" numFmtId="0" xfId="0" applyAlignment="1" applyBorder="1" applyFill="1" applyFont="1">
      <alignment horizontal="right" readingOrder="0" shrinkToFit="0" wrapText="0"/>
    </xf>
    <xf borderId="7" fillId="6" fontId="8" numFmtId="0" xfId="0" applyAlignment="1" applyBorder="1" applyFont="1">
      <alignment horizontal="left" readingOrder="0" shrinkToFit="0" wrapText="0"/>
    </xf>
    <xf borderId="7" fillId="6" fontId="8" numFmtId="0" xfId="0" applyAlignment="1" applyBorder="1" applyFont="1">
      <alignment horizontal="right" readingOrder="0" shrinkToFit="0" wrapText="0"/>
    </xf>
    <xf borderId="7" fillId="3" fontId="8" numFmtId="0" xfId="0" applyAlignment="1" applyBorder="1" applyFont="1">
      <alignment horizontal="right" shrinkToFit="0" wrapText="0"/>
    </xf>
    <xf borderId="7" fillId="3" fontId="9" numFmtId="0" xfId="0" applyAlignment="1" applyBorder="1" applyFont="1">
      <alignment readingOrder="0" shrinkToFit="0" wrapText="0"/>
    </xf>
    <xf borderId="7" fillId="3" fontId="9" numFmtId="0" xfId="0" applyAlignment="1" applyBorder="1" applyFont="1">
      <alignment shrinkToFit="0" wrapText="0"/>
    </xf>
    <xf borderId="7" fillId="5" fontId="9" numFmtId="0" xfId="0" applyAlignment="1" applyBorder="1" applyFont="1">
      <alignment readingOrder="0" shrinkToFit="0" wrapText="0"/>
    </xf>
    <xf borderId="7" fillId="5" fontId="9" numFmtId="0" xfId="0" applyAlignment="1" applyBorder="1" applyFont="1">
      <alignment shrinkToFit="0" wrapText="0"/>
    </xf>
    <xf borderId="7" fillId="5" fontId="9" numFmtId="3" xfId="0" applyAlignment="1" applyBorder="1" applyFont="1" applyNumberFormat="1">
      <alignment horizontal="right" readingOrder="0" shrinkToFit="0" wrapText="0"/>
    </xf>
    <xf borderId="7" fillId="3" fontId="8" numFmtId="3" xfId="0" applyAlignment="1" applyBorder="1" applyFont="1" applyNumberFormat="1">
      <alignment horizontal="right" readingOrder="0" shrinkToFit="0" wrapText="0"/>
    </xf>
    <xf borderId="7" fillId="6" fontId="8" numFmtId="0" xfId="0" applyAlignment="1" applyBorder="1" applyFont="1">
      <alignment readingOrder="0" shrinkToFit="0" wrapText="0"/>
    </xf>
    <xf borderId="7" fillId="6" fontId="8" numFmtId="3" xfId="0" applyAlignment="1" applyBorder="1" applyFont="1" applyNumberFormat="1">
      <alignment horizontal="right" readingOrder="0" shrinkToFit="0" wrapText="0"/>
    </xf>
    <xf borderId="6" fillId="0" fontId="8" numFmtId="0" xfId="0" applyAlignment="1" applyBorder="1" applyFont="1">
      <alignment horizontal="right" readingOrder="0" shrinkToFit="0" wrapText="0"/>
    </xf>
    <xf borderId="9" fillId="0" fontId="8" numFmtId="0" xfId="0" applyAlignment="1" applyBorder="1" applyFont="1">
      <alignment readingOrder="0" shrinkToFit="0" wrapText="0"/>
    </xf>
    <xf borderId="9" fillId="3" fontId="8" numFmtId="0" xfId="0" applyAlignment="1" applyBorder="1" applyFont="1">
      <alignment horizontal="left" readingOrder="0" shrinkToFit="0" wrapText="0"/>
    </xf>
    <xf borderId="9" fillId="3" fontId="8" numFmtId="0" xfId="0" applyAlignment="1" applyBorder="1" applyFont="1">
      <alignment horizontal="right" readingOrder="0" shrinkToFit="0" wrapText="0"/>
    </xf>
    <xf borderId="0" fillId="3" fontId="10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shrinkToFit="0" vertical="bottom" wrapText="0"/>
    </xf>
    <xf borderId="10" fillId="3" fontId="7" numFmtId="164" xfId="0" applyAlignment="1" applyBorder="1" applyFont="1" applyNumberFormat="1">
      <alignment vertical="bottom"/>
    </xf>
    <xf borderId="10" fillId="3" fontId="7" numFmtId="0" xfId="0" applyAlignment="1" applyBorder="1" applyFont="1">
      <alignment vertical="bottom"/>
    </xf>
    <xf borderId="10" fillId="3" fontId="7" numFmtId="49" xfId="0" applyAlignment="1" applyBorder="1" applyFont="1" applyNumberFormat="1">
      <alignment vertical="bottom"/>
    </xf>
    <xf borderId="10" fillId="3" fontId="7" numFmtId="0" xfId="0" applyAlignment="1" applyBorder="1" applyFont="1">
      <alignment readingOrder="0"/>
    </xf>
    <xf borderId="10" fillId="3" fontId="7" numFmtId="165" xfId="0" applyAlignment="1" applyBorder="1" applyFont="1" applyNumberFormat="1">
      <alignment horizontal="center" readingOrder="0" shrinkToFit="0" wrapText="1"/>
    </xf>
    <xf borderId="10" fillId="3" fontId="7" numFmtId="1" xfId="0" applyAlignment="1" applyBorder="1" applyFont="1" applyNumberFormat="1">
      <alignment readingOrder="0" shrinkToFit="0" wrapText="1"/>
    </xf>
    <xf borderId="10" fillId="3" fontId="7" numFmtId="0" xfId="0" applyAlignment="1" applyBorder="1" applyFont="1">
      <alignment readingOrder="0" shrinkToFit="0" wrapText="1"/>
    </xf>
    <xf borderId="0" fillId="0" fontId="1" numFmtId="3" xfId="0" applyAlignment="1" applyFont="1" applyNumberFormat="1">
      <alignment horizontal="right" readingOrder="0" shrinkToFit="0" vertical="bottom" wrapText="0"/>
    </xf>
    <xf borderId="0" fillId="0" fontId="7" numFmtId="0" xfId="0" applyFont="1"/>
    <xf borderId="10" fillId="3" fontId="7" numFmtId="164" xfId="0" applyAlignment="1" applyBorder="1" applyFont="1" applyNumberFormat="1">
      <alignment horizontal="right" vertical="bottom"/>
    </xf>
    <xf borderId="10" fillId="3" fontId="7" numFmtId="3" xfId="0" applyAlignment="1" applyBorder="1" applyFont="1" applyNumberFormat="1">
      <alignment horizontal="right" vertical="bottom"/>
    </xf>
    <xf borderId="10" fillId="3" fontId="11" numFmtId="3" xfId="0" applyAlignment="1" applyBorder="1" applyFont="1" applyNumberFormat="1">
      <alignment horizontal="right"/>
    </xf>
    <xf borderId="10" fillId="0" fontId="7" numFmtId="1" xfId="0" applyAlignment="1" applyBorder="1" applyFont="1" applyNumberFormat="1">
      <alignment horizontal="right" vertical="bottom"/>
    </xf>
    <xf borderId="10" fillId="3" fontId="7" numFmtId="1" xfId="0" applyBorder="1" applyFont="1" applyNumberFormat="1"/>
    <xf borderId="0" fillId="0" fontId="7" numFmtId="3" xfId="0" applyFont="1" applyNumberFormat="1"/>
    <xf borderId="0" fillId="0" fontId="7" numFmtId="1" xfId="0" applyFont="1" applyNumberFormat="1"/>
    <xf borderId="0" fillId="0" fontId="7" numFmtId="0" xfId="0" applyAlignment="1" applyFont="1">
      <alignment readingOrder="0"/>
    </xf>
    <xf borderId="10" fillId="3" fontId="7" numFmtId="0" xfId="0" applyAlignment="1" applyBorder="1" applyFont="1">
      <alignment horizontal="right" vertical="bottom"/>
    </xf>
    <xf borderId="10" fillId="0" fontId="7" numFmtId="3" xfId="0" applyBorder="1" applyFont="1" applyNumberFormat="1"/>
    <xf borderId="10" fillId="0" fontId="7" numFmtId="1" xfId="0" applyBorder="1" applyFont="1" applyNumberFormat="1"/>
    <xf borderId="10" fillId="3" fontId="7" numFmtId="3" xfId="0" applyAlignment="1" applyBorder="1" applyFont="1" applyNumberFormat="1">
      <alignment vertical="bottom"/>
    </xf>
    <xf borderId="10" fillId="0" fontId="3" numFmtId="0" xfId="0" applyAlignment="1" applyBorder="1" applyFont="1">
      <alignment readingOrder="0"/>
    </xf>
    <xf borderId="10" fillId="0" fontId="7" numFmtId="0" xfId="0" applyBorder="1" applyFont="1"/>
    <xf borderId="10" fillId="3" fontId="7" numFmtId="1" xfId="0" applyAlignment="1" applyBorder="1" applyFont="1" applyNumberFormat="1">
      <alignment vertical="bottom"/>
    </xf>
    <xf borderId="10" fillId="3" fontId="7" numFmtId="3" xfId="0" applyAlignment="1" applyBorder="1" applyFont="1" applyNumberFormat="1">
      <alignment horizontal="right" readingOrder="0" vertical="bottom"/>
    </xf>
    <xf borderId="10" fillId="0" fontId="7" numFmtId="164" xfId="0" applyAlignment="1" applyBorder="1" applyFont="1" applyNumberFormat="1">
      <alignment vertical="bottom"/>
    </xf>
    <xf borderId="10" fillId="0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vertical="bottom"/>
    </xf>
    <xf borderId="10" fillId="0" fontId="7" numFmtId="0" xfId="0" applyAlignment="1" applyBorder="1" applyFont="1">
      <alignment readingOrder="0"/>
    </xf>
    <xf borderId="0" fillId="0" fontId="7" numFmtId="0" xfId="0" applyAlignment="1" applyFont="1">
      <alignment vertical="bottom"/>
    </xf>
    <xf borderId="10" fillId="3" fontId="7" numFmtId="3" xfId="0" applyAlignment="1" applyBorder="1" applyFont="1" applyNumberFormat="1">
      <alignment readingOrder="0"/>
    </xf>
    <xf borderId="0" fillId="3" fontId="7" numFmtId="164" xfId="0" applyFont="1" applyNumberFormat="1"/>
    <xf borderId="0" fillId="3" fontId="7" numFmtId="1" xfId="0" applyFont="1" applyNumberFormat="1"/>
    <xf borderId="10" fillId="0" fontId="3" numFmtId="3" xfId="0" applyBorder="1" applyFont="1" applyNumberFormat="1"/>
    <xf borderId="0" fillId="0" fontId="7" numFmtId="164" xfId="0" applyFont="1" applyNumberFormat="1"/>
    <xf borderId="10" fillId="3" fontId="7" numFmtId="3" xfId="0" applyAlignment="1" applyBorder="1" applyFont="1" applyNumberFormat="1">
      <alignment horizontal="center" readingOrder="0" shrinkToFit="0" wrapText="1"/>
    </xf>
    <xf borderId="0" fillId="0" fontId="7" numFmtId="3" xfId="0" applyAlignment="1" applyFont="1" applyNumberFormat="1">
      <alignment vertical="bottom"/>
    </xf>
    <xf borderId="10" fillId="3" fontId="7" numFmtId="3" xfId="0" applyAlignment="1" applyBorder="1" applyFont="1" applyNumberFormat="1">
      <alignment horizontal="center" readingOrder="0" shrinkToFit="0" vertical="bottom" wrapText="1"/>
    </xf>
    <xf borderId="10" fillId="3" fontId="11" numFmtId="3" xfId="0" applyAlignment="1" applyBorder="1" applyFont="1" applyNumberFormat="1">
      <alignment horizontal="right" vertical="bottom"/>
    </xf>
    <xf borderId="0" fillId="0" fontId="3" numFmtId="3" xfId="0" applyFont="1" applyNumberFormat="1"/>
    <xf borderId="10" fillId="7" fontId="12" numFmtId="0" xfId="0" applyAlignment="1" applyBorder="1" applyFill="1" applyFont="1">
      <alignment vertical="bottom"/>
    </xf>
    <xf borderId="10" fillId="8" fontId="13" numFmtId="0" xfId="0" applyAlignment="1" applyBorder="1" applyFill="1" applyFont="1">
      <alignment horizontal="center" shrinkToFit="0" vertical="bottom" wrapText="1"/>
    </xf>
    <xf borderId="10" fillId="9" fontId="13" numFmtId="0" xfId="0" applyAlignment="1" applyBorder="1" applyFill="1" applyFont="1">
      <alignment horizontal="center" shrinkToFit="0" vertical="bottom" wrapText="1"/>
    </xf>
    <xf borderId="10" fillId="10" fontId="13" numFmtId="0" xfId="0" applyAlignment="1" applyBorder="1" applyFill="1" applyFont="1">
      <alignment horizontal="center" shrinkToFit="0" vertical="bottom" wrapText="1"/>
    </xf>
    <xf borderId="10" fillId="11" fontId="13" numFmtId="0" xfId="0" applyAlignment="1" applyBorder="1" applyFill="1" applyFont="1">
      <alignment horizontal="center" shrinkToFit="0" vertical="bottom" wrapText="1"/>
    </xf>
    <xf borderId="0" fillId="0" fontId="14" numFmtId="0" xfId="0" applyAlignment="1" applyFont="1">
      <alignment vertical="bottom"/>
    </xf>
    <xf borderId="10" fillId="0" fontId="7" numFmtId="0" xfId="0" applyAlignment="1" applyBorder="1" applyFont="1">
      <alignment horizontal="right" readingOrder="0" vertical="bottom"/>
    </xf>
    <xf borderId="10" fillId="0" fontId="3" numFmtId="1" xfId="0" applyAlignment="1" applyBorder="1" applyFont="1" applyNumberFormat="1">
      <alignment readingOrder="0"/>
    </xf>
    <xf borderId="0" fillId="0" fontId="3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346" sheet="Datos procesados"/>
  </cacheSource>
  <cacheFields>
    <cacheField name="id" numFmtId="164">
      <sharedItems containsString="0" containsBlank="1" containsNumber="1" containsInteger="1">
        <n v="10101.0"/>
        <n v="10102.0"/>
        <n v="10103.0"/>
        <n v="10201.0"/>
        <n v="10202.0"/>
        <n v="10301.0"/>
        <n v="10302.0"/>
        <n v="10303.0"/>
        <n v="10304.0"/>
        <n v="10401.0"/>
        <n v="10402.0"/>
        <n v="10403.0"/>
        <n v="10404.0"/>
        <n v="10405.0"/>
        <n v="10501.0"/>
        <n v="10502.0"/>
        <n v="10601.0"/>
        <n v="10602.0"/>
        <n v="10701.0"/>
        <n v="10702.0"/>
        <n v="10703.0"/>
        <n v="10704.0"/>
        <n v="10801.0"/>
        <n v="10901.0"/>
        <n v="10902.0"/>
        <n v="10903.0"/>
        <n v="11001.0"/>
        <n v="11002.0"/>
        <n v="11003.0"/>
        <n v="20101.0"/>
        <n v="20102.0"/>
        <n v="20103.0"/>
        <n v="20104.0"/>
        <n v="20105.0"/>
        <n v="20201.0"/>
        <n v="20202.0"/>
        <n v="20203.0"/>
        <n v="20204.0"/>
        <n v="20205.0"/>
        <n v="20206.0"/>
        <n v="20301.0"/>
        <n v="20302.0"/>
        <n v="20303.0"/>
        <n v="20304.0"/>
        <n v="20305.0"/>
        <n v="20306.0"/>
        <n v="20307.0"/>
        <n v="20308.0"/>
        <n v="20401.0"/>
        <n v="20402.0"/>
        <n v="20403.0"/>
        <n v="20404.0"/>
        <n v="20405.0"/>
        <n v="20501.0"/>
        <n v="20502.0"/>
        <n v="20503.0"/>
        <n v="20601.0"/>
        <n v="20602.0"/>
        <n v="20603.0"/>
        <n v="20604.0"/>
        <n v="20605.0"/>
        <n v="20606.0"/>
        <n v="20607.0"/>
        <n v="20608.0"/>
        <n v="20701.0"/>
        <n v="20702.0"/>
        <n v="20801.0"/>
        <n v="20802.0"/>
        <n v="20803.0"/>
        <n v="20804.0"/>
        <n v="20805.0"/>
        <n v="20806.0"/>
        <n v="20807.0"/>
        <n v="20901.0"/>
        <n v="20902.0"/>
        <n v="20903.0"/>
        <n v="20904.0"/>
        <n v="20905.0"/>
        <n v="21001.0"/>
        <n v="21002.0"/>
        <n v="21003.0"/>
        <n v="21004.0"/>
        <n v="21005.0"/>
        <n v="21006.0"/>
        <n v="21101.0"/>
        <n v="21102.0"/>
        <n v="21103.0"/>
        <n v="21104.0"/>
        <n v="21105.0"/>
        <n v="21201.0"/>
        <n v="21202.0"/>
        <n v="21203.0"/>
        <n v="21204.0"/>
        <n v="21301.0"/>
        <n v="21302.0"/>
        <n v="21303.0"/>
        <n v="21304.0"/>
        <n v="21305.0"/>
        <n v="21306.0"/>
        <n v="21307.0"/>
        <n v="21401.0"/>
        <n v="21402.0"/>
        <n v="21501.0"/>
        <n v="21502.0"/>
        <n v="21601.0"/>
        <n v="21602.0"/>
        <n v="21701.0"/>
        <n v="21702.0"/>
        <n v="21703.0"/>
        <n v="21801.0"/>
        <n v="21802.0"/>
        <n v="21803.0"/>
        <n v="21901.0"/>
        <n v="21902.0"/>
        <n v="22001.0"/>
        <n v="22002.0"/>
        <n v="30101.0"/>
        <n v="30201.0"/>
        <n v="30202.0"/>
        <n v="30203.0"/>
        <n v="30301.0"/>
        <n v="30302.0"/>
        <n v="30303.0"/>
        <n v="30401.0"/>
        <n v="30402.0"/>
        <n v="30403.0"/>
        <n v="30404.0"/>
        <n v="30501.0"/>
        <n v="30502.0"/>
        <n v="30601.0"/>
        <n v="30602.0"/>
        <n v="30701.0"/>
        <n v="30702.0"/>
        <n v="30703.0"/>
        <n v="30801.0"/>
        <n v="30802.0"/>
        <n v="30803.0"/>
        <n v="30901.0"/>
        <n v="30902.0"/>
        <n v="30903.0"/>
        <n v="30904.0"/>
        <n v="30905.0"/>
        <n v="31001.0"/>
        <n v="31002.0"/>
        <n v="31003.0"/>
        <n v="31101.0"/>
        <n v="31201.0"/>
        <n v="31202.0"/>
        <n v="31203.0"/>
        <n v="31204.0"/>
        <n v="31205.0"/>
        <n v="31206.0"/>
        <n v="31301.0"/>
        <n v="31302.0"/>
        <n v="31303.0"/>
        <n v="31304.0"/>
        <n v="31401.0"/>
        <n v="31402.0"/>
        <n v="31403.0"/>
        <n v="31404.0"/>
        <n v="31405.0"/>
        <n v="31501.0"/>
        <n v="31601.0"/>
        <n v="31602.0"/>
        <n v="40101.0"/>
        <n v="40102.0"/>
        <n v="40103.0"/>
        <n v="40104.0"/>
        <n v="40201.0"/>
        <n v="40202.0"/>
        <n v="40301.0"/>
        <n v="40302.0"/>
        <n v="40401.0"/>
        <n v="40402.0"/>
        <n v="40501.0"/>
        <n v="40502.0"/>
        <n v="40503.0"/>
        <n v="40504.0"/>
        <n v="40505.0"/>
        <n v="40601.0"/>
        <n v="40602.0"/>
        <n v="40603.0"/>
        <n v="40701.0"/>
        <n v="40702.0"/>
        <n v="40801.0"/>
        <n v="40802.0"/>
        <n v="40901.0"/>
        <n v="40902.0"/>
        <n v="40903.0"/>
        <n v="41001.0"/>
        <n v="41101.0"/>
        <n v="41201.0"/>
        <n v="41202.0"/>
        <n v="41301.0"/>
        <n v="41401.0"/>
        <n v="41501.0"/>
        <n v="41502.0"/>
        <n v="41503.0"/>
        <n v="41601.0"/>
        <n v="50101.0"/>
        <n v="50102.0"/>
        <n v="50103.0"/>
        <n v="50104.0"/>
        <n v="50201.0"/>
        <n v="50202.0"/>
        <n v="50203.0"/>
        <n v="50204.0"/>
        <n v="50301.0"/>
        <n v="50302.0"/>
        <n v="50303.0"/>
        <n v="50401.0"/>
        <n v="50402.0"/>
        <n v="50403.0"/>
        <n v="50404.0"/>
        <n v="50405.0"/>
        <n v="50501.0"/>
        <n v="50502.0"/>
        <n v="50601.0"/>
        <n v="50602.0"/>
        <n v="50701.0"/>
        <n v="50702.0"/>
        <n v="50801.0"/>
        <n v="50802.0"/>
        <n v="50901.0"/>
        <n v="50902.0"/>
        <n v="51001.0"/>
        <n v="51002.0"/>
        <n v="51003.0"/>
        <n v="51101.0"/>
        <n v="51102.0"/>
        <n v="51103.0"/>
        <n v="51201.0"/>
        <n v="51202.0"/>
        <n v="51203.0"/>
        <n v="51204.0"/>
        <n v="51301.0"/>
        <n v="51302.0"/>
        <n v="51401.0"/>
        <n v="51402.0"/>
        <n v="51501.0"/>
        <n v="51601.0"/>
        <n v="60101.0"/>
        <n v="60201.0"/>
        <n v="60202.0"/>
        <n v="60301.0"/>
        <n v="60302.0"/>
        <n v="60303.0"/>
        <n v="60401.0"/>
        <n v="60402.0"/>
        <n v="60501.0"/>
        <n v="60502.0"/>
        <n v="60601.0"/>
        <n v="70101.0"/>
        <n v="70102.0"/>
        <n v="70103.0"/>
        <n v="70104.0"/>
        <n v="70105.0"/>
        <n v="70201.0"/>
        <n v="70202.0"/>
        <n v="70301.0"/>
        <n v="70302.0"/>
        <n v="70303.0"/>
        <n v="70401.0"/>
        <n v="70402.0"/>
        <n v="70403.0"/>
        <n v="70404.0"/>
        <n v="70501.0"/>
        <n v="70502.0"/>
        <n v="70503.0"/>
        <n v="70601.0"/>
        <n v="70602.0"/>
        <n v="70603.0"/>
        <n v="70701.0"/>
        <n v="70702.0"/>
        <n v="70703.0"/>
        <n v="70704.0"/>
        <n v="70705.0"/>
        <n v="70706.0"/>
        <n v="70707.0"/>
        <n v="70801.0"/>
        <n v="70802.0"/>
        <n v="70803.0"/>
        <n v="70804.0"/>
        <n v="70805.0"/>
        <n v="70901.0"/>
        <n v="70902.0"/>
        <n v="70903.0"/>
        <n v="70904.0"/>
        <n v="71001.0"/>
        <n v="71002.0"/>
        <n v="71003.0"/>
        <n v="71004.0"/>
        <n v="71005.0"/>
        <n v="71101.0"/>
        <n v="71102.0"/>
        <n v="71103.0"/>
        <n v="71104.0"/>
        <n v="71105.0"/>
        <n v="71106.0"/>
        <n v="71201.0"/>
        <n v="71301.0"/>
        <n v="71302.0"/>
        <n v="71401.0"/>
        <n v="71402.0"/>
        <n v="71403.0"/>
        <n v="71501.0"/>
        <n v="71502.0"/>
        <n v="71503.0"/>
        <n v="80101.0"/>
        <n v="80102.0"/>
        <n v="80201.0"/>
        <n v="80202.0"/>
        <n v="80301.0"/>
        <n v="80302.0"/>
        <n v="80303.0"/>
        <n v="80304.0"/>
        <n v="80401.0"/>
        <n v="80402.0"/>
        <n v="80501.0"/>
        <n v="80601.0"/>
        <n v="80602.0"/>
        <n v="80701.0"/>
        <n v="80702.0"/>
        <n v="80703.0"/>
        <n v="80801.0"/>
        <n v="80802.0"/>
        <n v="80803.0"/>
        <n v="80901.0"/>
        <n v="90101.0"/>
        <n v="90102.0"/>
        <n v="90103.0"/>
        <n v="90104.0"/>
        <n v="90201.0"/>
        <n v="90202.0"/>
        <n v="90203.0"/>
        <n v="90301.0"/>
        <n v="90302.0"/>
        <n v="90303.0"/>
        <n v="90401.0"/>
        <n v="90402.0"/>
        <n v="90501.0"/>
        <n v="90502.0"/>
        <n v="90503.0"/>
        <m/>
      </sharedItems>
    </cacheField>
    <cacheField name="DEPARTAMENTO" numFmtId="0">
      <sharedItems>
        <s v="Chuquisaca"/>
        <s v="La Paz"/>
        <s v="Cochabamba"/>
        <s v="Oruro"/>
        <s v="Potosí"/>
        <s v="Tarija"/>
        <s v="Santa Cruz"/>
        <s v="Beni"/>
        <s v="Pando"/>
        <s v="Gran Chaco"/>
        <s v="Bolivia "/>
      </sharedItems>
    </cacheField>
    <cacheField name="MUNICIPIO" numFmtId="49">
      <sharedItems containsBlank="1">
        <s v="Sucre"/>
        <s v="Yotala"/>
        <s v="Poroma"/>
        <s v="Villa Azurduy"/>
        <s v="Tarvita"/>
        <s v="Zudañez"/>
        <s v="Presto"/>
        <s v="Villa Mojocoya"/>
        <s v="Icla"/>
        <s v="Padilla"/>
        <s v="Tomina"/>
        <s v="Sopachuy"/>
        <s v="Villa Alcalá"/>
        <s v="El Villar"/>
        <s v="Monteagudo"/>
        <s v="San Pablo de Huacareta"/>
        <s v="Tarabuco"/>
        <s v="Yamparáez"/>
        <s v="Camargo"/>
        <s v="San Lucas"/>
        <s v="Incahuasi"/>
        <s v="Villa Charcas"/>
        <s v="Villa Serrano"/>
        <s v="Villa Abecia"/>
        <s v="Culpina"/>
        <s v="Las Carreras"/>
        <s v="Villa Vaca Guzman"/>
        <s v="Huacaya"/>
        <s v="Macharetí"/>
        <s v="Nuestra Señora de La Paz"/>
        <s v="Palca"/>
        <s v="Mecapaca"/>
        <s v="Achocalla"/>
        <s v="El Alto"/>
        <s v="Achacachi"/>
        <s v="Ancoraimes"/>
        <s v="Chua Cocani"/>
        <s v="Huarina"/>
        <s v="Santiago de Huata"/>
        <s v="Huatajata"/>
        <s v="Coro Coro"/>
        <s v="Caquiaviri"/>
        <s v="Calacoto"/>
        <s v="Comanche"/>
        <s v="Charaña"/>
        <s v="Waldo Ballivian"/>
        <s v="Nazacara de Pacajes"/>
        <s v="Santiago de Callapa"/>
        <s v="Puerto Acosta"/>
        <s v="Mocomoco"/>
        <s v="Puerto Mayor de Carabuco"/>
        <s v="Humanata"/>
        <s v="Escoma"/>
        <s v="Chuma"/>
        <s v="Ayata"/>
        <s v="Aucapata"/>
        <s v="Sorata"/>
        <s v="Guanay"/>
        <s v="Tacacoma"/>
        <s v="Quiabaya"/>
        <s v="Combaya"/>
        <s v="Tipuani"/>
        <s v="Mapiri"/>
        <s v="Teoponte"/>
        <s v="Apolo"/>
        <s v="Pelechuco"/>
        <s v="Viacha"/>
        <s v="Guaqui"/>
        <s v="Tiahuanacu"/>
        <s v="Desaguadero"/>
        <s v="San Andrés de Machaca"/>
        <s v="Jesús de Machaca"/>
        <s v="Taraco"/>
        <s v="Luribay"/>
        <s v="Sapahaqui"/>
        <s v="Yaco"/>
        <s v="Malla"/>
        <s v="Cairoma"/>
        <s v="Inquisivi"/>
        <s v="Quime"/>
        <s v="Cajuata"/>
        <s v="Colquiri"/>
        <s v="Ichoca"/>
        <s v="Villa Libertad Licoma"/>
        <s v="Chulumani"/>
        <s v="Irupana"/>
        <s v="Yanacachi"/>
        <s v="Palos Blancos"/>
        <s v="La Asunta"/>
        <s v="Pucarani"/>
        <s v="Laja"/>
        <s v="Batallas"/>
        <s v="Puerto Pérez"/>
        <s v="Sica Sica"/>
        <s v="Umala"/>
        <s v="Ayo Ayo"/>
        <s v="Calamarca"/>
        <s v="Patacamaya"/>
        <s v="Colquencha"/>
        <s v="Collana"/>
        <s v="Coroico"/>
        <s v="Coripata"/>
        <s v="Ixiamas"/>
        <s v="San Buenaventura"/>
        <s v="General Juan José Pérez (Charazani)"/>
        <s v="Curva"/>
        <s v="Copacabana"/>
        <s v="San Pedro de Tiquina"/>
        <s v="Tito Yupanqui"/>
        <s v="San Pedro de Curahuara"/>
        <s v="Papel Pampa"/>
        <s v="Chacarilla"/>
        <s v="Santiago de Machaca"/>
        <s v="Catacora"/>
        <s v="Caranavi"/>
        <s v="Alto Beni"/>
        <s v="Cochabamba"/>
        <s v="Aiquile"/>
        <s v="Pasorapa"/>
        <s v="Omereque"/>
        <s v="Independencia"/>
        <s v="Morochata"/>
        <s v="Cocapata"/>
        <s v="Tarata"/>
        <s v="Anzaldo"/>
        <s v="Arbieto"/>
        <s v="Sacabamba"/>
        <s v="Arani"/>
        <s v="Vacas"/>
        <s v="Arque"/>
        <s v="Tacopaya"/>
        <s v="Capinota"/>
        <s v="Santivañez"/>
        <s v="Sicaya"/>
        <s v="Cliza"/>
        <s v="Toco"/>
        <s v="Tolata"/>
        <s v="Quillacollo"/>
        <s v="Sipe Sipe"/>
        <s v="Tiquipaya"/>
        <s v="Vinto"/>
        <s v="Colcapirhua"/>
        <s v="Sacaba"/>
        <s v="Colomi"/>
        <s v="Villa Tunari"/>
        <s v="Tapacarí"/>
        <s v="Totora"/>
        <s v="Pojo"/>
        <s v="Pocona"/>
        <s v="Chimoré"/>
        <s v="Puerto Villarroel"/>
        <s v="Entre Ríos"/>
        <s v="Mizque"/>
        <s v="Vila Vila"/>
        <s v="Alalay"/>
        <s v="TIOC-Raqaypampa"/>
        <s v="Punata"/>
        <s v="Villa Rivero"/>
        <s v="San Benito"/>
        <s v="Tacachi"/>
        <s v="Cuchumuela (Villa Gualberto Villarroel)"/>
        <s v="Bolivar"/>
        <s v="Tiraque"/>
        <s v="Shinahota"/>
        <s v="Oruro"/>
        <s v="Caracollo"/>
        <s v="El Choro"/>
        <s v="Soracachi"/>
        <s v="Challapata"/>
        <s v="Santuario de Quillacas"/>
        <s v="Corque"/>
        <s v="Choquecota"/>
        <s v="Curahuara de Carangas"/>
        <s v="Turco"/>
        <s v="Huachacalla"/>
        <s v="Escara"/>
        <s v="Cruz de Machacamarca"/>
        <s v="Yunguyo del Litoral"/>
        <s v="Esmeralda"/>
        <s v="Poopó"/>
        <s v="Pazña"/>
        <s v="Antequera"/>
        <s v="Huanuni"/>
        <s v="Machacamarca"/>
        <s v="Salinas de Garcí Mendoza"/>
        <s v="Pampa Aullagas"/>
        <s v="Sabaya"/>
        <s v="Coipasa"/>
        <s v="Chipaya"/>
        <s v="Toledo"/>
        <s v="Eucaliptus"/>
        <s v="Santiago de Andamarca"/>
        <s v="Belén de Andamarca"/>
        <s v="San Pedro de Totora"/>
        <s v="Santiago de Huari"/>
        <s v="La Rivera"/>
        <s v="Todos Santos"/>
        <s v="Carangas"/>
        <s v="Huayllamarca (Santiago de Huayllamarca)"/>
        <s v="Potosí"/>
        <s v="Tinguipaya"/>
        <s v="Yocalla"/>
        <s v="Belén de Urmiri"/>
        <s v="Uncía"/>
        <s v="Chayanta"/>
        <s v="Llallagua"/>
        <s v="Chuquihuta - Ayllu Jucumani"/>
        <s v="Betanzos"/>
        <s v="Chaquí"/>
        <s v="Tacobamba"/>
        <s v="Colquechaca"/>
        <s v="Ravelo"/>
        <s v="Pocoata"/>
        <s v="Ocurí"/>
        <s v="San Pedro de Macha"/>
        <s v="San Pedro de Buena Vista"/>
        <s v="Toro Toro"/>
        <s v="Cotagaita"/>
        <s v="Vitichi"/>
        <s v="Sacaca (Villa de Sacaca)"/>
        <s v="Caripuyo"/>
        <s v="Tupiza"/>
        <s v="Atocha"/>
        <s v="Colcha ''K'' (Villa Martin)"/>
        <s v="San Pedro de Quemes"/>
        <s v="San Pablo de Lipez"/>
        <s v="Mojinete"/>
        <s v="San Antonio de Esmoruco"/>
        <s v="Puna"/>
        <s v="Caiza &quot;D&quot;"/>
        <s v="Ckochas"/>
        <s v="Uyuni"/>
        <s v="Tomave"/>
        <s v="Porco"/>
        <s v="TIOC-Jatun Ayllu Yura"/>
        <s v="Arampampa"/>
        <s v="Acasio"/>
        <s v="Llica"/>
        <s v="Tahua"/>
        <s v="Villazón"/>
        <s v="San Agustín"/>
        <s v="Tarija"/>
        <s v="Padcaya"/>
        <s v="Bermejo"/>
        <s v="Yacuiba"/>
        <s v="Caraparí"/>
        <s v="Villa Montes"/>
        <s v="Uriondo"/>
        <s v="Yunchará"/>
        <s v="Villa San Lorenzo"/>
        <s v="El Puente"/>
        <s v="Santa Cruz de la Sierra"/>
        <s v="Cotoca"/>
        <s v="Porongo"/>
        <s v="La Guardia"/>
        <s v="El Torno"/>
        <s v="Warnes"/>
        <s v="Okinawa Uno"/>
        <s v="San Ignacio de Velasco"/>
        <s v="San Miguel de Velasco"/>
        <s v="San Rafael"/>
        <s v="Buena Vista"/>
        <s v="San Carlos"/>
        <s v="Yapacaní"/>
        <s v="San Juan"/>
        <s v="San José de Chiquitos"/>
        <s v="Pailón"/>
        <s v="Roboré"/>
        <s v="Portachuelo"/>
        <s v="Santa Rosa del Sara"/>
        <s v="Colpa Bélgica"/>
        <s v="Lagunillas"/>
        <s v="Charagua"/>
        <s v="Cabezas"/>
        <s v="Cuevo"/>
        <s v="Gutiérrez"/>
        <s v="Camiri"/>
        <s v="Boyuibe"/>
        <s v="Vallegrande"/>
        <s v="Trigal"/>
        <s v="Moro Moro"/>
        <s v="Postrervalle"/>
        <s v="Pucará"/>
        <s v="Samaipata"/>
        <s v="Pampa Grande"/>
        <s v="Mairana"/>
        <s v="Quirusillas"/>
        <s v="Montero"/>
        <s v="General Saavedra"/>
        <s v="Mineros"/>
        <s v="Fernández Alonso"/>
        <s v="San Pedro"/>
        <s v="Concepción"/>
        <s v="San Javier"/>
        <s v="San Ramón"/>
        <s v="San Julián"/>
        <s v="San Antonio de Lomerio"/>
        <s v="Cuatro Cañadas"/>
        <s v="San Matías"/>
        <s v="Comarapa"/>
        <s v="Saipina"/>
        <s v="Puerto Suarez"/>
        <s v="Puerto Quijarro"/>
        <s v="El Carmen Rivero Tórrez"/>
        <s v="Ascención de Guarayos"/>
        <s v="Urubichá"/>
        <s v="Trinidad"/>
        <s v="Riberalta"/>
        <s v="Guayaramerín"/>
        <s v="Reyes"/>
        <s v="San Borja"/>
        <s v="Santa Rosa"/>
        <s v="Rurrenabaque"/>
        <s v="Santa Ana de Yacuma"/>
        <s v="Exaltación"/>
        <s v="San Ignacio"/>
        <s v="Loreto"/>
        <s v="San Andrés"/>
        <s v="San Joaquín"/>
        <s v="Puerto Siles"/>
        <s v="Magdalena"/>
        <s v="Baures"/>
        <s v="Huacaraje"/>
        <s v="TIOC-Territorio Indigena Multiétnico"/>
        <s v="Cobija"/>
        <s v="Porvenir"/>
        <s v="Bolpebra"/>
        <s v="Bella Flor"/>
        <s v="Puerto Rico"/>
        <s v="Filadelfia"/>
        <s v="Puerto Gonzalo Moreno"/>
        <s v="San Lorenzo"/>
        <s v="Sena"/>
        <s v="Santa Rosa del Abuná"/>
        <s v="Ingavi"/>
        <s v="Nueva Esperanza"/>
        <s v="Villa Nueva (Loma Alta)"/>
        <s v="Santos Mercado"/>
        <m/>
      </sharedItems>
    </cacheField>
    <cacheField name="Total2012" numFmtId="3">
      <sharedItems containsSemiMixedTypes="0" containsString="0" containsNumber="1">
        <n v="261201.0"/>
        <n v="9461.0"/>
        <n v="17377.0"/>
        <n v="10652.0"/>
        <n v="14261.0"/>
        <n v="11362.0"/>
        <n v="12385.0"/>
        <n v="8068.0"/>
        <n v="7774.0"/>
        <n v="10383.0"/>
        <n v="8494.0"/>
        <n v="7312.0"/>
        <n v="4902.0"/>
        <n v="4465.0"/>
        <n v="24303.0"/>
        <n v="8349.0"/>
        <n v="16944.0"/>
        <n v="10111.0"/>
        <n v="15644.0"/>
        <n v="32520.0"/>
        <n v="13056.0"/>
        <n v="16150.0"/>
        <n v="11161.0"/>
        <n v="3514.0"/>
        <n v="17731.0"/>
        <n v="4088.0"/>
        <n v="9720.0"/>
        <n v="2541.0"/>
        <n v="7418.0"/>
        <n v="766468.0"/>
        <n v="16622.0"/>
        <n v="16086.0"/>
        <n v="22179.0"/>
        <n v="848452.0"/>
        <n v="46058.0"/>
        <n v="13136.0"/>
        <n v="5003.0"/>
        <n v="7948.0"/>
        <n v="8562.0"/>
        <n v="3927.0"/>
        <n v="10647.0"/>
        <n v="14687.0"/>
        <n v="9879.0"/>
        <n v="3880.0"/>
        <n v="3246.0"/>
        <n v="5069.0"/>
        <n v="619.0"/>
        <n v="7289.0"/>
        <n v="11290.0"/>
        <n v="15665.0"/>
        <n v="14589.0"/>
        <n v="5342.0"/>
        <n v="7186.0"/>
        <n v="11473.0"/>
        <n v="8410.0"/>
        <n v="5495.0"/>
        <n v="23512.0"/>
        <n v="14788.0"/>
        <n v="8182.0"/>
        <n v="2684.0"/>
        <n v="3731.0"/>
        <n v="9985.0"/>
        <n v="13891.0"/>
        <n v="9349.0"/>
        <n v="20308.0"/>
        <n v="6780.0"/>
        <n v="80724.0"/>
        <n v="7278.0"/>
        <n v="12189.0"/>
        <n v="6987.0"/>
        <n v="6145.0"/>
        <n v="15039.0"/>
        <n v="6603.0"/>
        <n v="11139.0"/>
        <n v="12484.0"/>
        <n v="7315.0"/>
        <n v="5180.0"/>
        <n v="11355.0"/>
        <n v="14717.0"/>
        <n v="8266.0"/>
        <n v="10458.0"/>
        <n v="19620.0"/>
        <n v="7913.0"/>
        <n v="5488.0"/>
        <n v="17823.0"/>
        <n v="17276.0"/>
        <n v="6420.0"/>
        <n v="24731.0"/>
        <n v="40178.0"/>
        <n v="28465.0"/>
        <n v="24531.0"/>
        <n v="17426.0"/>
        <n v="8157.0"/>
        <n v="31312.0"/>
        <n v="8903.0"/>
        <n v="7798.0"/>
        <n v="12413.0"/>
        <n v="22858.0"/>
        <n v="5042.0"/>
        <n v="19397.0"/>
        <n v="16930.0"/>
        <n v="9362.0"/>
        <n v="8711.0"/>
        <n v="13023.0"/>
        <n v="3285.0"/>
        <n v="14931.0"/>
        <n v="6052.0"/>
        <n v="6261.0"/>
        <n v="8858.0"/>
        <n v="7003.0"/>
        <n v="2004.0"/>
        <n v="4593.0"/>
        <n v="2881.0"/>
        <n v="50330.0"/>
        <n v="11194.0"/>
        <n v="632013.0"/>
        <n v="23267.0"/>
        <n v="6853.0"/>
        <n v="5643.0"/>
        <n v="23658.0"/>
        <n v="12797.0"/>
        <n v="18076.0"/>
        <n v="8242.0"/>
        <n v="7192.0"/>
        <n v="17445.0"/>
        <n v="4366.0"/>
        <n v="9504.0"/>
        <n v="8940.0"/>
        <n v="10597.0"/>
        <n v="10253.0"/>
        <n v="19477.0"/>
        <n v="6527.0"/>
        <n v="3740.0"/>
        <n v="21899.0"/>
        <n v="7057.0"/>
        <n v="5542.0"/>
        <n v="137182.0"/>
        <n v="41571.0"/>
        <n v="53904.0"/>
        <n v="51968.0"/>
        <n v="51990.0"/>
        <n v="172466.0"/>
        <n v="19285.0"/>
        <n v="71386.0"/>
        <n v="24625.0"/>
        <n v="14665.0"/>
        <n v="10156.0"/>
        <n v="10750.0"/>
        <n v="21736.0"/>
        <n v="46627.0"/>
        <n v="31550.0"/>
        <n v="26900.0"/>
        <n v="5459.0"/>
        <n v="3447.0"/>
        <n v="28887.0"/>
        <n v="8135.0"/>
        <n v="13562.0"/>
        <n v="1303.0"/>
        <n v="2768.0"/>
        <n v="7279.0"/>
        <n v="21231.0"/>
        <n v="20841.0"/>
        <n v="264943.0"/>
        <n v="23115.0"/>
        <n v="8725.0"/>
        <n v="12846.0"/>
        <n v="28304.0"/>
        <n v="4051.0"/>
        <n v="9221.0"/>
        <n v="1850.0"/>
        <n v="4184.0"/>
        <n v="5207.0"/>
        <n v="1003.0"/>
        <n v="4223.0"/>
        <n v="1967.0"/>
        <n v="514.0"/>
        <n v="2702.0"/>
        <n v="7587.0"/>
        <n v="5955.0"/>
        <n v="3264.0"/>
        <n v="24677.0"/>
        <n v="4820.0"/>
        <n v="11878.0"/>
        <n v="2973.0"/>
        <n v="8018.0"/>
        <n v="903.0"/>
        <n v="2003.0"/>
        <n v="10149.0"/>
        <n v="5267.0"/>
        <n v="5216.0"/>
        <n v="2016.0"/>
        <n v="5531.0"/>
        <n v="13897.0"/>
        <n v="509.0"/>
        <n v="727.0"/>
        <n v="840.0"/>
        <n v="5502.0"/>
        <n v="191302.0"/>
        <n v="27200.0"/>
        <n v="8979.0"/>
        <n v="2759.0"/>
        <n v="22020.0"/>
        <n v="16129.0"/>
        <n v="41104.0"/>
        <n v="8019.0"/>
        <n v="33922.0"/>
        <n v="9910.0"/>
        <n v="11835.0"/>
        <n v="35199.0"/>
        <n v="20789.0"/>
        <n v="26330.0"/>
        <n v="16118.0"/>
        <n v="30012.0"/>
        <n v="10870.0"/>
        <n v="31801.0"/>
        <n v="10646.0"/>
        <n v="19611.0"/>
        <n v="8704.0"/>
        <n v="44814.0"/>
        <n v="11234.0"/>
        <n v="12997.0"/>
        <n v="1060.0"/>
        <n v="3371.0"/>
        <n v="1180.0"/>
        <n v="2284.0"/>
        <n v="21917.0"/>
        <n v="12067.0"/>
        <n v="15812.0"/>
        <n v="29672.0"/>
        <n v="14789.0"/>
        <n v="10866.0"/>
        <n v="4170.0"/>
        <n v="6161.0"/>
        <n v="4150.0"/>
        <n v="1700.0"/>
        <n v="44906.0"/>
        <n v="1684.0"/>
        <n v="205375.0"/>
        <n v="18681.0"/>
        <n v="34505.0"/>
        <n v="92245.0"/>
        <n v="15366.0"/>
        <n v="39867.0"/>
        <n v="14781.0"/>
        <n v="5490.0"/>
        <n v="23863.0"/>
        <n v="11354.0"/>
        <n v="21991.0"/>
        <n v="1454539.0"/>
        <n v="45519.0"/>
        <n v="15317.0"/>
        <n v="89284.0"/>
        <n v="49652.0"/>
        <n v="96406.0"/>
        <n v="12482.0"/>
        <n v="52362.0"/>
        <n v="11327.0"/>
        <n v="6139.0"/>
        <n v="12879.0"/>
        <n v="20093.0"/>
        <n v="50558.0"/>
        <n v="9191.0"/>
        <n v="28922.0"/>
        <n v="37866.0"/>
        <n v="15641.0"/>
        <n v="17885.0"/>
        <n v="19217.0"/>
        <n v="6069.0"/>
        <n v="5366.0"/>
        <n v="32186.0"/>
        <n v="26434.0"/>
        <n v="5052.0"/>
        <n v="12273.0"/>
        <n v="33838.0"/>
        <n v="5087.0"/>
        <n v="17208.0"/>
        <n v="2135.0"/>
        <n v="2767.0"/>
        <n v="2390.0"/>
        <n v="2076.0"/>
        <n v="10472.0"/>
        <n v="9198.0"/>
        <n v="10177.0"/>
        <n v="2995.0"/>
        <n v="109518.0"/>
        <n v="14209.0"/>
        <n v="23251.0"/>
        <n v="15117.0"/>
        <n v="19103.0"/>
        <n v="18800.0"/>
        <n v="13620.0"/>
        <n v="7490.0"/>
        <n v="47416.0"/>
        <n v="6481.0"/>
        <n v="22845.0"/>
        <n v="14470.0"/>
        <n v="15919.0"/>
        <n v="7390.0"/>
        <n v="19829.0"/>
        <n v="16659.0"/>
        <n v="6342.0"/>
        <n v="27070.0"/>
        <n v="7026.0"/>
        <n v="14205.0"/>
        <n v="106596.0"/>
        <n v="5277.0"/>
        <n v="89022.0"/>
        <n v="41814.0"/>
        <n v="13246.0"/>
        <n v="40864.0"/>
        <n v="9478.0"/>
        <n v="19195.0"/>
        <n v="18439.0"/>
        <n v="6362.0"/>
        <n v="21114.0"/>
        <n v="3828.0"/>
        <n v="12503.0"/>
        <n v="6917.0"/>
        <n v="4955.0"/>
        <n v="945.0"/>
        <n v="11377.0"/>
        <n v="5965.0"/>
        <n v="4111.0"/>
        <n v="19776.5"/>
        <n v="46267.0"/>
        <n v="2173.0"/>
        <n v="3909.0"/>
        <n v="6239.0"/>
        <n v="2991.0"/>
        <n v="5756.0"/>
        <n v="8160.0"/>
        <n v="7652.0"/>
        <n v="8258.0"/>
        <n v="2395.0"/>
        <n v="1654.0"/>
        <n v="2068.0"/>
        <n v="2801.0"/>
        <n v="2165.0"/>
        <n v="147478.0"/>
        <n v="1.0059856E7"/>
      </sharedItems>
    </cacheField>
    <cacheField name="Total2024" numFmtId="3">
      <sharedItems containsSemiMixedTypes="0" containsString="0" containsNumber="1" containsInteger="1">
        <n v="296746.0"/>
        <n v="9256.0"/>
        <n v="13649.0"/>
        <n v="7903.0"/>
        <n v="16812.0"/>
        <n v="13694.0"/>
        <n v="12539.0"/>
        <n v="9055.0"/>
        <n v="9155.0"/>
        <n v="9192.0"/>
        <n v="8509.0"/>
        <n v="6942.0"/>
        <n v="3768.0"/>
        <n v="5654.0"/>
        <n v="24546.0"/>
        <n v="7200.0"/>
        <n v="13323.0"/>
        <n v="8480.0"/>
        <n v="14713.0"/>
        <n v="26715.0"/>
        <n v="16484.0"/>
        <n v="14282.0"/>
        <n v="9107.0"/>
        <n v="5375.0"/>
        <n v="14848.0"/>
        <n v="5016.0"/>
        <n v="13282.0"/>
        <n v="2547.0"/>
        <n v="7235.0"/>
        <n v="757431.0"/>
        <n v="21729.0"/>
        <n v="20446.0"/>
        <n v="46188.0"/>
        <n v="885825.0"/>
        <n v="47257.0"/>
        <n v="16953.0"/>
        <n v="7226.0"/>
        <n v="8679.0"/>
        <n v="9287.0"/>
        <n v="5118.0"/>
        <n v="13551.0"/>
        <n v="15570.0"/>
        <n v="12219.0"/>
        <n v="5238.0"/>
        <n v="4221.0"/>
        <n v="6442.0"/>
        <n v="4022.0"/>
        <n v="8037.0"/>
        <n v="14012.0"/>
        <n v="17811.0"/>
        <n v="17336.0"/>
        <n v="5658.0"/>
        <n v="8837.0"/>
        <n v="17830.0"/>
        <n v="9029.0"/>
        <n v="6721.0"/>
        <n v="30083.0"/>
        <n v="16386.0"/>
        <n v="9761.0"/>
        <n v="4224.0"/>
        <n v="3529.0"/>
        <n v="7716.0"/>
        <n v="21843.0"/>
        <n v="13379.0"/>
        <n v="19156.0"/>
        <n v="9060.0"/>
        <n v="113554.0"/>
        <n v="8592.0"/>
        <n v="13648.0"/>
        <n v="7897.0"/>
        <n v="7936.0"/>
        <n v="17016.0"/>
        <n v="7540.0"/>
        <n v="10703.0"/>
        <n v="16497.0"/>
        <n v="12296.0"/>
        <n v="5297.0"/>
        <n v="13598.0"/>
        <n v="18679.0"/>
        <n v="10887.0"/>
        <n v="15565.0"/>
        <n v="23505.0"/>
        <n v="9552.0"/>
        <n v="7877.0"/>
        <n v="18303.0"/>
        <n v="23279.0"/>
        <n v="7615.0"/>
        <n v="27137.0"/>
        <n v="45587.0"/>
        <n v="49850.0"/>
        <n v="38652.0"/>
        <n v="20607.0"/>
        <n v="7900.0"/>
        <n v="33885.0"/>
        <n v="9102.0"/>
        <n v="11258.0"/>
        <n v="15327.0"/>
        <n v="25148.0"/>
        <n v="12490.0"/>
        <n v="5526.0"/>
        <n v="27711.0"/>
        <n v="23530.0"/>
        <n v="12595.0"/>
        <n v="10105.0"/>
        <n v="15763.0"/>
        <n v="6611.0"/>
        <n v="17463.0"/>
        <n v="9164.0"/>
        <n v="7525.0"/>
        <n v="9217.0"/>
        <n v="6649.0"/>
        <n v="2052.0"/>
        <n v="6805.0"/>
        <n v="5351.0"/>
        <n v="59676.0"/>
        <n v="10585.0"/>
        <n v="665505.0"/>
        <n v="23123.0"/>
        <n v="6475.0"/>
        <n v="6700.0"/>
        <n v="21815.0"/>
        <n v="14720.0"/>
        <n v="19608.0"/>
        <n v="11273.0"/>
        <n v="7335.0"/>
        <n v="29375.0"/>
        <n v="4987.0"/>
        <n v="11183.0"/>
        <n v="8409.0"/>
        <n v="10632.0"/>
        <n v="10750.0"/>
        <n v="19427.0"/>
        <n v="7940.0"/>
        <n v="3980.0"/>
        <n v="21155.0"/>
        <n v="7382.0"/>
        <n v="8687.0"/>
        <n v="166741.0"/>
        <n v="55908.0"/>
        <n v="61840.0"/>
        <n v="56064.0"/>
        <n v="66505.0"/>
        <n v="219092.0"/>
        <n v="21846.0"/>
        <n v="93747.0"/>
        <n v="24666.0"/>
        <n v="14821.0"/>
        <n v="11865.0"/>
        <n v="12258.0"/>
        <n v="27521.0"/>
        <n v="64595.0"/>
        <n v="45780.0"/>
        <n v="19896.0"/>
        <n v="5244.0"/>
        <n v="3512.0"/>
        <n v="8056.0"/>
        <n v="35248.0"/>
        <n v="8599.0"/>
        <n v="13054.0"/>
        <n v="1287.0"/>
        <n v="3822.0"/>
        <n v="8282.0"/>
        <n v="18475.0"/>
        <n v="27172.0"/>
        <n v="298350.0"/>
        <n v="22850.0"/>
        <n v="9997.0"/>
        <n v="15764.0"/>
        <n v="35427.0"/>
        <n v="5161.0"/>
        <n v="16101.0"/>
        <n v="2504.0"/>
        <n v="6683.0"/>
        <n v="5803.0"/>
        <n v="4011.0"/>
        <n v="4231.0"/>
        <n v="1517.0"/>
        <n v="875.0"/>
        <n v="3882.0"/>
        <n v="9189.0"/>
        <n v="4251.0"/>
        <n v="3666.0"/>
        <n v="20118.0"/>
        <n v="6120.0"/>
        <n v="15934.0"/>
        <n v="3197.0"/>
        <n v="15504.0"/>
        <n v="1406.0"/>
        <n v="2355.0"/>
        <n v="12202.0"/>
        <n v="5335.0"/>
        <n v="6311.0"/>
        <n v="3061.0"/>
        <n v="6637.0"/>
        <n v="13502.0"/>
        <n v="1262.0"/>
        <n v="1140.0"/>
        <n v="1129.0"/>
        <n v="5996.0"/>
        <n v="218702.0"/>
        <n v="28942.0"/>
        <n v="12253.0"/>
        <n v="3121.0"/>
        <n v="22768.0"/>
        <n v="16021.0"/>
        <n v="41686.0"/>
        <n v="8220.0"/>
        <n v="31904.0"/>
        <n v="9285.0"/>
        <n v="14366.0"/>
        <n v="16363.0"/>
        <n v="16909.0"/>
        <n v="32641.0"/>
        <n v="14532.0"/>
        <n v="21011.0"/>
        <n v="28416.0"/>
        <n v="10714.0"/>
        <n v="29221.0"/>
        <n v="10184.0"/>
        <n v="17205.0"/>
        <n v="8458.0"/>
        <n v="45590.0"/>
        <n v="9610.0"/>
        <n v="12740.0"/>
        <n v="1621.0"/>
        <n v="3150.0"/>
        <n v="1025.0"/>
        <n v="1936.0"/>
        <n v="16389.0"/>
        <n v="12999.0"/>
        <n v="14338.0"/>
        <n v="35318.0"/>
        <n v="7845.0"/>
        <n v="14654.0"/>
        <n v="5819.0"/>
        <n v="4471.0"/>
        <n v="4187.0"/>
        <n v="1546.0"/>
        <n v="49340.0"/>
        <n v="2126.0"/>
        <n v="238749.0"/>
        <n v="17817.0"/>
        <n v="36970.0"/>
        <n v="97634.0"/>
        <n v="15559.0"/>
        <n v="46071.0"/>
        <n v="15923.0"/>
        <n v="4754.0"/>
        <n v="30346.0"/>
        <n v="9523.0"/>
        <n v="20864.0"/>
        <n v="1610982.0"/>
        <n v="106603.0"/>
        <n v="23126.0"/>
        <n v="147726.0"/>
        <n v="55697.0"/>
        <n v="151248.0"/>
        <n v="10665.0"/>
        <n v="67103.0"/>
        <n v="15239.0"/>
        <n v="8842.0"/>
        <n v="13651.0"/>
        <n v="18942.0"/>
        <n v="57794.0"/>
        <n v="10200.0"/>
        <n v="40974.0"/>
        <n v="54495.0"/>
        <n v="18763.0"/>
        <n v="20743.0"/>
        <n v="17999.0"/>
        <n v="6007.0"/>
        <n v="5946.0"/>
        <n v="38420.0"/>
        <n v="32961.0"/>
        <n v="14389.0"/>
        <n v="32285.0"/>
        <n v="5612.0"/>
        <n v="17249.0"/>
        <n v="2359.0"/>
        <n v="2793.0"/>
        <n v="1806.0"/>
        <n v="2015.0"/>
        <n v="11843.0"/>
        <n v="9692.0"/>
        <n v="12735.0"/>
        <n v="3086.0"/>
        <n v="126886.0"/>
        <n v="16598.0"/>
        <n v="23110.0"/>
        <n v="14610.0"/>
        <n v="15246.0"/>
        <n v="30118.0"/>
        <n v="14888.0"/>
        <n v="8541.0"/>
        <n v="44909.0"/>
        <n v="6364.0"/>
        <n v="25258.0"/>
        <n v="15378.0"/>
        <n v="17195.0"/>
        <n v="6048.0"/>
        <n v="17417.0"/>
        <n v="17974.0"/>
        <n v="8816.0"/>
        <n v="34079.0"/>
        <n v="6555.0"/>
        <n v="17290.0"/>
        <n v="128589.0"/>
        <n v="7913.0"/>
        <n v="110302.0"/>
        <n v="42031.0"/>
        <n v="11478.0"/>
        <n v="45798.0"/>
        <n v="11122.0"/>
        <n v="21240.0"/>
        <n v="18088.0"/>
        <n v="8012.0"/>
        <n v="21584.0"/>
        <n v="4269.0"/>
        <n v="6808.0"/>
        <n v="5489.0"/>
        <n v="1091.0"/>
        <n v="12785.0"/>
        <n v="7488.0"/>
        <n v="4630.0"/>
        <n v="3973.0"/>
        <n v="55114.0"/>
        <n v="9353.0"/>
        <n v="2437.0"/>
        <n v="3630.0"/>
        <n v="7367.0"/>
        <n v="3518.0"/>
        <n v="8045.0"/>
        <n v="12431.0"/>
        <n v="9832.0"/>
        <n v="10522.0"/>
        <n v="2889.0"/>
        <n v="2600.0"/>
        <n v="1598.0"/>
        <n v="2511.0"/>
        <n v="2347.0"/>
        <n v="159264.0"/>
        <n v="1.1365333E7"/>
      </sharedItems>
    </cacheField>
    <cacheField name="personas que viven en la calle 2012" numFmtId="3">
      <sharedItems containsString="0" containsBlank="1" containsNumber="1" containsInteger="1">
        <n v="75.0"/>
        <n v="0.0"/>
        <n v="22.0"/>
        <n v="3.0"/>
        <n v="6.0"/>
        <n v="4.0"/>
        <n v="1.0"/>
        <n v="13.0"/>
        <n v="8.0"/>
        <n v="5.0"/>
        <n v="2.0"/>
        <n v="130.0"/>
        <n v="17.0"/>
        <n v="291.0"/>
        <n v="9.0"/>
        <n v="7.0"/>
        <n v="31.0"/>
        <n v="24.0"/>
        <n v="92.0"/>
        <n v="12.0"/>
        <n v="10.0"/>
        <n v="21.0"/>
        <n v="187.0"/>
        <n v="11.0"/>
        <n v="16.0"/>
        <n v="48.0"/>
        <n v="39.0"/>
        <n v="26.0"/>
        <n v="109.0"/>
        <n v="58.0"/>
        <n v="18.0"/>
        <n v="27.0"/>
        <n v="32.0"/>
        <m/>
        <n v="19.0"/>
        <n v="41.0"/>
        <n v="170.0"/>
        <n v="50.0"/>
        <n v="95.0"/>
        <n v="55.0"/>
        <n v="15.0"/>
        <n v="23.0"/>
        <n v="59.0"/>
        <n v="14.0"/>
        <n v="328.0"/>
        <n v="28.0"/>
        <n v="38.0"/>
        <n v="53.0"/>
        <n v="66.0"/>
        <n v="51.0"/>
        <n v="34.0"/>
        <n v="3411.0"/>
      </sharedItems>
    </cacheField>
    <cacheField name="personas que viven en la calle 2024" numFmtId="1">
      <sharedItems containsSemiMixedTypes="0" containsString="0" containsNumber="1" containsInteger="1">
        <n v="168.0"/>
        <n v="11.0"/>
        <n v="1.0"/>
        <n v="0.0"/>
        <n v="2.0"/>
        <n v="3.0"/>
        <n v="15.0"/>
        <n v="7.0"/>
        <n v="9.0"/>
        <n v="13.0"/>
        <n v="6.0"/>
        <n v="14.0"/>
        <n v="24.0"/>
        <n v="4.0"/>
        <n v="142.0"/>
        <n v="5.0"/>
        <n v="74.0"/>
        <n v="247.0"/>
        <n v="78.0"/>
        <n v="38.0"/>
        <n v="25.0"/>
        <n v="8.0"/>
        <n v="10.0"/>
        <n v="30.0"/>
        <n v="27.0"/>
        <n v="140.0"/>
        <n v="21.0"/>
        <n v="39.0"/>
        <n v="156.0"/>
        <n v="73.0"/>
        <n v="62.0"/>
        <n v="20.0"/>
        <n v="17.0"/>
        <n v="36.0"/>
        <n v="46.0"/>
        <n v="12.0"/>
        <n v="16.0"/>
        <n v="23.0"/>
        <n v="350.0"/>
        <n v="51.0"/>
        <n v="18.0"/>
        <n v="120.0"/>
        <n v="81.0"/>
        <n v="40.0"/>
        <n v="34.0"/>
        <n v="148.0"/>
        <n v="94.0"/>
        <n v="130.0"/>
        <n v="125.0"/>
        <n v="26.0"/>
        <n v="19.0"/>
        <n v="50.0"/>
        <n v="82.0"/>
        <n v="63.0"/>
        <n v="614.0"/>
        <n v="31.0"/>
        <n v="35.0"/>
        <n v="28.0"/>
        <n v="32.0"/>
        <n v="92.0"/>
        <n v="55.0"/>
        <n v="5576.0"/>
      </sharedItems>
    </cacheField>
    <cacheField name="# de personas que viven en la calle por cada 100.000 personas (2012)" numFmtId="1">
      <sharedItems containsSemiMixedTypes="0" containsString="0" containsNumber="1">
        <n v="28.713519473508907"/>
        <n v="0.0"/>
        <n v="126.6041318984865"/>
        <n v="28.16372512204281"/>
        <n v="42.07278591964098"/>
        <n v="35.205069530012324"/>
        <n v="24.222850222042794"/>
        <n v="47.09206498704968"/>
        <n v="13.676148796498905"/>
        <n v="20.39983680130559"/>
        <n v="53.491338517878454"/>
        <n v="95.81985866570847"/>
        <n v="17.705382436260624"/>
        <n v="49.45109286915241"/>
        <n v="25.568908207619536"/>
        <n v="24.600246002460025"/>
        <n v="6.191950464396285"/>
        <n v="71.678165038975"/>
        <n v="20.5761316872428"/>
        <n v="16.960916828882613"/>
        <n v="12.03224642040669"/>
        <n v="31.082929255253013"/>
        <n v="76.6490824653952"/>
        <n v="34.2977563845686"/>
        <n v="8.684701897607365"/>
        <n v="68.51400730816079"/>
        <n v="19.98800719568259"/>
        <n v="11.6795141322121"/>
        <n v="9.392317084624777"/>
        <n v="6.808742425274052"/>
        <n v="30.367446097783176"/>
        <n v="180.41237113402062"/>
        <n v="161.55088852988692"/>
        <n v="13.719303059404583"/>
        <n v="35.4295837023915"/>
        <n v="12.767315671879988"/>
        <n v="54.83583521831517"/>
        <n v="13.915947676036739"/>
        <n v="8.716116098666435"/>
        <n v="11.890606420927467"/>
        <n v="36.39672429481347"/>
        <n v="4.253147329023477"/>
        <n v="24.443901246638962"/>
        <n v="633.3830104321908"/>
        <n v="53.60493165371214"/>
        <n v="50.0751126690035"/>
        <n v="32.08899347523799"/>
        <n v="14.77250344691747"/>
        <n v="38.40245775729647"/>
        <n v="13.298756566261055"/>
        <n v="30.289262456459184"/>
        <n v="192.24607497596924"/>
        <n v="13.67053998632946"/>
        <n v="38.61003861003861"/>
        <n v="61.646851607221485"/>
        <n v="13.589726167017735"/>
        <n v="84.68424872973627"/>
        <n v="9.562057754828839"/>
        <n v="5.096839959225281"/>
        <n v="72.8862973760933"/>
        <n v="39.27509397968917"/>
        <n v="532.5306783977773"/>
        <n v="15.576323987538942"/>
        <n v="8.087016295337834"/>
        <n v="29.8670914430783"/>
        <n v="7.026172492534692"/>
        <n v="68.86261907494548"/>
        <n v="12.25940909648155"/>
        <n v="22.355646397547265"/>
        <n v="25.647601949217748"/>
        <n v="80.5607024893257"/>
        <n v="17.49934377460845"/>
        <n v="99.16699722332407"/>
        <n v="5.155436407691911"/>
        <n v="41.34672179562906"/>
        <n v="68.87842957180577"/>
        <n v="76.78722260615834"/>
        <n v="213.08980213089802"/>
        <n v="6.697475051905432"/>
        <n v="127.77511579619869"/>
        <n v="41.72461752433936"/>
        <n v="29.587998981033618"/>
        <n v="47.27725963811407"/>
        <n v="53.1632110579479"/>
        <n v="38.0420999239158"/>
        <n v="125.02930374306479"/>
        <n v="71.91856605443682"/>
        <n v="12.132977432661976"/>
        <n v="55.61735261401557"/>
        <n v="275.1504729148753"/>
        <n v="22.904260192395785"/>
        <n v="31.565656565656564"/>
        <n v="11.185682326621924"/>
        <n v="28.3098990280268"/>
        <n v="9.753242953281966"/>
        <n v="168.5307185537"/>
        <n v="41.097767021325176"/>
        <n v="28.340654669122856"/>
        <n v="28.429385779475442"/>
        <n v="62.54360010584301"/>
        <n v="14.841199168892846"/>
        <n v="13.469827586206897"/>
        <n v="11.54068090017311"/>
        <n v="63.2008627787506"/>
        <n v="31.1122634171636"/>
        <n v="81.2484240607402"/>
        <n v="73.09644670050761"/>
        <n v="20.456870098874873"/>
        <n v="9.846396218983852"/>
        <n v="18.6046511627907"/>
        <n v="46.006624953993374"/>
        <n v="57.90636326591889"/>
        <n v="101.42630744849446"/>
        <n v="3.717472118959108"/>
        <n v="146.54698662758747"/>
        <n v="3.461764807698965"/>
        <n v="24.585125998770742"/>
        <n v="36.127167630057805"/>
        <n v="18.840374923460978"/>
        <n v="91.16645074612542"/>
        <n v="15.475026703857056"/>
        <n v="10.599208592425098"/>
        <n v="148.1115773882992"/>
        <n v="43.37924303220909"/>
        <n v="65.90220113351786"/>
        <n v="8.104712890545853"/>
        <n v="151.5406634113487"/>
        <n v="18.07991321641656"/>
        <n v="88.8647269761947"/>
        <n v="11.137097672346586"/>
        <n v="43.400086800173604"/>
        <n v="121.64266251459712"/>
        <n v="1184.6863698715551"/>
        <n v="162.13666647013738"/>
        <n v="40.36326942482341"/>
        <n v="50.69708491761724"/>
        <n v="22.72791840677292"/>
        <n v="4.810236182596565"/>
        <n v="11.393847322445879"/>
        <n v="23.324003731840598"/>
        <n v="9.19963201471941"/>
        <n v="47.16832803999874"/>
        <n v="140.89798985534472"/>
        <n v="20.39671612870328"/>
        <n v="11.488970588235293"/>
        <n v="11.157227652073013"/>
        <n v="92.32899899976918"/>
        <n v="29.664787896766537"/>
        <n v="50.189350732308256"/>
        <n v="82.87063893262616"/>
        <n v="63.243106501391345"/>
        <n v="3.3701806416823943"/>
        <n v="13.52356481168436"/>
        <n v="51.218100031176235"/>
        <n v="28.72793670115642"/>
        <n v="26.083176351253442"/>
        <n v="9.756626375413301"/>
        <n v="91.11024339450735"/>
        <n v="27.591742543958663"/>
        <n v="54.12353697314119"/>
        <n v="20.95293969743955"/>
        <n v="8.807468733485996"/>
        <n v="27.28388886362603"/>
        <n v="22.550100066069042"/>
        <n v="46.13458116390957"/>
        <n v="8.960172035303078"/>
        <n v="16.11214049786514"/>
        <n v="17.633757235026867"/>
        <n v="88.12690273994552"/>
        <n v="24.827164737786944"/>
        <n v="81.44648965629581"/>
        <n v="23.293733985557886"/>
        <n v="15.823410736184185"/>
        <n v="141.44271570014143"/>
        <n v="13.830302192102897"/>
        <n v="7.922674694977024"/>
        <n v="6.393453104021482"/>
        <n v="10.407451735442576"/>
        <n v="37.27171077152441"/>
        <n v="86.9943453675511"/>
        <n v="138.55898653998418"/>
        <n v="48.887802493277924"/>
        <n v="26.59731662627815"/>
        <n v="39.315903282877926"/>
        <n v="17.433751743375176"/>
        <n v="36.14022406938923"/>
        <n v="19.098548510313215"/>
        <n v="21.743857360295717"/>
        <n v="29.478235236317186"/>
        <n v="43.82841176792856"/>
        <n v="4.3008902842888475"/>
        <n v="145.53152080439241"/>
        <n v="88.10572687224669"/>
        <n v="40.053404539385845"/>
        <n v="80.14172431246837"/>
        <n v="39.395929087327644"/>
        <n v="37.690809724228906"/>
        <n v="284.1677943166441"/>
        <n v="110.94861062080791"/>
        <n v="84.03865778257999"/>
        <n v="70.18840044329517"/>
        <n v="56.318197817669834"/>
        <n v="49.72043979136178"/>
        <n v="13.479813978567096"/>
        <n v="135.89008002415824"/>
        <n v="2.447141738449491"/>
        <n v="114.61318051575931"/>
        <n v="527.8733104055027"/>
        <n v="17.579326711786937"/>
        <n v="33.52891869237217"/>
        <n v="15.129573994423671"/>
        <n v="625.0"/>
        <n v="83.50730688935282"/>
        <n v="362.7569528415961"/>
        <n v="290.1353965183752"/>
        <n v="23.054286063006007"/>
        <n v="33.9070459855489"/>
      </sharedItems>
    </cacheField>
    <cacheField name="# de personas que viven en la calle por cada 100.000 personas (2024)" numFmtId="1">
      <sharedItems containsSemiMixedTypes="0" containsString="0" containsNumber="1">
        <n v="56.614073989202886"/>
        <n v="118.8418323249784"/>
        <n v="7.326544069162576"/>
        <n v="12.653422750854107"/>
        <n v="0.0"/>
        <n v="22.087244616234123"/>
        <n v="32.76897870016384"/>
        <n v="163.18537859007833"/>
        <n v="28.51788478774546"/>
        <n v="15.011634016362681"/>
        <n v="23.58490566037736"/>
        <n v="61.17039352953171"/>
        <n v="48.661800486618006"/>
        <n v="36.39893229798592"/>
        <n v="98.02548662652289"/>
        <n v="21.961128802020426"/>
        <n v="180.69567836169253"/>
        <n v="39.2618767177071"/>
        <n v="55.286800276434"/>
        <n v="18.747582288023594"/>
        <n v="32.21501219568319"/>
        <n v="24.45466105839773"/>
        <n v="160.21477440027712"/>
        <n v="27.8836113227782"/>
        <n v="165.05491249973548"/>
        <n v="224.1491181501799"/>
        <n v="179.90589537780238"/>
        <n v="288.05161885009795"/>
        <n v="86.14191881124152"/>
        <n v="195.38882375928097"/>
        <n v="36.897645930189654"/>
        <n v="38.53564547206166"/>
        <n v="81.83975775431705"/>
        <n v="23.69106846718787"/>
        <n v="77.6156473144986"/>
        <n v="74.58975634012928"/>
        <n v="42.82043962318013"/>
        <n v="50.53057099545225"/>
        <n v="23.073373327180434"/>
        <n v="90.52845988457621"/>
        <n v="50.476724621424566"/>
        <n v="44.636214848980806"/>
        <n v="99.72409666589104"/>
        <n v="42.71939460515074"/>
        <n v="51.224259809445755"/>
        <n v="25.92016588906169"/>
        <n v="123.60939431396787"/>
        <n v="7.474400179385604"/>
        <n v="46.98266861557737"/>
        <n v="88.30022075055187"/>
        <n v="123.28936012822093"/>
        <n v="244.41340782122904"/>
        <n v="65.94372801875733"/>
        <n v="25.326073192351526"/>
        <n v="29.384109073812883"/>
        <n v="517.2413793103449"/>
        <n v="93.4317481080071"/>
        <n v="36.37024913620658"/>
        <n v="32.53090435914118"/>
        <n v="132.15027373985274"/>
        <n v="14.708045300779526"/>
        <n v="16.06081696022271"/>
        <n v="220.44640396803527"/>
        <n v="96.37006103437199"/>
        <n v="8.508827908955542"/>
        <n v="41.87604690117253"/>
        <n v="32.78151122766759"/>
        <n v="17.182868679926113"/>
        <n v="65.65988181221273"/>
        <n v="40.53506282934739"/>
        <n v="342.20282097966526"/>
        <n v="146.43931795386158"/>
        <n v="160.40567111663046"/>
        <n v="121.31799873829281"/>
        <n v="37.9746835443038"/>
        <n v="59.023166592887705"/>
        <n v="54.93298176225006"/>
        <n v="53.295434357790015"/>
        <n v="97.86651008025053"/>
        <n v="67.59980912995069"/>
        <n v="24.01921537229784"/>
        <n v="144.77017734346725"/>
        <n v="129.91230919129586"/>
        <n v="72.24819379515512"/>
        <n v="365.2242953552997"/>
        <n v="118.75309252845126"/>
        <n v="19.031910169384002"/>
        <n v="68.7167153410067"/>
        <n v="10.912265386294195"/>
        <n v="212.62458471760797"/>
        <n v="15.039855617386072"/>
        <n v="97.46588693957115"/>
        <n v="38.54145720222535"/>
        <n v="47.23665564478035"/>
        <n v="52.59164093432807"/>
        <n v="38.92228517060935"/>
        <n v="14.925373134328359"/>
        <n v="45.84001833600733"/>
        <n v="47.55434782608695"/>
        <n v="15.299877600979192"/>
        <n v="97.57828439634525"/>
        <n v="190.86571233810497"/>
        <n v="173.61702127659575"/>
        <n v="80.20854220974533"/>
        <n v="8.942144326209425"/>
        <n v="59.46010227137591"/>
        <n v="47.027840481565086"/>
        <n v="9.30232558139535"/>
        <n v="25.73737581716168"/>
        <n v="264.4836272040302"/>
        <n v="351.75879396984925"/>
        <n v="42.54313401087214"/>
        <n v="13.546464372798699"/>
        <n v="207.2061701392886"/>
        <n v="23.389568252559357"/>
        <n v="10.73191672032625"/>
        <n v="7.134703196347032"/>
        <n v="4.510939027140816"/>
        <n v="54.771511511146"/>
        <n v="41.197473221642404"/>
        <n v="86.40276488847643"/>
        <n v="162.1665450417579"/>
        <n v="75.85335018963337"/>
        <n v="40.78968836678088"/>
        <n v="123.54202245557937"/>
        <n v="229.11990092112393"/>
        <n v="205.3298383573613"/>
        <n v="150.78407720144753"/>
        <n v="190.69412662090008"/>
        <n v="341.6856492027335"/>
        <n v="173.78351539225423"/>
        <n v="22.696323195642307"/>
        <n v="104.66333294569137"/>
        <n v="30.64194882794546"/>
        <n v="77.7000777000777"/>
        <n v="12.07437816952427"/>
        <n v="32.47631935047362"/>
        <n v="139.8498454291182"/>
        <n v="43.57298474945534"/>
        <n v="35.010940919037196"/>
        <n v="38.06140573458513"/>
        <n v="28.227058458238066"/>
        <n v="212.71567005436066"/>
        <n v="21.76515398846447"/>
        <n v="423.42978122794636"/>
        <n v="81.83306055646482"/>
        <n v="50.20710430525919"/>
        <n v="90.14915587608589"/>
        <n v="37.488284910965326"/>
        <n v="228.68343678536425"/>
        <n v="51.844171233891274"/>
        <n v="57.15539867033681"/>
        <n v="27.641489876304334"/>
        <n v="48.96759977148454"/>
        <n v="92.23471539002108"/>
        <n v="49.93446101991137"/>
        <n v="28.78664299764909"/>
        <n v="72.99270072992701"/>
        <n v="62.688064192577734"/>
        <n v="161.55088852988692"/>
        <n v="97.45231797299179"/>
        <n v="42.779441422721995"/>
        <n v="118.2802058075581"/>
        <n v="79.65442235225636"/>
        <n v="48.16955684007707"/>
        <n v="14.278235210128027"/>
        <n v="56.306306306306304"/>
        <n v="177.3380623483293"/>
        <n v="88.97710550631395"/>
        <n v="39.27729772191673"/>
        <n v="5.812263876780006"/>
        <n v="23.646252069047055"/>
        <n v="109.67317394165387"/>
        <n v="145.68158168574402"/>
        <n v="70.6436420722135"/>
        <n v="63.492063492063494"/>
        <n v="682.9268292682926"/>
        <n v="146.4396851546769"/>
        <n v="107.70059235325795"/>
        <n v="13.948946854512485"/>
        <n v="232.17622741944618"/>
        <n v="101.97578075207139"/>
        <n v="13.648150675583459"/>
        <n v="85.92541673827118"/>
        <n v="27.277686852154936"/>
        <n v="156.56452695146498"/>
        <n v="64.68305304010349"/>
        <n v="34.45480340494528"/>
        <n v="26.387545078722844"/>
        <n v="28.063085816916427"/>
        <n v="21.639166892074655"/>
        <n v="15.363500419935677"/>
        <n v="19.281444822932066"/>
        <n v="13.023376961646155"/>
        <n v="18.840670727877914"/>
        <n v="26.36261780794833"/>
        <n v="21.0017851517379"/>
        <n v="43.13650306748466"/>
        <n v="38.1133991565393"/>
        <n v="15.94701837659353"/>
        <n v="17.296549338406987"/>
        <n v="20.30786726777954"/>
        <n v="23.340574896313985"/>
        <n v="20.49613879191791"/>
        <n v="9.376465072667605"/>
        <n v="22.353695065794376"/>
        <n v="98.43165562044753"/>
        <n v="56.5482922415743"/>
        <n v="7.325470661490001"/>
        <n v="47.513462147608486"/>
        <n v="20.763401045091186"/>
        <n v="21.965148630839067"/>
        <n v="64.22607578676943"/>
        <n v="21.31855247028727"/>
        <n v="9.641806874608301"/>
        <n v="55.558642146785935"/>
        <n v="16.6472448809722"/>
        <n v="16.818028927009756"/>
        <n v="36.43935450286309"/>
        <n v="6.067777069870453"/>
        <n v="30.974136595942387"/>
        <n v="106.91375623663578"/>
        <n v="11.594875065221173"/>
        <n v="35.80379520229144"/>
        <n v="33.77522587182302"/>
        <n v="20.635575732562938"/>
        <n v="94.22850412249706"/>
        <n v="22.067052314676165"/>
        <n v="18.074466803229306"/>
        <n v="38.944180008654264"/>
        <n v="6.559097468188377"/>
        <n v="16.601367952719304"/>
        <n v="73.8850080601827"/>
        <n v="11.708230886313078"/>
        <n v="71.25520497005054"/>
        <n v="267.12759270898806"/>
        <n v="11.87742497426558"/>
        <n v="52.340796743239316"/>
        <n v="66.13756613756614"/>
        <n v="11.483033817534592"/>
        <n v="133.5262045176366"/>
        <n v="22.686025408348456"/>
        <n v="55.75280964817043"/>
        <n v="61.02212051868803"/>
        <n v="11.56737998843262"/>
        <n v="71.54577763261243"/>
        <n v="34.45087124440173"/>
        <n v="59.47990768718327"/>
        <n v="69.69855375500958"/>
        <n v="120.0925804620289"/>
        <n v="26.973565905412695"/>
        <n v="18.832391713747647"/>
        <n v="38.69969040247678"/>
        <n v="74.88766849725413"/>
        <n v="96.33911368015414"/>
        <n v="54.65476407360175"/>
        <n v="183.3180568285976"/>
        <n v="23.464998044583496"/>
        <n v="26.70940170940171"/>
        <n v="1.8144210182530753"/>
        <n v="82.06811653672548"/>
        <n v="13.574046423238768"/>
        <n v="994.8834565093804"/>
        <n v="12.430080795525171"/>
        <n v="101.70870626525631"/>
        <n v="28.511689792815055"/>
        <n v="153.84615384615384"/>
        <n v="39.8247710075667"/>
        <n v="15.06931886678722"/>
        <n v="49.06147492554771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tos procesados" cacheId="0" dataCaption="" compact="0" compactData="0">
  <location ref="K2:O14" firstHeaderRow="0" firstDataRow="2" firstDataCol="0"/>
  <pivotFields>
    <pivotField name="i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t="default"/>
      </items>
    </pivotField>
    <pivotField name="DEPARTAMENTO" axis="axisRow" compact="0" outline="0" multipleItemSelectionAllowed="1" showAll="0" sortType="ascending">
      <items>
        <item x="7"/>
        <item x="10"/>
        <item x="0"/>
        <item x="2"/>
        <item x="9"/>
        <item x="1"/>
        <item x="3"/>
        <item x="8"/>
        <item x="4"/>
        <item x="6"/>
        <item x="5"/>
        <item t="default"/>
      </items>
    </pivotField>
    <pivotField name="MUNICIPI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t="default"/>
      </items>
    </pivotField>
    <pivotField name="Total2012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t="default"/>
      </items>
    </pivotField>
    <pivotField name="Total2024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t="default"/>
      </items>
    </pivotField>
    <pivotField name="personas que viven en la calle 2012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personas que viven en la calle 2024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# de personas que viven en la calle por cada 100.000 personas (2012)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name="# de personas que viven en la calle por cada 100.000 personas (2024)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</pivotFields>
  <rowFields>
    <field x="1"/>
  </rowFields>
  <colFields>
    <field x="-2"/>
  </colFields>
  <dataFields>
    <dataField name="SUM of Total2012" fld="3" baseField="0"/>
    <dataField name="SUM of Total2024" fld="4" baseField="0"/>
    <dataField name="SUM of personas que viven en la calle 2012" fld="5" baseField="0"/>
    <dataField name="SUM of personas que viven en la calle 2024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0" max="20" width="8.0"/>
  </cols>
  <sheetData>
    <row r="1">
      <c r="A1" s="1"/>
      <c r="B1" s="2"/>
      <c r="C1" s="2"/>
      <c r="D1" s="2"/>
      <c r="E1" s="1"/>
      <c r="F1" s="2"/>
      <c r="G1" s="2"/>
      <c r="H1" s="3"/>
      <c r="I1" s="2"/>
      <c r="J1" s="2"/>
      <c r="K1" s="2"/>
      <c r="L1" s="2"/>
      <c r="Q1" s="4"/>
    </row>
    <row r="2">
      <c r="A2" s="5" t="s">
        <v>0</v>
      </c>
      <c r="B2" s="6" t="s">
        <v>1</v>
      </c>
      <c r="D2" s="7"/>
      <c r="E2" s="7"/>
      <c r="F2" s="2"/>
      <c r="G2" s="7"/>
      <c r="H2" s="3"/>
      <c r="I2" s="7"/>
      <c r="J2" s="7"/>
      <c r="K2" s="7"/>
      <c r="L2" s="7"/>
      <c r="Q2" s="4"/>
    </row>
    <row r="3">
      <c r="A3" s="2"/>
      <c r="B3" s="6" t="s">
        <v>2</v>
      </c>
      <c r="K3" s="3"/>
      <c r="L3" s="3"/>
      <c r="N3" s="8" t="s">
        <v>3</v>
      </c>
    </row>
    <row r="4">
      <c r="A4" s="2"/>
      <c r="B4" s="9" t="s">
        <v>4</v>
      </c>
      <c r="E4" s="7"/>
      <c r="F4" s="2"/>
      <c r="G4" s="7"/>
      <c r="H4" s="3"/>
      <c r="I4" s="7"/>
      <c r="J4" s="7"/>
      <c r="K4" s="7"/>
      <c r="L4" s="7"/>
      <c r="Q4" s="4"/>
    </row>
    <row r="5">
      <c r="A5" s="2"/>
      <c r="B5" s="10" t="s">
        <v>5</v>
      </c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H5" s="11" t="s">
        <v>11</v>
      </c>
      <c r="I5" s="12"/>
      <c r="J5" s="13"/>
      <c r="K5" s="11" t="s">
        <v>12</v>
      </c>
      <c r="L5" s="13"/>
      <c r="N5" s="14" t="s">
        <v>13</v>
      </c>
      <c r="O5" s="15" t="s">
        <v>14</v>
      </c>
      <c r="P5" s="15" t="s">
        <v>15</v>
      </c>
      <c r="Q5" s="4" t="s">
        <v>16</v>
      </c>
    </row>
    <row r="6">
      <c r="A6" s="2"/>
      <c r="B6" s="16"/>
      <c r="C6" s="16"/>
      <c r="D6" s="16"/>
      <c r="E6" s="16"/>
      <c r="F6" s="16"/>
      <c r="G6" s="16"/>
      <c r="H6" s="10" t="s">
        <v>17</v>
      </c>
      <c r="I6" s="10" t="s">
        <v>18</v>
      </c>
      <c r="J6" s="10" t="s">
        <v>19</v>
      </c>
      <c r="K6" s="10" t="s">
        <v>18</v>
      </c>
      <c r="L6" s="10" t="s">
        <v>19</v>
      </c>
      <c r="N6" s="17">
        <v>10101.0</v>
      </c>
      <c r="O6" s="18">
        <v>261201.0</v>
      </c>
      <c r="P6" s="18">
        <v>75.0</v>
      </c>
      <c r="Q6" s="4">
        <f t="shared" ref="Q6:Q344" si="1">100000*P6/O6</f>
        <v>28.71351947</v>
      </c>
    </row>
    <row r="7">
      <c r="A7" s="2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N7" s="17">
        <v>10102.0</v>
      </c>
      <c r="O7" s="18">
        <v>9461.0</v>
      </c>
      <c r="P7" s="18">
        <v>0.0</v>
      </c>
      <c r="Q7" s="4">
        <f t="shared" si="1"/>
        <v>0</v>
      </c>
    </row>
    <row r="8">
      <c r="A8" s="2"/>
      <c r="B8" s="20"/>
      <c r="C8" s="21"/>
      <c r="D8" s="22"/>
      <c r="E8" s="21"/>
      <c r="F8" s="21"/>
      <c r="G8" s="23"/>
      <c r="H8" s="23"/>
      <c r="I8" s="23"/>
      <c r="J8" s="23"/>
      <c r="K8" s="23"/>
      <c r="L8" s="23"/>
      <c r="N8" s="17">
        <v>10103.0</v>
      </c>
      <c r="O8" s="18">
        <v>17377.0</v>
      </c>
      <c r="P8" s="18">
        <v>22.0</v>
      </c>
      <c r="Q8" s="4">
        <f t="shared" si="1"/>
        <v>126.6041319</v>
      </c>
    </row>
    <row r="9">
      <c r="A9" s="2"/>
      <c r="B9" s="24">
        <v>1.0</v>
      </c>
      <c r="C9" s="25" t="s">
        <v>20</v>
      </c>
      <c r="D9" s="26"/>
      <c r="E9" s="26"/>
      <c r="F9" s="26"/>
      <c r="G9" s="25" t="s">
        <v>21</v>
      </c>
      <c r="H9" s="27">
        <v>23402.0</v>
      </c>
      <c r="I9" s="27">
        <v>5576.0</v>
      </c>
      <c r="J9" s="27">
        <v>17826.0</v>
      </c>
      <c r="K9" s="28">
        <v>23.8</v>
      </c>
      <c r="L9" s="28">
        <v>76.2</v>
      </c>
      <c r="N9" s="17">
        <v>10201.0</v>
      </c>
      <c r="O9" s="18">
        <v>10652.0</v>
      </c>
      <c r="P9" s="18">
        <v>3.0</v>
      </c>
      <c r="Q9" s="4">
        <f t="shared" si="1"/>
        <v>28.16372512</v>
      </c>
      <c r="S9" s="8" t="s">
        <v>22</v>
      </c>
      <c r="T9" s="4">
        <f>MAX(Q:Q)</f>
        <v>1184.68637</v>
      </c>
    </row>
    <row r="10">
      <c r="A10" s="2"/>
      <c r="B10" s="29">
        <v>2.0</v>
      </c>
      <c r="C10" s="30" t="s">
        <v>20</v>
      </c>
      <c r="D10" s="31"/>
      <c r="E10" s="31"/>
      <c r="F10" s="31"/>
      <c r="G10" s="30" t="s">
        <v>23</v>
      </c>
      <c r="H10" s="32">
        <v>13211.0</v>
      </c>
      <c r="I10" s="32">
        <v>3209.0</v>
      </c>
      <c r="J10" s="32">
        <v>10002.0</v>
      </c>
      <c r="K10" s="33">
        <v>24.3</v>
      </c>
      <c r="L10" s="33">
        <v>75.7</v>
      </c>
      <c r="N10" s="17">
        <v>10202.0</v>
      </c>
      <c r="O10" s="18">
        <v>14261.0</v>
      </c>
      <c r="P10" s="18">
        <v>6.0</v>
      </c>
      <c r="Q10" s="4">
        <f t="shared" si="1"/>
        <v>42.07278592</v>
      </c>
      <c r="S10" s="8" t="s">
        <v>24</v>
      </c>
      <c r="T10" s="4">
        <f>MIN(Q:Q)</f>
        <v>0</v>
      </c>
    </row>
    <row r="11">
      <c r="A11" s="2"/>
      <c r="B11" s="29">
        <v>3.0</v>
      </c>
      <c r="C11" s="30" t="s">
        <v>20</v>
      </c>
      <c r="D11" s="31"/>
      <c r="E11" s="31"/>
      <c r="F11" s="31"/>
      <c r="G11" s="30" t="s">
        <v>25</v>
      </c>
      <c r="H11" s="32">
        <v>10191.0</v>
      </c>
      <c r="I11" s="32">
        <v>2367.0</v>
      </c>
      <c r="J11" s="32">
        <v>7824.0</v>
      </c>
      <c r="K11" s="33">
        <v>23.2</v>
      </c>
      <c r="L11" s="33">
        <v>76.8</v>
      </c>
      <c r="N11" s="17">
        <v>10301.0</v>
      </c>
      <c r="O11" s="18">
        <v>11362.0</v>
      </c>
      <c r="P11" s="18">
        <v>4.0</v>
      </c>
      <c r="Q11" s="4">
        <f t="shared" si="1"/>
        <v>35.20506953</v>
      </c>
    </row>
    <row r="12">
      <c r="A12" s="2"/>
      <c r="B12" s="24">
        <v>4.0</v>
      </c>
      <c r="C12" s="25" t="s">
        <v>26</v>
      </c>
      <c r="D12" s="25" t="s">
        <v>27</v>
      </c>
      <c r="E12" s="26"/>
      <c r="F12" s="26"/>
      <c r="G12" s="25" t="s">
        <v>27</v>
      </c>
      <c r="H12" s="27">
        <v>1009.0</v>
      </c>
      <c r="I12" s="28">
        <v>285.0</v>
      </c>
      <c r="J12" s="28">
        <v>724.0</v>
      </c>
      <c r="K12" s="28">
        <v>28.2</v>
      </c>
      <c r="L12" s="28">
        <v>71.8</v>
      </c>
      <c r="N12" s="17">
        <v>10302.0</v>
      </c>
      <c r="O12" s="18">
        <v>12385.0</v>
      </c>
      <c r="P12" s="18">
        <v>3.0</v>
      </c>
      <c r="Q12" s="4">
        <f t="shared" si="1"/>
        <v>24.22285022</v>
      </c>
      <c r="S12" s="8" t="s">
        <v>28</v>
      </c>
      <c r="T12" s="4">
        <f>AVERAGE(Q:Q)</f>
        <v>41.45195023</v>
      </c>
    </row>
    <row r="13">
      <c r="A13" s="2"/>
      <c r="B13" s="29">
        <v>5.0</v>
      </c>
      <c r="C13" s="30" t="s">
        <v>26</v>
      </c>
      <c r="D13" s="30" t="s">
        <v>27</v>
      </c>
      <c r="E13" s="31"/>
      <c r="F13" s="31"/>
      <c r="G13" s="30" t="s">
        <v>23</v>
      </c>
      <c r="H13" s="33">
        <v>395.0</v>
      </c>
      <c r="I13" s="33">
        <v>135.0</v>
      </c>
      <c r="J13" s="33">
        <v>260.0</v>
      </c>
      <c r="K13" s="33">
        <v>34.2</v>
      </c>
      <c r="L13" s="33">
        <v>65.8</v>
      </c>
      <c r="N13" s="17">
        <v>10303.0</v>
      </c>
      <c r="O13" s="18">
        <v>8068.0</v>
      </c>
      <c r="P13" s="18">
        <v>0.0</v>
      </c>
      <c r="Q13" s="4">
        <f t="shared" si="1"/>
        <v>0</v>
      </c>
      <c r="S13" s="8" t="s">
        <v>29</v>
      </c>
      <c r="T13" s="4">
        <f>STDEV(Q:Q)</f>
        <v>99.32256564</v>
      </c>
    </row>
    <row r="14">
      <c r="A14" s="2"/>
      <c r="B14" s="29">
        <v>6.0</v>
      </c>
      <c r="C14" s="30" t="s">
        <v>26</v>
      </c>
      <c r="D14" s="30" t="s">
        <v>27</v>
      </c>
      <c r="E14" s="31"/>
      <c r="F14" s="31"/>
      <c r="G14" s="30" t="s">
        <v>25</v>
      </c>
      <c r="H14" s="33">
        <v>614.0</v>
      </c>
      <c r="I14" s="33">
        <v>150.0</v>
      </c>
      <c r="J14" s="33">
        <v>464.0</v>
      </c>
      <c r="K14" s="33">
        <v>24.4</v>
      </c>
      <c r="L14" s="33">
        <v>75.6</v>
      </c>
      <c r="N14" s="17">
        <v>10304.0</v>
      </c>
      <c r="O14" s="18">
        <v>7774.0</v>
      </c>
      <c r="P14" s="18">
        <v>0.0</v>
      </c>
      <c r="Q14" s="4">
        <f t="shared" si="1"/>
        <v>0</v>
      </c>
    </row>
    <row r="15">
      <c r="A15" s="2"/>
      <c r="B15" s="34">
        <v>7.0</v>
      </c>
      <c r="C15" s="35" t="s">
        <v>30</v>
      </c>
      <c r="D15" s="35" t="s">
        <v>27</v>
      </c>
      <c r="E15" s="35" t="s">
        <v>31</v>
      </c>
      <c r="F15" s="36"/>
      <c r="G15" s="35" t="s">
        <v>31</v>
      </c>
      <c r="H15" s="37">
        <v>499.0</v>
      </c>
      <c r="I15" s="37">
        <v>180.0</v>
      </c>
      <c r="J15" s="37">
        <v>319.0</v>
      </c>
      <c r="K15" s="37">
        <v>36.1</v>
      </c>
      <c r="L15" s="37">
        <v>63.9</v>
      </c>
      <c r="N15" s="17">
        <v>10401.0</v>
      </c>
      <c r="O15" s="18">
        <v>10383.0</v>
      </c>
      <c r="P15" s="18">
        <v>0.0</v>
      </c>
      <c r="Q15" s="4">
        <f t="shared" si="1"/>
        <v>0</v>
      </c>
      <c r="T15" s="4">
        <f>T12-T13</f>
        <v>-57.87061541</v>
      </c>
    </row>
    <row r="16">
      <c r="A16" s="2"/>
      <c r="B16" s="38">
        <v>8.0</v>
      </c>
      <c r="C16" s="39" t="s">
        <v>30</v>
      </c>
      <c r="D16" s="39" t="s">
        <v>27</v>
      </c>
      <c r="E16" s="39" t="s">
        <v>31</v>
      </c>
      <c r="F16" s="40"/>
      <c r="G16" s="41" t="s">
        <v>23</v>
      </c>
      <c r="H16" s="42">
        <v>237.0</v>
      </c>
      <c r="I16" s="42">
        <v>98.0</v>
      </c>
      <c r="J16" s="42">
        <v>139.0</v>
      </c>
      <c r="K16" s="42">
        <v>41.4</v>
      </c>
      <c r="L16" s="42">
        <v>58.6</v>
      </c>
      <c r="N16" s="17">
        <v>10402.0</v>
      </c>
      <c r="O16" s="18">
        <v>8494.0</v>
      </c>
      <c r="P16" s="18">
        <v>4.0</v>
      </c>
      <c r="Q16" s="4">
        <f t="shared" si="1"/>
        <v>47.09206499</v>
      </c>
      <c r="T16" s="4">
        <f>T12</f>
        <v>41.45195023</v>
      </c>
    </row>
    <row r="17">
      <c r="A17" s="2"/>
      <c r="B17" s="38">
        <v>9.0</v>
      </c>
      <c r="C17" s="39" t="s">
        <v>30</v>
      </c>
      <c r="D17" s="39" t="s">
        <v>27</v>
      </c>
      <c r="E17" s="39" t="s">
        <v>31</v>
      </c>
      <c r="F17" s="40"/>
      <c r="G17" s="41" t="s">
        <v>25</v>
      </c>
      <c r="H17" s="42">
        <v>262.0</v>
      </c>
      <c r="I17" s="42">
        <v>82.0</v>
      </c>
      <c r="J17" s="42">
        <v>180.0</v>
      </c>
      <c r="K17" s="42">
        <v>31.3</v>
      </c>
      <c r="L17" s="42">
        <v>68.7</v>
      </c>
      <c r="N17" s="17">
        <v>10403.0</v>
      </c>
      <c r="O17" s="18">
        <v>7312.0</v>
      </c>
      <c r="P17" s="18">
        <v>1.0</v>
      </c>
      <c r="Q17" s="4">
        <f t="shared" si="1"/>
        <v>13.6761488</v>
      </c>
      <c r="T17" s="4">
        <f>T12+T13</f>
        <v>140.7745159</v>
      </c>
    </row>
    <row r="18">
      <c r="A18" s="2"/>
      <c r="B18" s="43">
        <v>10.0</v>
      </c>
      <c r="C18" s="44" t="s">
        <v>32</v>
      </c>
      <c r="D18" s="44" t="s">
        <v>27</v>
      </c>
      <c r="E18" s="44" t="s">
        <v>31</v>
      </c>
      <c r="F18" s="44" t="s">
        <v>33</v>
      </c>
      <c r="G18" s="44" t="s">
        <v>33</v>
      </c>
      <c r="H18" s="45">
        <v>435.0</v>
      </c>
      <c r="I18" s="45">
        <v>168.0</v>
      </c>
      <c r="J18" s="45">
        <v>267.0</v>
      </c>
      <c r="K18" s="45">
        <v>38.6</v>
      </c>
      <c r="L18" s="45">
        <v>61.4</v>
      </c>
      <c r="N18" s="17">
        <v>10404.0</v>
      </c>
      <c r="O18" s="18">
        <v>4902.0</v>
      </c>
      <c r="P18" s="18">
        <v>1.0</v>
      </c>
      <c r="Q18" s="4">
        <f t="shared" si="1"/>
        <v>20.3998368</v>
      </c>
    </row>
    <row r="19">
      <c r="A19" s="2"/>
      <c r="B19" s="38">
        <v>11.0</v>
      </c>
      <c r="C19" s="39" t="s">
        <v>32</v>
      </c>
      <c r="D19" s="39" t="s">
        <v>27</v>
      </c>
      <c r="E19" s="39" t="s">
        <v>31</v>
      </c>
      <c r="F19" s="39" t="s">
        <v>33</v>
      </c>
      <c r="G19" s="41" t="s">
        <v>23</v>
      </c>
      <c r="H19" s="42">
        <v>237.0</v>
      </c>
      <c r="I19" s="42">
        <v>98.0</v>
      </c>
      <c r="J19" s="42">
        <v>139.0</v>
      </c>
      <c r="K19" s="42">
        <v>41.4</v>
      </c>
      <c r="L19" s="42">
        <v>58.6</v>
      </c>
      <c r="N19" s="17">
        <v>10405.0</v>
      </c>
      <c r="O19" s="18">
        <v>4465.0</v>
      </c>
      <c r="P19" s="18">
        <v>0.0</v>
      </c>
      <c r="Q19" s="4">
        <f t="shared" si="1"/>
        <v>0</v>
      </c>
      <c r="S19" s="15" t="s">
        <v>34</v>
      </c>
      <c r="T19" s="4">
        <f>(T12+T13)/2</f>
        <v>70.38725793</v>
      </c>
    </row>
    <row r="20">
      <c r="A20" s="2"/>
      <c r="B20" s="38">
        <v>12.0</v>
      </c>
      <c r="C20" s="39" t="s">
        <v>32</v>
      </c>
      <c r="D20" s="39" t="s">
        <v>27</v>
      </c>
      <c r="E20" s="39" t="s">
        <v>31</v>
      </c>
      <c r="F20" s="39" t="s">
        <v>33</v>
      </c>
      <c r="G20" s="41" t="s">
        <v>25</v>
      </c>
      <c r="H20" s="42">
        <v>198.0</v>
      </c>
      <c r="I20" s="42">
        <v>70.0</v>
      </c>
      <c r="J20" s="42">
        <v>128.0</v>
      </c>
      <c r="K20" s="42">
        <v>35.4</v>
      </c>
      <c r="L20" s="42">
        <v>64.6</v>
      </c>
      <c r="N20" s="17">
        <v>10501.0</v>
      </c>
      <c r="O20" s="18">
        <v>24303.0</v>
      </c>
      <c r="P20" s="18">
        <v>13.0</v>
      </c>
      <c r="Q20" s="4">
        <f t="shared" si="1"/>
        <v>53.49133852</v>
      </c>
      <c r="S20" s="15" t="s">
        <v>35</v>
      </c>
      <c r="T20" s="4">
        <f>(T12+T13)*2</f>
        <v>281.5490317</v>
      </c>
    </row>
    <row r="21">
      <c r="A21" s="2"/>
      <c r="B21" s="43">
        <v>13.0</v>
      </c>
      <c r="C21" s="44" t="s">
        <v>32</v>
      </c>
      <c r="D21" s="44" t="s">
        <v>27</v>
      </c>
      <c r="E21" s="44" t="s">
        <v>31</v>
      </c>
      <c r="F21" s="44" t="s">
        <v>36</v>
      </c>
      <c r="G21" s="44" t="s">
        <v>36</v>
      </c>
      <c r="H21" s="45">
        <v>59.0</v>
      </c>
      <c r="I21" s="45">
        <v>11.0</v>
      </c>
      <c r="J21" s="45">
        <v>48.0</v>
      </c>
      <c r="K21" s="45">
        <v>18.6</v>
      </c>
      <c r="L21" s="45">
        <v>81.4</v>
      </c>
      <c r="N21" s="17">
        <v>10502.0</v>
      </c>
      <c r="O21" s="18">
        <v>8349.0</v>
      </c>
      <c r="P21" s="18">
        <v>8.0</v>
      </c>
      <c r="Q21" s="4">
        <f t="shared" si="1"/>
        <v>95.81985867</v>
      </c>
    </row>
    <row r="22">
      <c r="A22" s="2"/>
      <c r="B22" s="38">
        <v>14.0</v>
      </c>
      <c r="C22" s="39" t="s">
        <v>32</v>
      </c>
      <c r="D22" s="39" t="s">
        <v>27</v>
      </c>
      <c r="E22" s="39" t="s">
        <v>31</v>
      </c>
      <c r="F22" s="39" t="s">
        <v>36</v>
      </c>
      <c r="G22" s="41" t="s">
        <v>23</v>
      </c>
      <c r="H22" s="46"/>
      <c r="I22" s="46"/>
      <c r="J22" s="46"/>
      <c r="K22" s="46"/>
      <c r="L22" s="46"/>
      <c r="N22" s="17">
        <v>10601.0</v>
      </c>
      <c r="O22" s="18">
        <v>16944.0</v>
      </c>
      <c r="P22" s="18">
        <v>3.0</v>
      </c>
      <c r="Q22" s="4">
        <f t="shared" si="1"/>
        <v>17.70538244</v>
      </c>
    </row>
    <row r="23">
      <c r="A23" s="2"/>
      <c r="B23" s="38">
        <v>15.0</v>
      </c>
      <c r="C23" s="39" t="s">
        <v>32</v>
      </c>
      <c r="D23" s="39" t="s">
        <v>27</v>
      </c>
      <c r="E23" s="39" t="s">
        <v>31</v>
      </c>
      <c r="F23" s="39" t="s">
        <v>36</v>
      </c>
      <c r="G23" s="41" t="s">
        <v>25</v>
      </c>
      <c r="H23" s="42">
        <v>59.0</v>
      </c>
      <c r="I23" s="42">
        <v>11.0</v>
      </c>
      <c r="J23" s="42">
        <v>48.0</v>
      </c>
      <c r="K23" s="42">
        <v>18.6</v>
      </c>
      <c r="L23" s="42">
        <v>81.4</v>
      </c>
      <c r="N23" s="17">
        <v>10602.0</v>
      </c>
      <c r="O23" s="18">
        <v>10111.0</v>
      </c>
      <c r="P23" s="18">
        <v>5.0</v>
      </c>
      <c r="Q23" s="4">
        <f t="shared" si="1"/>
        <v>49.45109287</v>
      </c>
      <c r="S23" s="8" t="s">
        <v>24</v>
      </c>
      <c r="T23" s="8">
        <v>0.0</v>
      </c>
    </row>
    <row r="24">
      <c r="A24" s="2"/>
      <c r="B24" s="43">
        <v>16.0</v>
      </c>
      <c r="C24" s="44" t="s">
        <v>32</v>
      </c>
      <c r="D24" s="44" t="s">
        <v>27</v>
      </c>
      <c r="E24" s="44" t="s">
        <v>31</v>
      </c>
      <c r="F24" s="44" t="s">
        <v>37</v>
      </c>
      <c r="G24" s="44" t="s">
        <v>37</v>
      </c>
      <c r="H24" s="45">
        <v>5.0</v>
      </c>
      <c r="I24" s="45">
        <v>1.0</v>
      </c>
      <c r="J24" s="45">
        <v>4.0</v>
      </c>
      <c r="K24" s="45">
        <v>20.0</v>
      </c>
      <c r="L24" s="45">
        <v>80.0</v>
      </c>
      <c r="N24" s="17">
        <v>10701.0</v>
      </c>
      <c r="O24" s="18">
        <v>15644.0</v>
      </c>
      <c r="P24" s="18">
        <v>4.0</v>
      </c>
      <c r="Q24" s="4">
        <f t="shared" si="1"/>
        <v>25.56890821</v>
      </c>
      <c r="S24" s="15" t="s">
        <v>34</v>
      </c>
      <c r="T24" s="8">
        <v>70.0</v>
      </c>
    </row>
    <row r="25">
      <c r="A25" s="2"/>
      <c r="B25" s="38">
        <v>17.0</v>
      </c>
      <c r="C25" s="39" t="s">
        <v>32</v>
      </c>
      <c r="D25" s="39" t="s">
        <v>27</v>
      </c>
      <c r="E25" s="39" t="s">
        <v>31</v>
      </c>
      <c r="F25" s="39" t="s">
        <v>37</v>
      </c>
      <c r="G25" s="41" t="s">
        <v>23</v>
      </c>
      <c r="H25" s="46"/>
      <c r="I25" s="46"/>
      <c r="J25" s="46"/>
      <c r="K25" s="46"/>
      <c r="L25" s="46"/>
      <c r="N25" s="17">
        <v>10702.0</v>
      </c>
      <c r="O25" s="18">
        <v>32520.0</v>
      </c>
      <c r="P25" s="18">
        <v>8.0</v>
      </c>
      <c r="Q25" s="4">
        <f t="shared" si="1"/>
        <v>24.600246</v>
      </c>
      <c r="S25" s="15" t="s">
        <v>38</v>
      </c>
      <c r="T25" s="8">
        <v>141.0</v>
      </c>
    </row>
    <row r="26">
      <c r="A26" s="2"/>
      <c r="B26" s="38">
        <v>18.0</v>
      </c>
      <c r="C26" s="39" t="s">
        <v>32</v>
      </c>
      <c r="D26" s="39" t="s">
        <v>27</v>
      </c>
      <c r="E26" s="39" t="s">
        <v>31</v>
      </c>
      <c r="F26" s="39" t="s">
        <v>37</v>
      </c>
      <c r="G26" s="41" t="s">
        <v>25</v>
      </c>
      <c r="H26" s="42">
        <v>5.0</v>
      </c>
      <c r="I26" s="42">
        <v>1.0</v>
      </c>
      <c r="J26" s="42">
        <v>4.0</v>
      </c>
      <c r="K26" s="42">
        <v>20.0</v>
      </c>
      <c r="L26" s="42">
        <v>80.0</v>
      </c>
      <c r="N26" s="17">
        <v>10703.0</v>
      </c>
      <c r="O26" s="18">
        <v>13056.0</v>
      </c>
      <c r="P26" s="18">
        <v>0.0</v>
      </c>
      <c r="Q26" s="4">
        <f t="shared" si="1"/>
        <v>0</v>
      </c>
      <c r="S26" s="15" t="s">
        <v>35</v>
      </c>
      <c r="T26" s="8">
        <v>282.0</v>
      </c>
    </row>
    <row r="27">
      <c r="A27" s="2"/>
      <c r="B27" s="34">
        <v>19.0</v>
      </c>
      <c r="C27" s="35" t="s">
        <v>30</v>
      </c>
      <c r="D27" s="35" t="s">
        <v>27</v>
      </c>
      <c r="E27" s="35" t="s">
        <v>39</v>
      </c>
      <c r="F27" s="36"/>
      <c r="G27" s="35" t="s">
        <v>39</v>
      </c>
      <c r="H27" s="37">
        <v>21.0</v>
      </c>
      <c r="I27" s="37">
        <v>1.0</v>
      </c>
      <c r="J27" s="37">
        <v>20.0</v>
      </c>
      <c r="K27" s="37">
        <v>4.8</v>
      </c>
      <c r="L27" s="37">
        <v>95.2</v>
      </c>
      <c r="N27" s="17">
        <v>10704.0</v>
      </c>
      <c r="O27" s="18">
        <v>16150.0</v>
      </c>
      <c r="P27" s="18">
        <v>1.0</v>
      </c>
      <c r="Q27" s="4">
        <f t="shared" si="1"/>
        <v>6.191950464</v>
      </c>
      <c r="S27" s="8" t="s">
        <v>22</v>
      </c>
      <c r="T27" s="4">
        <f>MAX(Q:Q)</f>
        <v>1184.68637</v>
      </c>
    </row>
    <row r="28">
      <c r="A28" s="2"/>
      <c r="B28" s="38">
        <v>20.0</v>
      </c>
      <c r="C28" s="39" t="s">
        <v>30</v>
      </c>
      <c r="D28" s="39" t="s">
        <v>27</v>
      </c>
      <c r="E28" s="39" t="s">
        <v>39</v>
      </c>
      <c r="F28" s="40"/>
      <c r="G28" s="41" t="s">
        <v>23</v>
      </c>
      <c r="H28" s="46"/>
      <c r="I28" s="46"/>
      <c r="J28" s="46"/>
      <c r="K28" s="46"/>
      <c r="L28" s="46"/>
      <c r="N28" s="17">
        <v>10801.0</v>
      </c>
      <c r="O28" s="18">
        <v>11161.0</v>
      </c>
      <c r="P28" s="18">
        <v>8.0</v>
      </c>
      <c r="Q28" s="4">
        <f t="shared" si="1"/>
        <v>71.67816504</v>
      </c>
    </row>
    <row r="29">
      <c r="A29" s="2"/>
      <c r="B29" s="38">
        <v>21.0</v>
      </c>
      <c r="C29" s="39" t="s">
        <v>30</v>
      </c>
      <c r="D29" s="39" t="s">
        <v>27</v>
      </c>
      <c r="E29" s="39" t="s">
        <v>39</v>
      </c>
      <c r="F29" s="40"/>
      <c r="G29" s="41" t="s">
        <v>25</v>
      </c>
      <c r="H29" s="42">
        <v>21.0</v>
      </c>
      <c r="I29" s="42">
        <v>1.0</v>
      </c>
      <c r="J29" s="42">
        <v>20.0</v>
      </c>
      <c r="K29" s="42">
        <v>4.8</v>
      </c>
      <c r="L29" s="42">
        <v>95.2</v>
      </c>
      <c r="N29" s="17">
        <v>10901.0</v>
      </c>
      <c r="O29" s="18">
        <v>3514.0</v>
      </c>
      <c r="P29" s="18">
        <v>0.0</v>
      </c>
      <c r="Q29" s="4">
        <f t="shared" si="1"/>
        <v>0</v>
      </c>
    </row>
    <row r="30">
      <c r="A30" s="2"/>
      <c r="B30" s="43">
        <v>22.0</v>
      </c>
      <c r="C30" s="44" t="s">
        <v>32</v>
      </c>
      <c r="D30" s="44" t="s">
        <v>27</v>
      </c>
      <c r="E30" s="44" t="s">
        <v>39</v>
      </c>
      <c r="F30" s="44" t="s">
        <v>39</v>
      </c>
      <c r="G30" s="44" t="s">
        <v>39</v>
      </c>
      <c r="H30" s="45">
        <v>15.0</v>
      </c>
      <c r="I30" s="45">
        <v>1.0</v>
      </c>
      <c r="J30" s="45">
        <v>14.0</v>
      </c>
      <c r="K30" s="45">
        <v>6.7</v>
      </c>
      <c r="L30" s="45">
        <v>93.3</v>
      </c>
      <c r="N30" s="17">
        <v>10902.0</v>
      </c>
      <c r="O30" s="18">
        <v>17731.0</v>
      </c>
      <c r="P30" s="18">
        <v>0.0</v>
      </c>
      <c r="Q30" s="4">
        <f t="shared" si="1"/>
        <v>0</v>
      </c>
    </row>
    <row r="31">
      <c r="A31" s="2"/>
      <c r="B31" s="38">
        <v>23.0</v>
      </c>
      <c r="C31" s="39" t="s">
        <v>32</v>
      </c>
      <c r="D31" s="39" t="s">
        <v>27</v>
      </c>
      <c r="E31" s="39" t="s">
        <v>39</v>
      </c>
      <c r="F31" s="39" t="s">
        <v>39</v>
      </c>
      <c r="G31" s="41" t="s">
        <v>23</v>
      </c>
      <c r="H31" s="46"/>
      <c r="I31" s="46"/>
      <c r="J31" s="46"/>
      <c r="K31" s="46"/>
      <c r="L31" s="46"/>
      <c r="N31" s="17">
        <v>10903.0</v>
      </c>
      <c r="O31" s="18">
        <v>4088.0</v>
      </c>
      <c r="P31" s="18">
        <v>0.0</v>
      </c>
      <c r="Q31" s="4">
        <f t="shared" si="1"/>
        <v>0</v>
      </c>
    </row>
    <row r="32">
      <c r="A32" s="2"/>
      <c r="B32" s="38">
        <v>24.0</v>
      </c>
      <c r="C32" s="39" t="s">
        <v>32</v>
      </c>
      <c r="D32" s="39" t="s">
        <v>27</v>
      </c>
      <c r="E32" s="39" t="s">
        <v>39</v>
      </c>
      <c r="F32" s="39" t="s">
        <v>39</v>
      </c>
      <c r="G32" s="41" t="s">
        <v>25</v>
      </c>
      <c r="H32" s="42">
        <v>15.0</v>
      </c>
      <c r="I32" s="42">
        <v>1.0</v>
      </c>
      <c r="J32" s="42">
        <v>14.0</v>
      </c>
      <c r="K32" s="42">
        <v>6.7</v>
      </c>
      <c r="L32" s="42">
        <v>93.3</v>
      </c>
      <c r="N32" s="17">
        <v>11001.0</v>
      </c>
      <c r="O32" s="18">
        <v>9720.0</v>
      </c>
      <c r="P32" s="18">
        <v>2.0</v>
      </c>
      <c r="Q32" s="4">
        <f t="shared" si="1"/>
        <v>20.57613169</v>
      </c>
    </row>
    <row r="33">
      <c r="A33" s="2"/>
      <c r="B33" s="43">
        <v>25.0</v>
      </c>
      <c r="C33" s="44" t="s">
        <v>32</v>
      </c>
      <c r="D33" s="44" t="s">
        <v>27</v>
      </c>
      <c r="E33" s="44" t="s">
        <v>39</v>
      </c>
      <c r="F33" s="44" t="s">
        <v>40</v>
      </c>
      <c r="G33" s="44" t="s">
        <v>40</v>
      </c>
      <c r="H33" s="45">
        <v>6.0</v>
      </c>
      <c r="I33" s="45">
        <v>0.0</v>
      </c>
      <c r="J33" s="45">
        <v>6.0</v>
      </c>
      <c r="K33" s="45">
        <v>0.0</v>
      </c>
      <c r="L33" s="45">
        <v>100.0</v>
      </c>
      <c r="N33" s="17">
        <v>11002.0</v>
      </c>
      <c r="O33" s="18">
        <v>2541.0</v>
      </c>
      <c r="P33" s="18">
        <v>0.0</v>
      </c>
      <c r="Q33" s="4">
        <f t="shared" si="1"/>
        <v>0</v>
      </c>
    </row>
    <row r="34">
      <c r="A34" s="2"/>
      <c r="B34" s="38">
        <v>26.0</v>
      </c>
      <c r="C34" s="39" t="s">
        <v>32</v>
      </c>
      <c r="D34" s="39" t="s">
        <v>27</v>
      </c>
      <c r="E34" s="39" t="s">
        <v>39</v>
      </c>
      <c r="F34" s="39" t="s">
        <v>40</v>
      </c>
      <c r="G34" s="41" t="s">
        <v>23</v>
      </c>
      <c r="H34" s="46"/>
      <c r="I34" s="46"/>
      <c r="J34" s="46"/>
      <c r="K34" s="46"/>
      <c r="L34" s="46"/>
      <c r="N34" s="17">
        <v>11003.0</v>
      </c>
      <c r="O34" s="18">
        <v>7418.0</v>
      </c>
      <c r="P34" s="18">
        <v>0.0</v>
      </c>
      <c r="Q34" s="4">
        <f t="shared" si="1"/>
        <v>0</v>
      </c>
    </row>
    <row r="35">
      <c r="A35" s="2"/>
      <c r="B35" s="38">
        <v>27.0</v>
      </c>
      <c r="C35" s="39" t="s">
        <v>32</v>
      </c>
      <c r="D35" s="39" t="s">
        <v>27</v>
      </c>
      <c r="E35" s="39" t="s">
        <v>39</v>
      </c>
      <c r="F35" s="39" t="s">
        <v>40</v>
      </c>
      <c r="G35" s="41" t="s">
        <v>25</v>
      </c>
      <c r="H35" s="42">
        <v>6.0</v>
      </c>
      <c r="I35" s="42">
        <v>0.0</v>
      </c>
      <c r="J35" s="42">
        <v>6.0</v>
      </c>
      <c r="K35" s="42">
        <v>0.0</v>
      </c>
      <c r="L35" s="42">
        <v>100.0</v>
      </c>
      <c r="N35" s="17">
        <v>20101.0</v>
      </c>
      <c r="O35" s="18">
        <v>766468.0</v>
      </c>
      <c r="P35" s="18">
        <v>130.0</v>
      </c>
      <c r="Q35" s="4">
        <f t="shared" si="1"/>
        <v>16.96091683</v>
      </c>
    </row>
    <row r="36">
      <c r="A36" s="2"/>
      <c r="B36" s="34">
        <v>28.0</v>
      </c>
      <c r="C36" s="35" t="s">
        <v>30</v>
      </c>
      <c r="D36" s="35" t="s">
        <v>27</v>
      </c>
      <c r="E36" s="35" t="s">
        <v>41</v>
      </c>
      <c r="F36" s="36"/>
      <c r="G36" s="35" t="s">
        <v>41</v>
      </c>
      <c r="H36" s="37">
        <v>52.0</v>
      </c>
      <c r="I36" s="37">
        <v>5.0</v>
      </c>
      <c r="J36" s="37">
        <v>47.0</v>
      </c>
      <c r="K36" s="37">
        <v>9.6</v>
      </c>
      <c r="L36" s="37">
        <v>90.4</v>
      </c>
      <c r="N36" s="17">
        <v>20102.0</v>
      </c>
      <c r="O36" s="18">
        <v>16622.0</v>
      </c>
      <c r="P36" s="18">
        <v>2.0</v>
      </c>
      <c r="Q36" s="4">
        <f t="shared" si="1"/>
        <v>12.03224642</v>
      </c>
    </row>
    <row r="37">
      <c r="A37" s="2"/>
      <c r="B37" s="38">
        <v>29.0</v>
      </c>
      <c r="C37" s="39" t="s">
        <v>30</v>
      </c>
      <c r="D37" s="39" t="s">
        <v>27</v>
      </c>
      <c r="E37" s="39" t="s">
        <v>41</v>
      </c>
      <c r="F37" s="40"/>
      <c r="G37" s="41" t="s">
        <v>23</v>
      </c>
      <c r="H37" s="42">
        <v>10.0</v>
      </c>
      <c r="I37" s="42">
        <v>0.0</v>
      </c>
      <c r="J37" s="42">
        <v>10.0</v>
      </c>
      <c r="K37" s="42">
        <v>0.0</v>
      </c>
      <c r="L37" s="42">
        <v>100.0</v>
      </c>
      <c r="N37" s="17">
        <v>20103.0</v>
      </c>
      <c r="O37" s="18">
        <v>16086.0</v>
      </c>
      <c r="P37" s="18">
        <v>5.0</v>
      </c>
      <c r="Q37" s="4">
        <f t="shared" si="1"/>
        <v>31.08292926</v>
      </c>
    </row>
    <row r="38">
      <c r="A38" s="2"/>
      <c r="B38" s="38">
        <v>30.0</v>
      </c>
      <c r="C38" s="39" t="s">
        <v>30</v>
      </c>
      <c r="D38" s="39" t="s">
        <v>27</v>
      </c>
      <c r="E38" s="39" t="s">
        <v>41</v>
      </c>
      <c r="F38" s="40"/>
      <c r="G38" s="41" t="s">
        <v>25</v>
      </c>
      <c r="H38" s="42">
        <v>42.0</v>
      </c>
      <c r="I38" s="42">
        <v>5.0</v>
      </c>
      <c r="J38" s="42">
        <v>37.0</v>
      </c>
      <c r="K38" s="42">
        <v>11.9</v>
      </c>
      <c r="L38" s="42">
        <v>88.1</v>
      </c>
      <c r="N38" s="17">
        <v>20104.0</v>
      </c>
      <c r="O38" s="18">
        <v>22179.0</v>
      </c>
      <c r="P38" s="18">
        <v>17.0</v>
      </c>
      <c r="Q38" s="4">
        <f t="shared" si="1"/>
        <v>76.64908247</v>
      </c>
    </row>
    <row r="39">
      <c r="A39" s="2"/>
      <c r="B39" s="43">
        <v>31.0</v>
      </c>
      <c r="C39" s="44" t="s">
        <v>32</v>
      </c>
      <c r="D39" s="44" t="s">
        <v>27</v>
      </c>
      <c r="E39" s="44" t="s">
        <v>41</v>
      </c>
      <c r="F39" s="44" t="s">
        <v>41</v>
      </c>
      <c r="G39" s="44" t="s">
        <v>41</v>
      </c>
      <c r="H39" s="45">
        <v>8.0</v>
      </c>
      <c r="I39" s="45">
        <v>0.0</v>
      </c>
      <c r="J39" s="45">
        <v>8.0</v>
      </c>
      <c r="K39" s="45">
        <v>0.0</v>
      </c>
      <c r="L39" s="45">
        <v>100.0</v>
      </c>
      <c r="N39" s="17">
        <v>20105.0</v>
      </c>
      <c r="O39" s="18">
        <v>848452.0</v>
      </c>
      <c r="P39" s="18">
        <v>291.0</v>
      </c>
      <c r="Q39" s="4">
        <f t="shared" si="1"/>
        <v>34.29775638</v>
      </c>
    </row>
    <row r="40">
      <c r="A40" s="2"/>
      <c r="B40" s="38">
        <v>32.0</v>
      </c>
      <c r="C40" s="39" t="s">
        <v>32</v>
      </c>
      <c r="D40" s="39" t="s">
        <v>27</v>
      </c>
      <c r="E40" s="39" t="s">
        <v>41</v>
      </c>
      <c r="F40" s="39" t="s">
        <v>41</v>
      </c>
      <c r="G40" s="41" t="s">
        <v>23</v>
      </c>
      <c r="H40" s="42">
        <v>8.0</v>
      </c>
      <c r="I40" s="42">
        <v>0.0</v>
      </c>
      <c r="J40" s="42">
        <v>8.0</v>
      </c>
      <c r="K40" s="42">
        <v>0.0</v>
      </c>
      <c r="L40" s="42">
        <v>100.0</v>
      </c>
      <c r="N40" s="17">
        <v>20201.0</v>
      </c>
      <c r="O40" s="18">
        <v>46058.0</v>
      </c>
      <c r="P40" s="18">
        <v>4.0</v>
      </c>
      <c r="Q40" s="4">
        <f t="shared" si="1"/>
        <v>8.684701898</v>
      </c>
    </row>
    <row r="41">
      <c r="A41" s="2"/>
      <c r="B41" s="38">
        <v>33.0</v>
      </c>
      <c r="C41" s="39" t="s">
        <v>32</v>
      </c>
      <c r="D41" s="39" t="s">
        <v>27</v>
      </c>
      <c r="E41" s="39" t="s">
        <v>41</v>
      </c>
      <c r="F41" s="39" t="s">
        <v>41</v>
      </c>
      <c r="G41" s="41" t="s">
        <v>25</v>
      </c>
      <c r="H41" s="42">
        <v>0.0</v>
      </c>
      <c r="I41" s="42">
        <v>0.0</v>
      </c>
      <c r="J41" s="42">
        <v>0.0</v>
      </c>
      <c r="K41" s="42">
        <v>0.0</v>
      </c>
      <c r="L41" s="42">
        <v>0.0</v>
      </c>
      <c r="N41" s="17">
        <v>20202.0</v>
      </c>
      <c r="O41" s="18">
        <v>13136.0</v>
      </c>
      <c r="P41" s="18">
        <v>9.0</v>
      </c>
      <c r="Q41" s="4">
        <f t="shared" si="1"/>
        <v>68.51400731</v>
      </c>
    </row>
    <row r="42">
      <c r="A42" s="2"/>
      <c r="B42" s="43">
        <v>34.0</v>
      </c>
      <c r="C42" s="44" t="s">
        <v>32</v>
      </c>
      <c r="D42" s="44" t="s">
        <v>27</v>
      </c>
      <c r="E42" s="44" t="s">
        <v>41</v>
      </c>
      <c r="F42" s="44" t="s">
        <v>42</v>
      </c>
      <c r="G42" s="44" t="s">
        <v>42</v>
      </c>
      <c r="H42" s="45">
        <v>18.0</v>
      </c>
      <c r="I42" s="45">
        <v>0.0</v>
      </c>
      <c r="J42" s="45">
        <v>18.0</v>
      </c>
      <c r="K42" s="45">
        <v>0.0</v>
      </c>
      <c r="L42" s="45">
        <v>100.0</v>
      </c>
      <c r="N42" s="17">
        <v>20203.0</v>
      </c>
      <c r="O42" s="18">
        <v>5003.0</v>
      </c>
      <c r="P42" s="18">
        <v>1.0</v>
      </c>
      <c r="Q42" s="4">
        <f t="shared" si="1"/>
        <v>19.9880072</v>
      </c>
    </row>
    <row r="43">
      <c r="A43" s="2"/>
      <c r="B43" s="38">
        <v>35.0</v>
      </c>
      <c r="C43" s="39" t="s">
        <v>32</v>
      </c>
      <c r="D43" s="39" t="s">
        <v>27</v>
      </c>
      <c r="E43" s="39" t="s">
        <v>41</v>
      </c>
      <c r="F43" s="39" t="s">
        <v>42</v>
      </c>
      <c r="G43" s="41" t="s">
        <v>23</v>
      </c>
      <c r="H43" s="42">
        <v>1.0</v>
      </c>
      <c r="I43" s="42">
        <v>0.0</v>
      </c>
      <c r="J43" s="42">
        <v>1.0</v>
      </c>
      <c r="K43" s="42">
        <v>0.0</v>
      </c>
      <c r="L43" s="42">
        <v>100.0</v>
      </c>
      <c r="N43" s="17">
        <v>20204.0</v>
      </c>
      <c r="O43" s="18">
        <v>7948.0</v>
      </c>
      <c r="P43" s="18">
        <v>0.0</v>
      </c>
      <c r="Q43" s="4">
        <f t="shared" si="1"/>
        <v>0</v>
      </c>
    </row>
    <row r="44">
      <c r="A44" s="2"/>
      <c r="B44" s="38">
        <v>36.0</v>
      </c>
      <c r="C44" s="39" t="s">
        <v>32</v>
      </c>
      <c r="D44" s="39" t="s">
        <v>27</v>
      </c>
      <c r="E44" s="39" t="s">
        <v>41</v>
      </c>
      <c r="F44" s="39" t="s">
        <v>42</v>
      </c>
      <c r="G44" s="41" t="s">
        <v>25</v>
      </c>
      <c r="H44" s="42">
        <v>17.0</v>
      </c>
      <c r="I44" s="42">
        <v>0.0</v>
      </c>
      <c r="J44" s="42">
        <v>17.0</v>
      </c>
      <c r="K44" s="42">
        <v>0.0</v>
      </c>
      <c r="L44" s="42">
        <v>100.0</v>
      </c>
      <c r="N44" s="17">
        <v>20205.0</v>
      </c>
      <c r="O44" s="18">
        <v>8562.0</v>
      </c>
      <c r="P44" s="18">
        <v>1.0</v>
      </c>
      <c r="Q44" s="4">
        <f t="shared" si="1"/>
        <v>11.67951413</v>
      </c>
    </row>
    <row r="45">
      <c r="A45" s="2"/>
      <c r="B45" s="43">
        <v>37.0</v>
      </c>
      <c r="C45" s="44" t="s">
        <v>32</v>
      </c>
      <c r="D45" s="44" t="s">
        <v>27</v>
      </c>
      <c r="E45" s="44" t="s">
        <v>41</v>
      </c>
      <c r="F45" s="44" t="s">
        <v>43</v>
      </c>
      <c r="G45" s="44" t="s">
        <v>43</v>
      </c>
      <c r="H45" s="45">
        <v>22.0</v>
      </c>
      <c r="I45" s="45">
        <v>2.0</v>
      </c>
      <c r="J45" s="45">
        <v>20.0</v>
      </c>
      <c r="K45" s="45">
        <v>9.1</v>
      </c>
      <c r="L45" s="45">
        <v>90.9</v>
      </c>
      <c r="N45" s="17">
        <v>20206.0</v>
      </c>
      <c r="O45" s="18">
        <v>3927.0</v>
      </c>
      <c r="P45" s="18">
        <v>0.0</v>
      </c>
      <c r="Q45" s="4">
        <f t="shared" si="1"/>
        <v>0</v>
      </c>
    </row>
    <row r="46">
      <c r="A46" s="2"/>
      <c r="B46" s="38">
        <v>38.0</v>
      </c>
      <c r="C46" s="39" t="s">
        <v>32</v>
      </c>
      <c r="D46" s="39" t="s">
        <v>27</v>
      </c>
      <c r="E46" s="39" t="s">
        <v>41</v>
      </c>
      <c r="F46" s="39" t="s">
        <v>43</v>
      </c>
      <c r="G46" s="41" t="s">
        <v>23</v>
      </c>
      <c r="H46" s="42">
        <v>1.0</v>
      </c>
      <c r="I46" s="42">
        <v>0.0</v>
      </c>
      <c r="J46" s="42">
        <v>1.0</v>
      </c>
      <c r="K46" s="42">
        <v>0.0</v>
      </c>
      <c r="L46" s="42">
        <v>100.0</v>
      </c>
      <c r="N46" s="17">
        <v>20301.0</v>
      </c>
      <c r="O46" s="18">
        <v>10647.0</v>
      </c>
      <c r="P46" s="18">
        <v>1.0</v>
      </c>
      <c r="Q46" s="4">
        <f t="shared" si="1"/>
        <v>9.392317085</v>
      </c>
    </row>
    <row r="47">
      <c r="A47" s="2"/>
      <c r="B47" s="38">
        <v>39.0</v>
      </c>
      <c r="C47" s="39" t="s">
        <v>32</v>
      </c>
      <c r="D47" s="39" t="s">
        <v>27</v>
      </c>
      <c r="E47" s="39" t="s">
        <v>41</v>
      </c>
      <c r="F47" s="39" t="s">
        <v>43</v>
      </c>
      <c r="G47" s="41" t="s">
        <v>25</v>
      </c>
      <c r="H47" s="42">
        <v>21.0</v>
      </c>
      <c r="I47" s="42">
        <v>2.0</v>
      </c>
      <c r="J47" s="42">
        <v>19.0</v>
      </c>
      <c r="K47" s="42">
        <v>9.5</v>
      </c>
      <c r="L47" s="42">
        <v>90.5</v>
      </c>
      <c r="N47" s="17">
        <v>20302.0</v>
      </c>
      <c r="O47" s="18">
        <v>14687.0</v>
      </c>
      <c r="P47" s="18">
        <v>1.0</v>
      </c>
      <c r="Q47" s="4">
        <f t="shared" si="1"/>
        <v>6.808742425</v>
      </c>
    </row>
    <row r="48">
      <c r="A48" s="2"/>
      <c r="B48" s="43">
        <v>40.0</v>
      </c>
      <c r="C48" s="44" t="s">
        <v>32</v>
      </c>
      <c r="D48" s="44" t="s">
        <v>27</v>
      </c>
      <c r="E48" s="44" t="s">
        <v>41</v>
      </c>
      <c r="F48" s="44" t="s">
        <v>44</v>
      </c>
      <c r="G48" s="44" t="s">
        <v>44</v>
      </c>
      <c r="H48" s="45">
        <v>4.0</v>
      </c>
      <c r="I48" s="45">
        <v>3.0</v>
      </c>
      <c r="J48" s="45">
        <v>1.0</v>
      </c>
      <c r="K48" s="45">
        <v>75.0</v>
      </c>
      <c r="L48" s="45">
        <v>25.0</v>
      </c>
      <c r="N48" s="17">
        <v>20303.0</v>
      </c>
      <c r="O48" s="18">
        <v>9879.0</v>
      </c>
      <c r="P48" s="18">
        <v>3.0</v>
      </c>
      <c r="Q48" s="4">
        <f t="shared" si="1"/>
        <v>30.3674461</v>
      </c>
    </row>
    <row r="49">
      <c r="A49" s="2"/>
      <c r="B49" s="38">
        <v>41.0</v>
      </c>
      <c r="C49" s="39" t="s">
        <v>32</v>
      </c>
      <c r="D49" s="39" t="s">
        <v>27</v>
      </c>
      <c r="E49" s="39" t="s">
        <v>41</v>
      </c>
      <c r="F49" s="39" t="s">
        <v>44</v>
      </c>
      <c r="G49" s="41" t="s">
        <v>23</v>
      </c>
      <c r="H49" s="46"/>
      <c r="I49" s="46"/>
      <c r="J49" s="46"/>
      <c r="K49" s="46"/>
      <c r="L49" s="46"/>
      <c r="N49" s="17">
        <v>20304.0</v>
      </c>
      <c r="O49" s="18">
        <v>3880.0</v>
      </c>
      <c r="P49" s="18">
        <v>7.0</v>
      </c>
      <c r="Q49" s="4">
        <f t="shared" si="1"/>
        <v>180.4123711</v>
      </c>
    </row>
    <row r="50">
      <c r="A50" s="2"/>
      <c r="B50" s="38">
        <v>42.0</v>
      </c>
      <c r="C50" s="39" t="s">
        <v>32</v>
      </c>
      <c r="D50" s="39" t="s">
        <v>27</v>
      </c>
      <c r="E50" s="39" t="s">
        <v>41</v>
      </c>
      <c r="F50" s="39" t="s">
        <v>44</v>
      </c>
      <c r="G50" s="41" t="s">
        <v>25</v>
      </c>
      <c r="H50" s="42">
        <v>4.0</v>
      </c>
      <c r="I50" s="42">
        <v>3.0</v>
      </c>
      <c r="J50" s="42">
        <v>1.0</v>
      </c>
      <c r="K50" s="42">
        <v>75.0</v>
      </c>
      <c r="L50" s="42">
        <v>25.0</v>
      </c>
      <c r="N50" s="17">
        <v>20305.0</v>
      </c>
      <c r="O50" s="18">
        <v>3246.0</v>
      </c>
      <c r="P50" s="18">
        <v>0.0</v>
      </c>
      <c r="Q50" s="4">
        <f t="shared" si="1"/>
        <v>0</v>
      </c>
    </row>
    <row r="51">
      <c r="A51" s="2"/>
      <c r="B51" s="34">
        <v>43.0</v>
      </c>
      <c r="C51" s="35" t="s">
        <v>30</v>
      </c>
      <c r="D51" s="35" t="s">
        <v>27</v>
      </c>
      <c r="E51" s="35" t="s">
        <v>45</v>
      </c>
      <c r="F51" s="36"/>
      <c r="G51" s="35" t="s">
        <v>45</v>
      </c>
      <c r="H51" s="37">
        <v>40.0</v>
      </c>
      <c r="I51" s="37">
        <v>15.0</v>
      </c>
      <c r="J51" s="37">
        <v>25.0</v>
      </c>
      <c r="K51" s="37">
        <v>37.5</v>
      </c>
      <c r="L51" s="37">
        <v>62.5</v>
      </c>
      <c r="N51" s="17">
        <v>20306.0</v>
      </c>
      <c r="O51" s="18">
        <v>5069.0</v>
      </c>
      <c r="P51" s="18">
        <v>0.0</v>
      </c>
      <c r="Q51" s="4">
        <f t="shared" si="1"/>
        <v>0</v>
      </c>
    </row>
    <row r="52">
      <c r="A52" s="2"/>
      <c r="B52" s="38">
        <v>44.0</v>
      </c>
      <c r="C52" s="39" t="s">
        <v>30</v>
      </c>
      <c r="D52" s="39" t="s">
        <v>27</v>
      </c>
      <c r="E52" s="39" t="s">
        <v>45</v>
      </c>
      <c r="F52" s="40"/>
      <c r="G52" s="41" t="s">
        <v>23</v>
      </c>
      <c r="H52" s="42">
        <v>17.0</v>
      </c>
      <c r="I52" s="42">
        <v>10.0</v>
      </c>
      <c r="J52" s="42">
        <v>7.0</v>
      </c>
      <c r="K52" s="42">
        <v>58.8</v>
      </c>
      <c r="L52" s="42">
        <v>41.2</v>
      </c>
      <c r="N52" s="17">
        <v>20307.0</v>
      </c>
      <c r="O52" s="18">
        <v>619.0</v>
      </c>
      <c r="P52" s="18">
        <v>1.0</v>
      </c>
      <c r="Q52" s="4">
        <f t="shared" si="1"/>
        <v>161.5508885</v>
      </c>
    </row>
    <row r="53">
      <c r="A53" s="2"/>
      <c r="B53" s="38">
        <v>45.0</v>
      </c>
      <c r="C53" s="39" t="s">
        <v>30</v>
      </c>
      <c r="D53" s="39" t="s">
        <v>27</v>
      </c>
      <c r="E53" s="39" t="s">
        <v>45</v>
      </c>
      <c r="F53" s="40"/>
      <c r="G53" s="41" t="s">
        <v>25</v>
      </c>
      <c r="H53" s="42">
        <v>23.0</v>
      </c>
      <c r="I53" s="42">
        <v>5.0</v>
      </c>
      <c r="J53" s="42">
        <v>18.0</v>
      </c>
      <c r="K53" s="42">
        <v>21.7</v>
      </c>
      <c r="L53" s="42">
        <v>78.3</v>
      </c>
      <c r="N53" s="17">
        <v>20308.0</v>
      </c>
      <c r="O53" s="18">
        <v>7289.0</v>
      </c>
      <c r="P53" s="18">
        <v>1.0</v>
      </c>
      <c r="Q53" s="4">
        <f t="shared" si="1"/>
        <v>13.71930306</v>
      </c>
    </row>
    <row r="54">
      <c r="A54" s="2"/>
      <c r="B54" s="43">
        <v>46.0</v>
      </c>
      <c r="C54" s="44" t="s">
        <v>32</v>
      </c>
      <c r="D54" s="44" t="s">
        <v>27</v>
      </c>
      <c r="E54" s="44" t="s">
        <v>45</v>
      </c>
      <c r="F54" s="44" t="s">
        <v>46</v>
      </c>
      <c r="G54" s="44" t="s">
        <v>46</v>
      </c>
      <c r="H54" s="45">
        <v>23.0</v>
      </c>
      <c r="I54" s="45">
        <v>15.0</v>
      </c>
      <c r="J54" s="45">
        <v>8.0</v>
      </c>
      <c r="K54" s="45">
        <v>65.2</v>
      </c>
      <c r="L54" s="45">
        <v>34.8</v>
      </c>
      <c r="N54" s="17">
        <v>20401.0</v>
      </c>
      <c r="O54" s="18">
        <v>11290.0</v>
      </c>
      <c r="P54" s="18">
        <v>4.0</v>
      </c>
      <c r="Q54" s="4">
        <f t="shared" si="1"/>
        <v>35.4295837</v>
      </c>
    </row>
    <row r="55">
      <c r="A55" s="2"/>
      <c r="B55" s="38">
        <v>47.0</v>
      </c>
      <c r="C55" s="39" t="s">
        <v>32</v>
      </c>
      <c r="D55" s="39" t="s">
        <v>27</v>
      </c>
      <c r="E55" s="39" t="s">
        <v>45</v>
      </c>
      <c r="F55" s="39" t="s">
        <v>46</v>
      </c>
      <c r="G55" s="41" t="s">
        <v>23</v>
      </c>
      <c r="H55" s="42">
        <v>16.0</v>
      </c>
      <c r="I55" s="42">
        <v>10.0</v>
      </c>
      <c r="J55" s="42">
        <v>6.0</v>
      </c>
      <c r="K55" s="42">
        <v>62.5</v>
      </c>
      <c r="L55" s="42">
        <v>37.5</v>
      </c>
      <c r="N55" s="17">
        <v>20402.0</v>
      </c>
      <c r="O55" s="18">
        <v>15665.0</v>
      </c>
      <c r="P55" s="18">
        <v>2.0</v>
      </c>
      <c r="Q55" s="4">
        <f t="shared" si="1"/>
        <v>12.76731567</v>
      </c>
    </row>
    <row r="56">
      <c r="A56" s="2"/>
      <c r="B56" s="38">
        <v>48.0</v>
      </c>
      <c r="C56" s="39" t="s">
        <v>32</v>
      </c>
      <c r="D56" s="39" t="s">
        <v>27</v>
      </c>
      <c r="E56" s="39" t="s">
        <v>45</v>
      </c>
      <c r="F56" s="39" t="s">
        <v>46</v>
      </c>
      <c r="G56" s="41" t="s">
        <v>25</v>
      </c>
      <c r="H56" s="42">
        <v>7.0</v>
      </c>
      <c r="I56" s="42">
        <v>5.0</v>
      </c>
      <c r="J56" s="42">
        <v>2.0</v>
      </c>
      <c r="K56" s="42">
        <v>71.4</v>
      </c>
      <c r="L56" s="42">
        <v>28.6</v>
      </c>
      <c r="N56" s="17">
        <v>20403.0</v>
      </c>
      <c r="O56" s="18">
        <v>14589.0</v>
      </c>
      <c r="P56" s="18">
        <v>8.0</v>
      </c>
      <c r="Q56" s="4">
        <f t="shared" si="1"/>
        <v>54.83583522</v>
      </c>
    </row>
    <row r="57">
      <c r="A57" s="2"/>
      <c r="B57" s="43">
        <v>49.0</v>
      </c>
      <c r="C57" s="44" t="s">
        <v>32</v>
      </c>
      <c r="D57" s="44" t="s">
        <v>27</v>
      </c>
      <c r="E57" s="44" t="s">
        <v>45</v>
      </c>
      <c r="F57" s="44" t="s">
        <v>45</v>
      </c>
      <c r="G57" s="44" t="s">
        <v>45</v>
      </c>
      <c r="H57" s="45">
        <v>6.0</v>
      </c>
      <c r="I57" s="45">
        <v>0.0</v>
      </c>
      <c r="J57" s="45">
        <v>6.0</v>
      </c>
      <c r="K57" s="45">
        <v>0.0</v>
      </c>
      <c r="L57" s="45">
        <v>100.0</v>
      </c>
      <c r="N57" s="17">
        <v>20404.0</v>
      </c>
      <c r="O57" s="18">
        <v>5342.0</v>
      </c>
      <c r="P57" s="18">
        <v>0.0</v>
      </c>
      <c r="Q57" s="4">
        <f t="shared" si="1"/>
        <v>0</v>
      </c>
    </row>
    <row r="58">
      <c r="A58" s="2"/>
      <c r="B58" s="38">
        <v>50.0</v>
      </c>
      <c r="C58" s="39" t="s">
        <v>32</v>
      </c>
      <c r="D58" s="39" t="s">
        <v>27</v>
      </c>
      <c r="E58" s="39" t="s">
        <v>45</v>
      </c>
      <c r="F58" s="39" t="s">
        <v>45</v>
      </c>
      <c r="G58" s="41" t="s">
        <v>23</v>
      </c>
      <c r="H58" s="42">
        <v>1.0</v>
      </c>
      <c r="I58" s="42">
        <v>0.0</v>
      </c>
      <c r="J58" s="42">
        <v>1.0</v>
      </c>
      <c r="K58" s="42">
        <v>0.0</v>
      </c>
      <c r="L58" s="42">
        <v>100.0</v>
      </c>
      <c r="N58" s="17">
        <v>20405.0</v>
      </c>
      <c r="O58" s="18">
        <v>7186.0</v>
      </c>
      <c r="P58" s="18">
        <v>1.0</v>
      </c>
      <c r="Q58" s="4">
        <f t="shared" si="1"/>
        <v>13.91594768</v>
      </c>
    </row>
    <row r="59">
      <c r="A59" s="2"/>
      <c r="B59" s="38">
        <v>51.0</v>
      </c>
      <c r="C59" s="39" t="s">
        <v>32</v>
      </c>
      <c r="D59" s="39" t="s">
        <v>27</v>
      </c>
      <c r="E59" s="39" t="s">
        <v>45</v>
      </c>
      <c r="F59" s="39" t="s">
        <v>45</v>
      </c>
      <c r="G59" s="41" t="s">
        <v>25</v>
      </c>
      <c r="H59" s="42">
        <v>5.0</v>
      </c>
      <c r="I59" s="42">
        <v>0.0</v>
      </c>
      <c r="J59" s="42">
        <v>5.0</v>
      </c>
      <c r="K59" s="42">
        <v>0.0</v>
      </c>
      <c r="L59" s="42">
        <v>100.0</v>
      </c>
      <c r="N59" s="17">
        <v>20501.0</v>
      </c>
      <c r="O59" s="18">
        <v>11473.0</v>
      </c>
      <c r="P59" s="18">
        <v>1.0</v>
      </c>
      <c r="Q59" s="4">
        <f t="shared" si="1"/>
        <v>8.716116099</v>
      </c>
    </row>
    <row r="60">
      <c r="A60" s="2"/>
      <c r="B60" s="43">
        <v>52.0</v>
      </c>
      <c r="C60" s="44" t="s">
        <v>32</v>
      </c>
      <c r="D60" s="44" t="s">
        <v>27</v>
      </c>
      <c r="E60" s="44" t="s">
        <v>45</v>
      </c>
      <c r="F60" s="44" t="s">
        <v>47</v>
      </c>
      <c r="G60" s="44" t="s">
        <v>47</v>
      </c>
      <c r="H60" s="45">
        <v>10.0</v>
      </c>
      <c r="I60" s="45">
        <v>0.0</v>
      </c>
      <c r="J60" s="45">
        <v>10.0</v>
      </c>
      <c r="K60" s="45">
        <v>0.0</v>
      </c>
      <c r="L60" s="45">
        <v>100.0</v>
      </c>
      <c r="N60" s="17">
        <v>20502.0</v>
      </c>
      <c r="O60" s="18">
        <v>8410.0</v>
      </c>
      <c r="P60" s="18">
        <v>1.0</v>
      </c>
      <c r="Q60" s="4">
        <f t="shared" si="1"/>
        <v>11.89060642</v>
      </c>
    </row>
    <row r="61">
      <c r="A61" s="2"/>
      <c r="B61" s="38">
        <v>53.0</v>
      </c>
      <c r="C61" s="39" t="s">
        <v>32</v>
      </c>
      <c r="D61" s="39" t="s">
        <v>27</v>
      </c>
      <c r="E61" s="39" t="s">
        <v>45</v>
      </c>
      <c r="F61" s="39" t="s">
        <v>47</v>
      </c>
      <c r="G61" s="41" t="s">
        <v>23</v>
      </c>
      <c r="H61" s="46"/>
      <c r="I61" s="46"/>
      <c r="J61" s="46"/>
      <c r="K61" s="46"/>
      <c r="L61" s="46"/>
      <c r="N61" s="17">
        <v>20503.0</v>
      </c>
      <c r="O61" s="18">
        <v>5495.0</v>
      </c>
      <c r="P61" s="18">
        <v>2.0</v>
      </c>
      <c r="Q61" s="4">
        <f t="shared" si="1"/>
        <v>36.39672429</v>
      </c>
    </row>
    <row r="62">
      <c r="A62" s="2"/>
      <c r="B62" s="38">
        <v>54.0</v>
      </c>
      <c r="C62" s="39" t="s">
        <v>32</v>
      </c>
      <c r="D62" s="39" t="s">
        <v>27</v>
      </c>
      <c r="E62" s="39" t="s">
        <v>45</v>
      </c>
      <c r="F62" s="39" t="s">
        <v>47</v>
      </c>
      <c r="G62" s="41" t="s">
        <v>25</v>
      </c>
      <c r="H62" s="42">
        <v>10.0</v>
      </c>
      <c r="I62" s="42">
        <v>0.0</v>
      </c>
      <c r="J62" s="42">
        <v>10.0</v>
      </c>
      <c r="K62" s="42">
        <v>0.0</v>
      </c>
      <c r="L62" s="42">
        <v>100.0</v>
      </c>
      <c r="N62" s="17">
        <v>20601.0</v>
      </c>
      <c r="O62" s="18">
        <v>23512.0</v>
      </c>
      <c r="P62" s="18">
        <v>1.0</v>
      </c>
      <c r="Q62" s="4">
        <f t="shared" si="1"/>
        <v>4.253147329</v>
      </c>
    </row>
    <row r="63">
      <c r="A63" s="2"/>
      <c r="B63" s="43">
        <v>55.0</v>
      </c>
      <c r="C63" s="44" t="s">
        <v>32</v>
      </c>
      <c r="D63" s="44" t="s">
        <v>27</v>
      </c>
      <c r="E63" s="44" t="s">
        <v>45</v>
      </c>
      <c r="F63" s="44" t="s">
        <v>48</v>
      </c>
      <c r="G63" s="44" t="s">
        <v>48</v>
      </c>
      <c r="H63" s="45">
        <v>1.0</v>
      </c>
      <c r="I63" s="45">
        <v>0.0</v>
      </c>
      <c r="J63" s="45">
        <v>1.0</v>
      </c>
      <c r="K63" s="45">
        <v>0.0</v>
      </c>
      <c r="L63" s="45">
        <v>100.0</v>
      </c>
      <c r="N63" s="17">
        <v>20602.0</v>
      </c>
      <c r="O63" s="18">
        <v>14788.0</v>
      </c>
      <c r="P63" s="18">
        <v>0.0</v>
      </c>
      <c r="Q63" s="4">
        <f t="shared" si="1"/>
        <v>0</v>
      </c>
    </row>
    <row r="64">
      <c r="A64" s="2"/>
      <c r="B64" s="38">
        <v>56.0</v>
      </c>
      <c r="C64" s="39" t="s">
        <v>32</v>
      </c>
      <c r="D64" s="39" t="s">
        <v>27</v>
      </c>
      <c r="E64" s="39" t="s">
        <v>45</v>
      </c>
      <c r="F64" s="39" t="s">
        <v>48</v>
      </c>
      <c r="G64" s="41" t="s">
        <v>23</v>
      </c>
      <c r="H64" s="46"/>
      <c r="I64" s="46"/>
      <c r="J64" s="46"/>
      <c r="K64" s="46"/>
      <c r="L64" s="46"/>
      <c r="N64" s="17">
        <v>20603.0</v>
      </c>
      <c r="O64" s="18">
        <v>8182.0</v>
      </c>
      <c r="P64" s="18">
        <v>2.0</v>
      </c>
      <c r="Q64" s="4">
        <f t="shared" si="1"/>
        <v>24.44390125</v>
      </c>
    </row>
    <row r="65">
      <c r="A65" s="2"/>
      <c r="B65" s="38">
        <v>57.0</v>
      </c>
      <c r="C65" s="39" t="s">
        <v>32</v>
      </c>
      <c r="D65" s="39" t="s">
        <v>27</v>
      </c>
      <c r="E65" s="39" t="s">
        <v>45</v>
      </c>
      <c r="F65" s="39" t="s">
        <v>48</v>
      </c>
      <c r="G65" s="41" t="s">
        <v>25</v>
      </c>
      <c r="H65" s="42">
        <v>1.0</v>
      </c>
      <c r="I65" s="42">
        <v>0.0</v>
      </c>
      <c r="J65" s="42">
        <v>1.0</v>
      </c>
      <c r="K65" s="42">
        <v>0.0</v>
      </c>
      <c r="L65" s="42">
        <v>100.0</v>
      </c>
      <c r="N65" s="17">
        <v>20604.0</v>
      </c>
      <c r="O65" s="18">
        <v>2684.0</v>
      </c>
      <c r="P65" s="18">
        <v>17.0</v>
      </c>
      <c r="Q65" s="4">
        <f t="shared" si="1"/>
        <v>633.3830104</v>
      </c>
    </row>
    <row r="66">
      <c r="A66" s="2"/>
      <c r="B66" s="43">
        <v>58.0</v>
      </c>
      <c r="C66" s="44" t="s">
        <v>32</v>
      </c>
      <c r="D66" s="44" t="s">
        <v>27</v>
      </c>
      <c r="E66" s="44" t="s">
        <v>45</v>
      </c>
      <c r="F66" s="44" t="s">
        <v>49</v>
      </c>
      <c r="G66" s="44" t="s">
        <v>49</v>
      </c>
      <c r="H66" s="45">
        <v>0.0</v>
      </c>
      <c r="I66" s="45">
        <v>0.0</v>
      </c>
      <c r="J66" s="45">
        <v>0.0</v>
      </c>
      <c r="K66" s="45">
        <v>0.0</v>
      </c>
      <c r="L66" s="45">
        <v>0.0</v>
      </c>
      <c r="N66" s="17">
        <v>20605.0</v>
      </c>
      <c r="O66" s="18">
        <v>3731.0</v>
      </c>
      <c r="P66" s="18">
        <v>2.0</v>
      </c>
      <c r="Q66" s="4">
        <f t="shared" si="1"/>
        <v>53.60493165</v>
      </c>
    </row>
    <row r="67">
      <c r="A67" s="2"/>
      <c r="B67" s="38">
        <v>59.0</v>
      </c>
      <c r="C67" s="39" t="s">
        <v>32</v>
      </c>
      <c r="D67" s="39" t="s">
        <v>27</v>
      </c>
      <c r="E67" s="39" t="s">
        <v>45</v>
      </c>
      <c r="F67" s="39" t="s">
        <v>49</v>
      </c>
      <c r="G67" s="41" t="s">
        <v>23</v>
      </c>
      <c r="H67" s="46"/>
      <c r="I67" s="46"/>
      <c r="J67" s="46"/>
      <c r="K67" s="46"/>
      <c r="L67" s="46"/>
      <c r="N67" s="17">
        <v>20606.0</v>
      </c>
      <c r="O67" s="18">
        <v>9985.0</v>
      </c>
      <c r="P67" s="18">
        <v>5.0</v>
      </c>
      <c r="Q67" s="4">
        <f t="shared" si="1"/>
        <v>50.07511267</v>
      </c>
    </row>
    <row r="68">
      <c r="A68" s="2"/>
      <c r="B68" s="38">
        <v>60.0</v>
      </c>
      <c r="C68" s="39" t="s">
        <v>32</v>
      </c>
      <c r="D68" s="39" t="s">
        <v>27</v>
      </c>
      <c r="E68" s="39" t="s">
        <v>45</v>
      </c>
      <c r="F68" s="39" t="s">
        <v>49</v>
      </c>
      <c r="G68" s="41" t="s">
        <v>25</v>
      </c>
      <c r="H68" s="42">
        <v>0.0</v>
      </c>
      <c r="I68" s="42">
        <v>0.0</v>
      </c>
      <c r="J68" s="42">
        <v>0.0</v>
      </c>
      <c r="K68" s="42">
        <v>0.0</v>
      </c>
      <c r="L68" s="42">
        <v>0.0</v>
      </c>
      <c r="N68" s="17">
        <v>20607.0</v>
      </c>
      <c r="O68" s="18">
        <v>13891.0</v>
      </c>
      <c r="P68" s="18">
        <v>0.0</v>
      </c>
      <c r="Q68" s="4">
        <f t="shared" si="1"/>
        <v>0</v>
      </c>
    </row>
    <row r="69">
      <c r="A69" s="2"/>
      <c r="B69" s="34">
        <v>61.0</v>
      </c>
      <c r="C69" s="35" t="s">
        <v>30</v>
      </c>
      <c r="D69" s="35" t="s">
        <v>27</v>
      </c>
      <c r="E69" s="35" t="s">
        <v>50</v>
      </c>
      <c r="F69" s="36"/>
      <c r="G69" s="35" t="s">
        <v>50</v>
      </c>
      <c r="H69" s="37">
        <v>122.0</v>
      </c>
      <c r="I69" s="37">
        <v>7.0</v>
      </c>
      <c r="J69" s="37">
        <v>115.0</v>
      </c>
      <c r="K69" s="37">
        <v>5.7</v>
      </c>
      <c r="L69" s="37">
        <v>94.3</v>
      </c>
      <c r="N69" s="17">
        <v>20608.0</v>
      </c>
      <c r="O69" s="18">
        <v>9349.0</v>
      </c>
      <c r="P69" s="18">
        <v>3.0</v>
      </c>
      <c r="Q69" s="4">
        <f t="shared" si="1"/>
        <v>32.08899348</v>
      </c>
    </row>
    <row r="70">
      <c r="A70" s="2"/>
      <c r="B70" s="38">
        <v>62.0</v>
      </c>
      <c r="C70" s="39" t="s">
        <v>30</v>
      </c>
      <c r="D70" s="39" t="s">
        <v>27</v>
      </c>
      <c r="E70" s="39" t="s">
        <v>50</v>
      </c>
      <c r="F70" s="40"/>
      <c r="G70" s="41" t="s">
        <v>23</v>
      </c>
      <c r="H70" s="42">
        <v>12.0</v>
      </c>
      <c r="I70" s="42">
        <v>5.0</v>
      </c>
      <c r="J70" s="42">
        <v>7.0</v>
      </c>
      <c r="K70" s="42">
        <v>41.7</v>
      </c>
      <c r="L70" s="42">
        <v>58.3</v>
      </c>
      <c r="N70" s="17">
        <v>20701.0</v>
      </c>
      <c r="O70" s="18">
        <v>20308.0</v>
      </c>
      <c r="P70" s="18">
        <v>3.0</v>
      </c>
      <c r="Q70" s="4">
        <f t="shared" si="1"/>
        <v>14.77250345</v>
      </c>
    </row>
    <row r="71">
      <c r="A71" s="2"/>
      <c r="B71" s="38">
        <v>63.0</v>
      </c>
      <c r="C71" s="39" t="s">
        <v>30</v>
      </c>
      <c r="D71" s="39" t="s">
        <v>27</v>
      </c>
      <c r="E71" s="39" t="s">
        <v>50</v>
      </c>
      <c r="F71" s="40"/>
      <c r="G71" s="41" t="s">
        <v>25</v>
      </c>
      <c r="H71" s="42">
        <v>110.0</v>
      </c>
      <c r="I71" s="42">
        <v>2.0</v>
      </c>
      <c r="J71" s="42">
        <v>108.0</v>
      </c>
      <c r="K71" s="42">
        <v>1.8</v>
      </c>
      <c r="L71" s="42">
        <v>98.2</v>
      </c>
      <c r="N71" s="17">
        <v>20702.0</v>
      </c>
      <c r="O71" s="18">
        <v>6780.0</v>
      </c>
      <c r="P71" s="18">
        <v>0.0</v>
      </c>
      <c r="Q71" s="4">
        <f t="shared" si="1"/>
        <v>0</v>
      </c>
    </row>
    <row r="72">
      <c r="A72" s="2"/>
      <c r="B72" s="43">
        <v>64.0</v>
      </c>
      <c r="C72" s="44" t="s">
        <v>32</v>
      </c>
      <c r="D72" s="44" t="s">
        <v>27</v>
      </c>
      <c r="E72" s="44" t="s">
        <v>50</v>
      </c>
      <c r="F72" s="44" t="s">
        <v>51</v>
      </c>
      <c r="G72" s="44" t="s">
        <v>51</v>
      </c>
      <c r="H72" s="45">
        <v>35.0</v>
      </c>
      <c r="I72" s="45">
        <v>7.0</v>
      </c>
      <c r="J72" s="45">
        <v>28.0</v>
      </c>
      <c r="K72" s="45">
        <v>20.0</v>
      </c>
      <c r="L72" s="45">
        <v>80.0</v>
      </c>
      <c r="N72" s="17">
        <v>20801.0</v>
      </c>
      <c r="O72" s="18">
        <v>80724.0</v>
      </c>
      <c r="P72" s="18">
        <v>31.0</v>
      </c>
      <c r="Q72" s="4">
        <f t="shared" si="1"/>
        <v>38.40245776</v>
      </c>
    </row>
    <row r="73">
      <c r="A73" s="2"/>
      <c r="B73" s="38">
        <v>65.0</v>
      </c>
      <c r="C73" s="39" t="s">
        <v>32</v>
      </c>
      <c r="D73" s="39" t="s">
        <v>27</v>
      </c>
      <c r="E73" s="39" t="s">
        <v>50</v>
      </c>
      <c r="F73" s="39" t="s">
        <v>51</v>
      </c>
      <c r="G73" s="41" t="s">
        <v>23</v>
      </c>
      <c r="H73" s="42">
        <v>12.0</v>
      </c>
      <c r="I73" s="42">
        <v>5.0</v>
      </c>
      <c r="J73" s="42">
        <v>7.0</v>
      </c>
      <c r="K73" s="42">
        <v>41.7</v>
      </c>
      <c r="L73" s="42">
        <v>58.3</v>
      </c>
      <c r="N73" s="17">
        <v>20802.0</v>
      </c>
      <c r="O73" s="18">
        <v>7278.0</v>
      </c>
      <c r="P73" s="18">
        <v>0.0</v>
      </c>
      <c r="Q73" s="4">
        <f t="shared" si="1"/>
        <v>0</v>
      </c>
    </row>
    <row r="74">
      <c r="A74" s="2"/>
      <c r="B74" s="38">
        <v>66.0</v>
      </c>
      <c r="C74" s="39" t="s">
        <v>32</v>
      </c>
      <c r="D74" s="39" t="s">
        <v>27</v>
      </c>
      <c r="E74" s="39" t="s">
        <v>50</v>
      </c>
      <c r="F74" s="39" t="s">
        <v>51</v>
      </c>
      <c r="G74" s="41" t="s">
        <v>25</v>
      </c>
      <c r="H74" s="42">
        <v>23.0</v>
      </c>
      <c r="I74" s="42">
        <v>2.0</v>
      </c>
      <c r="J74" s="42">
        <v>21.0</v>
      </c>
      <c r="K74" s="42">
        <v>8.7</v>
      </c>
      <c r="L74" s="42">
        <v>91.3</v>
      </c>
      <c r="N74" s="17">
        <v>20803.0</v>
      </c>
      <c r="O74" s="18">
        <v>12189.0</v>
      </c>
      <c r="P74" s="18">
        <v>0.0</v>
      </c>
      <c r="Q74" s="4">
        <f t="shared" si="1"/>
        <v>0</v>
      </c>
    </row>
    <row r="75">
      <c r="A75" s="2"/>
      <c r="B75" s="43">
        <v>67.0</v>
      </c>
      <c r="C75" s="44" t="s">
        <v>32</v>
      </c>
      <c r="D75" s="44" t="s">
        <v>27</v>
      </c>
      <c r="E75" s="44" t="s">
        <v>50</v>
      </c>
      <c r="F75" s="44" t="s">
        <v>52</v>
      </c>
      <c r="G75" s="44" t="s">
        <v>52</v>
      </c>
      <c r="H75" s="45">
        <v>87.0</v>
      </c>
      <c r="I75" s="45">
        <v>0.0</v>
      </c>
      <c r="J75" s="45">
        <v>87.0</v>
      </c>
      <c r="K75" s="45">
        <v>0.0</v>
      </c>
      <c r="L75" s="45">
        <v>100.0</v>
      </c>
      <c r="N75" s="17">
        <v>20804.0</v>
      </c>
      <c r="O75" s="18">
        <v>6987.0</v>
      </c>
      <c r="P75" s="18">
        <v>0.0</v>
      </c>
      <c r="Q75" s="4">
        <f t="shared" si="1"/>
        <v>0</v>
      </c>
    </row>
    <row r="76">
      <c r="A76" s="2"/>
      <c r="B76" s="38">
        <v>68.0</v>
      </c>
      <c r="C76" s="39" t="s">
        <v>32</v>
      </c>
      <c r="D76" s="39" t="s">
        <v>27</v>
      </c>
      <c r="E76" s="39" t="s">
        <v>50</v>
      </c>
      <c r="F76" s="39" t="s">
        <v>52</v>
      </c>
      <c r="G76" s="41" t="s">
        <v>23</v>
      </c>
      <c r="H76" s="46"/>
      <c r="I76" s="46"/>
      <c r="J76" s="46"/>
      <c r="K76" s="46"/>
      <c r="L76" s="46"/>
      <c r="N76" s="17">
        <v>20805.0</v>
      </c>
      <c r="O76" s="18">
        <v>6145.0</v>
      </c>
      <c r="P76" s="18">
        <v>0.0</v>
      </c>
      <c r="Q76" s="4">
        <f t="shared" si="1"/>
        <v>0</v>
      </c>
    </row>
    <row r="77">
      <c r="A77" s="2"/>
      <c r="B77" s="38">
        <v>69.0</v>
      </c>
      <c r="C77" s="39" t="s">
        <v>32</v>
      </c>
      <c r="D77" s="39" t="s">
        <v>27</v>
      </c>
      <c r="E77" s="39" t="s">
        <v>50</v>
      </c>
      <c r="F77" s="39" t="s">
        <v>52</v>
      </c>
      <c r="G77" s="41" t="s">
        <v>25</v>
      </c>
      <c r="H77" s="42">
        <v>87.0</v>
      </c>
      <c r="I77" s="42">
        <v>0.0</v>
      </c>
      <c r="J77" s="42">
        <v>87.0</v>
      </c>
      <c r="K77" s="42">
        <v>0.0</v>
      </c>
      <c r="L77" s="42">
        <v>100.0</v>
      </c>
      <c r="N77" s="17">
        <v>20806.0</v>
      </c>
      <c r="O77" s="18">
        <v>15039.0</v>
      </c>
      <c r="P77" s="18">
        <v>2.0</v>
      </c>
      <c r="Q77" s="4">
        <f t="shared" si="1"/>
        <v>13.29875657</v>
      </c>
    </row>
    <row r="78">
      <c r="A78" s="2"/>
      <c r="B78" s="34">
        <v>70.0</v>
      </c>
      <c r="C78" s="35" t="s">
        <v>30</v>
      </c>
      <c r="D78" s="35" t="s">
        <v>27</v>
      </c>
      <c r="E78" s="35" t="s">
        <v>53</v>
      </c>
      <c r="F78" s="36"/>
      <c r="G78" s="35" t="s">
        <v>53</v>
      </c>
      <c r="H78" s="37">
        <v>30.0</v>
      </c>
      <c r="I78" s="37">
        <v>4.0</v>
      </c>
      <c r="J78" s="37">
        <v>26.0</v>
      </c>
      <c r="K78" s="37">
        <v>13.3</v>
      </c>
      <c r="L78" s="37">
        <v>86.7</v>
      </c>
      <c r="N78" s="17">
        <v>20807.0</v>
      </c>
      <c r="O78" s="18">
        <v>6603.0</v>
      </c>
      <c r="P78" s="18">
        <v>2.0</v>
      </c>
      <c r="Q78" s="4">
        <f t="shared" si="1"/>
        <v>30.28926246</v>
      </c>
    </row>
    <row r="79">
      <c r="A79" s="2"/>
      <c r="B79" s="38">
        <v>71.0</v>
      </c>
      <c r="C79" s="39" t="s">
        <v>30</v>
      </c>
      <c r="D79" s="39" t="s">
        <v>27</v>
      </c>
      <c r="E79" s="39" t="s">
        <v>53</v>
      </c>
      <c r="F79" s="40"/>
      <c r="G79" s="41" t="s">
        <v>23</v>
      </c>
      <c r="H79" s="42">
        <v>14.0</v>
      </c>
      <c r="I79" s="42">
        <v>2.0</v>
      </c>
      <c r="J79" s="42">
        <v>12.0</v>
      </c>
      <c r="K79" s="42">
        <v>14.3</v>
      </c>
      <c r="L79" s="42">
        <v>85.7</v>
      </c>
      <c r="N79" s="17">
        <v>20901.0</v>
      </c>
      <c r="O79" s="18">
        <v>11139.0</v>
      </c>
      <c r="P79" s="18">
        <v>0.0</v>
      </c>
      <c r="Q79" s="4">
        <f t="shared" si="1"/>
        <v>0</v>
      </c>
    </row>
    <row r="80">
      <c r="A80" s="2"/>
      <c r="B80" s="38">
        <v>72.0</v>
      </c>
      <c r="C80" s="39" t="s">
        <v>30</v>
      </c>
      <c r="D80" s="39" t="s">
        <v>27</v>
      </c>
      <c r="E80" s="39" t="s">
        <v>53</v>
      </c>
      <c r="F80" s="40"/>
      <c r="G80" s="41" t="s">
        <v>25</v>
      </c>
      <c r="H80" s="42">
        <v>16.0</v>
      </c>
      <c r="I80" s="42">
        <v>2.0</v>
      </c>
      <c r="J80" s="42">
        <v>14.0</v>
      </c>
      <c r="K80" s="42">
        <v>12.5</v>
      </c>
      <c r="L80" s="42">
        <v>87.5</v>
      </c>
      <c r="N80" s="17">
        <v>20902.0</v>
      </c>
      <c r="O80" s="18">
        <v>12484.0</v>
      </c>
      <c r="P80" s="18">
        <v>24.0</v>
      </c>
      <c r="Q80" s="4">
        <f t="shared" si="1"/>
        <v>192.246075</v>
      </c>
    </row>
    <row r="81">
      <c r="A81" s="2"/>
      <c r="B81" s="43">
        <v>73.0</v>
      </c>
      <c r="C81" s="44" t="s">
        <v>32</v>
      </c>
      <c r="D81" s="44" t="s">
        <v>27</v>
      </c>
      <c r="E81" s="44" t="s">
        <v>53</v>
      </c>
      <c r="F81" s="44" t="s">
        <v>54</v>
      </c>
      <c r="G81" s="44" t="s">
        <v>54</v>
      </c>
      <c r="H81" s="45">
        <v>24.0</v>
      </c>
      <c r="I81" s="45">
        <v>2.0</v>
      </c>
      <c r="J81" s="45">
        <v>22.0</v>
      </c>
      <c r="K81" s="45">
        <v>8.3</v>
      </c>
      <c r="L81" s="45">
        <v>91.7</v>
      </c>
      <c r="N81" s="17">
        <v>20903.0</v>
      </c>
      <c r="O81" s="18">
        <v>7315.0</v>
      </c>
      <c r="P81" s="18">
        <v>1.0</v>
      </c>
      <c r="Q81" s="4">
        <f t="shared" si="1"/>
        <v>13.67053999</v>
      </c>
    </row>
    <row r="82">
      <c r="A82" s="2"/>
      <c r="B82" s="38">
        <v>74.0</v>
      </c>
      <c r="C82" s="39" t="s">
        <v>32</v>
      </c>
      <c r="D82" s="39" t="s">
        <v>27</v>
      </c>
      <c r="E82" s="39" t="s">
        <v>53</v>
      </c>
      <c r="F82" s="39" t="s">
        <v>54</v>
      </c>
      <c r="G82" s="41" t="s">
        <v>23</v>
      </c>
      <c r="H82" s="42">
        <v>14.0</v>
      </c>
      <c r="I82" s="42">
        <v>2.0</v>
      </c>
      <c r="J82" s="42">
        <v>12.0</v>
      </c>
      <c r="K82" s="42">
        <v>14.3</v>
      </c>
      <c r="L82" s="42">
        <v>85.7</v>
      </c>
      <c r="N82" s="17">
        <v>20904.0</v>
      </c>
      <c r="O82" s="18">
        <v>5180.0</v>
      </c>
      <c r="P82" s="18">
        <v>2.0</v>
      </c>
      <c r="Q82" s="4">
        <f t="shared" si="1"/>
        <v>38.61003861</v>
      </c>
    </row>
    <row r="83">
      <c r="A83" s="2"/>
      <c r="B83" s="38">
        <v>75.0</v>
      </c>
      <c r="C83" s="39" t="s">
        <v>32</v>
      </c>
      <c r="D83" s="39" t="s">
        <v>27</v>
      </c>
      <c r="E83" s="39" t="s">
        <v>53</v>
      </c>
      <c r="F83" s="39" t="s">
        <v>54</v>
      </c>
      <c r="G83" s="41" t="s">
        <v>25</v>
      </c>
      <c r="H83" s="42">
        <v>10.0</v>
      </c>
      <c r="I83" s="42">
        <v>0.0</v>
      </c>
      <c r="J83" s="42">
        <v>10.0</v>
      </c>
      <c r="K83" s="42">
        <v>0.0</v>
      </c>
      <c r="L83" s="42">
        <v>100.0</v>
      </c>
      <c r="N83" s="17">
        <v>20905.0</v>
      </c>
      <c r="O83" s="18">
        <v>11355.0</v>
      </c>
      <c r="P83" s="18">
        <v>7.0</v>
      </c>
      <c r="Q83" s="4">
        <f t="shared" si="1"/>
        <v>61.64685161</v>
      </c>
    </row>
    <row r="84">
      <c r="A84" s="2"/>
      <c r="B84" s="43">
        <v>76.0</v>
      </c>
      <c r="C84" s="44" t="s">
        <v>32</v>
      </c>
      <c r="D84" s="44" t="s">
        <v>27</v>
      </c>
      <c r="E84" s="44" t="s">
        <v>53</v>
      </c>
      <c r="F84" s="44" t="s">
        <v>53</v>
      </c>
      <c r="G84" s="44" t="s">
        <v>53</v>
      </c>
      <c r="H84" s="45">
        <v>6.0</v>
      </c>
      <c r="I84" s="45">
        <v>2.0</v>
      </c>
      <c r="J84" s="45">
        <v>4.0</v>
      </c>
      <c r="K84" s="45">
        <v>33.3</v>
      </c>
      <c r="L84" s="45">
        <v>66.7</v>
      </c>
      <c r="N84" s="17">
        <v>21001.0</v>
      </c>
      <c r="O84" s="18">
        <v>14717.0</v>
      </c>
      <c r="P84" s="18">
        <v>2.0</v>
      </c>
      <c r="Q84" s="4">
        <f t="shared" si="1"/>
        <v>13.58972617</v>
      </c>
    </row>
    <row r="85">
      <c r="A85" s="2"/>
      <c r="B85" s="38">
        <v>77.0</v>
      </c>
      <c r="C85" s="39" t="s">
        <v>32</v>
      </c>
      <c r="D85" s="39" t="s">
        <v>27</v>
      </c>
      <c r="E85" s="39" t="s">
        <v>53</v>
      </c>
      <c r="F85" s="39" t="s">
        <v>53</v>
      </c>
      <c r="G85" s="41" t="s">
        <v>23</v>
      </c>
      <c r="H85" s="46"/>
      <c r="I85" s="46"/>
      <c r="J85" s="46"/>
      <c r="K85" s="46"/>
      <c r="L85" s="46"/>
      <c r="N85" s="17">
        <v>21002.0</v>
      </c>
      <c r="O85" s="18">
        <v>8266.0</v>
      </c>
      <c r="P85" s="18">
        <v>7.0</v>
      </c>
      <c r="Q85" s="4">
        <f t="shared" si="1"/>
        <v>84.68424873</v>
      </c>
    </row>
    <row r="86">
      <c r="A86" s="2"/>
      <c r="B86" s="38">
        <v>78.0</v>
      </c>
      <c r="C86" s="39" t="s">
        <v>32</v>
      </c>
      <c r="D86" s="39" t="s">
        <v>27</v>
      </c>
      <c r="E86" s="39" t="s">
        <v>53</v>
      </c>
      <c r="F86" s="39" t="s">
        <v>53</v>
      </c>
      <c r="G86" s="41" t="s">
        <v>25</v>
      </c>
      <c r="H86" s="42">
        <v>6.0</v>
      </c>
      <c r="I86" s="42">
        <v>2.0</v>
      </c>
      <c r="J86" s="42">
        <v>4.0</v>
      </c>
      <c r="K86" s="42">
        <v>33.3</v>
      </c>
      <c r="L86" s="42">
        <v>66.7</v>
      </c>
      <c r="N86" s="17">
        <v>21003.0</v>
      </c>
      <c r="O86" s="18">
        <v>10458.0</v>
      </c>
      <c r="P86" s="18">
        <v>1.0</v>
      </c>
      <c r="Q86" s="4">
        <f t="shared" si="1"/>
        <v>9.562057755</v>
      </c>
    </row>
    <row r="87">
      <c r="A87" s="2"/>
      <c r="B87" s="34">
        <v>79.0</v>
      </c>
      <c r="C87" s="35" t="s">
        <v>30</v>
      </c>
      <c r="D87" s="35" t="s">
        <v>27</v>
      </c>
      <c r="E87" s="35" t="s">
        <v>55</v>
      </c>
      <c r="F87" s="36"/>
      <c r="G87" s="35" t="s">
        <v>55</v>
      </c>
      <c r="H87" s="37">
        <v>100.0</v>
      </c>
      <c r="I87" s="37">
        <v>42.0</v>
      </c>
      <c r="J87" s="37">
        <v>58.0</v>
      </c>
      <c r="K87" s="37">
        <v>42.0</v>
      </c>
      <c r="L87" s="37">
        <v>58.0</v>
      </c>
      <c r="N87" s="17">
        <v>21004.0</v>
      </c>
      <c r="O87" s="18">
        <v>19620.0</v>
      </c>
      <c r="P87" s="18">
        <v>1.0</v>
      </c>
      <c r="Q87" s="4">
        <f t="shared" si="1"/>
        <v>5.096839959</v>
      </c>
    </row>
    <row r="88">
      <c r="A88" s="2"/>
      <c r="B88" s="38">
        <v>80.0</v>
      </c>
      <c r="C88" s="39" t="s">
        <v>30</v>
      </c>
      <c r="D88" s="39" t="s">
        <v>27</v>
      </c>
      <c r="E88" s="39" t="s">
        <v>55</v>
      </c>
      <c r="F88" s="40"/>
      <c r="G88" s="41" t="s">
        <v>23</v>
      </c>
      <c r="H88" s="42">
        <v>17.0</v>
      </c>
      <c r="I88" s="42">
        <v>12.0</v>
      </c>
      <c r="J88" s="42">
        <v>5.0</v>
      </c>
      <c r="K88" s="42">
        <v>70.6</v>
      </c>
      <c r="L88" s="42">
        <v>29.4</v>
      </c>
      <c r="N88" s="17">
        <v>21005.0</v>
      </c>
      <c r="O88" s="18">
        <v>7913.0</v>
      </c>
      <c r="P88" s="18">
        <v>0.0</v>
      </c>
      <c r="Q88" s="4">
        <f t="shared" si="1"/>
        <v>0</v>
      </c>
    </row>
    <row r="89">
      <c r="A89" s="2"/>
      <c r="B89" s="38">
        <v>81.0</v>
      </c>
      <c r="C89" s="39" t="s">
        <v>30</v>
      </c>
      <c r="D89" s="39" t="s">
        <v>27</v>
      </c>
      <c r="E89" s="39" t="s">
        <v>55</v>
      </c>
      <c r="F89" s="40"/>
      <c r="G89" s="41" t="s">
        <v>25</v>
      </c>
      <c r="H89" s="42">
        <v>83.0</v>
      </c>
      <c r="I89" s="42">
        <v>30.0</v>
      </c>
      <c r="J89" s="42">
        <v>53.0</v>
      </c>
      <c r="K89" s="42">
        <v>36.1</v>
      </c>
      <c r="L89" s="42">
        <v>63.9</v>
      </c>
      <c r="N89" s="17">
        <v>21006.0</v>
      </c>
      <c r="O89" s="18">
        <v>5488.0</v>
      </c>
      <c r="P89" s="18">
        <v>4.0</v>
      </c>
      <c r="Q89" s="4">
        <f t="shared" si="1"/>
        <v>72.88629738</v>
      </c>
    </row>
    <row r="90">
      <c r="A90" s="2"/>
      <c r="B90" s="43">
        <v>82.0</v>
      </c>
      <c r="C90" s="44" t="s">
        <v>32</v>
      </c>
      <c r="D90" s="44" t="s">
        <v>27</v>
      </c>
      <c r="E90" s="44" t="s">
        <v>55</v>
      </c>
      <c r="F90" s="44" t="s">
        <v>56</v>
      </c>
      <c r="G90" s="44" t="s">
        <v>56</v>
      </c>
      <c r="H90" s="45">
        <v>14.0</v>
      </c>
      <c r="I90" s="45">
        <v>9.0</v>
      </c>
      <c r="J90" s="45">
        <v>5.0</v>
      </c>
      <c r="K90" s="45">
        <v>64.3</v>
      </c>
      <c r="L90" s="45">
        <v>35.7</v>
      </c>
      <c r="N90" s="17">
        <v>21101.0</v>
      </c>
      <c r="O90" s="18">
        <v>17823.0</v>
      </c>
      <c r="P90" s="18">
        <v>7.0</v>
      </c>
      <c r="Q90" s="4">
        <f t="shared" si="1"/>
        <v>39.27509398</v>
      </c>
    </row>
    <row r="91">
      <c r="A91" s="2"/>
      <c r="B91" s="38">
        <v>83.0</v>
      </c>
      <c r="C91" s="39" t="s">
        <v>32</v>
      </c>
      <c r="D91" s="39" t="s">
        <v>27</v>
      </c>
      <c r="E91" s="39" t="s">
        <v>55</v>
      </c>
      <c r="F91" s="39" t="s">
        <v>56</v>
      </c>
      <c r="G91" s="41" t="s">
        <v>23</v>
      </c>
      <c r="H91" s="42">
        <v>5.0</v>
      </c>
      <c r="I91" s="42">
        <v>3.0</v>
      </c>
      <c r="J91" s="42">
        <v>2.0</v>
      </c>
      <c r="K91" s="42">
        <v>60.0</v>
      </c>
      <c r="L91" s="42">
        <v>40.0</v>
      </c>
      <c r="N91" s="17">
        <v>21102.0</v>
      </c>
      <c r="O91" s="18">
        <v>17276.0</v>
      </c>
      <c r="P91" s="18">
        <v>92.0</v>
      </c>
      <c r="Q91" s="4">
        <f t="shared" si="1"/>
        <v>532.5306784</v>
      </c>
    </row>
    <row r="92">
      <c r="A92" s="2"/>
      <c r="B92" s="38">
        <v>84.0</v>
      </c>
      <c r="C92" s="39" t="s">
        <v>32</v>
      </c>
      <c r="D92" s="39" t="s">
        <v>27</v>
      </c>
      <c r="E92" s="39" t="s">
        <v>55</v>
      </c>
      <c r="F92" s="39" t="s">
        <v>56</v>
      </c>
      <c r="G92" s="41" t="s">
        <v>25</v>
      </c>
      <c r="H92" s="42">
        <v>9.0</v>
      </c>
      <c r="I92" s="42">
        <v>6.0</v>
      </c>
      <c r="J92" s="42">
        <v>3.0</v>
      </c>
      <c r="K92" s="42">
        <v>66.7</v>
      </c>
      <c r="L92" s="42">
        <v>33.3</v>
      </c>
      <c r="N92" s="17">
        <v>21103.0</v>
      </c>
      <c r="O92" s="18">
        <v>6420.0</v>
      </c>
      <c r="P92" s="18">
        <v>1.0</v>
      </c>
      <c r="Q92" s="4">
        <f t="shared" si="1"/>
        <v>15.57632399</v>
      </c>
    </row>
    <row r="93">
      <c r="A93" s="2"/>
      <c r="B93" s="43">
        <v>85.0</v>
      </c>
      <c r="C93" s="44" t="s">
        <v>32</v>
      </c>
      <c r="D93" s="44" t="s">
        <v>27</v>
      </c>
      <c r="E93" s="44" t="s">
        <v>55</v>
      </c>
      <c r="F93" s="44" t="s">
        <v>57</v>
      </c>
      <c r="G93" s="44" t="s">
        <v>57</v>
      </c>
      <c r="H93" s="45">
        <v>52.0</v>
      </c>
      <c r="I93" s="45">
        <v>13.0</v>
      </c>
      <c r="J93" s="45">
        <v>39.0</v>
      </c>
      <c r="K93" s="45">
        <v>25.0</v>
      </c>
      <c r="L93" s="45">
        <v>75.0</v>
      </c>
      <c r="N93" s="17">
        <v>21104.0</v>
      </c>
      <c r="O93" s="18">
        <v>24731.0</v>
      </c>
      <c r="P93" s="18">
        <v>2.0</v>
      </c>
      <c r="Q93" s="4">
        <f t="shared" si="1"/>
        <v>8.087016295</v>
      </c>
    </row>
    <row r="94">
      <c r="A94" s="2"/>
      <c r="B94" s="38">
        <v>86.0</v>
      </c>
      <c r="C94" s="39" t="s">
        <v>32</v>
      </c>
      <c r="D94" s="39" t="s">
        <v>27</v>
      </c>
      <c r="E94" s="39" t="s">
        <v>55</v>
      </c>
      <c r="F94" s="39" t="s">
        <v>57</v>
      </c>
      <c r="G94" s="41" t="s">
        <v>23</v>
      </c>
      <c r="H94" s="42">
        <v>3.0</v>
      </c>
      <c r="I94" s="42">
        <v>0.0</v>
      </c>
      <c r="J94" s="42">
        <v>3.0</v>
      </c>
      <c r="K94" s="42">
        <v>0.0</v>
      </c>
      <c r="L94" s="42">
        <v>100.0</v>
      </c>
      <c r="N94" s="17">
        <v>21105.0</v>
      </c>
      <c r="O94" s="18">
        <v>40178.0</v>
      </c>
      <c r="P94" s="18">
        <v>12.0</v>
      </c>
      <c r="Q94" s="4">
        <f t="shared" si="1"/>
        <v>29.86709144</v>
      </c>
    </row>
    <row r="95">
      <c r="A95" s="2"/>
      <c r="B95" s="38">
        <v>87.0</v>
      </c>
      <c r="C95" s="39" t="s">
        <v>32</v>
      </c>
      <c r="D95" s="39" t="s">
        <v>27</v>
      </c>
      <c r="E95" s="39" t="s">
        <v>55</v>
      </c>
      <c r="F95" s="39" t="s">
        <v>57</v>
      </c>
      <c r="G95" s="41" t="s">
        <v>25</v>
      </c>
      <c r="H95" s="42">
        <v>49.0</v>
      </c>
      <c r="I95" s="42">
        <v>13.0</v>
      </c>
      <c r="J95" s="42">
        <v>36.0</v>
      </c>
      <c r="K95" s="42">
        <v>26.5</v>
      </c>
      <c r="L95" s="42">
        <v>73.5</v>
      </c>
      <c r="N95" s="17">
        <v>21201.0</v>
      </c>
      <c r="O95" s="18">
        <v>28465.0</v>
      </c>
      <c r="P95" s="18">
        <v>2.0</v>
      </c>
      <c r="Q95" s="4">
        <f t="shared" si="1"/>
        <v>7.026172493</v>
      </c>
    </row>
    <row r="96">
      <c r="A96" s="2"/>
      <c r="B96" s="43">
        <v>88.0</v>
      </c>
      <c r="C96" s="44" t="s">
        <v>32</v>
      </c>
      <c r="D96" s="44" t="s">
        <v>27</v>
      </c>
      <c r="E96" s="44" t="s">
        <v>55</v>
      </c>
      <c r="F96" s="44" t="s">
        <v>58</v>
      </c>
      <c r="G96" s="44" t="s">
        <v>58</v>
      </c>
      <c r="H96" s="45">
        <v>7.0</v>
      </c>
      <c r="I96" s="45">
        <v>6.0</v>
      </c>
      <c r="J96" s="45">
        <v>1.0</v>
      </c>
      <c r="K96" s="45">
        <v>85.7</v>
      </c>
      <c r="L96" s="45">
        <v>14.3</v>
      </c>
      <c r="N96" s="17">
        <v>21202.0</v>
      </c>
      <c r="O96" s="18">
        <v>24531.0</v>
      </c>
      <c r="P96" s="18">
        <v>0.0</v>
      </c>
      <c r="Q96" s="4">
        <f t="shared" si="1"/>
        <v>0</v>
      </c>
    </row>
    <row r="97">
      <c r="A97" s="2"/>
      <c r="B97" s="38">
        <v>89.0</v>
      </c>
      <c r="C97" s="39" t="s">
        <v>32</v>
      </c>
      <c r="D97" s="39" t="s">
        <v>27</v>
      </c>
      <c r="E97" s="39" t="s">
        <v>55</v>
      </c>
      <c r="F97" s="39" t="s">
        <v>58</v>
      </c>
      <c r="G97" s="41" t="s">
        <v>23</v>
      </c>
      <c r="H97" s="42">
        <v>3.0</v>
      </c>
      <c r="I97" s="42">
        <v>3.0</v>
      </c>
      <c r="J97" s="42">
        <v>0.0</v>
      </c>
      <c r="K97" s="42">
        <v>100.0</v>
      </c>
      <c r="L97" s="42">
        <v>0.0</v>
      </c>
      <c r="N97" s="17">
        <v>21203.0</v>
      </c>
      <c r="O97" s="18">
        <v>17426.0</v>
      </c>
      <c r="P97" s="18">
        <v>12.0</v>
      </c>
      <c r="Q97" s="4">
        <f t="shared" si="1"/>
        <v>68.86261907</v>
      </c>
    </row>
    <row r="98">
      <c r="A98" s="2"/>
      <c r="B98" s="38">
        <v>90.0</v>
      </c>
      <c r="C98" s="39" t="s">
        <v>32</v>
      </c>
      <c r="D98" s="39" t="s">
        <v>27</v>
      </c>
      <c r="E98" s="39" t="s">
        <v>55</v>
      </c>
      <c r="F98" s="39" t="s">
        <v>58</v>
      </c>
      <c r="G98" s="41" t="s">
        <v>25</v>
      </c>
      <c r="H98" s="42">
        <v>4.0</v>
      </c>
      <c r="I98" s="42">
        <v>3.0</v>
      </c>
      <c r="J98" s="42">
        <v>1.0</v>
      </c>
      <c r="K98" s="42">
        <v>75.0</v>
      </c>
      <c r="L98" s="42">
        <v>25.0</v>
      </c>
      <c r="N98" s="17">
        <v>21204.0</v>
      </c>
      <c r="O98" s="18">
        <v>8157.0</v>
      </c>
      <c r="P98" s="18">
        <v>1.0</v>
      </c>
      <c r="Q98" s="4">
        <f t="shared" si="1"/>
        <v>12.2594091</v>
      </c>
    </row>
    <row r="99">
      <c r="A99" s="2"/>
      <c r="B99" s="43">
        <v>91.0</v>
      </c>
      <c r="C99" s="44" t="s">
        <v>32</v>
      </c>
      <c r="D99" s="44" t="s">
        <v>27</v>
      </c>
      <c r="E99" s="44" t="s">
        <v>55</v>
      </c>
      <c r="F99" s="44" t="s">
        <v>59</v>
      </c>
      <c r="G99" s="44" t="s">
        <v>59</v>
      </c>
      <c r="H99" s="45">
        <v>27.0</v>
      </c>
      <c r="I99" s="45">
        <v>14.0</v>
      </c>
      <c r="J99" s="45">
        <v>13.0</v>
      </c>
      <c r="K99" s="45">
        <v>51.9</v>
      </c>
      <c r="L99" s="45">
        <v>48.1</v>
      </c>
      <c r="N99" s="17">
        <v>21301.0</v>
      </c>
      <c r="O99" s="18">
        <v>31312.0</v>
      </c>
      <c r="P99" s="18">
        <v>7.0</v>
      </c>
      <c r="Q99" s="4">
        <f t="shared" si="1"/>
        <v>22.3556464</v>
      </c>
    </row>
    <row r="100">
      <c r="A100" s="2"/>
      <c r="B100" s="38">
        <v>92.0</v>
      </c>
      <c r="C100" s="39" t="s">
        <v>32</v>
      </c>
      <c r="D100" s="39" t="s">
        <v>27</v>
      </c>
      <c r="E100" s="39" t="s">
        <v>55</v>
      </c>
      <c r="F100" s="39" t="s">
        <v>59</v>
      </c>
      <c r="G100" s="41" t="s">
        <v>23</v>
      </c>
      <c r="H100" s="42">
        <v>6.0</v>
      </c>
      <c r="I100" s="42">
        <v>6.0</v>
      </c>
      <c r="J100" s="42">
        <v>0.0</v>
      </c>
      <c r="K100" s="42">
        <v>100.0</v>
      </c>
      <c r="L100" s="42">
        <v>0.0</v>
      </c>
      <c r="N100" s="17">
        <v>21302.0</v>
      </c>
      <c r="O100" s="18">
        <v>8903.0</v>
      </c>
      <c r="P100" s="18">
        <v>0.0</v>
      </c>
      <c r="Q100" s="4">
        <f t="shared" si="1"/>
        <v>0</v>
      </c>
    </row>
    <row r="101">
      <c r="A101" s="2"/>
      <c r="B101" s="38">
        <v>93.0</v>
      </c>
      <c r="C101" s="39" t="s">
        <v>32</v>
      </c>
      <c r="D101" s="39" t="s">
        <v>27</v>
      </c>
      <c r="E101" s="39" t="s">
        <v>55</v>
      </c>
      <c r="F101" s="39" t="s">
        <v>59</v>
      </c>
      <c r="G101" s="41" t="s">
        <v>25</v>
      </c>
      <c r="H101" s="42">
        <v>21.0</v>
      </c>
      <c r="I101" s="42">
        <v>8.0</v>
      </c>
      <c r="J101" s="42">
        <v>13.0</v>
      </c>
      <c r="K101" s="42">
        <v>38.1</v>
      </c>
      <c r="L101" s="42">
        <v>61.9</v>
      </c>
      <c r="N101" s="17">
        <v>21303.0</v>
      </c>
      <c r="O101" s="18">
        <v>7798.0</v>
      </c>
      <c r="P101" s="18">
        <v>2.0</v>
      </c>
      <c r="Q101" s="4">
        <f t="shared" si="1"/>
        <v>25.64760195</v>
      </c>
    </row>
    <row r="102">
      <c r="A102" s="2"/>
      <c r="B102" s="34">
        <v>94.0</v>
      </c>
      <c r="C102" s="35" t="s">
        <v>30</v>
      </c>
      <c r="D102" s="35" t="s">
        <v>27</v>
      </c>
      <c r="E102" s="35" t="s">
        <v>60</v>
      </c>
      <c r="F102" s="36"/>
      <c r="G102" s="35" t="s">
        <v>60</v>
      </c>
      <c r="H102" s="37">
        <v>20.0</v>
      </c>
      <c r="I102" s="37">
        <v>2.0</v>
      </c>
      <c r="J102" s="37">
        <v>18.0</v>
      </c>
      <c r="K102" s="37">
        <v>10.0</v>
      </c>
      <c r="L102" s="37">
        <v>90.0</v>
      </c>
      <c r="N102" s="17">
        <v>21304.0</v>
      </c>
      <c r="O102" s="18">
        <v>12413.0</v>
      </c>
      <c r="P102" s="18">
        <v>10.0</v>
      </c>
      <c r="Q102" s="4">
        <f t="shared" si="1"/>
        <v>80.56070249</v>
      </c>
    </row>
    <row r="103">
      <c r="A103" s="2"/>
      <c r="B103" s="38">
        <v>95.0</v>
      </c>
      <c r="C103" s="39" t="s">
        <v>30</v>
      </c>
      <c r="D103" s="39" t="s">
        <v>27</v>
      </c>
      <c r="E103" s="39" t="s">
        <v>60</v>
      </c>
      <c r="F103" s="40"/>
      <c r="G103" s="41" t="s">
        <v>23</v>
      </c>
      <c r="H103" s="42">
        <v>6.0</v>
      </c>
      <c r="I103" s="42">
        <v>2.0</v>
      </c>
      <c r="J103" s="42">
        <v>4.0</v>
      </c>
      <c r="K103" s="42">
        <v>33.3</v>
      </c>
      <c r="L103" s="42">
        <v>66.7</v>
      </c>
      <c r="N103" s="17">
        <v>21305.0</v>
      </c>
      <c r="O103" s="18">
        <v>22858.0</v>
      </c>
      <c r="P103" s="18">
        <v>4.0</v>
      </c>
      <c r="Q103" s="4">
        <f t="shared" si="1"/>
        <v>17.49934377</v>
      </c>
    </row>
    <row r="104">
      <c r="A104" s="2"/>
      <c r="B104" s="38">
        <v>96.0</v>
      </c>
      <c r="C104" s="39" t="s">
        <v>30</v>
      </c>
      <c r="D104" s="39" t="s">
        <v>27</v>
      </c>
      <c r="E104" s="39" t="s">
        <v>60</v>
      </c>
      <c r="F104" s="40"/>
      <c r="G104" s="41" t="s">
        <v>25</v>
      </c>
      <c r="H104" s="42">
        <v>14.0</v>
      </c>
      <c r="I104" s="42">
        <v>0.0</v>
      </c>
      <c r="J104" s="42">
        <v>14.0</v>
      </c>
      <c r="K104" s="42">
        <v>0.0</v>
      </c>
      <c r="L104" s="42">
        <v>100.0</v>
      </c>
      <c r="N104" s="17">
        <v>21306.0</v>
      </c>
      <c r="O104" s="18">
        <v>9879.0</v>
      </c>
      <c r="P104" s="18">
        <v>0.0</v>
      </c>
      <c r="Q104" s="4">
        <f t="shared" si="1"/>
        <v>0</v>
      </c>
    </row>
    <row r="105">
      <c r="A105" s="2"/>
      <c r="B105" s="43">
        <v>97.0</v>
      </c>
      <c r="C105" s="44" t="s">
        <v>32</v>
      </c>
      <c r="D105" s="44" t="s">
        <v>27</v>
      </c>
      <c r="E105" s="44" t="s">
        <v>60</v>
      </c>
      <c r="F105" s="44" t="s">
        <v>61</v>
      </c>
      <c r="G105" s="44" t="s">
        <v>61</v>
      </c>
      <c r="H105" s="45">
        <v>20.0</v>
      </c>
      <c r="I105" s="45">
        <v>2.0</v>
      </c>
      <c r="J105" s="45">
        <v>18.0</v>
      </c>
      <c r="K105" s="45">
        <v>10.0</v>
      </c>
      <c r="L105" s="45">
        <v>90.0</v>
      </c>
      <c r="N105" s="17">
        <v>21307.0</v>
      </c>
      <c r="O105" s="18">
        <v>5042.0</v>
      </c>
      <c r="P105" s="18">
        <v>5.0</v>
      </c>
      <c r="Q105" s="4">
        <f t="shared" si="1"/>
        <v>99.16699722</v>
      </c>
    </row>
    <row r="106">
      <c r="A106" s="2"/>
      <c r="B106" s="38">
        <v>98.0</v>
      </c>
      <c r="C106" s="39" t="s">
        <v>32</v>
      </c>
      <c r="D106" s="39" t="s">
        <v>27</v>
      </c>
      <c r="E106" s="39" t="s">
        <v>60</v>
      </c>
      <c r="F106" s="39" t="s">
        <v>61</v>
      </c>
      <c r="G106" s="41" t="s">
        <v>23</v>
      </c>
      <c r="H106" s="42">
        <v>6.0</v>
      </c>
      <c r="I106" s="42">
        <v>2.0</v>
      </c>
      <c r="J106" s="42">
        <v>4.0</v>
      </c>
      <c r="K106" s="42">
        <v>33.3</v>
      </c>
      <c r="L106" s="42">
        <v>66.7</v>
      </c>
      <c r="N106" s="17">
        <v>21401.0</v>
      </c>
      <c r="O106" s="18">
        <v>19397.0</v>
      </c>
      <c r="P106" s="18">
        <v>1.0</v>
      </c>
      <c r="Q106" s="4">
        <f t="shared" si="1"/>
        <v>5.155436408</v>
      </c>
    </row>
    <row r="107">
      <c r="A107" s="2"/>
      <c r="B107" s="38">
        <v>99.0</v>
      </c>
      <c r="C107" s="39" t="s">
        <v>32</v>
      </c>
      <c r="D107" s="39" t="s">
        <v>27</v>
      </c>
      <c r="E107" s="39" t="s">
        <v>60</v>
      </c>
      <c r="F107" s="39" t="s">
        <v>61</v>
      </c>
      <c r="G107" s="41" t="s">
        <v>25</v>
      </c>
      <c r="H107" s="42">
        <v>14.0</v>
      </c>
      <c r="I107" s="42">
        <v>0.0</v>
      </c>
      <c r="J107" s="42">
        <v>14.0</v>
      </c>
      <c r="K107" s="42">
        <v>0.0</v>
      </c>
      <c r="L107" s="42">
        <v>100.0</v>
      </c>
      <c r="N107" s="17">
        <v>21402.0</v>
      </c>
      <c r="O107" s="18">
        <v>16930.0</v>
      </c>
      <c r="P107" s="18">
        <v>7.0</v>
      </c>
      <c r="Q107" s="4">
        <f t="shared" si="1"/>
        <v>41.3467218</v>
      </c>
    </row>
    <row r="108">
      <c r="A108" s="2"/>
      <c r="B108" s="34">
        <v>100.0</v>
      </c>
      <c r="C108" s="35" t="s">
        <v>30</v>
      </c>
      <c r="D108" s="35" t="s">
        <v>27</v>
      </c>
      <c r="E108" s="35" t="s">
        <v>62</v>
      </c>
      <c r="F108" s="36"/>
      <c r="G108" s="35" t="s">
        <v>62</v>
      </c>
      <c r="H108" s="37">
        <v>25.0</v>
      </c>
      <c r="I108" s="37">
        <v>0.0</v>
      </c>
      <c r="J108" s="37">
        <v>25.0</v>
      </c>
      <c r="K108" s="37">
        <v>0.0</v>
      </c>
      <c r="L108" s="37">
        <v>100.0</v>
      </c>
      <c r="N108" s="17">
        <v>21501.0</v>
      </c>
      <c r="O108" s="18">
        <v>9362.0</v>
      </c>
      <c r="P108" s="18">
        <v>0.0</v>
      </c>
      <c r="Q108" s="4">
        <f t="shared" si="1"/>
        <v>0</v>
      </c>
    </row>
    <row r="109">
      <c r="A109" s="2"/>
      <c r="B109" s="38">
        <v>101.0</v>
      </c>
      <c r="C109" s="39" t="s">
        <v>30</v>
      </c>
      <c r="D109" s="39" t="s">
        <v>27</v>
      </c>
      <c r="E109" s="39" t="s">
        <v>62</v>
      </c>
      <c r="F109" s="40"/>
      <c r="G109" s="41" t="s">
        <v>23</v>
      </c>
      <c r="H109" s="42">
        <v>15.0</v>
      </c>
      <c r="I109" s="42">
        <v>0.0</v>
      </c>
      <c r="J109" s="42">
        <v>15.0</v>
      </c>
      <c r="K109" s="42">
        <v>0.0</v>
      </c>
      <c r="L109" s="42">
        <v>100.0</v>
      </c>
      <c r="N109" s="17">
        <v>21502.0</v>
      </c>
      <c r="O109" s="18">
        <v>8711.0</v>
      </c>
      <c r="P109" s="18">
        <v>6.0</v>
      </c>
      <c r="Q109" s="4">
        <f t="shared" si="1"/>
        <v>68.87842957</v>
      </c>
    </row>
    <row r="110">
      <c r="A110" s="2"/>
      <c r="B110" s="38">
        <v>102.0</v>
      </c>
      <c r="C110" s="39" t="s">
        <v>30</v>
      </c>
      <c r="D110" s="39" t="s">
        <v>27</v>
      </c>
      <c r="E110" s="39" t="s">
        <v>62</v>
      </c>
      <c r="F110" s="40"/>
      <c r="G110" s="41" t="s">
        <v>25</v>
      </c>
      <c r="H110" s="42">
        <v>10.0</v>
      </c>
      <c r="I110" s="42">
        <v>0.0</v>
      </c>
      <c r="J110" s="42">
        <v>10.0</v>
      </c>
      <c r="K110" s="42">
        <v>0.0</v>
      </c>
      <c r="L110" s="42">
        <v>100.0</v>
      </c>
      <c r="N110" s="17">
        <v>21601.0</v>
      </c>
      <c r="O110" s="18">
        <v>13023.0</v>
      </c>
      <c r="P110" s="18">
        <v>10.0</v>
      </c>
      <c r="Q110" s="4">
        <f t="shared" si="1"/>
        <v>76.78722261</v>
      </c>
    </row>
    <row r="111">
      <c r="A111" s="2"/>
      <c r="B111" s="43">
        <v>103.0</v>
      </c>
      <c r="C111" s="44" t="s">
        <v>32</v>
      </c>
      <c r="D111" s="44" t="s">
        <v>27</v>
      </c>
      <c r="E111" s="44" t="s">
        <v>62</v>
      </c>
      <c r="F111" s="44" t="s">
        <v>63</v>
      </c>
      <c r="G111" s="44" t="s">
        <v>63</v>
      </c>
      <c r="H111" s="45">
        <v>18.0</v>
      </c>
      <c r="I111" s="45">
        <v>0.0</v>
      </c>
      <c r="J111" s="45">
        <v>18.0</v>
      </c>
      <c r="K111" s="45">
        <v>0.0</v>
      </c>
      <c r="L111" s="45">
        <v>100.0</v>
      </c>
      <c r="N111" s="17">
        <v>21602.0</v>
      </c>
      <c r="O111" s="18">
        <v>3285.0</v>
      </c>
      <c r="P111" s="18">
        <v>7.0</v>
      </c>
      <c r="Q111" s="4">
        <f t="shared" si="1"/>
        <v>213.0898021</v>
      </c>
    </row>
    <row r="112">
      <c r="A112" s="2"/>
      <c r="B112" s="38">
        <v>104.0</v>
      </c>
      <c r="C112" s="39" t="s">
        <v>32</v>
      </c>
      <c r="D112" s="39" t="s">
        <v>27</v>
      </c>
      <c r="E112" s="39" t="s">
        <v>62</v>
      </c>
      <c r="F112" s="39" t="s">
        <v>63</v>
      </c>
      <c r="G112" s="41" t="s">
        <v>23</v>
      </c>
      <c r="H112" s="42">
        <v>11.0</v>
      </c>
      <c r="I112" s="42">
        <v>0.0</v>
      </c>
      <c r="J112" s="42">
        <v>11.0</v>
      </c>
      <c r="K112" s="42">
        <v>0.0</v>
      </c>
      <c r="L112" s="42">
        <v>100.0</v>
      </c>
      <c r="N112" s="17">
        <v>21701.0</v>
      </c>
      <c r="O112" s="18">
        <v>14931.0</v>
      </c>
      <c r="P112" s="18">
        <v>1.0</v>
      </c>
      <c r="Q112" s="4">
        <f t="shared" si="1"/>
        <v>6.697475052</v>
      </c>
    </row>
    <row r="113">
      <c r="A113" s="2"/>
      <c r="B113" s="38">
        <v>105.0</v>
      </c>
      <c r="C113" s="39" t="s">
        <v>32</v>
      </c>
      <c r="D113" s="39" t="s">
        <v>27</v>
      </c>
      <c r="E113" s="39" t="s">
        <v>62</v>
      </c>
      <c r="F113" s="39" t="s">
        <v>63</v>
      </c>
      <c r="G113" s="41" t="s">
        <v>25</v>
      </c>
      <c r="H113" s="42">
        <v>7.0</v>
      </c>
      <c r="I113" s="42">
        <v>0.0</v>
      </c>
      <c r="J113" s="42">
        <v>7.0</v>
      </c>
      <c r="K113" s="42">
        <v>0.0</v>
      </c>
      <c r="L113" s="42">
        <v>100.0</v>
      </c>
      <c r="N113" s="17">
        <v>21702.0</v>
      </c>
      <c r="O113" s="18">
        <v>6052.0</v>
      </c>
      <c r="P113" s="18">
        <v>0.0</v>
      </c>
      <c r="Q113" s="4">
        <f t="shared" si="1"/>
        <v>0</v>
      </c>
    </row>
    <row r="114">
      <c r="A114" s="2"/>
      <c r="B114" s="43">
        <v>106.0</v>
      </c>
      <c r="C114" s="44" t="s">
        <v>32</v>
      </c>
      <c r="D114" s="44" t="s">
        <v>27</v>
      </c>
      <c r="E114" s="44" t="s">
        <v>62</v>
      </c>
      <c r="F114" s="44" t="s">
        <v>64</v>
      </c>
      <c r="G114" s="44" t="s">
        <v>64</v>
      </c>
      <c r="H114" s="45">
        <v>7.0</v>
      </c>
      <c r="I114" s="45">
        <v>0.0</v>
      </c>
      <c r="J114" s="45">
        <v>7.0</v>
      </c>
      <c r="K114" s="45">
        <v>0.0</v>
      </c>
      <c r="L114" s="45">
        <v>100.0</v>
      </c>
      <c r="N114" s="17">
        <v>21703.0</v>
      </c>
      <c r="O114" s="18">
        <v>6261.0</v>
      </c>
      <c r="P114" s="18">
        <v>8.0</v>
      </c>
      <c r="Q114" s="4">
        <f t="shared" si="1"/>
        <v>127.7751158</v>
      </c>
    </row>
    <row r="115">
      <c r="A115" s="2"/>
      <c r="B115" s="38">
        <v>107.0</v>
      </c>
      <c r="C115" s="39" t="s">
        <v>32</v>
      </c>
      <c r="D115" s="39" t="s">
        <v>27</v>
      </c>
      <c r="E115" s="39" t="s">
        <v>62</v>
      </c>
      <c r="F115" s="39" t="s">
        <v>64</v>
      </c>
      <c r="G115" s="41" t="s">
        <v>23</v>
      </c>
      <c r="H115" s="42">
        <v>4.0</v>
      </c>
      <c r="I115" s="42">
        <v>0.0</v>
      </c>
      <c r="J115" s="42">
        <v>4.0</v>
      </c>
      <c r="K115" s="42">
        <v>0.0</v>
      </c>
      <c r="L115" s="42">
        <v>100.0</v>
      </c>
      <c r="N115" s="17">
        <v>21801.0</v>
      </c>
      <c r="O115" s="18">
        <v>8858.0</v>
      </c>
      <c r="P115" s="18">
        <v>0.0</v>
      </c>
      <c r="Q115" s="4">
        <f t="shared" si="1"/>
        <v>0</v>
      </c>
    </row>
    <row r="116">
      <c r="A116" s="2"/>
      <c r="B116" s="38">
        <v>108.0</v>
      </c>
      <c r="C116" s="39" t="s">
        <v>32</v>
      </c>
      <c r="D116" s="39" t="s">
        <v>27</v>
      </c>
      <c r="E116" s="39" t="s">
        <v>62</v>
      </c>
      <c r="F116" s="39" t="s">
        <v>64</v>
      </c>
      <c r="G116" s="41" t="s">
        <v>25</v>
      </c>
      <c r="H116" s="42">
        <v>3.0</v>
      </c>
      <c r="I116" s="42">
        <v>0.0</v>
      </c>
      <c r="J116" s="42">
        <v>3.0</v>
      </c>
      <c r="K116" s="42">
        <v>0.0</v>
      </c>
      <c r="L116" s="42">
        <v>100.0</v>
      </c>
      <c r="N116" s="17">
        <v>21802.0</v>
      </c>
      <c r="O116" s="18">
        <v>7003.0</v>
      </c>
      <c r="P116" s="18">
        <v>0.0</v>
      </c>
      <c r="Q116" s="4">
        <f t="shared" si="1"/>
        <v>0</v>
      </c>
    </row>
    <row r="117">
      <c r="A117" s="2"/>
      <c r="B117" s="43">
        <v>109.0</v>
      </c>
      <c r="C117" s="44" t="s">
        <v>32</v>
      </c>
      <c r="D117" s="44" t="s">
        <v>27</v>
      </c>
      <c r="E117" s="44" t="s">
        <v>62</v>
      </c>
      <c r="F117" s="44" t="s">
        <v>65</v>
      </c>
      <c r="G117" s="44" t="s">
        <v>65</v>
      </c>
      <c r="H117" s="45">
        <v>0.0</v>
      </c>
      <c r="I117" s="45">
        <v>0.0</v>
      </c>
      <c r="J117" s="45">
        <v>0.0</v>
      </c>
      <c r="K117" s="45">
        <v>0.0</v>
      </c>
      <c r="L117" s="45">
        <v>0.0</v>
      </c>
      <c r="N117" s="17">
        <v>21803.0</v>
      </c>
      <c r="O117" s="18">
        <v>2004.0</v>
      </c>
      <c r="P117" s="18">
        <v>0.0</v>
      </c>
      <c r="Q117" s="4">
        <f t="shared" si="1"/>
        <v>0</v>
      </c>
    </row>
    <row r="118">
      <c r="A118" s="2"/>
      <c r="B118" s="38">
        <v>110.0</v>
      </c>
      <c r="C118" s="39" t="s">
        <v>32</v>
      </c>
      <c r="D118" s="39" t="s">
        <v>27</v>
      </c>
      <c r="E118" s="39" t="s">
        <v>62</v>
      </c>
      <c r="F118" s="39" t="s">
        <v>65</v>
      </c>
      <c r="G118" s="41" t="s">
        <v>23</v>
      </c>
      <c r="H118" s="46"/>
      <c r="I118" s="46"/>
      <c r="J118" s="46"/>
      <c r="K118" s="46"/>
      <c r="L118" s="46"/>
      <c r="N118" s="17">
        <v>21901.0</v>
      </c>
      <c r="O118" s="18">
        <v>4593.0</v>
      </c>
      <c r="P118" s="18">
        <v>0.0</v>
      </c>
      <c r="Q118" s="4">
        <f t="shared" si="1"/>
        <v>0</v>
      </c>
    </row>
    <row r="119">
      <c r="A119" s="2"/>
      <c r="B119" s="38">
        <v>111.0</v>
      </c>
      <c r="C119" s="39" t="s">
        <v>32</v>
      </c>
      <c r="D119" s="39" t="s">
        <v>27</v>
      </c>
      <c r="E119" s="39" t="s">
        <v>62</v>
      </c>
      <c r="F119" s="39" t="s">
        <v>65</v>
      </c>
      <c r="G119" s="41" t="s">
        <v>25</v>
      </c>
      <c r="H119" s="42">
        <v>0.0</v>
      </c>
      <c r="I119" s="42">
        <v>0.0</v>
      </c>
      <c r="J119" s="42">
        <v>0.0</v>
      </c>
      <c r="K119" s="42">
        <v>0.0</v>
      </c>
      <c r="L119" s="42">
        <v>0.0</v>
      </c>
      <c r="N119" s="17">
        <v>21902.0</v>
      </c>
      <c r="O119" s="18">
        <v>2881.0</v>
      </c>
      <c r="P119" s="18">
        <v>0.0</v>
      </c>
      <c r="Q119" s="4">
        <f t="shared" si="1"/>
        <v>0</v>
      </c>
    </row>
    <row r="120">
      <c r="A120" s="2"/>
      <c r="B120" s="34">
        <v>112.0</v>
      </c>
      <c r="C120" s="35" t="s">
        <v>30</v>
      </c>
      <c r="D120" s="35" t="s">
        <v>27</v>
      </c>
      <c r="E120" s="35" t="s">
        <v>66</v>
      </c>
      <c r="F120" s="36"/>
      <c r="G120" s="35" t="s">
        <v>66</v>
      </c>
      <c r="H120" s="37">
        <v>100.0</v>
      </c>
      <c r="I120" s="37">
        <v>29.0</v>
      </c>
      <c r="J120" s="37">
        <v>71.0</v>
      </c>
      <c r="K120" s="37">
        <v>29.0</v>
      </c>
      <c r="L120" s="37">
        <v>71.0</v>
      </c>
      <c r="N120" s="17">
        <v>22001.0</v>
      </c>
      <c r="O120" s="18">
        <v>50330.0</v>
      </c>
      <c r="P120" s="18">
        <v>21.0</v>
      </c>
      <c r="Q120" s="4">
        <f t="shared" si="1"/>
        <v>41.72461752</v>
      </c>
    </row>
    <row r="121">
      <c r="A121" s="2"/>
      <c r="B121" s="38">
        <v>113.0</v>
      </c>
      <c r="C121" s="39" t="s">
        <v>30</v>
      </c>
      <c r="D121" s="39" t="s">
        <v>27</v>
      </c>
      <c r="E121" s="39" t="s">
        <v>66</v>
      </c>
      <c r="F121" s="40"/>
      <c r="G121" s="41" t="s">
        <v>23</v>
      </c>
      <c r="H121" s="42">
        <v>67.0</v>
      </c>
      <c r="I121" s="42">
        <v>6.0</v>
      </c>
      <c r="J121" s="42">
        <v>61.0</v>
      </c>
      <c r="K121" s="42">
        <v>9.0</v>
      </c>
      <c r="L121" s="42">
        <v>91.0</v>
      </c>
      <c r="N121" s="17">
        <v>22002.0</v>
      </c>
      <c r="O121" s="18">
        <v>11194.0</v>
      </c>
      <c r="P121" s="18">
        <v>0.0</v>
      </c>
      <c r="Q121" s="4">
        <f t="shared" si="1"/>
        <v>0</v>
      </c>
    </row>
    <row r="122">
      <c r="A122" s="2"/>
      <c r="B122" s="38">
        <v>114.0</v>
      </c>
      <c r="C122" s="39" t="s">
        <v>30</v>
      </c>
      <c r="D122" s="39" t="s">
        <v>27</v>
      </c>
      <c r="E122" s="39" t="s">
        <v>66</v>
      </c>
      <c r="F122" s="40"/>
      <c r="G122" s="41" t="s">
        <v>25</v>
      </c>
      <c r="H122" s="42">
        <v>33.0</v>
      </c>
      <c r="I122" s="42">
        <v>23.0</v>
      </c>
      <c r="J122" s="42">
        <v>10.0</v>
      </c>
      <c r="K122" s="42">
        <v>69.7</v>
      </c>
      <c r="L122" s="42">
        <v>30.3</v>
      </c>
      <c r="N122" s="17">
        <v>30101.0</v>
      </c>
      <c r="O122" s="18">
        <v>632013.0</v>
      </c>
      <c r="P122" s="18">
        <v>187.0</v>
      </c>
      <c r="Q122" s="4">
        <f t="shared" si="1"/>
        <v>29.58799898</v>
      </c>
    </row>
    <row r="123">
      <c r="A123" s="2"/>
      <c r="B123" s="43">
        <v>115.0</v>
      </c>
      <c r="C123" s="44" t="s">
        <v>32</v>
      </c>
      <c r="D123" s="44" t="s">
        <v>27</v>
      </c>
      <c r="E123" s="44" t="s">
        <v>66</v>
      </c>
      <c r="F123" s="44" t="s">
        <v>67</v>
      </c>
      <c r="G123" s="44" t="s">
        <v>67</v>
      </c>
      <c r="H123" s="45">
        <v>88.0</v>
      </c>
      <c r="I123" s="45">
        <v>24.0</v>
      </c>
      <c r="J123" s="45">
        <v>64.0</v>
      </c>
      <c r="K123" s="45">
        <v>27.3</v>
      </c>
      <c r="L123" s="45">
        <v>72.7</v>
      </c>
      <c r="N123" s="17">
        <v>30201.0</v>
      </c>
      <c r="O123" s="18">
        <v>23267.0</v>
      </c>
      <c r="P123" s="18">
        <v>11.0</v>
      </c>
      <c r="Q123" s="4">
        <f t="shared" si="1"/>
        <v>47.27725964</v>
      </c>
    </row>
    <row r="124">
      <c r="A124" s="2"/>
      <c r="B124" s="38">
        <v>116.0</v>
      </c>
      <c r="C124" s="39" t="s">
        <v>32</v>
      </c>
      <c r="D124" s="39" t="s">
        <v>27</v>
      </c>
      <c r="E124" s="39" t="s">
        <v>66</v>
      </c>
      <c r="F124" s="39" t="s">
        <v>67</v>
      </c>
      <c r="G124" s="41" t="s">
        <v>23</v>
      </c>
      <c r="H124" s="42">
        <v>67.0</v>
      </c>
      <c r="I124" s="42">
        <v>6.0</v>
      </c>
      <c r="J124" s="42">
        <v>61.0</v>
      </c>
      <c r="K124" s="42">
        <v>9.0</v>
      </c>
      <c r="L124" s="42">
        <v>91.0</v>
      </c>
      <c r="N124" s="17">
        <v>30202.0</v>
      </c>
      <c r="O124" s="18">
        <v>6853.0</v>
      </c>
      <c r="P124" s="18">
        <v>0.0</v>
      </c>
      <c r="Q124" s="4">
        <f t="shared" si="1"/>
        <v>0</v>
      </c>
    </row>
    <row r="125">
      <c r="A125" s="2"/>
      <c r="B125" s="38">
        <v>117.0</v>
      </c>
      <c r="C125" s="39" t="s">
        <v>32</v>
      </c>
      <c r="D125" s="39" t="s">
        <v>27</v>
      </c>
      <c r="E125" s="39" t="s">
        <v>66</v>
      </c>
      <c r="F125" s="39" t="s">
        <v>67</v>
      </c>
      <c r="G125" s="41" t="s">
        <v>25</v>
      </c>
      <c r="H125" s="42">
        <v>21.0</v>
      </c>
      <c r="I125" s="42">
        <v>18.0</v>
      </c>
      <c r="J125" s="42">
        <v>3.0</v>
      </c>
      <c r="K125" s="42">
        <v>85.7</v>
      </c>
      <c r="L125" s="42">
        <v>14.3</v>
      </c>
      <c r="N125" s="17">
        <v>30203.0</v>
      </c>
      <c r="O125" s="18">
        <v>5643.0</v>
      </c>
      <c r="P125" s="18">
        <v>3.0</v>
      </c>
      <c r="Q125" s="4">
        <f t="shared" si="1"/>
        <v>53.16321106</v>
      </c>
    </row>
    <row r="126">
      <c r="A126" s="2"/>
      <c r="B126" s="43">
        <v>118.0</v>
      </c>
      <c r="C126" s="44" t="s">
        <v>32</v>
      </c>
      <c r="D126" s="44" t="s">
        <v>27</v>
      </c>
      <c r="E126" s="44" t="s">
        <v>66</v>
      </c>
      <c r="F126" s="44" t="s">
        <v>68</v>
      </c>
      <c r="G126" s="44" t="s">
        <v>68</v>
      </c>
      <c r="H126" s="45">
        <v>1.0</v>
      </c>
      <c r="I126" s="45">
        <v>1.0</v>
      </c>
      <c r="J126" s="45">
        <v>0.0</v>
      </c>
      <c r="K126" s="45">
        <v>100.0</v>
      </c>
      <c r="L126" s="45">
        <v>0.0</v>
      </c>
      <c r="N126" s="17">
        <v>30301.0</v>
      </c>
      <c r="O126" s="18">
        <v>23658.0</v>
      </c>
      <c r="P126" s="18">
        <v>9.0</v>
      </c>
      <c r="Q126" s="4">
        <f t="shared" si="1"/>
        <v>38.04209992</v>
      </c>
    </row>
    <row r="127">
      <c r="A127" s="2"/>
      <c r="B127" s="38">
        <v>119.0</v>
      </c>
      <c r="C127" s="39" t="s">
        <v>32</v>
      </c>
      <c r="D127" s="39" t="s">
        <v>27</v>
      </c>
      <c r="E127" s="39" t="s">
        <v>66</v>
      </c>
      <c r="F127" s="39" t="s">
        <v>68</v>
      </c>
      <c r="G127" s="41" t="s">
        <v>23</v>
      </c>
      <c r="H127" s="46"/>
      <c r="I127" s="46"/>
      <c r="J127" s="46"/>
      <c r="K127" s="46"/>
      <c r="L127" s="46"/>
      <c r="N127" s="17">
        <v>30302.0</v>
      </c>
      <c r="O127" s="18">
        <v>12797.0</v>
      </c>
      <c r="P127" s="18">
        <v>16.0</v>
      </c>
      <c r="Q127" s="4">
        <f t="shared" si="1"/>
        <v>125.0293037</v>
      </c>
    </row>
    <row r="128">
      <c r="A128" s="2"/>
      <c r="B128" s="38">
        <v>120.0</v>
      </c>
      <c r="C128" s="39" t="s">
        <v>32</v>
      </c>
      <c r="D128" s="39" t="s">
        <v>27</v>
      </c>
      <c r="E128" s="39" t="s">
        <v>66</v>
      </c>
      <c r="F128" s="39" t="s">
        <v>68</v>
      </c>
      <c r="G128" s="41" t="s">
        <v>25</v>
      </c>
      <c r="H128" s="42">
        <v>1.0</v>
      </c>
      <c r="I128" s="42">
        <v>1.0</v>
      </c>
      <c r="J128" s="42">
        <v>0.0</v>
      </c>
      <c r="K128" s="42">
        <v>100.0</v>
      </c>
      <c r="L128" s="42">
        <v>0.0</v>
      </c>
      <c r="N128" s="17">
        <v>30303.0</v>
      </c>
      <c r="O128" s="18">
        <v>18076.0</v>
      </c>
      <c r="P128" s="18">
        <v>13.0</v>
      </c>
      <c r="Q128" s="4">
        <f t="shared" si="1"/>
        <v>71.91856605</v>
      </c>
    </row>
    <row r="129">
      <c r="A129" s="2"/>
      <c r="B129" s="43">
        <v>121.0</v>
      </c>
      <c r="C129" s="44" t="s">
        <v>32</v>
      </c>
      <c r="D129" s="44" t="s">
        <v>27</v>
      </c>
      <c r="E129" s="44" t="s">
        <v>66</v>
      </c>
      <c r="F129" s="44" t="s">
        <v>69</v>
      </c>
      <c r="G129" s="44" t="s">
        <v>69</v>
      </c>
      <c r="H129" s="45">
        <v>11.0</v>
      </c>
      <c r="I129" s="45">
        <v>4.0</v>
      </c>
      <c r="J129" s="45">
        <v>7.0</v>
      </c>
      <c r="K129" s="45">
        <v>36.4</v>
      </c>
      <c r="L129" s="45">
        <v>63.6</v>
      </c>
      <c r="N129" s="17">
        <v>30401.0</v>
      </c>
      <c r="O129" s="18">
        <v>8242.0</v>
      </c>
      <c r="P129" s="18">
        <v>1.0</v>
      </c>
      <c r="Q129" s="4">
        <f t="shared" si="1"/>
        <v>12.13297743</v>
      </c>
    </row>
    <row r="130">
      <c r="A130" s="2"/>
      <c r="B130" s="38">
        <v>122.0</v>
      </c>
      <c r="C130" s="39" t="s">
        <v>32</v>
      </c>
      <c r="D130" s="39" t="s">
        <v>27</v>
      </c>
      <c r="E130" s="39" t="s">
        <v>66</v>
      </c>
      <c r="F130" s="39" t="s">
        <v>69</v>
      </c>
      <c r="G130" s="41" t="s">
        <v>23</v>
      </c>
      <c r="H130" s="46"/>
      <c r="I130" s="46"/>
      <c r="J130" s="46"/>
      <c r="K130" s="46"/>
      <c r="L130" s="46"/>
      <c r="N130" s="17">
        <v>30402.0</v>
      </c>
      <c r="O130" s="18">
        <v>7192.0</v>
      </c>
      <c r="P130" s="18">
        <v>4.0</v>
      </c>
      <c r="Q130" s="4">
        <f t="shared" si="1"/>
        <v>55.61735261</v>
      </c>
    </row>
    <row r="131">
      <c r="A131" s="2"/>
      <c r="B131" s="38">
        <v>123.0</v>
      </c>
      <c r="C131" s="39" t="s">
        <v>32</v>
      </c>
      <c r="D131" s="39" t="s">
        <v>27</v>
      </c>
      <c r="E131" s="39" t="s">
        <v>66</v>
      </c>
      <c r="F131" s="39" t="s">
        <v>69</v>
      </c>
      <c r="G131" s="41" t="s">
        <v>25</v>
      </c>
      <c r="H131" s="42">
        <v>11.0</v>
      </c>
      <c r="I131" s="42">
        <v>4.0</v>
      </c>
      <c r="J131" s="42">
        <v>7.0</v>
      </c>
      <c r="K131" s="42">
        <v>36.4</v>
      </c>
      <c r="L131" s="42">
        <v>63.6</v>
      </c>
      <c r="N131" s="17">
        <v>30403.0</v>
      </c>
      <c r="O131" s="18">
        <v>17445.0</v>
      </c>
      <c r="P131" s="18">
        <v>48.0</v>
      </c>
      <c r="Q131" s="4">
        <f t="shared" si="1"/>
        <v>275.1504729</v>
      </c>
    </row>
    <row r="132">
      <c r="A132" s="2"/>
      <c r="B132" s="24">
        <v>124.0</v>
      </c>
      <c r="C132" s="25" t="s">
        <v>26</v>
      </c>
      <c r="D132" s="25" t="s">
        <v>70</v>
      </c>
      <c r="E132" s="26"/>
      <c r="F132" s="26"/>
      <c r="G132" s="25" t="s">
        <v>70</v>
      </c>
      <c r="H132" s="27">
        <v>7173.0</v>
      </c>
      <c r="I132" s="27">
        <v>1691.0</v>
      </c>
      <c r="J132" s="27">
        <v>5482.0</v>
      </c>
      <c r="K132" s="28">
        <v>23.6</v>
      </c>
      <c r="L132" s="28">
        <v>76.4</v>
      </c>
      <c r="N132" s="17">
        <v>30404.0</v>
      </c>
      <c r="O132" s="18">
        <v>4366.0</v>
      </c>
      <c r="P132" s="18">
        <v>1.0</v>
      </c>
      <c r="Q132" s="4">
        <f t="shared" si="1"/>
        <v>22.90426019</v>
      </c>
    </row>
    <row r="133">
      <c r="A133" s="2"/>
      <c r="B133" s="29">
        <v>125.0</v>
      </c>
      <c r="C133" s="30" t="s">
        <v>26</v>
      </c>
      <c r="D133" s="47" t="s">
        <v>70</v>
      </c>
      <c r="E133" s="48"/>
      <c r="F133" s="48"/>
      <c r="G133" s="30" t="s">
        <v>23</v>
      </c>
      <c r="H133" s="32">
        <v>3567.0</v>
      </c>
      <c r="I133" s="33">
        <v>718.0</v>
      </c>
      <c r="J133" s="32">
        <v>2849.0</v>
      </c>
      <c r="K133" s="33">
        <v>20.1</v>
      </c>
      <c r="L133" s="33">
        <v>79.9</v>
      </c>
      <c r="N133" s="17">
        <v>30501.0</v>
      </c>
      <c r="O133" s="18">
        <v>9504.0</v>
      </c>
      <c r="P133" s="18">
        <v>3.0</v>
      </c>
      <c r="Q133" s="4">
        <f t="shared" si="1"/>
        <v>31.56565657</v>
      </c>
    </row>
    <row r="134">
      <c r="A134" s="2"/>
      <c r="B134" s="29">
        <v>126.0</v>
      </c>
      <c r="C134" s="30" t="s">
        <v>26</v>
      </c>
      <c r="D134" s="47" t="s">
        <v>70</v>
      </c>
      <c r="E134" s="48"/>
      <c r="F134" s="48"/>
      <c r="G134" s="30" t="s">
        <v>25</v>
      </c>
      <c r="H134" s="32">
        <v>3606.0</v>
      </c>
      <c r="I134" s="33">
        <v>973.0</v>
      </c>
      <c r="J134" s="32">
        <v>2633.0</v>
      </c>
      <c r="K134" s="33">
        <v>27.0</v>
      </c>
      <c r="L134" s="33">
        <v>73.0</v>
      </c>
      <c r="N134" s="17">
        <v>30502.0</v>
      </c>
      <c r="O134" s="18">
        <v>8940.0</v>
      </c>
      <c r="P134" s="18">
        <v>1.0</v>
      </c>
      <c r="Q134" s="4">
        <f t="shared" si="1"/>
        <v>11.18568233</v>
      </c>
    </row>
    <row r="135">
      <c r="A135" s="2"/>
      <c r="B135" s="34">
        <v>127.0</v>
      </c>
      <c r="C135" s="35" t="s">
        <v>30</v>
      </c>
      <c r="D135" s="49" t="s">
        <v>70</v>
      </c>
      <c r="E135" s="49" t="s">
        <v>71</v>
      </c>
      <c r="F135" s="50"/>
      <c r="G135" s="35" t="s">
        <v>71</v>
      </c>
      <c r="H135" s="51">
        <v>2975.0</v>
      </c>
      <c r="I135" s="37">
        <v>475.0</v>
      </c>
      <c r="J135" s="51">
        <v>2500.0</v>
      </c>
      <c r="K135" s="37">
        <v>16.0</v>
      </c>
      <c r="L135" s="37">
        <v>84.0</v>
      </c>
      <c r="N135" s="17">
        <v>30601.0</v>
      </c>
      <c r="O135" s="18">
        <v>10597.0</v>
      </c>
      <c r="P135" s="18">
        <v>3.0</v>
      </c>
      <c r="Q135" s="4">
        <f t="shared" si="1"/>
        <v>28.30989903</v>
      </c>
    </row>
    <row r="136">
      <c r="A136" s="2"/>
      <c r="B136" s="38">
        <v>128.0</v>
      </c>
      <c r="C136" s="39" t="s">
        <v>30</v>
      </c>
      <c r="D136" s="39" t="s">
        <v>70</v>
      </c>
      <c r="E136" s="39" t="s">
        <v>71</v>
      </c>
      <c r="F136" s="40"/>
      <c r="G136" s="41" t="s">
        <v>23</v>
      </c>
      <c r="H136" s="52">
        <v>2695.0</v>
      </c>
      <c r="I136" s="42">
        <v>461.0</v>
      </c>
      <c r="J136" s="52">
        <v>2234.0</v>
      </c>
      <c r="K136" s="42">
        <v>17.1</v>
      </c>
      <c r="L136" s="42">
        <v>82.9</v>
      </c>
      <c r="N136" s="17">
        <v>30602.0</v>
      </c>
      <c r="O136" s="18">
        <v>10253.0</v>
      </c>
      <c r="P136" s="18">
        <v>1.0</v>
      </c>
      <c r="Q136" s="4">
        <f t="shared" si="1"/>
        <v>9.753242953</v>
      </c>
    </row>
    <row r="137">
      <c r="A137" s="2"/>
      <c r="B137" s="38">
        <v>129.0</v>
      </c>
      <c r="C137" s="39" t="s">
        <v>30</v>
      </c>
      <c r="D137" s="39" t="s">
        <v>70</v>
      </c>
      <c r="E137" s="39" t="s">
        <v>71</v>
      </c>
      <c r="F137" s="40"/>
      <c r="G137" s="41" t="s">
        <v>25</v>
      </c>
      <c r="H137" s="42">
        <v>280.0</v>
      </c>
      <c r="I137" s="42">
        <v>14.0</v>
      </c>
      <c r="J137" s="42">
        <v>266.0</v>
      </c>
      <c r="K137" s="42">
        <v>5.0</v>
      </c>
      <c r="L137" s="42">
        <v>95.0</v>
      </c>
      <c r="N137" s="17">
        <v>30701.0</v>
      </c>
      <c r="O137" s="18">
        <v>19477.0</v>
      </c>
      <c r="P137" s="18">
        <v>0.0</v>
      </c>
      <c r="Q137" s="4">
        <f t="shared" si="1"/>
        <v>0</v>
      </c>
    </row>
    <row r="138">
      <c r="A138" s="2"/>
      <c r="B138" s="43">
        <v>130.0</v>
      </c>
      <c r="C138" s="44" t="s">
        <v>32</v>
      </c>
      <c r="D138" s="44" t="s">
        <v>70</v>
      </c>
      <c r="E138" s="44" t="s">
        <v>71</v>
      </c>
      <c r="F138" s="44" t="s">
        <v>72</v>
      </c>
      <c r="G138" s="44" t="s">
        <v>72</v>
      </c>
      <c r="H138" s="45">
        <v>691.0</v>
      </c>
      <c r="I138" s="45">
        <v>142.0</v>
      </c>
      <c r="J138" s="45">
        <v>549.0</v>
      </c>
      <c r="K138" s="45">
        <v>20.5</v>
      </c>
      <c r="L138" s="45">
        <v>79.5</v>
      </c>
      <c r="N138" s="17">
        <v>30702.0</v>
      </c>
      <c r="O138" s="18">
        <v>6527.0</v>
      </c>
      <c r="P138" s="18">
        <v>11.0</v>
      </c>
      <c r="Q138" s="4">
        <f t="shared" si="1"/>
        <v>168.5307186</v>
      </c>
    </row>
    <row r="139">
      <c r="A139" s="2"/>
      <c r="B139" s="38">
        <v>131.0</v>
      </c>
      <c r="C139" s="39" t="s">
        <v>32</v>
      </c>
      <c r="D139" s="39" t="s">
        <v>70</v>
      </c>
      <c r="E139" s="39" t="s">
        <v>71</v>
      </c>
      <c r="F139" s="39" t="s">
        <v>72</v>
      </c>
      <c r="G139" s="41" t="s">
        <v>23</v>
      </c>
      <c r="H139" s="42">
        <v>492.0</v>
      </c>
      <c r="I139" s="42">
        <v>142.0</v>
      </c>
      <c r="J139" s="42">
        <v>350.0</v>
      </c>
      <c r="K139" s="42">
        <v>28.9</v>
      </c>
      <c r="L139" s="42">
        <v>71.1</v>
      </c>
      <c r="N139" s="17">
        <v>30703.0</v>
      </c>
      <c r="O139" s="18">
        <v>3740.0</v>
      </c>
      <c r="P139" s="18">
        <v>0.0</v>
      </c>
      <c r="Q139" s="4">
        <f t="shared" si="1"/>
        <v>0</v>
      </c>
    </row>
    <row r="140">
      <c r="A140" s="2"/>
      <c r="B140" s="38">
        <v>132.0</v>
      </c>
      <c r="C140" s="39" t="s">
        <v>32</v>
      </c>
      <c r="D140" s="39" t="s">
        <v>70</v>
      </c>
      <c r="E140" s="39" t="s">
        <v>71</v>
      </c>
      <c r="F140" s="39" t="s">
        <v>72</v>
      </c>
      <c r="G140" s="41" t="s">
        <v>25</v>
      </c>
      <c r="H140" s="42">
        <v>199.0</v>
      </c>
      <c r="I140" s="42">
        <v>0.0</v>
      </c>
      <c r="J140" s="42">
        <v>199.0</v>
      </c>
      <c r="K140" s="42">
        <v>0.0</v>
      </c>
      <c r="L140" s="42">
        <v>100.0</v>
      </c>
      <c r="N140" s="17">
        <v>30801.0</v>
      </c>
      <c r="O140" s="18">
        <v>21899.0</v>
      </c>
      <c r="P140" s="18">
        <v>9.0</v>
      </c>
      <c r="Q140" s="4">
        <f t="shared" si="1"/>
        <v>41.09776702</v>
      </c>
    </row>
    <row r="141">
      <c r="A141" s="2"/>
      <c r="B141" s="43">
        <v>133.0</v>
      </c>
      <c r="C141" s="44" t="s">
        <v>32</v>
      </c>
      <c r="D141" s="53" t="s">
        <v>70</v>
      </c>
      <c r="E141" s="53" t="s">
        <v>71</v>
      </c>
      <c r="F141" s="53" t="s">
        <v>73</v>
      </c>
      <c r="G141" s="44" t="s">
        <v>73</v>
      </c>
      <c r="H141" s="45">
        <v>30.0</v>
      </c>
      <c r="I141" s="45">
        <v>7.0</v>
      </c>
      <c r="J141" s="45">
        <v>23.0</v>
      </c>
      <c r="K141" s="45">
        <v>23.3</v>
      </c>
      <c r="L141" s="45">
        <v>76.7</v>
      </c>
      <c r="N141" s="17">
        <v>30802.0</v>
      </c>
      <c r="O141" s="18">
        <v>7057.0</v>
      </c>
      <c r="P141" s="18">
        <v>2.0</v>
      </c>
      <c r="Q141" s="4">
        <f t="shared" si="1"/>
        <v>28.34065467</v>
      </c>
    </row>
    <row r="142">
      <c r="A142" s="2"/>
      <c r="B142" s="38">
        <v>134.0</v>
      </c>
      <c r="C142" s="39" t="s">
        <v>32</v>
      </c>
      <c r="D142" s="39" t="s">
        <v>70</v>
      </c>
      <c r="E142" s="39" t="s">
        <v>71</v>
      </c>
      <c r="F142" s="39" t="s">
        <v>73</v>
      </c>
      <c r="G142" s="41" t="s">
        <v>23</v>
      </c>
      <c r="H142" s="46"/>
      <c r="I142" s="46"/>
      <c r="J142" s="46"/>
      <c r="K142" s="46"/>
      <c r="L142" s="46"/>
      <c r="N142" s="17">
        <v>30803.0</v>
      </c>
      <c r="O142" s="18">
        <v>5542.0</v>
      </c>
      <c r="P142" s="18">
        <v>0.0</v>
      </c>
      <c r="Q142" s="4">
        <f t="shared" si="1"/>
        <v>0</v>
      </c>
    </row>
    <row r="143">
      <c r="A143" s="2"/>
      <c r="B143" s="38">
        <v>135.0</v>
      </c>
      <c r="C143" s="39" t="s">
        <v>32</v>
      </c>
      <c r="D143" s="39" t="s">
        <v>70</v>
      </c>
      <c r="E143" s="39" t="s">
        <v>71</v>
      </c>
      <c r="F143" s="39" t="s">
        <v>73</v>
      </c>
      <c r="G143" s="41" t="s">
        <v>25</v>
      </c>
      <c r="H143" s="42">
        <v>30.0</v>
      </c>
      <c r="I143" s="42">
        <v>7.0</v>
      </c>
      <c r="J143" s="42">
        <v>23.0</v>
      </c>
      <c r="K143" s="42">
        <v>23.3</v>
      </c>
      <c r="L143" s="42">
        <v>76.7</v>
      </c>
      <c r="N143" s="17">
        <v>30901.0</v>
      </c>
      <c r="O143" s="18">
        <v>137182.0</v>
      </c>
      <c r="P143" s="18">
        <v>39.0</v>
      </c>
      <c r="Q143" s="4">
        <f t="shared" si="1"/>
        <v>28.42938578</v>
      </c>
    </row>
    <row r="144">
      <c r="A144" s="2"/>
      <c r="B144" s="43">
        <v>136.0</v>
      </c>
      <c r="C144" s="44" t="s">
        <v>32</v>
      </c>
      <c r="D144" s="53" t="s">
        <v>70</v>
      </c>
      <c r="E144" s="53" t="s">
        <v>71</v>
      </c>
      <c r="F144" s="53" t="s">
        <v>74</v>
      </c>
      <c r="G144" s="44" t="s">
        <v>74</v>
      </c>
      <c r="H144" s="45">
        <v>16.0</v>
      </c>
      <c r="I144" s="45">
        <v>5.0</v>
      </c>
      <c r="J144" s="45">
        <v>11.0</v>
      </c>
      <c r="K144" s="45">
        <v>31.3</v>
      </c>
      <c r="L144" s="45">
        <v>68.8</v>
      </c>
      <c r="N144" s="17">
        <v>30902.0</v>
      </c>
      <c r="O144" s="18">
        <v>41571.0</v>
      </c>
      <c r="P144" s="18">
        <v>26.0</v>
      </c>
      <c r="Q144" s="4">
        <f t="shared" si="1"/>
        <v>62.54360011</v>
      </c>
    </row>
    <row r="145">
      <c r="A145" s="2"/>
      <c r="B145" s="38">
        <v>137.0</v>
      </c>
      <c r="C145" s="39" t="s">
        <v>32</v>
      </c>
      <c r="D145" s="39" t="s">
        <v>70</v>
      </c>
      <c r="E145" s="39" t="s">
        <v>71</v>
      </c>
      <c r="F145" s="39" t="s">
        <v>74</v>
      </c>
      <c r="G145" s="41" t="s">
        <v>23</v>
      </c>
      <c r="H145" s="46"/>
      <c r="I145" s="46"/>
      <c r="J145" s="46"/>
      <c r="K145" s="46"/>
      <c r="L145" s="46"/>
      <c r="N145" s="17">
        <v>30903.0</v>
      </c>
      <c r="O145" s="18">
        <v>53904.0</v>
      </c>
      <c r="P145" s="18">
        <v>8.0</v>
      </c>
      <c r="Q145" s="4">
        <f t="shared" si="1"/>
        <v>14.84119917</v>
      </c>
    </row>
    <row r="146">
      <c r="A146" s="2"/>
      <c r="B146" s="38">
        <v>138.0</v>
      </c>
      <c r="C146" s="39" t="s">
        <v>32</v>
      </c>
      <c r="D146" s="39" t="s">
        <v>70</v>
      </c>
      <c r="E146" s="39" t="s">
        <v>71</v>
      </c>
      <c r="F146" s="39" t="s">
        <v>74</v>
      </c>
      <c r="G146" s="41" t="s">
        <v>25</v>
      </c>
      <c r="H146" s="42">
        <v>16.0</v>
      </c>
      <c r="I146" s="42">
        <v>5.0</v>
      </c>
      <c r="J146" s="42">
        <v>11.0</v>
      </c>
      <c r="K146" s="42">
        <v>31.3</v>
      </c>
      <c r="L146" s="42">
        <v>68.8</v>
      </c>
      <c r="N146" s="17">
        <v>30904.0</v>
      </c>
      <c r="O146" s="18">
        <v>51968.0</v>
      </c>
      <c r="P146" s="18">
        <v>7.0</v>
      </c>
      <c r="Q146" s="4">
        <f t="shared" si="1"/>
        <v>13.46982759</v>
      </c>
    </row>
    <row r="147">
      <c r="A147" s="2"/>
      <c r="B147" s="43">
        <v>139.0</v>
      </c>
      <c r="C147" s="44" t="s">
        <v>32</v>
      </c>
      <c r="D147" s="53" t="s">
        <v>70</v>
      </c>
      <c r="E147" s="53" t="s">
        <v>71</v>
      </c>
      <c r="F147" s="53" t="s">
        <v>75</v>
      </c>
      <c r="G147" s="44" t="s">
        <v>75</v>
      </c>
      <c r="H147" s="54">
        <v>1397.0</v>
      </c>
      <c r="I147" s="45">
        <v>74.0</v>
      </c>
      <c r="J147" s="54">
        <v>1323.0</v>
      </c>
      <c r="K147" s="45">
        <v>5.3</v>
      </c>
      <c r="L147" s="45">
        <v>94.7</v>
      </c>
      <c r="N147" s="17">
        <v>30905.0</v>
      </c>
      <c r="O147" s="18">
        <v>51990.0</v>
      </c>
      <c r="P147" s="18">
        <v>6.0</v>
      </c>
      <c r="Q147" s="4">
        <f t="shared" si="1"/>
        <v>11.5406809</v>
      </c>
    </row>
    <row r="148">
      <c r="A148" s="2"/>
      <c r="B148" s="38">
        <v>140.0</v>
      </c>
      <c r="C148" s="39" t="s">
        <v>32</v>
      </c>
      <c r="D148" s="39" t="s">
        <v>70</v>
      </c>
      <c r="E148" s="39" t="s">
        <v>71</v>
      </c>
      <c r="F148" s="39" t="s">
        <v>75</v>
      </c>
      <c r="G148" s="41" t="s">
        <v>23</v>
      </c>
      <c r="H148" s="52">
        <v>1362.0</v>
      </c>
      <c r="I148" s="42">
        <v>72.0</v>
      </c>
      <c r="J148" s="52">
        <v>1290.0</v>
      </c>
      <c r="K148" s="42">
        <v>5.3</v>
      </c>
      <c r="L148" s="42">
        <v>94.7</v>
      </c>
      <c r="N148" s="17">
        <v>31001.0</v>
      </c>
      <c r="O148" s="18">
        <v>172466.0</v>
      </c>
      <c r="P148" s="18">
        <v>109.0</v>
      </c>
      <c r="Q148" s="4">
        <f t="shared" si="1"/>
        <v>63.20086278</v>
      </c>
    </row>
    <row r="149">
      <c r="A149" s="2"/>
      <c r="B149" s="38">
        <v>141.0</v>
      </c>
      <c r="C149" s="39" t="s">
        <v>32</v>
      </c>
      <c r="D149" s="39" t="s">
        <v>70</v>
      </c>
      <c r="E149" s="39" t="s">
        <v>71</v>
      </c>
      <c r="F149" s="39" t="s">
        <v>75</v>
      </c>
      <c r="G149" s="41" t="s">
        <v>25</v>
      </c>
      <c r="H149" s="42">
        <v>35.0</v>
      </c>
      <c r="I149" s="42">
        <v>2.0</v>
      </c>
      <c r="J149" s="42">
        <v>33.0</v>
      </c>
      <c r="K149" s="42">
        <v>5.7</v>
      </c>
      <c r="L149" s="42">
        <v>94.3</v>
      </c>
      <c r="N149" s="17">
        <v>31002.0</v>
      </c>
      <c r="O149" s="18">
        <v>19285.0</v>
      </c>
      <c r="P149" s="18">
        <v>6.0</v>
      </c>
      <c r="Q149" s="4">
        <f t="shared" si="1"/>
        <v>31.11226342</v>
      </c>
    </row>
    <row r="150">
      <c r="A150" s="2"/>
      <c r="B150" s="43">
        <v>142.0</v>
      </c>
      <c r="C150" s="44" t="s">
        <v>32</v>
      </c>
      <c r="D150" s="53" t="s">
        <v>70</v>
      </c>
      <c r="E150" s="53" t="s">
        <v>71</v>
      </c>
      <c r="F150" s="53" t="s">
        <v>76</v>
      </c>
      <c r="G150" s="44" t="s">
        <v>76</v>
      </c>
      <c r="H150" s="45">
        <v>841.0</v>
      </c>
      <c r="I150" s="45">
        <v>247.0</v>
      </c>
      <c r="J150" s="45">
        <v>594.0</v>
      </c>
      <c r="K150" s="45">
        <v>29.4</v>
      </c>
      <c r="L150" s="45">
        <v>70.6</v>
      </c>
      <c r="N150" s="17">
        <v>31003.0</v>
      </c>
      <c r="O150" s="18">
        <v>71386.0</v>
      </c>
      <c r="P150" s="18">
        <v>58.0</v>
      </c>
      <c r="Q150" s="4">
        <f t="shared" si="1"/>
        <v>81.24842406</v>
      </c>
    </row>
    <row r="151">
      <c r="A151" s="2"/>
      <c r="B151" s="38">
        <v>143.0</v>
      </c>
      <c r="C151" s="39" t="s">
        <v>32</v>
      </c>
      <c r="D151" s="39" t="s">
        <v>70</v>
      </c>
      <c r="E151" s="39" t="s">
        <v>71</v>
      </c>
      <c r="F151" s="39" t="s">
        <v>76</v>
      </c>
      <c r="G151" s="41" t="s">
        <v>23</v>
      </c>
      <c r="H151" s="42">
        <v>841.0</v>
      </c>
      <c r="I151" s="42">
        <v>247.0</v>
      </c>
      <c r="J151" s="42">
        <v>594.0</v>
      </c>
      <c r="K151" s="42">
        <v>29.4</v>
      </c>
      <c r="L151" s="42">
        <v>70.6</v>
      </c>
      <c r="N151" s="17">
        <v>31101.0</v>
      </c>
      <c r="O151" s="18">
        <v>24625.0</v>
      </c>
      <c r="P151" s="18">
        <v>18.0</v>
      </c>
      <c r="Q151" s="4">
        <f t="shared" si="1"/>
        <v>73.0964467</v>
      </c>
    </row>
    <row r="152">
      <c r="A152" s="2"/>
      <c r="B152" s="38">
        <v>144.0</v>
      </c>
      <c r="C152" s="39" t="s">
        <v>32</v>
      </c>
      <c r="D152" s="39" t="s">
        <v>70</v>
      </c>
      <c r="E152" s="39" t="s">
        <v>71</v>
      </c>
      <c r="F152" s="39" t="s">
        <v>76</v>
      </c>
      <c r="G152" s="41" t="s">
        <v>25</v>
      </c>
      <c r="H152" s="42">
        <v>0.0</v>
      </c>
      <c r="I152" s="42">
        <v>0.0</v>
      </c>
      <c r="J152" s="42">
        <v>0.0</v>
      </c>
      <c r="K152" s="42">
        <v>0.0</v>
      </c>
      <c r="L152" s="42">
        <v>0.0</v>
      </c>
      <c r="N152" s="17">
        <v>31201.0</v>
      </c>
      <c r="O152" s="18">
        <v>14665.0</v>
      </c>
      <c r="P152" s="18">
        <v>3.0</v>
      </c>
      <c r="Q152" s="4">
        <f t="shared" si="1"/>
        <v>20.4568701</v>
      </c>
    </row>
    <row r="153">
      <c r="A153" s="2"/>
      <c r="B153" s="34">
        <v>145.0</v>
      </c>
      <c r="C153" s="35" t="s">
        <v>30</v>
      </c>
      <c r="D153" s="49" t="s">
        <v>70</v>
      </c>
      <c r="E153" s="49" t="s">
        <v>77</v>
      </c>
      <c r="F153" s="50"/>
      <c r="G153" s="35" t="s">
        <v>77</v>
      </c>
      <c r="H153" s="37">
        <v>300.0</v>
      </c>
      <c r="I153" s="37">
        <v>172.0</v>
      </c>
      <c r="J153" s="37">
        <v>128.0</v>
      </c>
      <c r="K153" s="37">
        <v>57.3</v>
      </c>
      <c r="L153" s="37">
        <v>42.7</v>
      </c>
      <c r="N153" s="17">
        <v>31202.0</v>
      </c>
      <c r="O153" s="18">
        <v>10156.0</v>
      </c>
      <c r="P153" s="18">
        <v>1.0</v>
      </c>
      <c r="Q153" s="4">
        <f t="shared" si="1"/>
        <v>9.846396219</v>
      </c>
    </row>
    <row r="154">
      <c r="A154" s="2"/>
      <c r="B154" s="38">
        <v>146.0</v>
      </c>
      <c r="C154" s="39" t="s">
        <v>30</v>
      </c>
      <c r="D154" s="39" t="s">
        <v>70</v>
      </c>
      <c r="E154" s="39" t="s">
        <v>77</v>
      </c>
      <c r="F154" s="40"/>
      <c r="G154" s="41" t="s">
        <v>23</v>
      </c>
      <c r="H154" s="42">
        <v>1.0</v>
      </c>
      <c r="I154" s="42">
        <v>0.0</v>
      </c>
      <c r="J154" s="42">
        <v>1.0</v>
      </c>
      <c r="K154" s="42">
        <v>0.0</v>
      </c>
      <c r="L154" s="42">
        <v>100.0</v>
      </c>
      <c r="N154" s="17">
        <v>31203.0</v>
      </c>
      <c r="O154" s="18">
        <v>10750.0</v>
      </c>
      <c r="P154" s="18">
        <v>2.0</v>
      </c>
      <c r="Q154" s="4">
        <f t="shared" si="1"/>
        <v>18.60465116</v>
      </c>
    </row>
    <row r="155">
      <c r="A155" s="2"/>
      <c r="B155" s="38">
        <v>147.0</v>
      </c>
      <c r="C155" s="39" t="s">
        <v>30</v>
      </c>
      <c r="D155" s="39" t="s">
        <v>70</v>
      </c>
      <c r="E155" s="39" t="s">
        <v>77</v>
      </c>
      <c r="F155" s="40"/>
      <c r="G155" s="41" t="s">
        <v>25</v>
      </c>
      <c r="H155" s="42">
        <v>299.0</v>
      </c>
      <c r="I155" s="42">
        <v>172.0</v>
      </c>
      <c r="J155" s="42">
        <v>127.0</v>
      </c>
      <c r="K155" s="42">
        <v>57.5</v>
      </c>
      <c r="L155" s="42">
        <v>42.5</v>
      </c>
      <c r="N155" s="17">
        <v>31204.0</v>
      </c>
      <c r="O155" s="18">
        <v>21736.0</v>
      </c>
      <c r="P155" s="18">
        <v>10.0</v>
      </c>
      <c r="Q155" s="4">
        <f t="shared" si="1"/>
        <v>46.00662495</v>
      </c>
    </row>
    <row r="156">
      <c r="A156" s="2"/>
      <c r="B156" s="43">
        <v>148.0</v>
      </c>
      <c r="C156" s="44" t="s">
        <v>32</v>
      </c>
      <c r="D156" s="53" t="s">
        <v>70</v>
      </c>
      <c r="E156" s="53" t="s">
        <v>77</v>
      </c>
      <c r="F156" s="53" t="s">
        <v>78</v>
      </c>
      <c r="G156" s="44" t="s">
        <v>78</v>
      </c>
      <c r="H156" s="45">
        <v>124.0</v>
      </c>
      <c r="I156" s="45">
        <v>78.0</v>
      </c>
      <c r="J156" s="45">
        <v>46.0</v>
      </c>
      <c r="K156" s="45">
        <v>62.9</v>
      </c>
      <c r="L156" s="45">
        <v>37.1</v>
      </c>
      <c r="N156" s="17">
        <v>31205.0</v>
      </c>
      <c r="O156" s="18">
        <v>46627.0</v>
      </c>
      <c r="P156" s="18">
        <v>27.0</v>
      </c>
      <c r="Q156" s="4">
        <f t="shared" si="1"/>
        <v>57.90636327</v>
      </c>
    </row>
    <row r="157">
      <c r="A157" s="2"/>
      <c r="B157" s="38">
        <v>149.0</v>
      </c>
      <c r="C157" s="39" t="s">
        <v>32</v>
      </c>
      <c r="D157" s="39" t="s">
        <v>70</v>
      </c>
      <c r="E157" s="39" t="s">
        <v>77</v>
      </c>
      <c r="F157" s="39" t="s">
        <v>78</v>
      </c>
      <c r="G157" s="41" t="s">
        <v>23</v>
      </c>
      <c r="H157" s="42">
        <v>1.0</v>
      </c>
      <c r="I157" s="42">
        <v>0.0</v>
      </c>
      <c r="J157" s="42">
        <v>1.0</v>
      </c>
      <c r="K157" s="42">
        <v>0.0</v>
      </c>
      <c r="L157" s="42">
        <v>100.0</v>
      </c>
      <c r="N157" s="17">
        <v>31206.0</v>
      </c>
      <c r="O157" s="18">
        <v>31550.0</v>
      </c>
      <c r="P157" s="18">
        <v>32.0</v>
      </c>
      <c r="Q157" s="4">
        <f t="shared" si="1"/>
        <v>101.4263074</v>
      </c>
    </row>
    <row r="158">
      <c r="A158" s="2"/>
      <c r="B158" s="38">
        <v>150.0</v>
      </c>
      <c r="C158" s="39" t="s">
        <v>32</v>
      </c>
      <c r="D158" s="39" t="s">
        <v>70</v>
      </c>
      <c r="E158" s="39" t="s">
        <v>77</v>
      </c>
      <c r="F158" s="39" t="s">
        <v>78</v>
      </c>
      <c r="G158" s="41" t="s">
        <v>25</v>
      </c>
      <c r="H158" s="42">
        <v>123.0</v>
      </c>
      <c r="I158" s="42">
        <v>78.0</v>
      </c>
      <c r="J158" s="42">
        <v>45.0</v>
      </c>
      <c r="K158" s="42">
        <v>63.4</v>
      </c>
      <c r="L158" s="42">
        <v>36.6</v>
      </c>
      <c r="N158" s="17">
        <v>31301.0</v>
      </c>
      <c r="O158" s="18">
        <v>26900.0</v>
      </c>
      <c r="P158" s="18">
        <v>1.0</v>
      </c>
      <c r="Q158" s="4">
        <f t="shared" si="1"/>
        <v>3.717472119</v>
      </c>
    </row>
    <row r="159">
      <c r="A159" s="2"/>
      <c r="B159" s="43">
        <v>151.0</v>
      </c>
      <c r="C159" s="44" t="s">
        <v>32</v>
      </c>
      <c r="D159" s="53" t="s">
        <v>70</v>
      </c>
      <c r="E159" s="53" t="s">
        <v>77</v>
      </c>
      <c r="F159" s="53" t="s">
        <v>79</v>
      </c>
      <c r="G159" s="44" t="s">
        <v>79</v>
      </c>
      <c r="H159" s="45">
        <v>62.0</v>
      </c>
      <c r="I159" s="45">
        <v>38.0</v>
      </c>
      <c r="J159" s="45">
        <v>24.0</v>
      </c>
      <c r="K159" s="45">
        <v>61.3</v>
      </c>
      <c r="L159" s="45">
        <v>38.7</v>
      </c>
      <c r="N159" s="17">
        <v>31302.0</v>
      </c>
      <c r="O159" s="18">
        <v>5459.0</v>
      </c>
      <c r="P159" s="18">
        <v>8.0</v>
      </c>
      <c r="Q159" s="4">
        <f t="shared" si="1"/>
        <v>146.5469866</v>
      </c>
    </row>
    <row r="160">
      <c r="A160" s="2"/>
      <c r="B160" s="38">
        <v>152.0</v>
      </c>
      <c r="C160" s="39" t="s">
        <v>32</v>
      </c>
      <c r="D160" s="39" t="s">
        <v>70</v>
      </c>
      <c r="E160" s="39" t="s">
        <v>77</v>
      </c>
      <c r="F160" s="39" t="s">
        <v>79</v>
      </c>
      <c r="G160" s="41" t="s">
        <v>23</v>
      </c>
      <c r="H160" s="46"/>
      <c r="I160" s="46"/>
      <c r="J160" s="46"/>
      <c r="K160" s="46"/>
      <c r="L160" s="46"/>
      <c r="N160" s="17">
        <v>31303.0</v>
      </c>
      <c r="O160" s="18">
        <v>3447.0</v>
      </c>
      <c r="P160" s="18">
        <v>0.0</v>
      </c>
      <c r="Q160" s="4">
        <f t="shared" si="1"/>
        <v>0</v>
      </c>
    </row>
    <row r="161">
      <c r="A161" s="2"/>
      <c r="B161" s="38">
        <v>153.0</v>
      </c>
      <c r="C161" s="39" t="s">
        <v>32</v>
      </c>
      <c r="D161" s="39" t="s">
        <v>70</v>
      </c>
      <c r="E161" s="39" t="s">
        <v>77</v>
      </c>
      <c r="F161" s="39" t="s">
        <v>79</v>
      </c>
      <c r="G161" s="41" t="s">
        <v>25</v>
      </c>
      <c r="H161" s="42">
        <v>62.0</v>
      </c>
      <c r="I161" s="42">
        <v>38.0</v>
      </c>
      <c r="J161" s="42">
        <v>24.0</v>
      </c>
      <c r="K161" s="42">
        <v>61.3</v>
      </c>
      <c r="L161" s="42">
        <v>38.7</v>
      </c>
      <c r="N161" s="17">
        <v>31401.0</v>
      </c>
      <c r="O161" s="18">
        <v>28887.0</v>
      </c>
      <c r="P161" s="18">
        <v>1.0</v>
      </c>
      <c r="Q161" s="4">
        <f t="shared" si="1"/>
        <v>3.461764808</v>
      </c>
    </row>
    <row r="162">
      <c r="A162" s="2"/>
      <c r="B162" s="43">
        <v>154.0</v>
      </c>
      <c r="C162" s="44" t="s">
        <v>32</v>
      </c>
      <c r="D162" s="53" t="s">
        <v>70</v>
      </c>
      <c r="E162" s="53" t="s">
        <v>77</v>
      </c>
      <c r="F162" s="53" t="s">
        <v>80</v>
      </c>
      <c r="G162" s="44" t="s">
        <v>80</v>
      </c>
      <c r="H162" s="45">
        <v>47.0</v>
      </c>
      <c r="I162" s="45">
        <v>25.0</v>
      </c>
      <c r="J162" s="45">
        <v>22.0</v>
      </c>
      <c r="K162" s="45">
        <v>53.2</v>
      </c>
      <c r="L162" s="45">
        <v>46.8</v>
      </c>
      <c r="N162" s="17">
        <v>31402.0</v>
      </c>
      <c r="O162" s="18">
        <v>8135.0</v>
      </c>
      <c r="P162" s="18">
        <v>2.0</v>
      </c>
      <c r="Q162" s="4">
        <f t="shared" si="1"/>
        <v>24.585126</v>
      </c>
    </row>
    <row r="163">
      <c r="A163" s="2"/>
      <c r="B163" s="38">
        <v>155.0</v>
      </c>
      <c r="C163" s="39" t="s">
        <v>32</v>
      </c>
      <c r="D163" s="39" t="s">
        <v>70</v>
      </c>
      <c r="E163" s="39" t="s">
        <v>77</v>
      </c>
      <c r="F163" s="39" t="s">
        <v>80</v>
      </c>
      <c r="G163" s="41" t="s">
        <v>23</v>
      </c>
      <c r="H163" s="46"/>
      <c r="I163" s="46"/>
      <c r="J163" s="46"/>
      <c r="K163" s="46"/>
      <c r="L163" s="46"/>
      <c r="N163" s="17">
        <v>31403.0</v>
      </c>
      <c r="O163" s="18">
        <v>13562.0</v>
      </c>
      <c r="P163" s="18">
        <v>0.0</v>
      </c>
      <c r="Q163" s="4">
        <f t="shared" si="1"/>
        <v>0</v>
      </c>
    </row>
    <row r="164">
      <c r="A164" s="2"/>
      <c r="B164" s="38">
        <v>156.0</v>
      </c>
      <c r="C164" s="39" t="s">
        <v>32</v>
      </c>
      <c r="D164" s="39" t="s">
        <v>70</v>
      </c>
      <c r="E164" s="39" t="s">
        <v>77</v>
      </c>
      <c r="F164" s="39" t="s">
        <v>80</v>
      </c>
      <c r="G164" s="41" t="s">
        <v>25</v>
      </c>
      <c r="H164" s="42">
        <v>47.0</v>
      </c>
      <c r="I164" s="42">
        <v>25.0</v>
      </c>
      <c r="J164" s="42">
        <v>22.0</v>
      </c>
      <c r="K164" s="42">
        <v>53.2</v>
      </c>
      <c r="L164" s="42">
        <v>46.8</v>
      </c>
      <c r="N164" s="17">
        <v>31404.0</v>
      </c>
      <c r="O164" s="18">
        <v>1303.0</v>
      </c>
      <c r="P164" s="18">
        <v>0.0</v>
      </c>
      <c r="Q164" s="4">
        <f t="shared" si="1"/>
        <v>0</v>
      </c>
    </row>
    <row r="165">
      <c r="A165" s="2"/>
      <c r="B165" s="43">
        <v>157.0</v>
      </c>
      <c r="C165" s="44" t="s">
        <v>32</v>
      </c>
      <c r="D165" s="53" t="s">
        <v>70</v>
      </c>
      <c r="E165" s="53" t="s">
        <v>77</v>
      </c>
      <c r="F165" s="53" t="s">
        <v>81</v>
      </c>
      <c r="G165" s="44" t="s">
        <v>81</v>
      </c>
      <c r="H165" s="45">
        <v>14.0</v>
      </c>
      <c r="I165" s="45">
        <v>8.0</v>
      </c>
      <c r="J165" s="45">
        <v>6.0</v>
      </c>
      <c r="K165" s="45">
        <v>57.1</v>
      </c>
      <c r="L165" s="45">
        <v>42.9</v>
      </c>
      <c r="N165" s="17">
        <v>31405.0</v>
      </c>
      <c r="O165" s="18">
        <v>2768.0</v>
      </c>
      <c r="P165" s="18">
        <v>1.0</v>
      </c>
      <c r="Q165" s="4">
        <f t="shared" si="1"/>
        <v>36.12716763</v>
      </c>
    </row>
    <row r="166">
      <c r="A166" s="2"/>
      <c r="B166" s="38">
        <v>158.0</v>
      </c>
      <c r="C166" s="39" t="s">
        <v>32</v>
      </c>
      <c r="D166" s="39" t="s">
        <v>70</v>
      </c>
      <c r="E166" s="39" t="s">
        <v>77</v>
      </c>
      <c r="F166" s="39" t="s">
        <v>81</v>
      </c>
      <c r="G166" s="41" t="s">
        <v>23</v>
      </c>
      <c r="H166" s="46"/>
      <c r="I166" s="46"/>
      <c r="J166" s="46"/>
      <c r="K166" s="46"/>
      <c r="L166" s="46"/>
      <c r="N166" s="17">
        <v>31501.0</v>
      </c>
      <c r="O166" s="18">
        <v>7279.0</v>
      </c>
      <c r="P166" s="18">
        <v>0.0</v>
      </c>
      <c r="Q166" s="4">
        <f t="shared" si="1"/>
        <v>0</v>
      </c>
    </row>
    <row r="167">
      <c r="A167" s="2"/>
      <c r="B167" s="38">
        <v>159.0</v>
      </c>
      <c r="C167" s="39" t="s">
        <v>32</v>
      </c>
      <c r="D167" s="39" t="s">
        <v>70</v>
      </c>
      <c r="E167" s="39" t="s">
        <v>77</v>
      </c>
      <c r="F167" s="39" t="s">
        <v>81</v>
      </c>
      <c r="G167" s="41" t="s">
        <v>25</v>
      </c>
      <c r="H167" s="42">
        <v>14.0</v>
      </c>
      <c r="I167" s="42">
        <v>8.0</v>
      </c>
      <c r="J167" s="42">
        <v>6.0</v>
      </c>
      <c r="K167" s="42">
        <v>57.1</v>
      </c>
      <c r="L167" s="42">
        <v>42.9</v>
      </c>
      <c r="N167" s="17">
        <v>31601.0</v>
      </c>
      <c r="O167" s="18">
        <v>21231.0</v>
      </c>
      <c r="P167" s="18">
        <v>4.0</v>
      </c>
      <c r="Q167" s="4">
        <f t="shared" si="1"/>
        <v>18.84037492</v>
      </c>
    </row>
    <row r="168">
      <c r="A168" s="2"/>
      <c r="B168" s="43">
        <v>160.0</v>
      </c>
      <c r="C168" s="44" t="s">
        <v>32</v>
      </c>
      <c r="D168" s="53" t="s">
        <v>70</v>
      </c>
      <c r="E168" s="53" t="s">
        <v>77</v>
      </c>
      <c r="F168" s="53" t="s">
        <v>82</v>
      </c>
      <c r="G168" s="44" t="s">
        <v>82</v>
      </c>
      <c r="H168" s="45">
        <v>24.0</v>
      </c>
      <c r="I168" s="45">
        <v>10.0</v>
      </c>
      <c r="J168" s="45">
        <v>14.0</v>
      </c>
      <c r="K168" s="45">
        <v>41.7</v>
      </c>
      <c r="L168" s="45">
        <v>58.3</v>
      </c>
      <c r="N168" s="17">
        <v>31602.0</v>
      </c>
      <c r="O168" s="18">
        <v>20841.0</v>
      </c>
      <c r="P168" s="18">
        <v>19.0</v>
      </c>
      <c r="Q168" s="4">
        <f t="shared" si="1"/>
        <v>91.16645075</v>
      </c>
    </row>
    <row r="169">
      <c r="A169" s="2"/>
      <c r="B169" s="38">
        <v>161.0</v>
      </c>
      <c r="C169" s="39" t="s">
        <v>32</v>
      </c>
      <c r="D169" s="39" t="s">
        <v>70</v>
      </c>
      <c r="E169" s="39" t="s">
        <v>77</v>
      </c>
      <c r="F169" s="39" t="s">
        <v>82</v>
      </c>
      <c r="G169" s="41" t="s">
        <v>23</v>
      </c>
      <c r="H169" s="46"/>
      <c r="I169" s="46"/>
      <c r="J169" s="46"/>
      <c r="K169" s="46"/>
      <c r="L169" s="46"/>
      <c r="N169" s="17">
        <v>40101.0</v>
      </c>
      <c r="O169" s="18">
        <v>264943.0</v>
      </c>
      <c r="P169" s="18">
        <v>41.0</v>
      </c>
      <c r="Q169" s="4">
        <f t="shared" si="1"/>
        <v>15.4750267</v>
      </c>
    </row>
    <row r="170">
      <c r="A170" s="2"/>
      <c r="B170" s="38">
        <v>162.0</v>
      </c>
      <c r="C170" s="39" t="s">
        <v>32</v>
      </c>
      <c r="D170" s="39" t="s">
        <v>70</v>
      </c>
      <c r="E170" s="39" t="s">
        <v>77</v>
      </c>
      <c r="F170" s="39" t="s">
        <v>82</v>
      </c>
      <c r="G170" s="41" t="s">
        <v>25</v>
      </c>
      <c r="H170" s="42">
        <v>24.0</v>
      </c>
      <c r="I170" s="42">
        <v>10.0</v>
      </c>
      <c r="J170" s="42">
        <v>14.0</v>
      </c>
      <c r="K170" s="42">
        <v>41.7</v>
      </c>
      <c r="L170" s="42">
        <v>58.3</v>
      </c>
      <c r="N170" s="17">
        <v>40102.0</v>
      </c>
      <c r="O170" s="18">
        <v>23115.0</v>
      </c>
      <c r="P170" s="18">
        <v>0.0</v>
      </c>
      <c r="Q170" s="4">
        <f t="shared" si="1"/>
        <v>0</v>
      </c>
    </row>
    <row r="171">
      <c r="A171" s="2"/>
      <c r="B171" s="43">
        <v>163.0</v>
      </c>
      <c r="C171" s="44" t="s">
        <v>32</v>
      </c>
      <c r="D171" s="53" t="s">
        <v>70</v>
      </c>
      <c r="E171" s="53" t="s">
        <v>77</v>
      </c>
      <c r="F171" s="53" t="s">
        <v>83</v>
      </c>
      <c r="G171" s="44" t="s">
        <v>83</v>
      </c>
      <c r="H171" s="45">
        <v>29.0</v>
      </c>
      <c r="I171" s="45">
        <v>13.0</v>
      </c>
      <c r="J171" s="45">
        <v>16.0</v>
      </c>
      <c r="K171" s="45">
        <v>44.8</v>
      </c>
      <c r="L171" s="45">
        <v>55.2</v>
      </c>
      <c r="N171" s="17">
        <v>40103.0</v>
      </c>
      <c r="O171" s="18">
        <v>8725.0</v>
      </c>
      <c r="P171" s="18">
        <v>0.0</v>
      </c>
      <c r="Q171" s="4">
        <f t="shared" si="1"/>
        <v>0</v>
      </c>
    </row>
    <row r="172">
      <c r="A172" s="2"/>
      <c r="B172" s="38">
        <v>164.0</v>
      </c>
      <c r="C172" s="39" t="s">
        <v>32</v>
      </c>
      <c r="D172" s="39" t="s">
        <v>70</v>
      </c>
      <c r="E172" s="39" t="s">
        <v>77</v>
      </c>
      <c r="F172" s="39" t="s">
        <v>83</v>
      </c>
      <c r="G172" s="41" t="s">
        <v>23</v>
      </c>
      <c r="H172" s="46"/>
      <c r="I172" s="46"/>
      <c r="J172" s="46"/>
      <c r="K172" s="46"/>
      <c r="L172" s="46"/>
      <c r="N172" s="17">
        <v>40104.0</v>
      </c>
      <c r="O172" s="18">
        <v>12846.0</v>
      </c>
      <c r="P172" s="18">
        <v>0.0</v>
      </c>
      <c r="Q172" s="4">
        <f t="shared" si="1"/>
        <v>0</v>
      </c>
    </row>
    <row r="173">
      <c r="A173" s="2"/>
      <c r="B173" s="38">
        <v>165.0</v>
      </c>
      <c r="C173" s="39" t="s">
        <v>32</v>
      </c>
      <c r="D173" s="39" t="s">
        <v>70</v>
      </c>
      <c r="E173" s="39" t="s">
        <v>77</v>
      </c>
      <c r="F173" s="39" t="s">
        <v>83</v>
      </c>
      <c r="G173" s="41" t="s">
        <v>25</v>
      </c>
      <c r="H173" s="42">
        <v>29.0</v>
      </c>
      <c r="I173" s="42">
        <v>13.0</v>
      </c>
      <c r="J173" s="42">
        <v>16.0</v>
      </c>
      <c r="K173" s="42">
        <v>44.8</v>
      </c>
      <c r="L173" s="42">
        <v>55.2</v>
      </c>
      <c r="N173" s="17">
        <v>40201.0</v>
      </c>
      <c r="O173" s="18">
        <v>28304.0</v>
      </c>
      <c r="P173" s="18">
        <v>3.0</v>
      </c>
      <c r="Q173" s="4">
        <f t="shared" si="1"/>
        <v>10.59920859</v>
      </c>
    </row>
    <row r="174">
      <c r="A174" s="2"/>
      <c r="B174" s="34">
        <v>166.0</v>
      </c>
      <c r="C174" s="35" t="s">
        <v>30</v>
      </c>
      <c r="D174" s="49" t="s">
        <v>70</v>
      </c>
      <c r="E174" s="49" t="s">
        <v>84</v>
      </c>
      <c r="F174" s="50"/>
      <c r="G174" s="35" t="s">
        <v>84</v>
      </c>
      <c r="H174" s="37">
        <v>83.0</v>
      </c>
      <c r="I174" s="37">
        <v>30.0</v>
      </c>
      <c r="J174" s="37">
        <v>53.0</v>
      </c>
      <c r="K174" s="37">
        <v>36.1</v>
      </c>
      <c r="L174" s="37">
        <v>63.9</v>
      </c>
      <c r="N174" s="17">
        <v>40202.0</v>
      </c>
      <c r="O174" s="18">
        <v>4051.0</v>
      </c>
      <c r="P174" s="18">
        <v>6.0</v>
      </c>
      <c r="Q174" s="4">
        <f t="shared" si="1"/>
        <v>148.1115774</v>
      </c>
    </row>
    <row r="175">
      <c r="A175" s="2"/>
      <c r="B175" s="38">
        <v>167.0</v>
      </c>
      <c r="C175" s="39" t="s">
        <v>30</v>
      </c>
      <c r="D175" s="39" t="s">
        <v>70</v>
      </c>
      <c r="E175" s="39" t="s">
        <v>84</v>
      </c>
      <c r="F175" s="40"/>
      <c r="G175" s="41" t="s">
        <v>23</v>
      </c>
      <c r="H175" s="42">
        <v>15.0</v>
      </c>
      <c r="I175" s="42">
        <v>5.0</v>
      </c>
      <c r="J175" s="42">
        <v>10.0</v>
      </c>
      <c r="K175" s="42">
        <v>33.3</v>
      </c>
      <c r="L175" s="42">
        <v>66.7</v>
      </c>
      <c r="N175" s="17">
        <v>40301.0</v>
      </c>
      <c r="O175" s="18">
        <v>9221.0</v>
      </c>
      <c r="P175" s="18">
        <v>4.0</v>
      </c>
      <c r="Q175" s="4">
        <f t="shared" si="1"/>
        <v>43.37924303</v>
      </c>
    </row>
    <row r="176">
      <c r="A176" s="2"/>
      <c r="B176" s="38">
        <v>168.0</v>
      </c>
      <c r="C176" s="39" t="s">
        <v>30</v>
      </c>
      <c r="D176" s="39" t="s">
        <v>70</v>
      </c>
      <c r="E176" s="39" t="s">
        <v>84</v>
      </c>
      <c r="F176" s="40"/>
      <c r="G176" s="41" t="s">
        <v>25</v>
      </c>
      <c r="H176" s="42">
        <v>68.0</v>
      </c>
      <c r="I176" s="42">
        <v>25.0</v>
      </c>
      <c r="J176" s="42">
        <v>43.0</v>
      </c>
      <c r="K176" s="42">
        <v>36.8</v>
      </c>
      <c r="L176" s="42">
        <v>63.2</v>
      </c>
      <c r="N176" s="17">
        <v>40302.0</v>
      </c>
      <c r="O176" s="18">
        <v>1850.0</v>
      </c>
      <c r="P176" s="18">
        <v>0.0</v>
      </c>
      <c r="Q176" s="4">
        <f t="shared" si="1"/>
        <v>0</v>
      </c>
    </row>
    <row r="177">
      <c r="A177" s="2"/>
      <c r="B177" s="43">
        <v>169.0</v>
      </c>
      <c r="C177" s="44" t="s">
        <v>32</v>
      </c>
      <c r="D177" s="53" t="s">
        <v>70</v>
      </c>
      <c r="E177" s="53" t="s">
        <v>84</v>
      </c>
      <c r="F177" s="53" t="s">
        <v>85</v>
      </c>
      <c r="G177" s="44" t="s">
        <v>85</v>
      </c>
      <c r="H177" s="45">
        <v>10.0</v>
      </c>
      <c r="I177" s="45">
        <v>5.0</v>
      </c>
      <c r="J177" s="45">
        <v>5.0</v>
      </c>
      <c r="K177" s="45">
        <v>50.0</v>
      </c>
      <c r="L177" s="45">
        <v>50.0</v>
      </c>
      <c r="N177" s="17">
        <v>40401.0</v>
      </c>
      <c r="O177" s="18">
        <v>4184.0</v>
      </c>
      <c r="P177" s="18">
        <v>0.0</v>
      </c>
      <c r="Q177" s="4">
        <f t="shared" si="1"/>
        <v>0</v>
      </c>
    </row>
    <row r="178">
      <c r="A178" s="2"/>
      <c r="B178" s="38">
        <v>170.0</v>
      </c>
      <c r="C178" s="39" t="s">
        <v>32</v>
      </c>
      <c r="D178" s="39" t="s">
        <v>70</v>
      </c>
      <c r="E178" s="39" t="s">
        <v>84</v>
      </c>
      <c r="F178" s="39" t="s">
        <v>85</v>
      </c>
      <c r="G178" s="41" t="s">
        <v>23</v>
      </c>
      <c r="H178" s="42">
        <v>0.0</v>
      </c>
      <c r="I178" s="42">
        <v>0.0</v>
      </c>
      <c r="J178" s="42">
        <v>0.0</v>
      </c>
      <c r="K178" s="42">
        <v>0.0</v>
      </c>
      <c r="L178" s="42">
        <v>0.0</v>
      </c>
      <c r="N178" s="17">
        <v>40402.0</v>
      </c>
      <c r="O178" s="18">
        <v>5207.0</v>
      </c>
      <c r="P178" s="18">
        <v>0.0</v>
      </c>
      <c r="Q178" s="4">
        <f t="shared" si="1"/>
        <v>0</v>
      </c>
    </row>
    <row r="179">
      <c r="A179" s="2"/>
      <c r="B179" s="38">
        <v>171.0</v>
      </c>
      <c r="C179" s="39" t="s">
        <v>32</v>
      </c>
      <c r="D179" s="39" t="s">
        <v>70</v>
      </c>
      <c r="E179" s="39" t="s">
        <v>84</v>
      </c>
      <c r="F179" s="39" t="s">
        <v>85</v>
      </c>
      <c r="G179" s="41" t="s">
        <v>25</v>
      </c>
      <c r="H179" s="42">
        <v>10.0</v>
      </c>
      <c r="I179" s="42">
        <v>5.0</v>
      </c>
      <c r="J179" s="42">
        <v>5.0</v>
      </c>
      <c r="K179" s="42">
        <v>50.0</v>
      </c>
      <c r="L179" s="42">
        <v>50.0</v>
      </c>
      <c r="N179" s="17">
        <v>40501.0</v>
      </c>
      <c r="O179" s="18">
        <v>1003.0</v>
      </c>
      <c r="P179" s="18">
        <v>0.0</v>
      </c>
      <c r="Q179" s="4">
        <f t="shared" si="1"/>
        <v>0</v>
      </c>
    </row>
    <row r="180">
      <c r="A180" s="2"/>
      <c r="B180" s="43">
        <v>172.0</v>
      </c>
      <c r="C180" s="44" t="s">
        <v>32</v>
      </c>
      <c r="D180" s="53" t="s">
        <v>70</v>
      </c>
      <c r="E180" s="53" t="s">
        <v>84</v>
      </c>
      <c r="F180" s="53" t="s">
        <v>86</v>
      </c>
      <c r="G180" s="44" t="s">
        <v>86</v>
      </c>
      <c r="H180" s="45">
        <v>10.0</v>
      </c>
      <c r="I180" s="45">
        <v>6.0</v>
      </c>
      <c r="J180" s="45">
        <v>4.0</v>
      </c>
      <c r="K180" s="45">
        <v>60.0</v>
      </c>
      <c r="L180" s="45">
        <v>40.0</v>
      </c>
      <c r="N180" s="17">
        <v>40502.0</v>
      </c>
      <c r="O180" s="18">
        <v>4223.0</v>
      </c>
      <c r="P180" s="18">
        <v>0.0</v>
      </c>
      <c r="Q180" s="4">
        <f t="shared" si="1"/>
        <v>0</v>
      </c>
    </row>
    <row r="181">
      <c r="A181" s="2"/>
      <c r="B181" s="38">
        <v>173.0</v>
      </c>
      <c r="C181" s="39" t="s">
        <v>32</v>
      </c>
      <c r="D181" s="39" t="s">
        <v>70</v>
      </c>
      <c r="E181" s="39" t="s">
        <v>84</v>
      </c>
      <c r="F181" s="39" t="s">
        <v>86</v>
      </c>
      <c r="G181" s="41" t="s">
        <v>23</v>
      </c>
      <c r="H181" s="46"/>
      <c r="I181" s="46"/>
      <c r="J181" s="46"/>
      <c r="K181" s="46"/>
      <c r="L181" s="46"/>
      <c r="N181" s="17">
        <v>40503.0</v>
      </c>
      <c r="O181" s="18">
        <v>1967.0</v>
      </c>
      <c r="P181" s="18">
        <v>0.0</v>
      </c>
      <c r="Q181" s="4">
        <f t="shared" si="1"/>
        <v>0</v>
      </c>
    </row>
    <row r="182">
      <c r="A182" s="2"/>
      <c r="B182" s="38">
        <v>174.0</v>
      </c>
      <c r="C182" s="39" t="s">
        <v>32</v>
      </c>
      <c r="D182" s="39" t="s">
        <v>70</v>
      </c>
      <c r="E182" s="39" t="s">
        <v>84</v>
      </c>
      <c r="F182" s="39" t="s">
        <v>86</v>
      </c>
      <c r="G182" s="41" t="s">
        <v>25</v>
      </c>
      <c r="H182" s="42">
        <v>10.0</v>
      </c>
      <c r="I182" s="42">
        <v>6.0</v>
      </c>
      <c r="J182" s="42">
        <v>4.0</v>
      </c>
      <c r="K182" s="42">
        <v>60.0</v>
      </c>
      <c r="L182" s="42">
        <v>40.0</v>
      </c>
      <c r="N182" s="17">
        <v>40504.0</v>
      </c>
      <c r="O182" s="18">
        <v>514.0</v>
      </c>
      <c r="P182" s="18">
        <v>0.0</v>
      </c>
      <c r="Q182" s="4">
        <f t="shared" si="1"/>
        <v>0</v>
      </c>
    </row>
    <row r="183">
      <c r="A183" s="2"/>
      <c r="B183" s="43">
        <v>175.0</v>
      </c>
      <c r="C183" s="44" t="s">
        <v>32</v>
      </c>
      <c r="D183" s="53" t="s">
        <v>70</v>
      </c>
      <c r="E183" s="53" t="s">
        <v>84</v>
      </c>
      <c r="F183" s="53" t="s">
        <v>87</v>
      </c>
      <c r="G183" s="44" t="s">
        <v>87</v>
      </c>
      <c r="H183" s="45">
        <v>24.0</v>
      </c>
      <c r="I183" s="45">
        <v>10.0</v>
      </c>
      <c r="J183" s="45">
        <v>14.0</v>
      </c>
      <c r="K183" s="45">
        <v>41.7</v>
      </c>
      <c r="L183" s="45">
        <v>58.3</v>
      </c>
      <c r="N183" s="17">
        <v>40505.0</v>
      </c>
      <c r="O183" s="18">
        <v>2702.0</v>
      </c>
      <c r="P183" s="18">
        <v>0.0</v>
      </c>
      <c r="Q183" s="4">
        <f t="shared" si="1"/>
        <v>0</v>
      </c>
    </row>
    <row r="184">
      <c r="A184" s="2"/>
      <c r="B184" s="38">
        <v>176.0</v>
      </c>
      <c r="C184" s="39" t="s">
        <v>32</v>
      </c>
      <c r="D184" s="39" t="s">
        <v>70</v>
      </c>
      <c r="E184" s="39" t="s">
        <v>84</v>
      </c>
      <c r="F184" s="39" t="s">
        <v>87</v>
      </c>
      <c r="G184" s="41" t="s">
        <v>23</v>
      </c>
      <c r="H184" s="46"/>
      <c r="I184" s="46"/>
      <c r="J184" s="46"/>
      <c r="K184" s="46"/>
      <c r="L184" s="46"/>
      <c r="N184" s="17">
        <v>40601.0</v>
      </c>
      <c r="O184" s="18">
        <v>7587.0</v>
      </c>
      <c r="P184" s="18">
        <v>5.0</v>
      </c>
      <c r="Q184" s="4">
        <f t="shared" si="1"/>
        <v>65.90220113</v>
      </c>
    </row>
    <row r="185">
      <c r="A185" s="2"/>
      <c r="B185" s="38">
        <v>177.0</v>
      </c>
      <c r="C185" s="39" t="s">
        <v>32</v>
      </c>
      <c r="D185" s="39" t="s">
        <v>70</v>
      </c>
      <c r="E185" s="39" t="s">
        <v>84</v>
      </c>
      <c r="F185" s="39" t="s">
        <v>87</v>
      </c>
      <c r="G185" s="41" t="s">
        <v>25</v>
      </c>
      <c r="H185" s="42">
        <v>24.0</v>
      </c>
      <c r="I185" s="42">
        <v>10.0</v>
      </c>
      <c r="J185" s="42">
        <v>14.0</v>
      </c>
      <c r="K185" s="42">
        <v>41.7</v>
      </c>
      <c r="L185" s="42">
        <v>58.3</v>
      </c>
      <c r="N185" s="17">
        <v>40602.0</v>
      </c>
      <c r="O185" s="18">
        <v>5955.0</v>
      </c>
      <c r="P185" s="18">
        <v>0.0</v>
      </c>
      <c r="Q185" s="4">
        <f t="shared" si="1"/>
        <v>0</v>
      </c>
    </row>
    <row r="186">
      <c r="A186" s="2"/>
      <c r="B186" s="43">
        <v>178.0</v>
      </c>
      <c r="C186" s="44" t="s">
        <v>32</v>
      </c>
      <c r="D186" s="53" t="s">
        <v>70</v>
      </c>
      <c r="E186" s="53" t="s">
        <v>84</v>
      </c>
      <c r="F186" s="53" t="s">
        <v>88</v>
      </c>
      <c r="G186" s="44" t="s">
        <v>88</v>
      </c>
      <c r="H186" s="45">
        <v>4.0</v>
      </c>
      <c r="I186" s="45">
        <v>0.0</v>
      </c>
      <c r="J186" s="45">
        <v>4.0</v>
      </c>
      <c r="K186" s="45">
        <v>0.0</v>
      </c>
      <c r="L186" s="45">
        <v>100.0</v>
      </c>
      <c r="N186" s="17">
        <v>40603.0</v>
      </c>
      <c r="O186" s="18">
        <v>3264.0</v>
      </c>
      <c r="P186" s="18">
        <v>0.0</v>
      </c>
      <c r="Q186" s="4">
        <f t="shared" si="1"/>
        <v>0</v>
      </c>
    </row>
    <row r="187">
      <c r="A187" s="2"/>
      <c r="B187" s="38">
        <v>179.0</v>
      </c>
      <c r="C187" s="39" t="s">
        <v>32</v>
      </c>
      <c r="D187" s="39" t="s">
        <v>70</v>
      </c>
      <c r="E187" s="39" t="s">
        <v>84</v>
      </c>
      <c r="F187" s="39" t="s">
        <v>88</v>
      </c>
      <c r="G187" s="41" t="s">
        <v>23</v>
      </c>
      <c r="H187" s="46"/>
      <c r="I187" s="46"/>
      <c r="J187" s="46"/>
      <c r="K187" s="46"/>
      <c r="L187" s="46"/>
      <c r="N187" s="17">
        <v>40701.0</v>
      </c>
      <c r="O187" s="18">
        <v>24677.0</v>
      </c>
      <c r="P187" s="18">
        <v>2.0</v>
      </c>
      <c r="Q187" s="4">
        <f t="shared" si="1"/>
        <v>8.104712891</v>
      </c>
    </row>
    <row r="188">
      <c r="A188" s="2"/>
      <c r="B188" s="38">
        <v>180.0</v>
      </c>
      <c r="C188" s="39" t="s">
        <v>32</v>
      </c>
      <c r="D188" s="39" t="s">
        <v>70</v>
      </c>
      <c r="E188" s="39" t="s">
        <v>84</v>
      </c>
      <c r="F188" s="39" t="s">
        <v>88</v>
      </c>
      <c r="G188" s="41" t="s">
        <v>25</v>
      </c>
      <c r="H188" s="42">
        <v>4.0</v>
      </c>
      <c r="I188" s="42">
        <v>0.0</v>
      </c>
      <c r="J188" s="42">
        <v>4.0</v>
      </c>
      <c r="K188" s="42">
        <v>0.0</v>
      </c>
      <c r="L188" s="42">
        <v>100.0</v>
      </c>
      <c r="N188" s="17">
        <v>40702.0</v>
      </c>
      <c r="O188" s="18">
        <v>4820.0</v>
      </c>
      <c r="P188" s="18">
        <v>0.0</v>
      </c>
      <c r="Q188" s="4">
        <f t="shared" si="1"/>
        <v>0</v>
      </c>
    </row>
    <row r="189">
      <c r="A189" s="2"/>
      <c r="B189" s="43">
        <v>181.0</v>
      </c>
      <c r="C189" s="44" t="s">
        <v>32</v>
      </c>
      <c r="D189" s="53" t="s">
        <v>70</v>
      </c>
      <c r="E189" s="53" t="s">
        <v>84</v>
      </c>
      <c r="F189" s="53" t="s">
        <v>89</v>
      </c>
      <c r="G189" s="44" t="s">
        <v>89</v>
      </c>
      <c r="H189" s="45">
        <v>9.0</v>
      </c>
      <c r="I189" s="45">
        <v>1.0</v>
      </c>
      <c r="J189" s="45">
        <v>8.0</v>
      </c>
      <c r="K189" s="45">
        <v>11.1</v>
      </c>
      <c r="L189" s="45">
        <v>88.9</v>
      </c>
      <c r="N189" s="17">
        <v>40801.0</v>
      </c>
      <c r="O189" s="18">
        <v>11878.0</v>
      </c>
      <c r="P189" s="18">
        <v>18.0</v>
      </c>
      <c r="Q189" s="4">
        <f t="shared" si="1"/>
        <v>151.5406634</v>
      </c>
    </row>
    <row r="190">
      <c r="A190" s="2"/>
      <c r="B190" s="38">
        <v>182.0</v>
      </c>
      <c r="C190" s="39" t="s">
        <v>32</v>
      </c>
      <c r="D190" s="39" t="s">
        <v>70</v>
      </c>
      <c r="E190" s="39" t="s">
        <v>84</v>
      </c>
      <c r="F190" s="39" t="s">
        <v>89</v>
      </c>
      <c r="G190" s="41" t="s">
        <v>23</v>
      </c>
      <c r="H190" s="46"/>
      <c r="I190" s="46"/>
      <c r="J190" s="46"/>
      <c r="K190" s="46"/>
      <c r="L190" s="46"/>
      <c r="N190" s="17">
        <v>40802.0</v>
      </c>
      <c r="O190" s="18">
        <v>2973.0</v>
      </c>
      <c r="P190" s="18">
        <v>0.0</v>
      </c>
      <c r="Q190" s="4">
        <f t="shared" si="1"/>
        <v>0</v>
      </c>
    </row>
    <row r="191">
      <c r="A191" s="2"/>
      <c r="B191" s="38">
        <v>183.0</v>
      </c>
      <c r="C191" s="39" t="s">
        <v>32</v>
      </c>
      <c r="D191" s="39" t="s">
        <v>70</v>
      </c>
      <c r="E191" s="39" t="s">
        <v>84</v>
      </c>
      <c r="F191" s="39" t="s">
        <v>89</v>
      </c>
      <c r="G191" s="41" t="s">
        <v>25</v>
      </c>
      <c r="H191" s="42">
        <v>9.0</v>
      </c>
      <c r="I191" s="42">
        <v>1.0</v>
      </c>
      <c r="J191" s="42">
        <v>8.0</v>
      </c>
      <c r="K191" s="42">
        <v>11.1</v>
      </c>
      <c r="L191" s="42">
        <v>88.9</v>
      </c>
      <c r="N191" s="17">
        <v>40901.0</v>
      </c>
      <c r="O191" s="18">
        <v>8018.0</v>
      </c>
      <c r="P191" s="18">
        <v>0.0</v>
      </c>
      <c r="Q191" s="4">
        <f t="shared" si="1"/>
        <v>0</v>
      </c>
    </row>
    <row r="192">
      <c r="A192" s="2"/>
      <c r="B192" s="43">
        <v>184.0</v>
      </c>
      <c r="C192" s="44" t="s">
        <v>32</v>
      </c>
      <c r="D192" s="53" t="s">
        <v>70</v>
      </c>
      <c r="E192" s="53" t="s">
        <v>84</v>
      </c>
      <c r="F192" s="53" t="s">
        <v>90</v>
      </c>
      <c r="G192" s="44" t="s">
        <v>90</v>
      </c>
      <c r="H192" s="45">
        <v>15.0</v>
      </c>
      <c r="I192" s="45">
        <v>5.0</v>
      </c>
      <c r="J192" s="45">
        <v>10.0</v>
      </c>
      <c r="K192" s="45">
        <v>33.3</v>
      </c>
      <c r="L192" s="45">
        <v>66.7</v>
      </c>
      <c r="N192" s="17">
        <v>40902.0</v>
      </c>
      <c r="O192" s="18">
        <v>903.0</v>
      </c>
      <c r="P192" s="18">
        <v>0.0</v>
      </c>
      <c r="Q192" s="4">
        <f t="shared" si="1"/>
        <v>0</v>
      </c>
    </row>
    <row r="193">
      <c r="A193" s="2"/>
      <c r="B193" s="38">
        <v>185.0</v>
      </c>
      <c r="C193" s="39" t="s">
        <v>32</v>
      </c>
      <c r="D193" s="39" t="s">
        <v>70</v>
      </c>
      <c r="E193" s="39" t="s">
        <v>84</v>
      </c>
      <c r="F193" s="39" t="s">
        <v>90</v>
      </c>
      <c r="G193" s="41" t="s">
        <v>23</v>
      </c>
      <c r="H193" s="42">
        <v>15.0</v>
      </c>
      <c r="I193" s="42">
        <v>5.0</v>
      </c>
      <c r="J193" s="42">
        <v>10.0</v>
      </c>
      <c r="K193" s="42">
        <v>33.3</v>
      </c>
      <c r="L193" s="42">
        <v>66.7</v>
      </c>
      <c r="N193" s="17">
        <v>40903.0</v>
      </c>
      <c r="O193" s="18">
        <v>2003.0</v>
      </c>
      <c r="P193" s="18">
        <v>0.0</v>
      </c>
      <c r="Q193" s="4">
        <f t="shared" si="1"/>
        <v>0</v>
      </c>
    </row>
    <row r="194">
      <c r="A194" s="2"/>
      <c r="B194" s="38">
        <v>186.0</v>
      </c>
      <c r="C194" s="39" t="s">
        <v>32</v>
      </c>
      <c r="D194" s="39" t="s">
        <v>70</v>
      </c>
      <c r="E194" s="39" t="s">
        <v>84</v>
      </c>
      <c r="F194" s="39" t="s">
        <v>90</v>
      </c>
      <c r="G194" s="41" t="s">
        <v>25</v>
      </c>
      <c r="H194" s="42">
        <v>0.0</v>
      </c>
      <c r="I194" s="42">
        <v>0.0</v>
      </c>
      <c r="J194" s="42">
        <v>0.0</v>
      </c>
      <c r="K194" s="42">
        <v>0.0</v>
      </c>
      <c r="L194" s="42">
        <v>0.0</v>
      </c>
      <c r="N194" s="17">
        <v>41001.0</v>
      </c>
      <c r="O194" s="18">
        <v>10149.0</v>
      </c>
      <c r="P194" s="18">
        <v>0.0</v>
      </c>
      <c r="Q194" s="4">
        <f t="shared" si="1"/>
        <v>0</v>
      </c>
    </row>
    <row r="195">
      <c r="A195" s="2"/>
      <c r="B195" s="43">
        <v>187.0</v>
      </c>
      <c r="C195" s="44" t="s">
        <v>32</v>
      </c>
      <c r="D195" s="53" t="s">
        <v>70</v>
      </c>
      <c r="E195" s="53" t="s">
        <v>84</v>
      </c>
      <c r="F195" s="53" t="s">
        <v>91</v>
      </c>
      <c r="G195" s="44" t="s">
        <v>91</v>
      </c>
      <c r="H195" s="45">
        <v>3.0</v>
      </c>
      <c r="I195" s="45">
        <v>3.0</v>
      </c>
      <c r="J195" s="45">
        <v>0.0</v>
      </c>
      <c r="K195" s="45">
        <v>100.0</v>
      </c>
      <c r="L195" s="45">
        <v>0.0</v>
      </c>
      <c r="N195" s="17">
        <v>41101.0</v>
      </c>
      <c r="O195" s="18">
        <v>5267.0</v>
      </c>
      <c r="P195" s="18">
        <v>0.0</v>
      </c>
      <c r="Q195" s="4">
        <f t="shared" si="1"/>
        <v>0</v>
      </c>
    </row>
    <row r="196">
      <c r="A196" s="2"/>
      <c r="B196" s="38">
        <v>188.0</v>
      </c>
      <c r="C196" s="39" t="s">
        <v>32</v>
      </c>
      <c r="D196" s="39" t="s">
        <v>70</v>
      </c>
      <c r="E196" s="39" t="s">
        <v>84</v>
      </c>
      <c r="F196" s="39" t="s">
        <v>91</v>
      </c>
      <c r="G196" s="41" t="s">
        <v>23</v>
      </c>
      <c r="H196" s="46"/>
      <c r="I196" s="46"/>
      <c r="J196" s="46"/>
      <c r="K196" s="46"/>
      <c r="L196" s="46"/>
      <c r="N196" s="17">
        <v>41201.0</v>
      </c>
      <c r="O196" s="18">
        <v>5216.0</v>
      </c>
      <c r="P196" s="18">
        <v>0.0</v>
      </c>
      <c r="Q196" s="4">
        <f t="shared" si="1"/>
        <v>0</v>
      </c>
    </row>
    <row r="197">
      <c r="A197" s="2"/>
      <c r="B197" s="38">
        <v>189.0</v>
      </c>
      <c r="C197" s="39" t="s">
        <v>32</v>
      </c>
      <c r="D197" s="39" t="s">
        <v>70</v>
      </c>
      <c r="E197" s="39" t="s">
        <v>84</v>
      </c>
      <c r="F197" s="39" t="s">
        <v>91</v>
      </c>
      <c r="G197" s="41" t="s">
        <v>25</v>
      </c>
      <c r="H197" s="42">
        <v>3.0</v>
      </c>
      <c r="I197" s="42">
        <v>3.0</v>
      </c>
      <c r="J197" s="42">
        <v>0.0</v>
      </c>
      <c r="K197" s="42">
        <v>100.0</v>
      </c>
      <c r="L197" s="42">
        <v>0.0</v>
      </c>
      <c r="N197" s="17">
        <v>41202.0</v>
      </c>
      <c r="O197" s="18">
        <v>2016.0</v>
      </c>
      <c r="P197" s="18">
        <v>0.0</v>
      </c>
      <c r="Q197" s="4">
        <f t="shared" si="1"/>
        <v>0</v>
      </c>
    </row>
    <row r="198">
      <c r="A198" s="2"/>
      <c r="B198" s="43">
        <v>190.0</v>
      </c>
      <c r="C198" s="44" t="s">
        <v>32</v>
      </c>
      <c r="D198" s="53" t="s">
        <v>70</v>
      </c>
      <c r="E198" s="53" t="s">
        <v>84</v>
      </c>
      <c r="F198" s="53" t="s">
        <v>92</v>
      </c>
      <c r="G198" s="44" t="s">
        <v>92</v>
      </c>
      <c r="H198" s="45">
        <v>8.0</v>
      </c>
      <c r="I198" s="45">
        <v>0.0</v>
      </c>
      <c r="J198" s="45">
        <v>8.0</v>
      </c>
      <c r="K198" s="45">
        <v>0.0</v>
      </c>
      <c r="L198" s="45">
        <v>100.0</v>
      </c>
      <c r="N198" s="17">
        <v>41301.0</v>
      </c>
      <c r="O198" s="18">
        <v>5531.0</v>
      </c>
      <c r="P198" s="18">
        <v>1.0</v>
      </c>
      <c r="Q198" s="4">
        <f t="shared" si="1"/>
        <v>18.07991322</v>
      </c>
    </row>
    <row r="199">
      <c r="A199" s="2"/>
      <c r="B199" s="38">
        <v>191.0</v>
      </c>
      <c r="C199" s="39" t="s">
        <v>32</v>
      </c>
      <c r="D199" s="39" t="s">
        <v>70</v>
      </c>
      <c r="E199" s="39" t="s">
        <v>84</v>
      </c>
      <c r="F199" s="39" t="s">
        <v>92</v>
      </c>
      <c r="G199" s="41" t="s">
        <v>23</v>
      </c>
      <c r="H199" s="46"/>
      <c r="I199" s="46"/>
      <c r="J199" s="46"/>
      <c r="K199" s="46"/>
      <c r="L199" s="46"/>
      <c r="N199" s="17">
        <v>41401.0</v>
      </c>
      <c r="O199" s="18">
        <v>13897.0</v>
      </c>
      <c r="P199" s="18">
        <v>0.0</v>
      </c>
      <c r="Q199" s="4">
        <f t="shared" si="1"/>
        <v>0</v>
      </c>
    </row>
    <row r="200">
      <c r="A200" s="2"/>
      <c r="B200" s="38">
        <v>192.0</v>
      </c>
      <c r="C200" s="39" t="s">
        <v>32</v>
      </c>
      <c r="D200" s="39" t="s">
        <v>70</v>
      </c>
      <c r="E200" s="39" t="s">
        <v>84</v>
      </c>
      <c r="F200" s="39" t="s">
        <v>92</v>
      </c>
      <c r="G200" s="41" t="s">
        <v>25</v>
      </c>
      <c r="H200" s="42">
        <v>8.0</v>
      </c>
      <c r="I200" s="42">
        <v>0.0</v>
      </c>
      <c r="J200" s="42">
        <v>8.0</v>
      </c>
      <c r="K200" s="42">
        <v>0.0</v>
      </c>
      <c r="L200" s="42">
        <v>100.0</v>
      </c>
      <c r="N200" s="17">
        <v>41501.0</v>
      </c>
      <c r="O200" s="18">
        <v>509.0</v>
      </c>
      <c r="P200" s="18">
        <v>0.0</v>
      </c>
      <c r="Q200" s="4">
        <f t="shared" si="1"/>
        <v>0</v>
      </c>
    </row>
    <row r="201">
      <c r="A201" s="2"/>
      <c r="B201" s="34">
        <v>193.0</v>
      </c>
      <c r="C201" s="35" t="s">
        <v>30</v>
      </c>
      <c r="D201" s="49" t="s">
        <v>70</v>
      </c>
      <c r="E201" s="49" t="s">
        <v>93</v>
      </c>
      <c r="F201" s="50"/>
      <c r="G201" s="35" t="s">
        <v>93</v>
      </c>
      <c r="H201" s="37">
        <v>61.0</v>
      </c>
      <c r="I201" s="37">
        <v>27.0</v>
      </c>
      <c r="J201" s="37">
        <v>34.0</v>
      </c>
      <c r="K201" s="37">
        <v>44.3</v>
      </c>
      <c r="L201" s="37">
        <v>55.7</v>
      </c>
      <c r="N201" s="17">
        <v>41502.0</v>
      </c>
      <c r="O201" s="18">
        <v>727.0</v>
      </c>
      <c r="P201" s="18">
        <v>0.0</v>
      </c>
      <c r="Q201" s="4">
        <f t="shared" si="1"/>
        <v>0</v>
      </c>
    </row>
    <row r="202">
      <c r="A202" s="2"/>
      <c r="B202" s="38">
        <v>194.0</v>
      </c>
      <c r="C202" s="39" t="s">
        <v>30</v>
      </c>
      <c r="D202" s="39" t="s">
        <v>70</v>
      </c>
      <c r="E202" s="39" t="s">
        <v>93</v>
      </c>
      <c r="F202" s="40"/>
      <c r="G202" s="41" t="s">
        <v>23</v>
      </c>
      <c r="H202" s="46"/>
      <c r="I202" s="46"/>
      <c r="J202" s="46"/>
      <c r="K202" s="46"/>
      <c r="L202" s="46"/>
      <c r="N202" s="17">
        <v>41503.0</v>
      </c>
      <c r="O202" s="18">
        <v>840.0</v>
      </c>
      <c r="P202" s="18">
        <v>0.0</v>
      </c>
      <c r="Q202" s="4">
        <f t="shared" si="1"/>
        <v>0</v>
      </c>
    </row>
    <row r="203">
      <c r="A203" s="2"/>
      <c r="B203" s="38">
        <v>195.0</v>
      </c>
      <c r="C203" s="39" t="s">
        <v>30</v>
      </c>
      <c r="D203" s="39" t="s">
        <v>70</v>
      </c>
      <c r="E203" s="39" t="s">
        <v>93</v>
      </c>
      <c r="F203" s="40"/>
      <c r="G203" s="41" t="s">
        <v>25</v>
      </c>
      <c r="H203" s="42">
        <v>61.0</v>
      </c>
      <c r="I203" s="42">
        <v>27.0</v>
      </c>
      <c r="J203" s="42">
        <v>34.0</v>
      </c>
      <c r="K203" s="42">
        <v>44.3</v>
      </c>
      <c r="L203" s="42">
        <v>55.7</v>
      </c>
      <c r="N203" s="17">
        <v>41601.0</v>
      </c>
      <c r="O203" s="18">
        <v>5502.0</v>
      </c>
      <c r="P203" s="18">
        <v>0.0</v>
      </c>
      <c r="Q203" s="4">
        <f t="shared" si="1"/>
        <v>0</v>
      </c>
    </row>
    <row r="204">
      <c r="A204" s="2"/>
      <c r="B204" s="43">
        <v>196.0</v>
      </c>
      <c r="C204" s="44" t="s">
        <v>32</v>
      </c>
      <c r="D204" s="53" t="s">
        <v>70</v>
      </c>
      <c r="E204" s="53" t="s">
        <v>93</v>
      </c>
      <c r="F204" s="53" t="s">
        <v>94</v>
      </c>
      <c r="G204" s="44" t="s">
        <v>94</v>
      </c>
      <c r="H204" s="45">
        <v>17.0</v>
      </c>
      <c r="I204" s="45">
        <v>6.0</v>
      </c>
      <c r="J204" s="45">
        <v>11.0</v>
      </c>
      <c r="K204" s="45">
        <v>35.3</v>
      </c>
      <c r="L204" s="45">
        <v>64.7</v>
      </c>
      <c r="N204" s="17">
        <v>50101.0</v>
      </c>
      <c r="O204" s="18">
        <v>191302.0</v>
      </c>
      <c r="P204" s="18">
        <v>170.0</v>
      </c>
      <c r="Q204" s="4">
        <f t="shared" si="1"/>
        <v>88.86472698</v>
      </c>
    </row>
    <row r="205">
      <c r="A205" s="2"/>
      <c r="B205" s="38">
        <v>197.0</v>
      </c>
      <c r="C205" s="39" t="s">
        <v>32</v>
      </c>
      <c r="D205" s="39" t="s">
        <v>70</v>
      </c>
      <c r="E205" s="39" t="s">
        <v>93</v>
      </c>
      <c r="F205" s="39" t="s">
        <v>94</v>
      </c>
      <c r="G205" s="41" t="s">
        <v>23</v>
      </c>
      <c r="H205" s="46"/>
      <c r="I205" s="46"/>
      <c r="J205" s="46"/>
      <c r="K205" s="46"/>
      <c r="L205" s="46"/>
      <c r="N205" s="17">
        <v>50102.0</v>
      </c>
      <c r="O205" s="18">
        <v>27200.0</v>
      </c>
      <c r="P205" s="18">
        <v>0.0</v>
      </c>
      <c r="Q205" s="4">
        <f t="shared" si="1"/>
        <v>0</v>
      </c>
    </row>
    <row r="206">
      <c r="A206" s="2"/>
      <c r="B206" s="38">
        <v>198.0</v>
      </c>
      <c r="C206" s="39" t="s">
        <v>32</v>
      </c>
      <c r="D206" s="39" t="s">
        <v>70</v>
      </c>
      <c r="E206" s="39" t="s">
        <v>93</v>
      </c>
      <c r="F206" s="39" t="s">
        <v>94</v>
      </c>
      <c r="G206" s="41" t="s">
        <v>25</v>
      </c>
      <c r="H206" s="42">
        <v>17.0</v>
      </c>
      <c r="I206" s="42">
        <v>6.0</v>
      </c>
      <c r="J206" s="42">
        <v>11.0</v>
      </c>
      <c r="K206" s="42">
        <v>35.3</v>
      </c>
      <c r="L206" s="42">
        <v>64.7</v>
      </c>
      <c r="N206" s="17">
        <v>50103.0</v>
      </c>
      <c r="O206" s="18">
        <v>8979.0</v>
      </c>
      <c r="P206" s="18">
        <v>1.0</v>
      </c>
      <c r="Q206" s="4">
        <f t="shared" si="1"/>
        <v>11.13709767</v>
      </c>
    </row>
    <row r="207">
      <c r="A207" s="2"/>
      <c r="B207" s="43">
        <v>199.0</v>
      </c>
      <c r="C207" s="44" t="s">
        <v>32</v>
      </c>
      <c r="D207" s="53" t="s">
        <v>70</v>
      </c>
      <c r="E207" s="53" t="s">
        <v>93</v>
      </c>
      <c r="F207" s="53" t="s">
        <v>95</v>
      </c>
      <c r="G207" s="44" t="s">
        <v>95</v>
      </c>
      <c r="H207" s="45">
        <v>25.0</v>
      </c>
      <c r="I207" s="45">
        <v>9.0</v>
      </c>
      <c r="J207" s="45">
        <v>16.0</v>
      </c>
      <c r="K207" s="45">
        <v>36.0</v>
      </c>
      <c r="L207" s="45">
        <v>64.0</v>
      </c>
      <c r="N207" s="17">
        <v>50104.0</v>
      </c>
      <c r="O207" s="18">
        <v>2759.0</v>
      </c>
      <c r="P207" s="18">
        <v>0.0</v>
      </c>
      <c r="Q207" s="4">
        <f t="shared" si="1"/>
        <v>0</v>
      </c>
    </row>
    <row r="208">
      <c r="A208" s="2"/>
      <c r="B208" s="38">
        <v>200.0</v>
      </c>
      <c r="C208" s="39" t="s">
        <v>32</v>
      </c>
      <c r="D208" s="39" t="s">
        <v>70</v>
      </c>
      <c r="E208" s="39" t="s">
        <v>93</v>
      </c>
      <c r="F208" s="39" t="s">
        <v>95</v>
      </c>
      <c r="G208" s="41" t="s">
        <v>23</v>
      </c>
      <c r="H208" s="46"/>
      <c r="I208" s="46"/>
      <c r="J208" s="46"/>
      <c r="K208" s="46"/>
      <c r="L208" s="46"/>
      <c r="N208" s="17">
        <v>50201.0</v>
      </c>
      <c r="O208" s="18">
        <v>22020.0</v>
      </c>
      <c r="P208" s="18">
        <v>0.0</v>
      </c>
      <c r="Q208" s="4">
        <f t="shared" si="1"/>
        <v>0</v>
      </c>
    </row>
    <row r="209">
      <c r="A209" s="2"/>
      <c r="B209" s="38">
        <v>201.0</v>
      </c>
      <c r="C209" s="39" t="s">
        <v>32</v>
      </c>
      <c r="D209" s="39" t="s">
        <v>70</v>
      </c>
      <c r="E209" s="39" t="s">
        <v>93</v>
      </c>
      <c r="F209" s="39" t="s">
        <v>95</v>
      </c>
      <c r="G209" s="41" t="s">
        <v>25</v>
      </c>
      <c r="H209" s="42">
        <v>25.0</v>
      </c>
      <c r="I209" s="42">
        <v>9.0</v>
      </c>
      <c r="J209" s="42">
        <v>16.0</v>
      </c>
      <c r="K209" s="42">
        <v>36.0</v>
      </c>
      <c r="L209" s="42">
        <v>64.0</v>
      </c>
      <c r="N209" s="17">
        <v>50202.0</v>
      </c>
      <c r="O209" s="18">
        <v>16129.0</v>
      </c>
      <c r="P209" s="18">
        <v>7.0</v>
      </c>
      <c r="Q209" s="4">
        <f t="shared" si="1"/>
        <v>43.4000868</v>
      </c>
    </row>
    <row r="210">
      <c r="A210" s="2"/>
      <c r="B210" s="43">
        <v>202.0</v>
      </c>
      <c r="C210" s="44" t="s">
        <v>32</v>
      </c>
      <c r="D210" s="53" t="s">
        <v>70</v>
      </c>
      <c r="E210" s="53" t="s">
        <v>93</v>
      </c>
      <c r="F210" s="53" t="s">
        <v>96</v>
      </c>
      <c r="G210" s="44" t="s">
        <v>96</v>
      </c>
      <c r="H210" s="45">
        <v>8.0</v>
      </c>
      <c r="I210" s="45">
        <v>4.0</v>
      </c>
      <c r="J210" s="45">
        <v>4.0</v>
      </c>
      <c r="K210" s="45">
        <v>50.0</v>
      </c>
      <c r="L210" s="45">
        <v>50.0</v>
      </c>
      <c r="N210" s="17">
        <v>50203.0</v>
      </c>
      <c r="O210" s="18">
        <v>41104.0</v>
      </c>
      <c r="P210" s="18">
        <v>50.0</v>
      </c>
      <c r="Q210" s="4">
        <f t="shared" si="1"/>
        <v>121.6426625</v>
      </c>
    </row>
    <row r="211">
      <c r="A211" s="2"/>
      <c r="B211" s="38">
        <v>203.0</v>
      </c>
      <c r="C211" s="39" t="s">
        <v>32</v>
      </c>
      <c r="D211" s="39" t="s">
        <v>70</v>
      </c>
      <c r="E211" s="39" t="s">
        <v>93</v>
      </c>
      <c r="F211" s="39" t="s">
        <v>96</v>
      </c>
      <c r="G211" s="41" t="s">
        <v>23</v>
      </c>
      <c r="H211" s="46"/>
      <c r="I211" s="46"/>
      <c r="J211" s="46"/>
      <c r="K211" s="46"/>
      <c r="L211" s="46"/>
      <c r="N211" s="17">
        <v>50204.0</v>
      </c>
      <c r="O211" s="18">
        <v>8019.0</v>
      </c>
      <c r="P211" s="18">
        <v>95.0</v>
      </c>
      <c r="Q211" s="4">
        <f t="shared" si="1"/>
        <v>1184.68637</v>
      </c>
    </row>
    <row r="212">
      <c r="A212" s="2"/>
      <c r="B212" s="38">
        <v>204.0</v>
      </c>
      <c r="C212" s="39" t="s">
        <v>32</v>
      </c>
      <c r="D212" s="39" t="s">
        <v>70</v>
      </c>
      <c r="E212" s="39" t="s">
        <v>93</v>
      </c>
      <c r="F212" s="39" t="s">
        <v>96</v>
      </c>
      <c r="G212" s="41" t="s">
        <v>25</v>
      </c>
      <c r="H212" s="42">
        <v>8.0</v>
      </c>
      <c r="I212" s="42">
        <v>4.0</v>
      </c>
      <c r="J212" s="42">
        <v>4.0</v>
      </c>
      <c r="K212" s="42">
        <v>50.0</v>
      </c>
      <c r="L212" s="42">
        <v>50.0</v>
      </c>
      <c r="N212" s="17">
        <v>50301.0</v>
      </c>
      <c r="O212" s="18">
        <v>33922.0</v>
      </c>
      <c r="P212" s="18">
        <v>55.0</v>
      </c>
      <c r="Q212" s="4">
        <f t="shared" si="1"/>
        <v>162.1366665</v>
      </c>
    </row>
    <row r="213">
      <c r="A213" s="2"/>
      <c r="B213" s="43">
        <v>205.0</v>
      </c>
      <c r="C213" s="44" t="s">
        <v>32</v>
      </c>
      <c r="D213" s="53" t="s">
        <v>70</v>
      </c>
      <c r="E213" s="53" t="s">
        <v>93</v>
      </c>
      <c r="F213" s="53" t="s">
        <v>97</v>
      </c>
      <c r="G213" s="44" t="s">
        <v>97</v>
      </c>
      <c r="H213" s="45">
        <v>2.0</v>
      </c>
      <c r="I213" s="45">
        <v>0.0</v>
      </c>
      <c r="J213" s="45">
        <v>2.0</v>
      </c>
      <c r="K213" s="45">
        <v>0.0</v>
      </c>
      <c r="L213" s="45">
        <v>100.0</v>
      </c>
      <c r="N213" s="17">
        <v>50302.0</v>
      </c>
      <c r="O213" s="18">
        <v>9910.0</v>
      </c>
      <c r="P213" s="18">
        <v>4.0</v>
      </c>
      <c r="Q213" s="4">
        <f t="shared" si="1"/>
        <v>40.36326942</v>
      </c>
    </row>
    <row r="214">
      <c r="A214" s="2"/>
      <c r="B214" s="38">
        <v>206.0</v>
      </c>
      <c r="C214" s="39" t="s">
        <v>32</v>
      </c>
      <c r="D214" s="39" t="s">
        <v>70</v>
      </c>
      <c r="E214" s="39" t="s">
        <v>93</v>
      </c>
      <c r="F214" s="39" t="s">
        <v>97</v>
      </c>
      <c r="G214" s="41" t="s">
        <v>23</v>
      </c>
      <c r="H214" s="46"/>
      <c r="I214" s="46"/>
      <c r="J214" s="46"/>
      <c r="K214" s="46"/>
      <c r="L214" s="46"/>
      <c r="N214" s="17">
        <v>50303.0</v>
      </c>
      <c r="O214" s="18">
        <v>11835.0</v>
      </c>
      <c r="P214" s="18">
        <v>6.0</v>
      </c>
      <c r="Q214" s="4">
        <f t="shared" si="1"/>
        <v>50.69708492</v>
      </c>
    </row>
    <row r="215">
      <c r="A215" s="2"/>
      <c r="B215" s="38">
        <v>207.0</v>
      </c>
      <c r="C215" s="39" t="s">
        <v>32</v>
      </c>
      <c r="D215" s="39" t="s">
        <v>70</v>
      </c>
      <c r="E215" s="39" t="s">
        <v>93</v>
      </c>
      <c r="F215" s="39" t="s">
        <v>97</v>
      </c>
      <c r="G215" s="41" t="s">
        <v>25</v>
      </c>
      <c r="H215" s="42">
        <v>2.0</v>
      </c>
      <c r="I215" s="42">
        <v>0.0</v>
      </c>
      <c r="J215" s="42">
        <v>2.0</v>
      </c>
      <c r="K215" s="42">
        <v>0.0</v>
      </c>
      <c r="L215" s="42">
        <v>100.0</v>
      </c>
      <c r="N215" s="17">
        <v>50401.0</v>
      </c>
      <c r="O215" s="18">
        <v>35199.0</v>
      </c>
      <c r="P215" s="18">
        <v>8.0</v>
      </c>
      <c r="Q215" s="4">
        <f t="shared" si="1"/>
        <v>22.72791841</v>
      </c>
    </row>
    <row r="216">
      <c r="A216" s="2"/>
      <c r="B216" s="43">
        <v>208.0</v>
      </c>
      <c r="C216" s="44" t="s">
        <v>32</v>
      </c>
      <c r="D216" s="53" t="s">
        <v>70</v>
      </c>
      <c r="E216" s="53" t="s">
        <v>93</v>
      </c>
      <c r="F216" s="53" t="s">
        <v>98</v>
      </c>
      <c r="G216" s="44" t="s">
        <v>98</v>
      </c>
      <c r="H216" s="45">
        <v>9.0</v>
      </c>
      <c r="I216" s="45">
        <v>8.0</v>
      </c>
      <c r="J216" s="45">
        <v>1.0</v>
      </c>
      <c r="K216" s="45">
        <v>88.9</v>
      </c>
      <c r="L216" s="45">
        <v>11.1</v>
      </c>
      <c r="N216" s="17">
        <v>50402.0</v>
      </c>
      <c r="O216" s="18">
        <v>20789.0</v>
      </c>
      <c r="P216" s="18">
        <v>1.0</v>
      </c>
      <c r="Q216" s="4">
        <f t="shared" si="1"/>
        <v>4.810236183</v>
      </c>
    </row>
    <row r="217">
      <c r="A217" s="2"/>
      <c r="B217" s="38">
        <v>209.0</v>
      </c>
      <c r="C217" s="39" t="s">
        <v>32</v>
      </c>
      <c r="D217" s="39" t="s">
        <v>70</v>
      </c>
      <c r="E217" s="39" t="s">
        <v>93</v>
      </c>
      <c r="F217" s="39" t="s">
        <v>98</v>
      </c>
      <c r="G217" s="41" t="s">
        <v>23</v>
      </c>
      <c r="H217" s="46"/>
      <c r="I217" s="46"/>
      <c r="J217" s="46"/>
      <c r="K217" s="46"/>
      <c r="L217" s="46"/>
      <c r="N217" s="17">
        <v>50403.0</v>
      </c>
      <c r="O217" s="18">
        <v>26330.0</v>
      </c>
      <c r="P217" s="18">
        <v>3.0</v>
      </c>
      <c r="Q217" s="4">
        <f t="shared" si="1"/>
        <v>11.39384732</v>
      </c>
    </row>
    <row r="218">
      <c r="A218" s="2"/>
      <c r="B218" s="38">
        <v>210.0</v>
      </c>
      <c r="C218" s="39" t="s">
        <v>32</v>
      </c>
      <c r="D218" s="39" t="s">
        <v>70</v>
      </c>
      <c r="E218" s="39" t="s">
        <v>93</v>
      </c>
      <c r="F218" s="39" t="s">
        <v>98</v>
      </c>
      <c r="G218" s="41" t="s">
        <v>25</v>
      </c>
      <c r="H218" s="42">
        <v>9.0</v>
      </c>
      <c r="I218" s="42">
        <v>8.0</v>
      </c>
      <c r="J218" s="42">
        <v>1.0</v>
      </c>
      <c r="K218" s="42">
        <v>88.9</v>
      </c>
      <c r="L218" s="42">
        <v>11.1</v>
      </c>
      <c r="N218" s="17">
        <v>50404.0</v>
      </c>
      <c r="O218" s="18">
        <v>16118.0</v>
      </c>
      <c r="P218" s="18">
        <v>0.0</v>
      </c>
      <c r="Q218" s="4">
        <f t="shared" si="1"/>
        <v>0</v>
      </c>
    </row>
    <row r="219">
      <c r="A219" s="2"/>
      <c r="B219" s="34">
        <v>211.0</v>
      </c>
      <c r="C219" s="35" t="s">
        <v>30</v>
      </c>
      <c r="D219" s="49" t="s">
        <v>70</v>
      </c>
      <c r="E219" s="49" t="s">
        <v>99</v>
      </c>
      <c r="F219" s="50"/>
      <c r="G219" s="35" t="s">
        <v>99</v>
      </c>
      <c r="H219" s="37">
        <v>53.0</v>
      </c>
      <c r="I219" s="37">
        <v>12.0</v>
      </c>
      <c r="J219" s="37">
        <v>41.0</v>
      </c>
      <c r="K219" s="37">
        <v>22.6</v>
      </c>
      <c r="L219" s="37">
        <v>77.4</v>
      </c>
      <c r="N219" s="17">
        <v>50501.0</v>
      </c>
      <c r="O219" s="18">
        <v>30012.0</v>
      </c>
      <c r="P219" s="18">
        <v>7.0</v>
      </c>
      <c r="Q219" s="4">
        <f t="shared" si="1"/>
        <v>23.32400373</v>
      </c>
    </row>
    <row r="220">
      <c r="A220" s="2"/>
      <c r="B220" s="38">
        <v>212.0</v>
      </c>
      <c r="C220" s="39" t="s">
        <v>30</v>
      </c>
      <c r="D220" s="39" t="s">
        <v>70</v>
      </c>
      <c r="E220" s="39" t="s">
        <v>99</v>
      </c>
      <c r="F220" s="40"/>
      <c r="G220" s="41" t="s">
        <v>23</v>
      </c>
      <c r="H220" s="46"/>
      <c r="I220" s="46"/>
      <c r="J220" s="46"/>
      <c r="K220" s="46"/>
      <c r="L220" s="46"/>
      <c r="N220" s="17">
        <v>50502.0</v>
      </c>
      <c r="O220" s="18">
        <v>10870.0</v>
      </c>
      <c r="P220" s="18">
        <v>1.0</v>
      </c>
      <c r="Q220" s="4">
        <f t="shared" si="1"/>
        <v>9.199632015</v>
      </c>
    </row>
    <row r="221">
      <c r="A221" s="2"/>
      <c r="B221" s="38">
        <v>213.0</v>
      </c>
      <c r="C221" s="39" t="s">
        <v>30</v>
      </c>
      <c r="D221" s="39" t="s">
        <v>70</v>
      </c>
      <c r="E221" s="39" t="s">
        <v>99</v>
      </c>
      <c r="F221" s="40"/>
      <c r="G221" s="41" t="s">
        <v>25</v>
      </c>
      <c r="H221" s="42">
        <v>53.0</v>
      </c>
      <c r="I221" s="42">
        <v>12.0</v>
      </c>
      <c r="J221" s="42">
        <v>41.0</v>
      </c>
      <c r="K221" s="42">
        <v>22.6</v>
      </c>
      <c r="L221" s="42">
        <v>77.4</v>
      </c>
      <c r="N221" s="17">
        <v>50601.0</v>
      </c>
      <c r="O221" s="18">
        <v>31801.0</v>
      </c>
      <c r="P221" s="18">
        <v>15.0</v>
      </c>
      <c r="Q221" s="4">
        <f t="shared" si="1"/>
        <v>47.16832804</v>
      </c>
    </row>
    <row r="222">
      <c r="A222" s="2"/>
      <c r="B222" s="43">
        <v>214.0</v>
      </c>
      <c r="C222" s="44" t="s">
        <v>32</v>
      </c>
      <c r="D222" s="53" t="s">
        <v>70</v>
      </c>
      <c r="E222" s="53" t="s">
        <v>99</v>
      </c>
      <c r="F222" s="53" t="s">
        <v>100</v>
      </c>
      <c r="G222" s="44" t="s">
        <v>100</v>
      </c>
      <c r="H222" s="45">
        <v>18.0</v>
      </c>
      <c r="I222" s="45">
        <v>9.0</v>
      </c>
      <c r="J222" s="45">
        <v>9.0</v>
      </c>
      <c r="K222" s="45">
        <v>50.0</v>
      </c>
      <c r="L222" s="45">
        <v>50.0</v>
      </c>
      <c r="N222" s="17">
        <v>50602.0</v>
      </c>
      <c r="O222" s="18">
        <v>10646.0</v>
      </c>
      <c r="P222" s="18">
        <v>15.0</v>
      </c>
      <c r="Q222" s="4">
        <f t="shared" si="1"/>
        <v>140.8979899</v>
      </c>
    </row>
    <row r="223">
      <c r="A223" s="2"/>
      <c r="B223" s="38">
        <v>215.0</v>
      </c>
      <c r="C223" s="39" t="s">
        <v>32</v>
      </c>
      <c r="D223" s="39" t="s">
        <v>70</v>
      </c>
      <c r="E223" s="39" t="s">
        <v>99</v>
      </c>
      <c r="F223" s="39" t="s">
        <v>100</v>
      </c>
      <c r="G223" s="41" t="s">
        <v>23</v>
      </c>
      <c r="H223" s="46"/>
      <c r="I223" s="46"/>
      <c r="J223" s="46"/>
      <c r="K223" s="46"/>
      <c r="L223" s="46"/>
      <c r="N223" s="17">
        <v>50701.0</v>
      </c>
      <c r="O223" s="18">
        <v>19611.0</v>
      </c>
      <c r="P223" s="18">
        <v>4.0</v>
      </c>
      <c r="Q223" s="4">
        <f t="shared" si="1"/>
        <v>20.39671613</v>
      </c>
    </row>
    <row r="224">
      <c r="A224" s="2"/>
      <c r="B224" s="38">
        <v>216.0</v>
      </c>
      <c r="C224" s="39" t="s">
        <v>32</v>
      </c>
      <c r="D224" s="39" t="s">
        <v>70</v>
      </c>
      <c r="E224" s="39" t="s">
        <v>99</v>
      </c>
      <c r="F224" s="39" t="s">
        <v>100</v>
      </c>
      <c r="G224" s="41" t="s">
        <v>25</v>
      </c>
      <c r="H224" s="42">
        <v>18.0</v>
      </c>
      <c r="I224" s="42">
        <v>9.0</v>
      </c>
      <c r="J224" s="42">
        <v>9.0</v>
      </c>
      <c r="K224" s="42">
        <v>50.0</v>
      </c>
      <c r="L224" s="42">
        <v>50.0</v>
      </c>
      <c r="N224" s="17">
        <v>50702.0</v>
      </c>
      <c r="O224" s="18">
        <v>8704.0</v>
      </c>
      <c r="P224" s="18">
        <v>1.0</v>
      </c>
      <c r="Q224" s="4">
        <f t="shared" si="1"/>
        <v>11.48897059</v>
      </c>
    </row>
    <row r="225">
      <c r="A225" s="2"/>
      <c r="B225" s="43">
        <v>217.0</v>
      </c>
      <c r="C225" s="44" t="s">
        <v>32</v>
      </c>
      <c r="D225" s="53" t="s">
        <v>70</v>
      </c>
      <c r="E225" s="53" t="s">
        <v>99</v>
      </c>
      <c r="F225" s="53" t="s">
        <v>101</v>
      </c>
      <c r="G225" s="44" t="s">
        <v>101</v>
      </c>
      <c r="H225" s="45">
        <v>5.0</v>
      </c>
      <c r="I225" s="45">
        <v>0.0</v>
      </c>
      <c r="J225" s="45">
        <v>5.0</v>
      </c>
      <c r="K225" s="45">
        <v>0.0</v>
      </c>
      <c r="L225" s="45">
        <v>100.0</v>
      </c>
      <c r="N225" s="17">
        <v>50801.0</v>
      </c>
      <c r="O225" s="18">
        <v>44814.0</v>
      </c>
      <c r="P225" s="18">
        <v>5.0</v>
      </c>
      <c r="Q225" s="4">
        <f t="shared" si="1"/>
        <v>11.15722765</v>
      </c>
    </row>
    <row r="226">
      <c r="A226" s="2"/>
      <c r="B226" s="38">
        <v>218.0</v>
      </c>
      <c r="C226" s="39" t="s">
        <v>32</v>
      </c>
      <c r="D226" s="39" t="s">
        <v>70</v>
      </c>
      <c r="E226" s="39" t="s">
        <v>99</v>
      </c>
      <c r="F226" s="39" t="s">
        <v>101</v>
      </c>
      <c r="G226" s="41" t="s">
        <v>23</v>
      </c>
      <c r="H226" s="46"/>
      <c r="I226" s="46"/>
      <c r="J226" s="46"/>
      <c r="K226" s="46"/>
      <c r="L226" s="46"/>
      <c r="N226" s="17">
        <v>50802.0</v>
      </c>
      <c r="O226" s="18">
        <v>11234.0</v>
      </c>
      <c r="P226" s="18">
        <v>0.0</v>
      </c>
      <c r="Q226" s="4">
        <f t="shared" si="1"/>
        <v>0</v>
      </c>
    </row>
    <row r="227">
      <c r="A227" s="2"/>
      <c r="B227" s="38">
        <v>219.0</v>
      </c>
      <c r="C227" s="39" t="s">
        <v>32</v>
      </c>
      <c r="D227" s="39" t="s">
        <v>70</v>
      </c>
      <c r="E227" s="39" t="s">
        <v>99</v>
      </c>
      <c r="F227" s="39" t="s">
        <v>101</v>
      </c>
      <c r="G227" s="41" t="s">
        <v>25</v>
      </c>
      <c r="H227" s="42">
        <v>5.0</v>
      </c>
      <c r="I227" s="42">
        <v>0.0</v>
      </c>
      <c r="J227" s="42">
        <v>5.0</v>
      </c>
      <c r="K227" s="42">
        <v>0.0</v>
      </c>
      <c r="L227" s="42">
        <v>100.0</v>
      </c>
      <c r="N227" s="17">
        <v>50901.0</v>
      </c>
      <c r="O227" s="18">
        <v>12997.0</v>
      </c>
      <c r="P227" s="18">
        <v>12.0</v>
      </c>
      <c r="Q227" s="4">
        <f t="shared" si="1"/>
        <v>92.328999</v>
      </c>
    </row>
    <row r="228">
      <c r="A228" s="2"/>
      <c r="B228" s="43">
        <v>220.0</v>
      </c>
      <c r="C228" s="44" t="s">
        <v>32</v>
      </c>
      <c r="D228" s="53" t="s">
        <v>70</v>
      </c>
      <c r="E228" s="53" t="s">
        <v>99</v>
      </c>
      <c r="F228" s="53" t="s">
        <v>102</v>
      </c>
      <c r="G228" s="44" t="s">
        <v>102</v>
      </c>
      <c r="H228" s="45">
        <v>30.0</v>
      </c>
      <c r="I228" s="45">
        <v>3.0</v>
      </c>
      <c r="J228" s="45">
        <v>27.0</v>
      </c>
      <c r="K228" s="45">
        <v>10.0</v>
      </c>
      <c r="L228" s="45">
        <v>90.0</v>
      </c>
      <c r="N228" s="17">
        <v>50902.0</v>
      </c>
      <c r="O228" s="18">
        <v>1060.0</v>
      </c>
      <c r="P228" s="18">
        <v>0.0</v>
      </c>
      <c r="Q228" s="4">
        <f t="shared" si="1"/>
        <v>0</v>
      </c>
    </row>
    <row r="229">
      <c r="A229" s="2"/>
      <c r="B229" s="38">
        <v>221.0</v>
      </c>
      <c r="C229" s="39" t="s">
        <v>32</v>
      </c>
      <c r="D229" s="39" t="s">
        <v>70</v>
      </c>
      <c r="E229" s="39" t="s">
        <v>99</v>
      </c>
      <c r="F229" s="39" t="s">
        <v>102</v>
      </c>
      <c r="G229" s="41" t="s">
        <v>23</v>
      </c>
      <c r="H229" s="46"/>
      <c r="I229" s="46"/>
      <c r="J229" s="46"/>
      <c r="K229" s="46"/>
      <c r="L229" s="46"/>
      <c r="N229" s="17">
        <v>51001.0</v>
      </c>
      <c r="O229" s="18">
        <v>3371.0</v>
      </c>
      <c r="P229" s="18">
        <v>1.0</v>
      </c>
      <c r="Q229" s="4">
        <f t="shared" si="1"/>
        <v>29.6647879</v>
      </c>
    </row>
    <row r="230">
      <c r="A230" s="2"/>
      <c r="B230" s="38">
        <v>222.0</v>
      </c>
      <c r="C230" s="39" t="s">
        <v>32</v>
      </c>
      <c r="D230" s="39" t="s">
        <v>70</v>
      </c>
      <c r="E230" s="39" t="s">
        <v>99</v>
      </c>
      <c r="F230" s="39" t="s">
        <v>102</v>
      </c>
      <c r="G230" s="41" t="s">
        <v>25</v>
      </c>
      <c r="H230" s="42">
        <v>30.0</v>
      </c>
      <c r="I230" s="42">
        <v>3.0</v>
      </c>
      <c r="J230" s="42">
        <v>27.0</v>
      </c>
      <c r="K230" s="42">
        <v>10.0</v>
      </c>
      <c r="L230" s="42">
        <v>90.0</v>
      </c>
      <c r="N230" s="17">
        <v>51002.0</v>
      </c>
      <c r="O230" s="18">
        <v>1180.0</v>
      </c>
      <c r="P230" s="18">
        <v>0.0</v>
      </c>
      <c r="Q230" s="4">
        <f t="shared" si="1"/>
        <v>0</v>
      </c>
    </row>
    <row r="231">
      <c r="A231" s="2"/>
      <c r="B231" s="34">
        <v>223.0</v>
      </c>
      <c r="C231" s="35" t="s">
        <v>30</v>
      </c>
      <c r="D231" s="49" t="s">
        <v>70</v>
      </c>
      <c r="E231" s="49" t="s">
        <v>103</v>
      </c>
      <c r="F231" s="50"/>
      <c r="G231" s="35" t="s">
        <v>103</v>
      </c>
      <c r="H231" s="37">
        <v>239.0</v>
      </c>
      <c r="I231" s="37">
        <v>72.0</v>
      </c>
      <c r="J231" s="37">
        <v>167.0</v>
      </c>
      <c r="K231" s="37">
        <v>30.1</v>
      </c>
      <c r="L231" s="37">
        <v>69.9</v>
      </c>
      <c r="N231" s="17">
        <v>51003.0</v>
      </c>
      <c r="O231" s="18">
        <v>2284.0</v>
      </c>
      <c r="P231" s="18">
        <v>0.0</v>
      </c>
      <c r="Q231" s="4">
        <f t="shared" si="1"/>
        <v>0</v>
      </c>
    </row>
    <row r="232">
      <c r="A232" s="2"/>
      <c r="B232" s="38">
        <v>224.0</v>
      </c>
      <c r="C232" s="39" t="s">
        <v>30</v>
      </c>
      <c r="D232" s="39" t="s">
        <v>70</v>
      </c>
      <c r="E232" s="39" t="s">
        <v>103</v>
      </c>
      <c r="F232" s="40"/>
      <c r="G232" s="41" t="s">
        <v>23</v>
      </c>
      <c r="H232" s="42">
        <v>100.0</v>
      </c>
      <c r="I232" s="42">
        <v>33.0</v>
      </c>
      <c r="J232" s="42">
        <v>67.0</v>
      </c>
      <c r="K232" s="42">
        <v>33.0</v>
      </c>
      <c r="L232" s="42">
        <v>67.0</v>
      </c>
      <c r="N232" s="17">
        <v>51101.0</v>
      </c>
      <c r="O232" s="18">
        <v>21917.0</v>
      </c>
      <c r="P232" s="18">
        <v>11.0</v>
      </c>
      <c r="Q232" s="4">
        <f t="shared" si="1"/>
        <v>50.18935073</v>
      </c>
    </row>
    <row r="233">
      <c r="A233" s="2"/>
      <c r="B233" s="38">
        <v>225.0</v>
      </c>
      <c r="C233" s="39" t="s">
        <v>30</v>
      </c>
      <c r="D233" s="39" t="s">
        <v>70</v>
      </c>
      <c r="E233" s="39" t="s">
        <v>103</v>
      </c>
      <c r="F233" s="40"/>
      <c r="G233" s="41" t="s">
        <v>25</v>
      </c>
      <c r="H233" s="42">
        <v>139.0</v>
      </c>
      <c r="I233" s="42">
        <v>39.0</v>
      </c>
      <c r="J233" s="42">
        <v>100.0</v>
      </c>
      <c r="K233" s="42">
        <v>28.1</v>
      </c>
      <c r="L233" s="42">
        <v>71.9</v>
      </c>
      <c r="N233" s="17">
        <v>51102.0</v>
      </c>
      <c r="O233" s="18">
        <v>12067.0</v>
      </c>
      <c r="P233" s="18">
        <v>10.0</v>
      </c>
      <c r="Q233" s="4">
        <f t="shared" si="1"/>
        <v>82.87063893</v>
      </c>
    </row>
    <row r="234">
      <c r="A234" s="2"/>
      <c r="B234" s="43">
        <v>226.0</v>
      </c>
      <c r="C234" s="44" t="s">
        <v>32</v>
      </c>
      <c r="D234" s="53" t="s">
        <v>70</v>
      </c>
      <c r="E234" s="53" t="s">
        <v>103</v>
      </c>
      <c r="F234" s="53" t="s">
        <v>104</v>
      </c>
      <c r="G234" s="44" t="s">
        <v>104</v>
      </c>
      <c r="H234" s="45">
        <v>55.0</v>
      </c>
      <c r="I234" s="45">
        <v>30.0</v>
      </c>
      <c r="J234" s="45">
        <v>25.0</v>
      </c>
      <c r="K234" s="45">
        <v>54.5</v>
      </c>
      <c r="L234" s="45">
        <v>45.5</v>
      </c>
      <c r="N234" s="17">
        <v>51103.0</v>
      </c>
      <c r="O234" s="18">
        <v>15812.0</v>
      </c>
      <c r="P234" s="18">
        <v>10.0</v>
      </c>
      <c r="Q234" s="4">
        <f t="shared" si="1"/>
        <v>63.2431065</v>
      </c>
    </row>
    <row r="235">
      <c r="A235" s="2"/>
      <c r="B235" s="38">
        <v>227.0</v>
      </c>
      <c r="C235" s="39" t="s">
        <v>32</v>
      </c>
      <c r="D235" s="39" t="s">
        <v>70</v>
      </c>
      <c r="E235" s="39" t="s">
        <v>103</v>
      </c>
      <c r="F235" s="39" t="s">
        <v>104</v>
      </c>
      <c r="G235" s="41" t="s">
        <v>23</v>
      </c>
      <c r="H235" s="42">
        <v>19.0</v>
      </c>
      <c r="I235" s="42">
        <v>8.0</v>
      </c>
      <c r="J235" s="42">
        <v>11.0</v>
      </c>
      <c r="K235" s="42">
        <v>42.1</v>
      </c>
      <c r="L235" s="42">
        <v>57.9</v>
      </c>
      <c r="N235" s="17">
        <v>51201.0</v>
      </c>
      <c r="O235" s="18">
        <v>29672.0</v>
      </c>
      <c r="P235" s="18">
        <v>1.0</v>
      </c>
      <c r="Q235" s="4">
        <f t="shared" si="1"/>
        <v>3.370180642</v>
      </c>
    </row>
    <row r="236">
      <c r="A236" s="2"/>
      <c r="B236" s="38">
        <v>228.0</v>
      </c>
      <c r="C236" s="39" t="s">
        <v>32</v>
      </c>
      <c r="D236" s="39" t="s">
        <v>70</v>
      </c>
      <c r="E236" s="39" t="s">
        <v>103</v>
      </c>
      <c r="F236" s="39" t="s">
        <v>104</v>
      </c>
      <c r="G236" s="41" t="s">
        <v>25</v>
      </c>
      <c r="H236" s="42">
        <v>36.0</v>
      </c>
      <c r="I236" s="42">
        <v>22.0</v>
      </c>
      <c r="J236" s="42">
        <v>14.0</v>
      </c>
      <c r="K236" s="42">
        <v>61.1</v>
      </c>
      <c r="L236" s="42">
        <v>38.9</v>
      </c>
      <c r="N236" s="17">
        <v>51202.0</v>
      </c>
      <c r="O236" s="18">
        <v>14789.0</v>
      </c>
      <c r="P236" s="18">
        <v>2.0</v>
      </c>
      <c r="Q236" s="4">
        <f t="shared" si="1"/>
        <v>13.52356481</v>
      </c>
    </row>
    <row r="237">
      <c r="A237" s="2"/>
      <c r="B237" s="43">
        <v>229.0</v>
      </c>
      <c r="C237" s="44" t="s">
        <v>32</v>
      </c>
      <c r="D237" s="53" t="s">
        <v>70</v>
      </c>
      <c r="E237" s="53" t="s">
        <v>103</v>
      </c>
      <c r="F237" s="53" t="s">
        <v>105</v>
      </c>
      <c r="G237" s="44" t="s">
        <v>105</v>
      </c>
      <c r="H237" s="45">
        <v>54.0</v>
      </c>
      <c r="I237" s="45">
        <v>7.0</v>
      </c>
      <c r="J237" s="45">
        <v>47.0</v>
      </c>
      <c r="K237" s="45">
        <v>13.0</v>
      </c>
      <c r="L237" s="45">
        <v>87.0</v>
      </c>
      <c r="N237" s="17">
        <v>51203.0</v>
      </c>
      <c r="O237" s="18">
        <v>10866.0</v>
      </c>
      <c r="P237" s="18">
        <v>0.0</v>
      </c>
      <c r="Q237" s="4">
        <f t="shared" si="1"/>
        <v>0</v>
      </c>
    </row>
    <row r="238">
      <c r="A238" s="2"/>
      <c r="B238" s="38">
        <v>230.0</v>
      </c>
      <c r="C238" s="39" t="s">
        <v>32</v>
      </c>
      <c r="D238" s="39" t="s">
        <v>70</v>
      </c>
      <c r="E238" s="39" t="s">
        <v>103</v>
      </c>
      <c r="F238" s="39" t="s">
        <v>105</v>
      </c>
      <c r="G238" s="41" t="s">
        <v>23</v>
      </c>
      <c r="H238" s="42">
        <v>19.0</v>
      </c>
      <c r="I238" s="42">
        <v>3.0</v>
      </c>
      <c r="J238" s="42">
        <v>16.0</v>
      </c>
      <c r="K238" s="42">
        <v>15.8</v>
      </c>
      <c r="L238" s="42">
        <v>84.2</v>
      </c>
      <c r="N238" s="17">
        <v>51301.0</v>
      </c>
      <c r="O238" s="18">
        <v>4170.0</v>
      </c>
      <c r="P238" s="18">
        <v>0.0</v>
      </c>
      <c r="Q238" s="4">
        <f t="shared" si="1"/>
        <v>0</v>
      </c>
    </row>
    <row r="239">
      <c r="A239" s="2"/>
      <c r="B239" s="38">
        <v>231.0</v>
      </c>
      <c r="C239" s="39" t="s">
        <v>32</v>
      </c>
      <c r="D239" s="39" t="s">
        <v>70</v>
      </c>
      <c r="E239" s="39" t="s">
        <v>103</v>
      </c>
      <c r="F239" s="39" t="s">
        <v>105</v>
      </c>
      <c r="G239" s="41" t="s">
        <v>25</v>
      </c>
      <c r="H239" s="42">
        <v>35.0</v>
      </c>
      <c r="I239" s="42">
        <v>4.0</v>
      </c>
      <c r="J239" s="42">
        <v>31.0</v>
      </c>
      <c r="K239" s="42">
        <v>11.4</v>
      </c>
      <c r="L239" s="42">
        <v>88.6</v>
      </c>
      <c r="N239" s="17">
        <v>51302.0</v>
      </c>
      <c r="O239" s="18">
        <v>6161.0</v>
      </c>
      <c r="P239" s="18">
        <v>0.0</v>
      </c>
      <c r="Q239" s="4">
        <f t="shared" si="1"/>
        <v>0</v>
      </c>
    </row>
    <row r="240">
      <c r="A240" s="2"/>
      <c r="B240" s="43">
        <v>232.0</v>
      </c>
      <c r="C240" s="44" t="s">
        <v>32</v>
      </c>
      <c r="D240" s="53" t="s">
        <v>70</v>
      </c>
      <c r="E240" s="53" t="s">
        <v>103</v>
      </c>
      <c r="F240" s="53" t="s">
        <v>106</v>
      </c>
      <c r="G240" s="44" t="s">
        <v>106</v>
      </c>
      <c r="H240" s="45">
        <v>20.0</v>
      </c>
      <c r="I240" s="45">
        <v>5.0</v>
      </c>
      <c r="J240" s="45">
        <v>15.0</v>
      </c>
      <c r="K240" s="45">
        <v>25.0</v>
      </c>
      <c r="L240" s="45">
        <v>75.0</v>
      </c>
      <c r="N240" s="17">
        <v>51401.0</v>
      </c>
      <c r="O240" s="18">
        <v>4150.0</v>
      </c>
      <c r="P240" s="18">
        <v>0.0</v>
      </c>
      <c r="Q240" s="4">
        <f t="shared" si="1"/>
        <v>0</v>
      </c>
    </row>
    <row r="241">
      <c r="A241" s="2"/>
      <c r="B241" s="38">
        <v>233.0</v>
      </c>
      <c r="C241" s="39" t="s">
        <v>32</v>
      </c>
      <c r="D241" s="39" t="s">
        <v>70</v>
      </c>
      <c r="E241" s="39" t="s">
        <v>103</v>
      </c>
      <c r="F241" s="39" t="s">
        <v>106</v>
      </c>
      <c r="G241" s="41" t="s">
        <v>23</v>
      </c>
      <c r="H241" s="46"/>
      <c r="I241" s="46"/>
      <c r="J241" s="46"/>
      <c r="K241" s="46"/>
      <c r="L241" s="46"/>
      <c r="N241" s="17">
        <v>51402.0</v>
      </c>
      <c r="O241" s="18">
        <v>1700.0</v>
      </c>
      <c r="P241" s="18">
        <v>0.0</v>
      </c>
      <c r="Q241" s="4">
        <f t="shared" si="1"/>
        <v>0</v>
      </c>
    </row>
    <row r="242">
      <c r="A242" s="2"/>
      <c r="B242" s="38">
        <v>234.0</v>
      </c>
      <c r="C242" s="39" t="s">
        <v>32</v>
      </c>
      <c r="D242" s="39" t="s">
        <v>70</v>
      </c>
      <c r="E242" s="39" t="s">
        <v>103</v>
      </c>
      <c r="F242" s="39" t="s">
        <v>106</v>
      </c>
      <c r="G242" s="41" t="s">
        <v>25</v>
      </c>
      <c r="H242" s="42">
        <v>20.0</v>
      </c>
      <c r="I242" s="42">
        <v>5.0</v>
      </c>
      <c r="J242" s="42">
        <v>15.0</v>
      </c>
      <c r="K242" s="42">
        <v>25.0</v>
      </c>
      <c r="L242" s="42">
        <v>75.0</v>
      </c>
      <c r="N242" s="17">
        <v>51501.0</v>
      </c>
      <c r="O242" s="18">
        <v>44906.0</v>
      </c>
      <c r="P242" s="18">
        <v>23.0</v>
      </c>
      <c r="Q242" s="4">
        <f t="shared" si="1"/>
        <v>51.21810003</v>
      </c>
    </row>
    <row r="243">
      <c r="A243" s="2"/>
      <c r="B243" s="43">
        <v>235.0</v>
      </c>
      <c r="C243" s="44" t="s">
        <v>32</v>
      </c>
      <c r="D243" s="53" t="s">
        <v>70</v>
      </c>
      <c r="E243" s="53" t="s">
        <v>103</v>
      </c>
      <c r="F243" s="53" t="s">
        <v>107</v>
      </c>
      <c r="G243" s="44" t="s">
        <v>107</v>
      </c>
      <c r="H243" s="45">
        <v>2.0</v>
      </c>
      <c r="I243" s="45">
        <v>0.0</v>
      </c>
      <c r="J243" s="45">
        <v>2.0</v>
      </c>
      <c r="K243" s="45">
        <v>0.0</v>
      </c>
      <c r="L243" s="45">
        <v>100.0</v>
      </c>
      <c r="N243" s="17">
        <v>51601.0</v>
      </c>
      <c r="O243" s="18">
        <v>1684.0</v>
      </c>
      <c r="P243" s="18">
        <v>0.0</v>
      </c>
      <c r="Q243" s="4">
        <f t="shared" si="1"/>
        <v>0</v>
      </c>
    </row>
    <row r="244">
      <c r="A244" s="2"/>
      <c r="B244" s="38">
        <v>236.0</v>
      </c>
      <c r="C244" s="39" t="s">
        <v>32</v>
      </c>
      <c r="D244" s="39" t="s">
        <v>70</v>
      </c>
      <c r="E244" s="39" t="s">
        <v>103</v>
      </c>
      <c r="F244" s="39" t="s">
        <v>107</v>
      </c>
      <c r="G244" s="41" t="s">
        <v>23</v>
      </c>
      <c r="H244" s="46"/>
      <c r="I244" s="46"/>
      <c r="J244" s="46"/>
      <c r="K244" s="46"/>
      <c r="L244" s="46"/>
      <c r="N244" s="17">
        <v>60101.0</v>
      </c>
      <c r="O244" s="18">
        <v>205375.0</v>
      </c>
      <c r="P244" s="18">
        <v>59.0</v>
      </c>
      <c r="Q244" s="4">
        <f t="shared" si="1"/>
        <v>28.7279367</v>
      </c>
    </row>
    <row r="245">
      <c r="A245" s="2"/>
      <c r="B245" s="38">
        <v>237.0</v>
      </c>
      <c r="C245" s="39" t="s">
        <v>32</v>
      </c>
      <c r="D245" s="39" t="s">
        <v>70</v>
      </c>
      <c r="E245" s="39" t="s">
        <v>103</v>
      </c>
      <c r="F245" s="39" t="s">
        <v>107</v>
      </c>
      <c r="G245" s="41" t="s">
        <v>25</v>
      </c>
      <c r="H245" s="42">
        <v>2.0</v>
      </c>
      <c r="I245" s="42">
        <v>0.0</v>
      </c>
      <c r="J245" s="42">
        <v>2.0</v>
      </c>
      <c r="K245" s="42">
        <v>0.0</v>
      </c>
      <c r="L245" s="42">
        <v>100.0</v>
      </c>
      <c r="N245" s="17">
        <v>60201.0</v>
      </c>
      <c r="O245" s="18">
        <v>18681.0</v>
      </c>
      <c r="P245" s="18">
        <v>0.0</v>
      </c>
      <c r="Q245" s="4">
        <f t="shared" si="1"/>
        <v>0</v>
      </c>
    </row>
    <row r="246">
      <c r="A246" s="2"/>
      <c r="B246" s="43">
        <v>238.0</v>
      </c>
      <c r="C246" s="44" t="s">
        <v>32</v>
      </c>
      <c r="D246" s="53" t="s">
        <v>70</v>
      </c>
      <c r="E246" s="53" t="s">
        <v>103</v>
      </c>
      <c r="F246" s="53" t="s">
        <v>108</v>
      </c>
      <c r="G246" s="44" t="s">
        <v>108</v>
      </c>
      <c r="H246" s="45">
        <v>0.0</v>
      </c>
      <c r="I246" s="45">
        <v>0.0</v>
      </c>
      <c r="J246" s="45">
        <v>0.0</v>
      </c>
      <c r="K246" s="45">
        <v>0.0</v>
      </c>
      <c r="L246" s="45">
        <v>0.0</v>
      </c>
      <c r="N246" s="17">
        <v>60202.0</v>
      </c>
      <c r="O246" s="18">
        <v>34505.0</v>
      </c>
      <c r="P246" s="18">
        <v>9.0</v>
      </c>
      <c r="Q246" s="4">
        <f t="shared" si="1"/>
        <v>26.08317635</v>
      </c>
    </row>
    <row r="247">
      <c r="A247" s="2"/>
      <c r="B247" s="38">
        <v>239.0</v>
      </c>
      <c r="C247" s="39" t="s">
        <v>32</v>
      </c>
      <c r="D247" s="39" t="s">
        <v>70</v>
      </c>
      <c r="E247" s="39" t="s">
        <v>103</v>
      </c>
      <c r="F247" s="39" t="s">
        <v>108</v>
      </c>
      <c r="G247" s="41" t="s">
        <v>23</v>
      </c>
      <c r="H247" s="46"/>
      <c r="I247" s="46"/>
      <c r="J247" s="46"/>
      <c r="K247" s="46"/>
      <c r="L247" s="46"/>
      <c r="N247" s="17">
        <v>60301.0</v>
      </c>
      <c r="O247" s="18">
        <v>92245.0</v>
      </c>
      <c r="P247" s="18">
        <v>9.0</v>
      </c>
      <c r="Q247" s="4">
        <f t="shared" si="1"/>
        <v>9.756626375</v>
      </c>
    </row>
    <row r="248">
      <c r="A248" s="2"/>
      <c r="B248" s="38">
        <v>240.0</v>
      </c>
      <c r="C248" s="39" t="s">
        <v>32</v>
      </c>
      <c r="D248" s="39" t="s">
        <v>70</v>
      </c>
      <c r="E248" s="39" t="s">
        <v>103</v>
      </c>
      <c r="F248" s="39" t="s">
        <v>108</v>
      </c>
      <c r="G248" s="41" t="s">
        <v>25</v>
      </c>
      <c r="H248" s="42">
        <v>0.0</v>
      </c>
      <c r="I248" s="42">
        <v>0.0</v>
      </c>
      <c r="J248" s="42">
        <v>0.0</v>
      </c>
      <c r="K248" s="42">
        <v>0.0</v>
      </c>
      <c r="L248" s="42">
        <v>0.0</v>
      </c>
      <c r="N248" s="17">
        <v>60302.0</v>
      </c>
      <c r="O248" s="18">
        <v>15366.0</v>
      </c>
      <c r="P248" s="18">
        <v>14.0</v>
      </c>
      <c r="Q248" s="4">
        <f t="shared" si="1"/>
        <v>91.11024339</v>
      </c>
    </row>
    <row r="249">
      <c r="A249" s="2"/>
      <c r="B249" s="43">
        <v>241.0</v>
      </c>
      <c r="C249" s="44" t="s">
        <v>32</v>
      </c>
      <c r="D249" s="53" t="s">
        <v>70</v>
      </c>
      <c r="E249" s="53" t="s">
        <v>103</v>
      </c>
      <c r="F249" s="53" t="s">
        <v>109</v>
      </c>
      <c r="G249" s="44" t="s">
        <v>109</v>
      </c>
      <c r="H249" s="45">
        <v>10.0</v>
      </c>
      <c r="I249" s="45">
        <v>2.0</v>
      </c>
      <c r="J249" s="45">
        <v>8.0</v>
      </c>
      <c r="K249" s="45">
        <v>20.0</v>
      </c>
      <c r="L249" s="45">
        <v>80.0</v>
      </c>
      <c r="N249" s="17">
        <v>60303.0</v>
      </c>
      <c r="O249" s="18">
        <v>39867.0</v>
      </c>
      <c r="P249" s="18">
        <v>11.0</v>
      </c>
      <c r="Q249" s="4">
        <f t="shared" si="1"/>
        <v>27.59174254</v>
      </c>
    </row>
    <row r="250">
      <c r="A250" s="2"/>
      <c r="B250" s="38">
        <v>242.0</v>
      </c>
      <c r="C250" s="39" t="s">
        <v>32</v>
      </c>
      <c r="D250" s="39" t="s">
        <v>70</v>
      </c>
      <c r="E250" s="39" t="s">
        <v>103</v>
      </c>
      <c r="F250" s="39" t="s">
        <v>109</v>
      </c>
      <c r="G250" s="41" t="s">
        <v>23</v>
      </c>
      <c r="H250" s="42">
        <v>5.0</v>
      </c>
      <c r="I250" s="42">
        <v>2.0</v>
      </c>
      <c r="J250" s="42">
        <v>3.0</v>
      </c>
      <c r="K250" s="42">
        <v>40.0</v>
      </c>
      <c r="L250" s="42">
        <v>60.0</v>
      </c>
      <c r="N250" s="17">
        <v>60401.0</v>
      </c>
      <c r="O250" s="18">
        <v>14781.0</v>
      </c>
      <c r="P250" s="18">
        <v>8.0</v>
      </c>
      <c r="Q250" s="4">
        <f t="shared" si="1"/>
        <v>54.12353697</v>
      </c>
    </row>
    <row r="251">
      <c r="A251" s="2"/>
      <c r="B251" s="38">
        <v>243.0</v>
      </c>
      <c r="C251" s="39" t="s">
        <v>32</v>
      </c>
      <c r="D251" s="39" t="s">
        <v>70</v>
      </c>
      <c r="E251" s="39" t="s">
        <v>103</v>
      </c>
      <c r="F251" s="39" t="s">
        <v>109</v>
      </c>
      <c r="G251" s="41" t="s">
        <v>25</v>
      </c>
      <c r="H251" s="42">
        <v>5.0</v>
      </c>
      <c r="I251" s="42">
        <v>0.0</v>
      </c>
      <c r="J251" s="42">
        <v>5.0</v>
      </c>
      <c r="K251" s="42">
        <v>0.0</v>
      </c>
      <c r="L251" s="42">
        <v>100.0</v>
      </c>
      <c r="N251" s="17">
        <v>60402.0</v>
      </c>
      <c r="O251" s="18">
        <v>5490.0</v>
      </c>
      <c r="P251" s="18">
        <v>0.0</v>
      </c>
      <c r="Q251" s="4">
        <f t="shared" si="1"/>
        <v>0</v>
      </c>
    </row>
    <row r="252">
      <c r="A252" s="2"/>
      <c r="B252" s="43">
        <v>244.0</v>
      </c>
      <c r="C252" s="44" t="s">
        <v>32</v>
      </c>
      <c r="D252" s="53" t="s">
        <v>70</v>
      </c>
      <c r="E252" s="53" t="s">
        <v>103</v>
      </c>
      <c r="F252" s="53" t="s">
        <v>110</v>
      </c>
      <c r="G252" s="44" t="s">
        <v>110</v>
      </c>
      <c r="H252" s="45">
        <v>97.0</v>
      </c>
      <c r="I252" s="45">
        <v>27.0</v>
      </c>
      <c r="J252" s="45">
        <v>70.0</v>
      </c>
      <c r="K252" s="45">
        <v>27.8</v>
      </c>
      <c r="L252" s="45">
        <v>72.2</v>
      </c>
      <c r="N252" s="17">
        <v>60501.0</v>
      </c>
      <c r="O252" s="18">
        <v>23863.0</v>
      </c>
      <c r="P252" s="18">
        <v>5.0</v>
      </c>
      <c r="Q252" s="4">
        <f t="shared" si="1"/>
        <v>20.9529397</v>
      </c>
    </row>
    <row r="253">
      <c r="A253" s="2"/>
      <c r="B253" s="38">
        <v>245.0</v>
      </c>
      <c r="C253" s="39" t="s">
        <v>32</v>
      </c>
      <c r="D253" s="39" t="s">
        <v>70</v>
      </c>
      <c r="E253" s="39" t="s">
        <v>103</v>
      </c>
      <c r="F253" s="39" t="s">
        <v>110</v>
      </c>
      <c r="G253" s="41" t="s">
        <v>23</v>
      </c>
      <c r="H253" s="42">
        <v>57.0</v>
      </c>
      <c r="I253" s="42">
        <v>20.0</v>
      </c>
      <c r="J253" s="42">
        <v>37.0</v>
      </c>
      <c r="K253" s="42">
        <v>35.1</v>
      </c>
      <c r="L253" s="42">
        <v>64.9</v>
      </c>
      <c r="N253" s="17">
        <v>60502.0</v>
      </c>
      <c r="O253" s="18">
        <v>11354.0</v>
      </c>
      <c r="P253" s="18">
        <v>1.0</v>
      </c>
      <c r="Q253" s="4">
        <f t="shared" si="1"/>
        <v>8.807468733</v>
      </c>
    </row>
    <row r="254">
      <c r="A254" s="2"/>
      <c r="B254" s="38">
        <v>246.0</v>
      </c>
      <c r="C254" s="39" t="s">
        <v>32</v>
      </c>
      <c r="D254" s="39" t="s">
        <v>70</v>
      </c>
      <c r="E254" s="39" t="s">
        <v>103</v>
      </c>
      <c r="F254" s="39" t="s">
        <v>110</v>
      </c>
      <c r="G254" s="41" t="s">
        <v>25</v>
      </c>
      <c r="H254" s="42">
        <v>40.0</v>
      </c>
      <c r="I254" s="42">
        <v>7.0</v>
      </c>
      <c r="J254" s="42">
        <v>33.0</v>
      </c>
      <c r="K254" s="42">
        <v>17.5</v>
      </c>
      <c r="L254" s="42">
        <v>82.5</v>
      </c>
      <c r="N254" s="17">
        <v>60601.0</v>
      </c>
      <c r="O254" s="18">
        <v>21991.0</v>
      </c>
      <c r="P254" s="18">
        <v>6.0</v>
      </c>
      <c r="Q254" s="4">
        <f t="shared" si="1"/>
        <v>27.28388886</v>
      </c>
    </row>
    <row r="255">
      <c r="A255" s="2"/>
      <c r="B255" s="43">
        <v>247.0</v>
      </c>
      <c r="C255" s="44" t="s">
        <v>32</v>
      </c>
      <c r="D255" s="53" t="s">
        <v>70</v>
      </c>
      <c r="E255" s="53" t="s">
        <v>103</v>
      </c>
      <c r="F255" s="53" t="s">
        <v>111</v>
      </c>
      <c r="G255" s="44" t="s">
        <v>111</v>
      </c>
      <c r="H255" s="45">
        <v>1.0</v>
      </c>
      <c r="I255" s="45">
        <v>1.0</v>
      </c>
      <c r="J255" s="45">
        <v>0.0</v>
      </c>
      <c r="K255" s="45">
        <v>100.0</v>
      </c>
      <c r="L255" s="45">
        <v>0.0</v>
      </c>
      <c r="N255" s="17">
        <v>70101.0</v>
      </c>
      <c r="O255" s="18">
        <v>1454539.0</v>
      </c>
      <c r="P255" s="18">
        <v>328.0</v>
      </c>
      <c r="Q255" s="4">
        <f t="shared" si="1"/>
        <v>22.55010007</v>
      </c>
    </row>
    <row r="256">
      <c r="A256" s="2"/>
      <c r="B256" s="38">
        <v>248.0</v>
      </c>
      <c r="C256" s="39" t="s">
        <v>32</v>
      </c>
      <c r="D256" s="39" t="s">
        <v>70</v>
      </c>
      <c r="E256" s="39" t="s">
        <v>103</v>
      </c>
      <c r="F256" s="39" t="s">
        <v>111</v>
      </c>
      <c r="G256" s="41" t="s">
        <v>23</v>
      </c>
      <c r="H256" s="42">
        <v>0.0</v>
      </c>
      <c r="I256" s="42">
        <v>0.0</v>
      </c>
      <c r="J256" s="42">
        <v>0.0</v>
      </c>
      <c r="K256" s="42">
        <v>0.0</v>
      </c>
      <c r="L256" s="42">
        <v>0.0</v>
      </c>
      <c r="N256" s="17">
        <v>70102.0</v>
      </c>
      <c r="O256" s="18">
        <v>45519.0</v>
      </c>
      <c r="P256" s="18">
        <v>21.0</v>
      </c>
      <c r="Q256" s="4">
        <f t="shared" si="1"/>
        <v>46.13458116</v>
      </c>
    </row>
    <row r="257">
      <c r="A257" s="2"/>
      <c r="B257" s="38">
        <v>249.0</v>
      </c>
      <c r="C257" s="39" t="s">
        <v>32</v>
      </c>
      <c r="D257" s="39" t="s">
        <v>70</v>
      </c>
      <c r="E257" s="39" t="s">
        <v>103</v>
      </c>
      <c r="F257" s="39" t="s">
        <v>111</v>
      </c>
      <c r="G257" s="41" t="s">
        <v>25</v>
      </c>
      <c r="H257" s="42">
        <v>1.0</v>
      </c>
      <c r="I257" s="42">
        <v>1.0</v>
      </c>
      <c r="J257" s="42">
        <v>0.0</v>
      </c>
      <c r="K257" s="42">
        <v>100.0</v>
      </c>
      <c r="L257" s="42">
        <v>0.0</v>
      </c>
      <c r="N257" s="17">
        <v>70103.0</v>
      </c>
      <c r="O257" s="18">
        <v>15317.0</v>
      </c>
      <c r="P257" s="18">
        <v>0.0</v>
      </c>
      <c r="Q257" s="4">
        <f t="shared" si="1"/>
        <v>0</v>
      </c>
    </row>
    <row r="258">
      <c r="A258" s="2"/>
      <c r="B258" s="34">
        <v>250.0</v>
      </c>
      <c r="C258" s="35" t="s">
        <v>30</v>
      </c>
      <c r="D258" s="49" t="s">
        <v>70</v>
      </c>
      <c r="E258" s="49" t="s">
        <v>112</v>
      </c>
      <c r="F258" s="50"/>
      <c r="G258" s="35" t="s">
        <v>112</v>
      </c>
      <c r="H258" s="37">
        <v>55.0</v>
      </c>
      <c r="I258" s="37">
        <v>17.0</v>
      </c>
      <c r="J258" s="37">
        <v>38.0</v>
      </c>
      <c r="K258" s="37">
        <v>30.9</v>
      </c>
      <c r="L258" s="37">
        <v>69.1</v>
      </c>
      <c r="N258" s="17">
        <v>70104.0</v>
      </c>
      <c r="O258" s="18">
        <v>89284.0</v>
      </c>
      <c r="P258" s="18">
        <v>8.0</v>
      </c>
      <c r="Q258" s="4">
        <f t="shared" si="1"/>
        <v>8.960172035</v>
      </c>
    </row>
    <row r="259">
      <c r="A259" s="2"/>
      <c r="B259" s="38">
        <v>251.0</v>
      </c>
      <c r="C259" s="39" t="s">
        <v>30</v>
      </c>
      <c r="D259" s="39" t="s">
        <v>70</v>
      </c>
      <c r="E259" s="39" t="s">
        <v>112</v>
      </c>
      <c r="F259" s="40"/>
      <c r="G259" s="41" t="s">
        <v>23</v>
      </c>
      <c r="H259" s="42">
        <v>7.0</v>
      </c>
      <c r="I259" s="42">
        <v>5.0</v>
      </c>
      <c r="J259" s="42">
        <v>2.0</v>
      </c>
      <c r="K259" s="42">
        <v>71.4</v>
      </c>
      <c r="L259" s="42">
        <v>28.6</v>
      </c>
      <c r="N259" s="17">
        <v>70105.0</v>
      </c>
      <c r="O259" s="18">
        <v>49652.0</v>
      </c>
      <c r="P259" s="18">
        <v>8.0</v>
      </c>
      <c r="Q259" s="4">
        <f t="shared" si="1"/>
        <v>16.1121405</v>
      </c>
    </row>
    <row r="260">
      <c r="A260" s="2"/>
      <c r="B260" s="38">
        <v>252.0</v>
      </c>
      <c r="C260" s="39" t="s">
        <v>30</v>
      </c>
      <c r="D260" s="39" t="s">
        <v>70</v>
      </c>
      <c r="E260" s="39" t="s">
        <v>112</v>
      </c>
      <c r="F260" s="40"/>
      <c r="G260" s="41" t="s">
        <v>25</v>
      </c>
      <c r="H260" s="42">
        <v>48.0</v>
      </c>
      <c r="I260" s="42">
        <v>12.0</v>
      </c>
      <c r="J260" s="42">
        <v>36.0</v>
      </c>
      <c r="K260" s="42">
        <v>25.0</v>
      </c>
      <c r="L260" s="42">
        <v>75.0</v>
      </c>
      <c r="N260" s="17">
        <v>70201.0</v>
      </c>
      <c r="O260" s="18">
        <v>96406.0</v>
      </c>
      <c r="P260" s="18">
        <v>17.0</v>
      </c>
      <c r="Q260" s="4">
        <f t="shared" si="1"/>
        <v>17.63375724</v>
      </c>
    </row>
    <row r="261">
      <c r="A261" s="2"/>
      <c r="B261" s="43">
        <v>253.0</v>
      </c>
      <c r="C261" s="44" t="s">
        <v>32</v>
      </c>
      <c r="D261" s="53" t="s">
        <v>70</v>
      </c>
      <c r="E261" s="53" t="s">
        <v>112</v>
      </c>
      <c r="F261" s="53" t="s">
        <v>113</v>
      </c>
      <c r="G261" s="44" t="s">
        <v>113</v>
      </c>
      <c r="H261" s="45">
        <v>39.0</v>
      </c>
      <c r="I261" s="45">
        <v>9.0</v>
      </c>
      <c r="J261" s="45">
        <v>30.0</v>
      </c>
      <c r="K261" s="45">
        <v>23.1</v>
      </c>
      <c r="L261" s="45">
        <v>76.9</v>
      </c>
      <c r="N261" s="17">
        <v>70202.0</v>
      </c>
      <c r="O261" s="18">
        <v>12482.0</v>
      </c>
      <c r="P261" s="18">
        <v>11.0</v>
      </c>
      <c r="Q261" s="4">
        <f t="shared" si="1"/>
        <v>88.12690274</v>
      </c>
    </row>
    <row r="262">
      <c r="A262" s="2"/>
      <c r="B262" s="38">
        <v>254.0</v>
      </c>
      <c r="C262" s="39" t="s">
        <v>32</v>
      </c>
      <c r="D262" s="39" t="s">
        <v>70</v>
      </c>
      <c r="E262" s="39" t="s">
        <v>112</v>
      </c>
      <c r="F262" s="39" t="s">
        <v>113</v>
      </c>
      <c r="G262" s="41" t="s">
        <v>23</v>
      </c>
      <c r="H262" s="42">
        <v>7.0</v>
      </c>
      <c r="I262" s="42">
        <v>5.0</v>
      </c>
      <c r="J262" s="42">
        <v>2.0</v>
      </c>
      <c r="K262" s="42">
        <v>71.4</v>
      </c>
      <c r="L262" s="42">
        <v>28.6</v>
      </c>
      <c r="N262" s="17">
        <v>70301.0</v>
      </c>
      <c r="O262" s="18">
        <v>52362.0</v>
      </c>
      <c r="P262" s="18">
        <v>13.0</v>
      </c>
      <c r="Q262" s="4">
        <f t="shared" si="1"/>
        <v>24.82716474</v>
      </c>
    </row>
    <row r="263">
      <c r="A263" s="2"/>
      <c r="B263" s="38">
        <v>255.0</v>
      </c>
      <c r="C263" s="39" t="s">
        <v>32</v>
      </c>
      <c r="D263" s="39" t="s">
        <v>70</v>
      </c>
      <c r="E263" s="39" t="s">
        <v>112</v>
      </c>
      <c r="F263" s="39" t="s">
        <v>113</v>
      </c>
      <c r="G263" s="41" t="s">
        <v>25</v>
      </c>
      <c r="H263" s="42">
        <v>32.0</v>
      </c>
      <c r="I263" s="42">
        <v>4.0</v>
      </c>
      <c r="J263" s="42">
        <v>28.0</v>
      </c>
      <c r="K263" s="42">
        <v>12.5</v>
      </c>
      <c r="L263" s="42">
        <v>87.5</v>
      </c>
      <c r="N263" s="17">
        <v>70302.0</v>
      </c>
      <c r="O263" s="18">
        <v>11327.0</v>
      </c>
      <c r="P263" s="18">
        <v>0.0</v>
      </c>
      <c r="Q263" s="4">
        <f t="shared" si="1"/>
        <v>0</v>
      </c>
    </row>
    <row r="264">
      <c r="A264" s="2"/>
      <c r="B264" s="43">
        <v>256.0</v>
      </c>
      <c r="C264" s="44" t="s">
        <v>32</v>
      </c>
      <c r="D264" s="53" t="s">
        <v>70</v>
      </c>
      <c r="E264" s="53" t="s">
        <v>112</v>
      </c>
      <c r="F264" s="53" t="s">
        <v>114</v>
      </c>
      <c r="G264" s="44" t="s">
        <v>114</v>
      </c>
      <c r="H264" s="45">
        <v>16.0</v>
      </c>
      <c r="I264" s="45">
        <v>8.0</v>
      </c>
      <c r="J264" s="45">
        <v>8.0</v>
      </c>
      <c r="K264" s="45">
        <v>50.0</v>
      </c>
      <c r="L264" s="45">
        <v>50.0</v>
      </c>
      <c r="N264" s="17">
        <v>70303.0</v>
      </c>
      <c r="O264" s="18">
        <v>6139.0</v>
      </c>
      <c r="P264" s="18">
        <v>5.0</v>
      </c>
      <c r="Q264" s="4">
        <f t="shared" si="1"/>
        <v>81.44648966</v>
      </c>
    </row>
    <row r="265">
      <c r="A265" s="2"/>
      <c r="B265" s="38">
        <v>257.0</v>
      </c>
      <c r="C265" s="39" t="s">
        <v>32</v>
      </c>
      <c r="D265" s="39" t="s">
        <v>70</v>
      </c>
      <c r="E265" s="39" t="s">
        <v>112</v>
      </c>
      <c r="F265" s="39" t="s">
        <v>114</v>
      </c>
      <c r="G265" s="41" t="s">
        <v>23</v>
      </c>
      <c r="H265" s="46"/>
      <c r="I265" s="46"/>
      <c r="J265" s="46"/>
      <c r="K265" s="46"/>
      <c r="L265" s="46"/>
      <c r="N265" s="17">
        <v>70401.0</v>
      </c>
      <c r="O265" s="18">
        <v>12879.0</v>
      </c>
      <c r="P265" s="18">
        <v>3.0</v>
      </c>
      <c r="Q265" s="4">
        <f t="shared" si="1"/>
        <v>23.29373399</v>
      </c>
    </row>
    <row r="266">
      <c r="A266" s="2"/>
      <c r="B266" s="38">
        <v>258.0</v>
      </c>
      <c r="C266" s="39" t="s">
        <v>32</v>
      </c>
      <c r="D266" s="39" t="s">
        <v>70</v>
      </c>
      <c r="E266" s="39" t="s">
        <v>112</v>
      </c>
      <c r="F266" s="39" t="s">
        <v>114</v>
      </c>
      <c r="G266" s="41" t="s">
        <v>25</v>
      </c>
      <c r="H266" s="42">
        <v>16.0</v>
      </c>
      <c r="I266" s="42">
        <v>8.0</v>
      </c>
      <c r="J266" s="42">
        <v>8.0</v>
      </c>
      <c r="K266" s="42">
        <v>50.0</v>
      </c>
      <c r="L266" s="42">
        <v>50.0</v>
      </c>
      <c r="N266" s="17">
        <v>70402.0</v>
      </c>
      <c r="O266" s="18">
        <v>20093.0</v>
      </c>
      <c r="P266" s="18">
        <v>0.0</v>
      </c>
      <c r="Q266" s="4">
        <f t="shared" si="1"/>
        <v>0</v>
      </c>
    </row>
    <row r="267">
      <c r="A267" s="2"/>
      <c r="B267" s="34">
        <v>259.0</v>
      </c>
      <c r="C267" s="35" t="s">
        <v>30</v>
      </c>
      <c r="D267" s="49" t="s">
        <v>70</v>
      </c>
      <c r="E267" s="49" t="s">
        <v>115</v>
      </c>
      <c r="F267" s="50"/>
      <c r="G267" s="35" t="s">
        <v>115</v>
      </c>
      <c r="H267" s="37">
        <v>535.0</v>
      </c>
      <c r="I267" s="37">
        <v>216.0</v>
      </c>
      <c r="J267" s="37">
        <v>319.0</v>
      </c>
      <c r="K267" s="37">
        <v>40.4</v>
      </c>
      <c r="L267" s="37">
        <v>59.6</v>
      </c>
      <c r="N267" s="17">
        <v>70403.0</v>
      </c>
      <c r="O267" s="18">
        <v>50558.0</v>
      </c>
      <c r="P267" s="18">
        <v>8.0</v>
      </c>
      <c r="Q267" s="4">
        <f t="shared" si="1"/>
        <v>15.82341074</v>
      </c>
    </row>
    <row r="268">
      <c r="A268" s="2"/>
      <c r="B268" s="38">
        <v>260.0</v>
      </c>
      <c r="C268" s="39" t="s">
        <v>30</v>
      </c>
      <c r="D268" s="39" t="s">
        <v>70</v>
      </c>
      <c r="E268" s="39" t="s">
        <v>115</v>
      </c>
      <c r="F268" s="40"/>
      <c r="G268" s="41" t="s">
        <v>23</v>
      </c>
      <c r="H268" s="42">
        <v>185.0</v>
      </c>
      <c r="I268" s="42">
        <v>79.0</v>
      </c>
      <c r="J268" s="42">
        <v>106.0</v>
      </c>
      <c r="K268" s="42">
        <v>42.7</v>
      </c>
      <c r="L268" s="42">
        <v>57.3</v>
      </c>
      <c r="N268" s="17">
        <v>70404.0</v>
      </c>
      <c r="O268" s="18">
        <v>9191.0</v>
      </c>
      <c r="P268" s="18">
        <v>13.0</v>
      </c>
      <c r="Q268" s="4">
        <f t="shared" si="1"/>
        <v>141.4427157</v>
      </c>
    </row>
    <row r="269">
      <c r="A269" s="2"/>
      <c r="B269" s="38">
        <v>261.0</v>
      </c>
      <c r="C269" s="39" t="s">
        <v>30</v>
      </c>
      <c r="D269" s="39" t="s">
        <v>70</v>
      </c>
      <c r="E269" s="39" t="s">
        <v>115</v>
      </c>
      <c r="F269" s="40"/>
      <c r="G269" s="41" t="s">
        <v>25</v>
      </c>
      <c r="H269" s="42">
        <v>350.0</v>
      </c>
      <c r="I269" s="42">
        <v>137.0</v>
      </c>
      <c r="J269" s="42">
        <v>213.0</v>
      </c>
      <c r="K269" s="42">
        <v>39.1</v>
      </c>
      <c r="L269" s="42">
        <v>60.9</v>
      </c>
      <c r="N269" s="17">
        <v>70501.0</v>
      </c>
      <c r="O269" s="18">
        <v>28922.0</v>
      </c>
      <c r="P269" s="18">
        <v>4.0</v>
      </c>
      <c r="Q269" s="4">
        <f t="shared" si="1"/>
        <v>13.83030219</v>
      </c>
    </row>
    <row r="270">
      <c r="A270" s="2"/>
      <c r="B270" s="43">
        <v>262.0</v>
      </c>
      <c r="C270" s="44" t="s">
        <v>32</v>
      </c>
      <c r="D270" s="53" t="s">
        <v>70</v>
      </c>
      <c r="E270" s="53" t="s">
        <v>115</v>
      </c>
      <c r="F270" s="53" t="s">
        <v>116</v>
      </c>
      <c r="G270" s="44" t="s">
        <v>116</v>
      </c>
      <c r="H270" s="45">
        <v>314.0</v>
      </c>
      <c r="I270" s="45">
        <v>140.0</v>
      </c>
      <c r="J270" s="45">
        <v>174.0</v>
      </c>
      <c r="K270" s="45">
        <v>44.6</v>
      </c>
      <c r="L270" s="45">
        <v>55.4</v>
      </c>
      <c r="N270" s="17">
        <v>70502.0</v>
      </c>
      <c r="O270" s="18">
        <v>37866.0</v>
      </c>
      <c r="P270" s="18">
        <v>3.0</v>
      </c>
      <c r="Q270" s="4">
        <f t="shared" si="1"/>
        <v>7.922674695</v>
      </c>
    </row>
    <row r="271">
      <c r="A271" s="2"/>
      <c r="B271" s="38">
        <v>263.0</v>
      </c>
      <c r="C271" s="39" t="s">
        <v>32</v>
      </c>
      <c r="D271" s="39" t="s">
        <v>70</v>
      </c>
      <c r="E271" s="39" t="s">
        <v>115</v>
      </c>
      <c r="F271" s="39" t="s">
        <v>116</v>
      </c>
      <c r="G271" s="41" t="s">
        <v>23</v>
      </c>
      <c r="H271" s="42">
        <v>168.0</v>
      </c>
      <c r="I271" s="42">
        <v>77.0</v>
      </c>
      <c r="J271" s="42">
        <v>91.0</v>
      </c>
      <c r="K271" s="42">
        <v>45.8</v>
      </c>
      <c r="L271" s="42">
        <v>54.2</v>
      </c>
      <c r="N271" s="17">
        <v>70503.0</v>
      </c>
      <c r="O271" s="18">
        <v>15641.0</v>
      </c>
      <c r="P271" s="18">
        <v>1.0</v>
      </c>
      <c r="Q271" s="4">
        <f t="shared" si="1"/>
        <v>6.393453104</v>
      </c>
    </row>
    <row r="272">
      <c r="A272" s="2"/>
      <c r="B272" s="38">
        <v>264.0</v>
      </c>
      <c r="C272" s="39" t="s">
        <v>32</v>
      </c>
      <c r="D272" s="39" t="s">
        <v>70</v>
      </c>
      <c r="E272" s="39" t="s">
        <v>115</v>
      </c>
      <c r="F272" s="39" t="s">
        <v>116</v>
      </c>
      <c r="G272" s="41" t="s">
        <v>25</v>
      </c>
      <c r="H272" s="42">
        <v>146.0</v>
      </c>
      <c r="I272" s="42">
        <v>63.0</v>
      </c>
      <c r="J272" s="42">
        <v>83.0</v>
      </c>
      <c r="K272" s="42">
        <v>43.2</v>
      </c>
      <c r="L272" s="42">
        <v>56.8</v>
      </c>
      <c r="N272" s="17">
        <v>70601.0</v>
      </c>
      <c r="O272" s="18">
        <v>17885.0</v>
      </c>
      <c r="P272" s="18">
        <v>0.0</v>
      </c>
      <c r="Q272" s="4">
        <f t="shared" si="1"/>
        <v>0</v>
      </c>
    </row>
    <row r="273">
      <c r="A273" s="2"/>
      <c r="B273" s="43">
        <v>265.0</v>
      </c>
      <c r="C273" s="44" t="s">
        <v>32</v>
      </c>
      <c r="D273" s="53" t="s">
        <v>70</v>
      </c>
      <c r="E273" s="53" t="s">
        <v>115</v>
      </c>
      <c r="F273" s="53" t="s">
        <v>117</v>
      </c>
      <c r="G273" s="44" t="s">
        <v>117</v>
      </c>
      <c r="H273" s="45">
        <v>68.0</v>
      </c>
      <c r="I273" s="45">
        <v>21.0</v>
      </c>
      <c r="J273" s="45">
        <v>47.0</v>
      </c>
      <c r="K273" s="45">
        <v>30.9</v>
      </c>
      <c r="L273" s="45">
        <v>69.1</v>
      </c>
      <c r="N273" s="17">
        <v>70602.0</v>
      </c>
      <c r="O273" s="18">
        <v>19217.0</v>
      </c>
      <c r="P273" s="18">
        <v>2.0</v>
      </c>
      <c r="Q273" s="4">
        <f t="shared" si="1"/>
        <v>10.40745174</v>
      </c>
    </row>
    <row r="274">
      <c r="A274" s="2"/>
      <c r="B274" s="38">
        <v>266.0</v>
      </c>
      <c r="C274" s="39" t="s">
        <v>32</v>
      </c>
      <c r="D274" s="39" t="s">
        <v>70</v>
      </c>
      <c r="E274" s="39" t="s">
        <v>115</v>
      </c>
      <c r="F274" s="39" t="s">
        <v>117</v>
      </c>
      <c r="G274" s="41" t="s">
        <v>23</v>
      </c>
      <c r="H274" s="46"/>
      <c r="I274" s="46"/>
      <c r="J274" s="46"/>
      <c r="K274" s="46"/>
      <c r="L274" s="46"/>
      <c r="N274" s="17">
        <v>70603.0</v>
      </c>
      <c r="O274" s="18">
        <v>6069.0</v>
      </c>
      <c r="P274" s="18">
        <v>0.0</v>
      </c>
      <c r="Q274" s="4">
        <f t="shared" si="1"/>
        <v>0</v>
      </c>
    </row>
    <row r="275">
      <c r="A275" s="2"/>
      <c r="B275" s="38">
        <v>267.0</v>
      </c>
      <c r="C275" s="39" t="s">
        <v>32</v>
      </c>
      <c r="D275" s="39" t="s">
        <v>70</v>
      </c>
      <c r="E275" s="39" t="s">
        <v>115</v>
      </c>
      <c r="F275" s="39" t="s">
        <v>117</v>
      </c>
      <c r="G275" s="41" t="s">
        <v>25</v>
      </c>
      <c r="H275" s="42">
        <v>68.0</v>
      </c>
      <c r="I275" s="42">
        <v>21.0</v>
      </c>
      <c r="J275" s="42">
        <v>47.0</v>
      </c>
      <c r="K275" s="42">
        <v>30.9</v>
      </c>
      <c r="L275" s="42">
        <v>69.1</v>
      </c>
      <c r="N275" s="17">
        <v>70701.0</v>
      </c>
      <c r="O275" s="18">
        <v>5366.0</v>
      </c>
      <c r="P275" s="18">
        <v>2.0</v>
      </c>
      <c r="Q275" s="4">
        <f t="shared" si="1"/>
        <v>37.27171077</v>
      </c>
    </row>
    <row r="276">
      <c r="A276" s="2"/>
      <c r="B276" s="43">
        <v>268.0</v>
      </c>
      <c r="C276" s="44" t="s">
        <v>32</v>
      </c>
      <c r="D276" s="53" t="s">
        <v>70</v>
      </c>
      <c r="E276" s="53" t="s">
        <v>115</v>
      </c>
      <c r="F276" s="53" t="s">
        <v>118</v>
      </c>
      <c r="G276" s="44" t="s">
        <v>118</v>
      </c>
      <c r="H276" s="45">
        <v>13.0</v>
      </c>
      <c r="I276" s="45">
        <v>9.0</v>
      </c>
      <c r="J276" s="45">
        <v>4.0</v>
      </c>
      <c r="K276" s="45">
        <v>69.2</v>
      </c>
      <c r="L276" s="45">
        <v>30.8</v>
      </c>
      <c r="N276" s="17">
        <v>70702.0</v>
      </c>
      <c r="O276" s="18">
        <v>32186.0</v>
      </c>
      <c r="P276" s="18">
        <v>28.0</v>
      </c>
      <c r="Q276" s="4">
        <f t="shared" si="1"/>
        <v>86.99434537</v>
      </c>
    </row>
    <row r="277">
      <c r="A277" s="2"/>
      <c r="B277" s="38">
        <v>269.0</v>
      </c>
      <c r="C277" s="39" t="s">
        <v>32</v>
      </c>
      <c r="D277" s="39" t="s">
        <v>70</v>
      </c>
      <c r="E277" s="39" t="s">
        <v>115</v>
      </c>
      <c r="F277" s="39" t="s">
        <v>118</v>
      </c>
      <c r="G277" s="41" t="s">
        <v>23</v>
      </c>
      <c r="H277" s="46"/>
      <c r="I277" s="46"/>
      <c r="J277" s="46"/>
      <c r="K277" s="46"/>
      <c r="L277" s="46"/>
      <c r="N277" s="17">
        <v>70703.0</v>
      </c>
      <c r="O277" s="18">
        <v>26434.0</v>
      </c>
      <c r="P277" s="18">
        <v>0.0</v>
      </c>
      <c r="Q277" s="4">
        <f t="shared" si="1"/>
        <v>0</v>
      </c>
    </row>
    <row r="278">
      <c r="A278" s="2"/>
      <c r="B278" s="38">
        <v>270.0</v>
      </c>
      <c r="C278" s="39" t="s">
        <v>32</v>
      </c>
      <c r="D278" s="39" t="s">
        <v>70</v>
      </c>
      <c r="E278" s="39" t="s">
        <v>115</v>
      </c>
      <c r="F278" s="39" t="s">
        <v>118</v>
      </c>
      <c r="G278" s="41" t="s">
        <v>25</v>
      </c>
      <c r="H278" s="42">
        <v>13.0</v>
      </c>
      <c r="I278" s="42">
        <v>9.0</v>
      </c>
      <c r="J278" s="42">
        <v>4.0</v>
      </c>
      <c r="K278" s="42">
        <v>69.2</v>
      </c>
      <c r="L278" s="42">
        <v>30.8</v>
      </c>
      <c r="N278" s="17">
        <v>70704.0</v>
      </c>
      <c r="O278" s="18">
        <v>5052.0</v>
      </c>
      <c r="P278" s="18">
        <v>7.0</v>
      </c>
      <c r="Q278" s="4">
        <f t="shared" si="1"/>
        <v>138.5589865</v>
      </c>
    </row>
    <row r="279">
      <c r="A279" s="2"/>
      <c r="B279" s="43">
        <v>271.0</v>
      </c>
      <c r="C279" s="44" t="s">
        <v>32</v>
      </c>
      <c r="D279" s="53" t="s">
        <v>70</v>
      </c>
      <c r="E279" s="53" t="s">
        <v>115</v>
      </c>
      <c r="F279" s="53" t="s">
        <v>119</v>
      </c>
      <c r="G279" s="44" t="s">
        <v>119</v>
      </c>
      <c r="H279" s="45">
        <v>17.0</v>
      </c>
      <c r="I279" s="45">
        <v>2.0</v>
      </c>
      <c r="J279" s="45">
        <v>15.0</v>
      </c>
      <c r="K279" s="45">
        <v>11.8</v>
      </c>
      <c r="L279" s="45">
        <v>88.2</v>
      </c>
      <c r="N279" s="17">
        <v>70705.0</v>
      </c>
      <c r="O279" s="18">
        <v>12273.0</v>
      </c>
      <c r="P279" s="18">
        <v>6.0</v>
      </c>
      <c r="Q279" s="4">
        <f t="shared" si="1"/>
        <v>48.88780249</v>
      </c>
    </row>
    <row r="280">
      <c r="A280" s="2"/>
      <c r="B280" s="38">
        <v>272.0</v>
      </c>
      <c r="C280" s="39" t="s">
        <v>32</v>
      </c>
      <c r="D280" s="39" t="s">
        <v>70</v>
      </c>
      <c r="E280" s="39" t="s">
        <v>115</v>
      </c>
      <c r="F280" s="39" t="s">
        <v>119</v>
      </c>
      <c r="G280" s="41" t="s">
        <v>23</v>
      </c>
      <c r="H280" s="42">
        <v>17.0</v>
      </c>
      <c r="I280" s="42">
        <v>2.0</v>
      </c>
      <c r="J280" s="42">
        <v>15.0</v>
      </c>
      <c r="K280" s="42">
        <v>11.8</v>
      </c>
      <c r="L280" s="42">
        <v>88.2</v>
      </c>
      <c r="N280" s="17">
        <v>70706.0</v>
      </c>
      <c r="O280" s="18">
        <v>33838.0</v>
      </c>
      <c r="P280" s="18">
        <v>9.0</v>
      </c>
      <c r="Q280" s="4">
        <f t="shared" si="1"/>
        <v>26.59731663</v>
      </c>
    </row>
    <row r="281">
      <c r="A281" s="2"/>
      <c r="B281" s="38">
        <v>273.0</v>
      </c>
      <c r="C281" s="39" t="s">
        <v>32</v>
      </c>
      <c r="D281" s="39" t="s">
        <v>70</v>
      </c>
      <c r="E281" s="39" t="s">
        <v>115</v>
      </c>
      <c r="F281" s="39" t="s">
        <v>119</v>
      </c>
      <c r="G281" s="41" t="s">
        <v>25</v>
      </c>
      <c r="H281" s="42">
        <v>0.0</v>
      </c>
      <c r="I281" s="42">
        <v>0.0</v>
      </c>
      <c r="J281" s="42">
        <v>0.0</v>
      </c>
      <c r="K281" s="42">
        <v>0.0</v>
      </c>
      <c r="L281" s="42">
        <v>0.0</v>
      </c>
      <c r="N281" s="17">
        <v>70707.0</v>
      </c>
      <c r="O281" s="18">
        <v>5087.0</v>
      </c>
      <c r="P281" s="18">
        <v>2.0</v>
      </c>
      <c r="Q281" s="4">
        <f t="shared" si="1"/>
        <v>39.31590328</v>
      </c>
    </row>
    <row r="282">
      <c r="A282" s="2"/>
      <c r="B282" s="43">
        <v>274.0</v>
      </c>
      <c r="C282" s="44" t="s">
        <v>32</v>
      </c>
      <c r="D282" s="53" t="s">
        <v>70</v>
      </c>
      <c r="E282" s="53" t="s">
        <v>115</v>
      </c>
      <c r="F282" s="53" t="s">
        <v>120</v>
      </c>
      <c r="G282" s="44" t="s">
        <v>120</v>
      </c>
      <c r="H282" s="45">
        <v>1.0</v>
      </c>
      <c r="I282" s="45">
        <v>0.0</v>
      </c>
      <c r="J282" s="45">
        <v>1.0</v>
      </c>
      <c r="K282" s="45">
        <v>0.0</v>
      </c>
      <c r="L282" s="45">
        <v>100.0</v>
      </c>
      <c r="N282" s="17">
        <v>70801.0</v>
      </c>
      <c r="O282" s="18">
        <v>17208.0</v>
      </c>
      <c r="P282" s="18">
        <v>3.0</v>
      </c>
      <c r="Q282" s="4">
        <f t="shared" si="1"/>
        <v>17.43375174</v>
      </c>
    </row>
    <row r="283">
      <c r="A283" s="2"/>
      <c r="B283" s="38">
        <v>275.0</v>
      </c>
      <c r="C283" s="39" t="s">
        <v>32</v>
      </c>
      <c r="D283" s="39" t="s">
        <v>70</v>
      </c>
      <c r="E283" s="39" t="s">
        <v>115</v>
      </c>
      <c r="F283" s="39" t="s">
        <v>120</v>
      </c>
      <c r="G283" s="41" t="s">
        <v>23</v>
      </c>
      <c r="H283" s="46"/>
      <c r="I283" s="46"/>
      <c r="J283" s="46"/>
      <c r="K283" s="46"/>
      <c r="L283" s="46"/>
      <c r="N283" s="17">
        <v>70802.0</v>
      </c>
      <c r="O283" s="18">
        <v>2135.0</v>
      </c>
      <c r="P283" s="18">
        <v>0.0</v>
      </c>
      <c r="Q283" s="4">
        <f t="shared" si="1"/>
        <v>0</v>
      </c>
    </row>
    <row r="284">
      <c r="A284" s="2"/>
      <c r="B284" s="38">
        <v>276.0</v>
      </c>
      <c r="C284" s="39" t="s">
        <v>32</v>
      </c>
      <c r="D284" s="39" t="s">
        <v>70</v>
      </c>
      <c r="E284" s="39" t="s">
        <v>115</v>
      </c>
      <c r="F284" s="39" t="s">
        <v>120</v>
      </c>
      <c r="G284" s="41" t="s">
        <v>25</v>
      </c>
      <c r="H284" s="42">
        <v>1.0</v>
      </c>
      <c r="I284" s="42">
        <v>0.0</v>
      </c>
      <c r="J284" s="42">
        <v>1.0</v>
      </c>
      <c r="K284" s="42">
        <v>0.0</v>
      </c>
      <c r="L284" s="42">
        <v>100.0</v>
      </c>
      <c r="N284" s="17">
        <v>70803.0</v>
      </c>
      <c r="O284" s="18">
        <v>2767.0</v>
      </c>
      <c r="P284" s="18">
        <v>1.0</v>
      </c>
      <c r="Q284" s="4">
        <f t="shared" si="1"/>
        <v>36.14022407</v>
      </c>
    </row>
    <row r="285">
      <c r="A285" s="2"/>
      <c r="B285" s="43">
        <v>277.0</v>
      </c>
      <c r="C285" s="44" t="s">
        <v>32</v>
      </c>
      <c r="D285" s="53" t="s">
        <v>70</v>
      </c>
      <c r="E285" s="53" t="s">
        <v>115</v>
      </c>
      <c r="F285" s="53" t="s">
        <v>121</v>
      </c>
      <c r="G285" s="44" t="s">
        <v>121</v>
      </c>
      <c r="H285" s="45">
        <v>32.0</v>
      </c>
      <c r="I285" s="45">
        <v>5.0</v>
      </c>
      <c r="J285" s="45">
        <v>27.0</v>
      </c>
      <c r="K285" s="45">
        <v>15.6</v>
      </c>
      <c r="L285" s="45">
        <v>84.4</v>
      </c>
      <c r="N285" s="17">
        <v>70804.0</v>
      </c>
      <c r="O285" s="18">
        <v>2390.0</v>
      </c>
      <c r="P285" s="18">
        <v>0.0</v>
      </c>
      <c r="Q285" s="4">
        <f t="shared" si="1"/>
        <v>0</v>
      </c>
    </row>
    <row r="286">
      <c r="A286" s="2"/>
      <c r="B286" s="38">
        <v>278.0</v>
      </c>
      <c r="C286" s="39" t="s">
        <v>32</v>
      </c>
      <c r="D286" s="39" t="s">
        <v>70</v>
      </c>
      <c r="E286" s="39" t="s">
        <v>115</v>
      </c>
      <c r="F286" s="39" t="s">
        <v>121</v>
      </c>
      <c r="G286" s="41" t="s">
        <v>23</v>
      </c>
      <c r="H286" s="46"/>
      <c r="I286" s="46"/>
      <c r="J286" s="46"/>
      <c r="K286" s="46"/>
      <c r="L286" s="46"/>
      <c r="N286" s="17">
        <v>70805.0</v>
      </c>
      <c r="O286" s="18">
        <v>2076.0</v>
      </c>
      <c r="P286" s="18">
        <v>0.0</v>
      </c>
      <c r="Q286" s="4">
        <f t="shared" si="1"/>
        <v>0</v>
      </c>
    </row>
    <row r="287">
      <c r="A287" s="2"/>
      <c r="B287" s="38">
        <v>279.0</v>
      </c>
      <c r="C287" s="39" t="s">
        <v>32</v>
      </c>
      <c r="D287" s="39" t="s">
        <v>70</v>
      </c>
      <c r="E287" s="39" t="s">
        <v>115</v>
      </c>
      <c r="F287" s="39" t="s">
        <v>121</v>
      </c>
      <c r="G287" s="41" t="s">
        <v>25</v>
      </c>
      <c r="H287" s="42">
        <v>32.0</v>
      </c>
      <c r="I287" s="42">
        <v>5.0</v>
      </c>
      <c r="J287" s="42">
        <v>27.0</v>
      </c>
      <c r="K287" s="42">
        <v>15.6</v>
      </c>
      <c r="L287" s="42">
        <v>84.4</v>
      </c>
      <c r="N287" s="17">
        <v>70901.0</v>
      </c>
      <c r="O287" s="18">
        <v>10472.0</v>
      </c>
      <c r="P287" s="18">
        <v>2.0</v>
      </c>
      <c r="Q287" s="4">
        <f t="shared" si="1"/>
        <v>19.09854851</v>
      </c>
    </row>
    <row r="288">
      <c r="A288" s="2"/>
      <c r="B288" s="43">
        <v>280.0</v>
      </c>
      <c r="C288" s="44" t="s">
        <v>32</v>
      </c>
      <c r="D288" s="53" t="s">
        <v>70</v>
      </c>
      <c r="E288" s="53" t="s">
        <v>115</v>
      </c>
      <c r="F288" s="53" t="s">
        <v>122</v>
      </c>
      <c r="G288" s="44" t="s">
        <v>122</v>
      </c>
      <c r="H288" s="45">
        <v>90.0</v>
      </c>
      <c r="I288" s="45">
        <v>39.0</v>
      </c>
      <c r="J288" s="45">
        <v>51.0</v>
      </c>
      <c r="K288" s="45">
        <v>43.3</v>
      </c>
      <c r="L288" s="45">
        <v>56.7</v>
      </c>
      <c r="N288" s="17">
        <v>70902.0</v>
      </c>
      <c r="O288" s="18">
        <v>9198.0</v>
      </c>
      <c r="P288" s="18">
        <v>2.0</v>
      </c>
      <c r="Q288" s="4">
        <f t="shared" si="1"/>
        <v>21.74385736</v>
      </c>
    </row>
    <row r="289">
      <c r="A289" s="2"/>
      <c r="B289" s="38">
        <v>281.0</v>
      </c>
      <c r="C289" s="39" t="s">
        <v>32</v>
      </c>
      <c r="D289" s="39" t="s">
        <v>70</v>
      </c>
      <c r="E289" s="39" t="s">
        <v>115</v>
      </c>
      <c r="F289" s="39" t="s">
        <v>122</v>
      </c>
      <c r="G289" s="41" t="s">
        <v>23</v>
      </c>
      <c r="H289" s="46"/>
      <c r="I289" s="46"/>
      <c r="J289" s="46"/>
      <c r="K289" s="46"/>
      <c r="L289" s="46"/>
      <c r="N289" s="17">
        <v>70903.0</v>
      </c>
      <c r="O289" s="18">
        <v>10177.0</v>
      </c>
      <c r="P289" s="18">
        <v>3.0</v>
      </c>
      <c r="Q289" s="4">
        <f t="shared" si="1"/>
        <v>29.47823524</v>
      </c>
    </row>
    <row r="290">
      <c r="A290" s="2"/>
      <c r="B290" s="38">
        <v>282.0</v>
      </c>
      <c r="C290" s="39" t="s">
        <v>32</v>
      </c>
      <c r="D290" s="39" t="s">
        <v>70</v>
      </c>
      <c r="E290" s="39" t="s">
        <v>115</v>
      </c>
      <c r="F290" s="39" t="s">
        <v>122</v>
      </c>
      <c r="G290" s="41" t="s">
        <v>25</v>
      </c>
      <c r="H290" s="42">
        <v>90.0</v>
      </c>
      <c r="I290" s="42">
        <v>39.0</v>
      </c>
      <c r="J290" s="42">
        <v>51.0</v>
      </c>
      <c r="K290" s="42">
        <v>43.3</v>
      </c>
      <c r="L290" s="42">
        <v>56.7</v>
      </c>
      <c r="N290" s="17">
        <v>70904.0</v>
      </c>
      <c r="O290" s="18">
        <v>2995.0</v>
      </c>
      <c r="P290" s="18">
        <v>0.0</v>
      </c>
      <c r="Q290" s="4">
        <f t="shared" si="1"/>
        <v>0</v>
      </c>
    </row>
    <row r="291">
      <c r="A291" s="2"/>
      <c r="B291" s="34">
        <v>283.0</v>
      </c>
      <c r="C291" s="35" t="s">
        <v>30</v>
      </c>
      <c r="D291" s="49" t="s">
        <v>70</v>
      </c>
      <c r="E291" s="49" t="s">
        <v>123</v>
      </c>
      <c r="F291" s="50"/>
      <c r="G291" s="35" t="s">
        <v>123</v>
      </c>
      <c r="H291" s="37">
        <v>49.0</v>
      </c>
      <c r="I291" s="37">
        <v>29.0</v>
      </c>
      <c r="J291" s="37">
        <v>20.0</v>
      </c>
      <c r="K291" s="37">
        <v>59.2</v>
      </c>
      <c r="L291" s="37">
        <v>40.8</v>
      </c>
      <c r="N291" s="17">
        <v>71001.0</v>
      </c>
      <c r="O291" s="18">
        <v>109518.0</v>
      </c>
      <c r="P291" s="18">
        <v>48.0</v>
      </c>
      <c r="Q291" s="4">
        <f t="shared" si="1"/>
        <v>43.82841177</v>
      </c>
    </row>
    <row r="292">
      <c r="A292" s="2"/>
      <c r="B292" s="38">
        <v>284.0</v>
      </c>
      <c r="C292" s="39" t="s">
        <v>30</v>
      </c>
      <c r="D292" s="39" t="s">
        <v>70</v>
      </c>
      <c r="E292" s="39" t="s">
        <v>123</v>
      </c>
      <c r="F292" s="40"/>
      <c r="G292" s="41" t="s">
        <v>23</v>
      </c>
      <c r="H292" s="42">
        <v>0.0</v>
      </c>
      <c r="I292" s="42">
        <v>0.0</v>
      </c>
      <c r="J292" s="42">
        <v>0.0</v>
      </c>
      <c r="K292" s="42">
        <v>0.0</v>
      </c>
      <c r="L292" s="42">
        <v>0.0</v>
      </c>
      <c r="N292" s="17">
        <v>71002.0</v>
      </c>
      <c r="O292" s="18">
        <v>14209.0</v>
      </c>
      <c r="P292" s="18">
        <v>0.0</v>
      </c>
      <c r="Q292" s="4">
        <f t="shared" si="1"/>
        <v>0</v>
      </c>
    </row>
    <row r="293">
      <c r="A293" s="2"/>
      <c r="B293" s="38">
        <v>285.0</v>
      </c>
      <c r="C293" s="39" t="s">
        <v>30</v>
      </c>
      <c r="D293" s="39" t="s">
        <v>70</v>
      </c>
      <c r="E293" s="39" t="s">
        <v>123</v>
      </c>
      <c r="F293" s="40"/>
      <c r="G293" s="41" t="s">
        <v>25</v>
      </c>
      <c r="H293" s="42">
        <v>49.0</v>
      </c>
      <c r="I293" s="42">
        <v>29.0</v>
      </c>
      <c r="J293" s="42">
        <v>20.0</v>
      </c>
      <c r="K293" s="42">
        <v>59.2</v>
      </c>
      <c r="L293" s="42">
        <v>40.8</v>
      </c>
      <c r="N293" s="17">
        <v>71003.0</v>
      </c>
      <c r="O293" s="18">
        <v>23251.0</v>
      </c>
      <c r="P293" s="18">
        <v>1.0</v>
      </c>
      <c r="Q293" s="4">
        <f t="shared" si="1"/>
        <v>4.300890284</v>
      </c>
    </row>
    <row r="294">
      <c r="A294" s="2"/>
      <c r="B294" s="43">
        <v>286.0</v>
      </c>
      <c r="C294" s="44" t="s">
        <v>32</v>
      </c>
      <c r="D294" s="53" t="s">
        <v>70</v>
      </c>
      <c r="E294" s="53" t="s">
        <v>123</v>
      </c>
      <c r="F294" s="53" t="s">
        <v>124</v>
      </c>
      <c r="G294" s="44" t="s">
        <v>124</v>
      </c>
      <c r="H294" s="45">
        <v>14.0</v>
      </c>
      <c r="I294" s="45">
        <v>10.0</v>
      </c>
      <c r="J294" s="45">
        <v>4.0</v>
      </c>
      <c r="K294" s="45">
        <v>71.4</v>
      </c>
      <c r="L294" s="45">
        <v>28.6</v>
      </c>
      <c r="N294" s="17">
        <v>71004.0</v>
      </c>
      <c r="O294" s="18">
        <v>15117.0</v>
      </c>
      <c r="P294" s="18">
        <v>22.0</v>
      </c>
      <c r="Q294" s="4">
        <f t="shared" si="1"/>
        <v>145.5315208</v>
      </c>
    </row>
    <row r="295">
      <c r="A295" s="2"/>
      <c r="B295" s="38">
        <v>287.0</v>
      </c>
      <c r="C295" s="39" t="s">
        <v>32</v>
      </c>
      <c r="D295" s="39" t="s">
        <v>70</v>
      </c>
      <c r="E295" s="39" t="s">
        <v>123</v>
      </c>
      <c r="F295" s="39" t="s">
        <v>124</v>
      </c>
      <c r="G295" s="41" t="s">
        <v>23</v>
      </c>
      <c r="H295" s="46"/>
      <c r="I295" s="46"/>
      <c r="J295" s="46"/>
      <c r="K295" s="46"/>
      <c r="L295" s="46"/>
      <c r="N295" s="17">
        <v>71005.0</v>
      </c>
      <c r="O295" s="18">
        <v>19103.0</v>
      </c>
      <c r="P295" s="18">
        <v>0.0</v>
      </c>
      <c r="Q295" s="4">
        <f t="shared" si="1"/>
        <v>0</v>
      </c>
    </row>
    <row r="296">
      <c r="A296" s="2"/>
      <c r="B296" s="38">
        <v>288.0</v>
      </c>
      <c r="C296" s="39" t="s">
        <v>32</v>
      </c>
      <c r="D296" s="39" t="s">
        <v>70</v>
      </c>
      <c r="E296" s="39" t="s">
        <v>123</v>
      </c>
      <c r="F296" s="39" t="s">
        <v>124</v>
      </c>
      <c r="G296" s="41" t="s">
        <v>25</v>
      </c>
      <c r="H296" s="42">
        <v>14.0</v>
      </c>
      <c r="I296" s="42">
        <v>10.0</v>
      </c>
      <c r="J296" s="42">
        <v>4.0</v>
      </c>
      <c r="K296" s="42">
        <v>71.4</v>
      </c>
      <c r="L296" s="42">
        <v>28.6</v>
      </c>
      <c r="N296" s="17">
        <v>71101.0</v>
      </c>
      <c r="O296" s="18">
        <v>18800.0</v>
      </c>
      <c r="P296" s="18">
        <v>0.0</v>
      </c>
      <c r="Q296" s="4">
        <f t="shared" si="1"/>
        <v>0</v>
      </c>
    </row>
    <row r="297">
      <c r="A297" s="2"/>
      <c r="B297" s="43">
        <v>289.0</v>
      </c>
      <c r="C297" s="44" t="s">
        <v>32</v>
      </c>
      <c r="D297" s="53" t="s">
        <v>70</v>
      </c>
      <c r="E297" s="53" t="s">
        <v>123</v>
      </c>
      <c r="F297" s="53" t="s">
        <v>125</v>
      </c>
      <c r="G297" s="44" t="s">
        <v>125</v>
      </c>
      <c r="H297" s="45">
        <v>10.0</v>
      </c>
      <c r="I297" s="45">
        <v>6.0</v>
      </c>
      <c r="J297" s="45">
        <v>4.0</v>
      </c>
      <c r="K297" s="45">
        <v>60.0</v>
      </c>
      <c r="L297" s="45">
        <v>40.0</v>
      </c>
      <c r="N297" s="17">
        <v>71102.0</v>
      </c>
      <c r="O297" s="18">
        <v>13620.0</v>
      </c>
      <c r="P297" s="18">
        <v>12.0</v>
      </c>
      <c r="Q297" s="4">
        <f t="shared" si="1"/>
        <v>88.10572687</v>
      </c>
    </row>
    <row r="298">
      <c r="A298" s="2"/>
      <c r="B298" s="38">
        <v>290.0</v>
      </c>
      <c r="C298" s="39" t="s">
        <v>32</v>
      </c>
      <c r="D298" s="39" t="s">
        <v>70</v>
      </c>
      <c r="E298" s="39" t="s">
        <v>123</v>
      </c>
      <c r="F298" s="39" t="s">
        <v>125</v>
      </c>
      <c r="G298" s="41" t="s">
        <v>23</v>
      </c>
      <c r="H298" s="46"/>
      <c r="I298" s="46"/>
      <c r="J298" s="46"/>
      <c r="K298" s="46"/>
      <c r="L298" s="46"/>
      <c r="N298" s="17">
        <v>71103.0</v>
      </c>
      <c r="O298" s="18">
        <v>7490.0</v>
      </c>
      <c r="P298" s="18">
        <v>3.0</v>
      </c>
      <c r="Q298" s="4">
        <f t="shared" si="1"/>
        <v>40.05340454</v>
      </c>
    </row>
    <row r="299">
      <c r="A299" s="2"/>
      <c r="B299" s="38">
        <v>291.0</v>
      </c>
      <c r="C299" s="39" t="s">
        <v>32</v>
      </c>
      <c r="D299" s="39" t="s">
        <v>70</v>
      </c>
      <c r="E299" s="39" t="s">
        <v>123</v>
      </c>
      <c r="F299" s="39" t="s">
        <v>125</v>
      </c>
      <c r="G299" s="41" t="s">
        <v>25</v>
      </c>
      <c r="H299" s="42">
        <v>10.0</v>
      </c>
      <c r="I299" s="42">
        <v>6.0</v>
      </c>
      <c r="J299" s="42">
        <v>4.0</v>
      </c>
      <c r="K299" s="42">
        <v>60.0</v>
      </c>
      <c r="L299" s="42">
        <v>40.0</v>
      </c>
      <c r="N299" s="17">
        <v>71104.0</v>
      </c>
      <c r="O299" s="18">
        <v>47416.0</v>
      </c>
      <c r="P299" s="18">
        <v>38.0</v>
      </c>
      <c r="Q299" s="4">
        <f t="shared" si="1"/>
        <v>80.14172431</v>
      </c>
    </row>
    <row r="300">
      <c r="A300" s="2"/>
      <c r="B300" s="43">
        <v>292.0</v>
      </c>
      <c r="C300" s="44" t="s">
        <v>32</v>
      </c>
      <c r="D300" s="53" t="s">
        <v>70</v>
      </c>
      <c r="E300" s="53" t="s">
        <v>123</v>
      </c>
      <c r="F300" s="53" t="s">
        <v>126</v>
      </c>
      <c r="G300" s="44" t="s">
        <v>126</v>
      </c>
      <c r="H300" s="45">
        <v>7.0</v>
      </c>
      <c r="I300" s="45">
        <v>4.0</v>
      </c>
      <c r="J300" s="45">
        <v>3.0</v>
      </c>
      <c r="K300" s="45">
        <v>57.1</v>
      </c>
      <c r="L300" s="45">
        <v>42.9</v>
      </c>
      <c r="N300" s="17">
        <v>71105.0</v>
      </c>
      <c r="O300" s="18">
        <v>6481.0</v>
      </c>
      <c r="P300" s="18">
        <v>0.0</v>
      </c>
      <c r="Q300" s="4">
        <f t="shared" si="1"/>
        <v>0</v>
      </c>
    </row>
    <row r="301">
      <c r="A301" s="2"/>
      <c r="B301" s="38">
        <v>293.0</v>
      </c>
      <c r="C301" s="39" t="s">
        <v>32</v>
      </c>
      <c r="D301" s="39" t="s">
        <v>70</v>
      </c>
      <c r="E301" s="39" t="s">
        <v>123</v>
      </c>
      <c r="F301" s="39" t="s">
        <v>126</v>
      </c>
      <c r="G301" s="41" t="s">
        <v>23</v>
      </c>
      <c r="H301" s="42">
        <v>0.0</v>
      </c>
      <c r="I301" s="42">
        <v>0.0</v>
      </c>
      <c r="J301" s="42">
        <v>0.0</v>
      </c>
      <c r="K301" s="42">
        <v>0.0</v>
      </c>
      <c r="L301" s="42">
        <v>0.0</v>
      </c>
      <c r="N301" s="17">
        <v>71106.0</v>
      </c>
      <c r="O301" s="18">
        <v>22845.0</v>
      </c>
      <c r="P301" s="18">
        <v>9.0</v>
      </c>
      <c r="Q301" s="4">
        <f t="shared" si="1"/>
        <v>39.39592909</v>
      </c>
    </row>
    <row r="302">
      <c r="A302" s="2"/>
      <c r="B302" s="38">
        <v>294.0</v>
      </c>
      <c r="C302" s="39" t="s">
        <v>32</v>
      </c>
      <c r="D302" s="39" t="s">
        <v>70</v>
      </c>
      <c r="E302" s="39" t="s">
        <v>123</v>
      </c>
      <c r="F302" s="39" t="s">
        <v>126</v>
      </c>
      <c r="G302" s="41" t="s">
        <v>25</v>
      </c>
      <c r="H302" s="42">
        <v>7.0</v>
      </c>
      <c r="I302" s="42">
        <v>4.0</v>
      </c>
      <c r="J302" s="42">
        <v>3.0</v>
      </c>
      <c r="K302" s="42">
        <v>57.1</v>
      </c>
      <c r="L302" s="42">
        <v>42.9</v>
      </c>
      <c r="N302" s="17">
        <v>71201.0</v>
      </c>
      <c r="O302" s="18">
        <v>14470.0</v>
      </c>
      <c r="P302" s="18">
        <v>0.0</v>
      </c>
      <c r="Q302" s="4">
        <f t="shared" si="1"/>
        <v>0</v>
      </c>
    </row>
    <row r="303">
      <c r="A303" s="2"/>
      <c r="B303" s="43">
        <v>295.0</v>
      </c>
      <c r="C303" s="44" t="s">
        <v>32</v>
      </c>
      <c r="D303" s="53" t="s">
        <v>70</v>
      </c>
      <c r="E303" s="53" t="s">
        <v>123</v>
      </c>
      <c r="F303" s="53" t="s">
        <v>127</v>
      </c>
      <c r="G303" s="44" t="s">
        <v>127</v>
      </c>
      <c r="H303" s="45">
        <v>12.0</v>
      </c>
      <c r="I303" s="45">
        <v>7.0</v>
      </c>
      <c r="J303" s="45">
        <v>5.0</v>
      </c>
      <c r="K303" s="45">
        <v>58.3</v>
      </c>
      <c r="L303" s="45">
        <v>41.7</v>
      </c>
      <c r="N303" s="17">
        <v>71301.0</v>
      </c>
      <c r="O303" s="18">
        <v>15919.0</v>
      </c>
      <c r="P303" s="18">
        <v>6.0</v>
      </c>
      <c r="Q303" s="4">
        <f t="shared" si="1"/>
        <v>37.69080972</v>
      </c>
    </row>
    <row r="304">
      <c r="A304" s="2"/>
      <c r="B304" s="38">
        <v>296.0</v>
      </c>
      <c r="C304" s="39" t="s">
        <v>32</v>
      </c>
      <c r="D304" s="39" t="s">
        <v>70</v>
      </c>
      <c r="E304" s="39" t="s">
        <v>123</v>
      </c>
      <c r="F304" s="39" t="s">
        <v>127</v>
      </c>
      <c r="G304" s="41" t="s">
        <v>23</v>
      </c>
      <c r="H304" s="46"/>
      <c r="I304" s="46"/>
      <c r="J304" s="46"/>
      <c r="K304" s="46"/>
      <c r="L304" s="46"/>
      <c r="N304" s="17">
        <v>71302.0</v>
      </c>
      <c r="O304" s="18">
        <v>7390.0</v>
      </c>
      <c r="P304" s="18">
        <v>21.0</v>
      </c>
      <c r="Q304" s="4">
        <f t="shared" si="1"/>
        <v>284.1677943</v>
      </c>
    </row>
    <row r="305">
      <c r="A305" s="2"/>
      <c r="B305" s="38">
        <v>297.0</v>
      </c>
      <c r="C305" s="39" t="s">
        <v>32</v>
      </c>
      <c r="D305" s="39" t="s">
        <v>70</v>
      </c>
      <c r="E305" s="39" t="s">
        <v>123</v>
      </c>
      <c r="F305" s="39" t="s">
        <v>127</v>
      </c>
      <c r="G305" s="41" t="s">
        <v>25</v>
      </c>
      <c r="H305" s="42">
        <v>12.0</v>
      </c>
      <c r="I305" s="42">
        <v>7.0</v>
      </c>
      <c r="J305" s="42">
        <v>5.0</v>
      </c>
      <c r="K305" s="42">
        <v>58.3</v>
      </c>
      <c r="L305" s="42">
        <v>41.7</v>
      </c>
      <c r="N305" s="17">
        <v>71401.0</v>
      </c>
      <c r="O305" s="18">
        <v>19829.0</v>
      </c>
      <c r="P305" s="18">
        <v>22.0</v>
      </c>
      <c r="Q305" s="4">
        <f t="shared" si="1"/>
        <v>110.9486106</v>
      </c>
    </row>
    <row r="306">
      <c r="A306" s="2"/>
      <c r="B306" s="43">
        <v>298.0</v>
      </c>
      <c r="C306" s="44" t="s">
        <v>32</v>
      </c>
      <c r="D306" s="53" t="s">
        <v>70</v>
      </c>
      <c r="E306" s="53" t="s">
        <v>123</v>
      </c>
      <c r="F306" s="53" t="s">
        <v>128</v>
      </c>
      <c r="G306" s="44" t="s">
        <v>128</v>
      </c>
      <c r="H306" s="45">
        <v>6.0</v>
      </c>
      <c r="I306" s="45">
        <v>2.0</v>
      </c>
      <c r="J306" s="45">
        <v>4.0</v>
      </c>
      <c r="K306" s="45">
        <v>33.3</v>
      </c>
      <c r="L306" s="45">
        <v>66.7</v>
      </c>
      <c r="N306" s="17">
        <v>71402.0</v>
      </c>
      <c r="O306" s="18">
        <v>16659.0</v>
      </c>
      <c r="P306" s="18">
        <v>14.0</v>
      </c>
      <c r="Q306" s="4">
        <f t="shared" si="1"/>
        <v>84.03865778</v>
      </c>
    </row>
    <row r="307">
      <c r="A307" s="2"/>
      <c r="B307" s="38">
        <v>299.0</v>
      </c>
      <c r="C307" s="39" t="s">
        <v>32</v>
      </c>
      <c r="D307" s="39" t="s">
        <v>70</v>
      </c>
      <c r="E307" s="39" t="s">
        <v>123</v>
      </c>
      <c r="F307" s="39" t="s">
        <v>128</v>
      </c>
      <c r="G307" s="41" t="s">
        <v>23</v>
      </c>
      <c r="H307" s="46"/>
      <c r="I307" s="46"/>
      <c r="J307" s="46"/>
      <c r="K307" s="46"/>
      <c r="L307" s="46"/>
      <c r="N307" s="17">
        <v>71403.0</v>
      </c>
      <c r="O307" s="18">
        <v>6342.0</v>
      </c>
      <c r="P307" s="18">
        <v>0.0</v>
      </c>
      <c r="Q307" s="4">
        <f t="shared" si="1"/>
        <v>0</v>
      </c>
    </row>
    <row r="308">
      <c r="A308" s="2"/>
      <c r="B308" s="38">
        <v>300.0</v>
      </c>
      <c r="C308" s="39" t="s">
        <v>32</v>
      </c>
      <c r="D308" s="39" t="s">
        <v>70</v>
      </c>
      <c r="E308" s="39" t="s">
        <v>123</v>
      </c>
      <c r="F308" s="39" t="s">
        <v>128</v>
      </c>
      <c r="G308" s="41" t="s">
        <v>25</v>
      </c>
      <c r="H308" s="42">
        <v>6.0</v>
      </c>
      <c r="I308" s="42">
        <v>2.0</v>
      </c>
      <c r="J308" s="42">
        <v>4.0</v>
      </c>
      <c r="K308" s="42">
        <v>33.3</v>
      </c>
      <c r="L308" s="42">
        <v>66.7</v>
      </c>
      <c r="N308" s="17">
        <v>71501.0</v>
      </c>
      <c r="O308" s="18">
        <v>27070.0</v>
      </c>
      <c r="P308" s="18">
        <v>19.0</v>
      </c>
      <c r="Q308" s="4">
        <f t="shared" si="1"/>
        <v>70.18840044</v>
      </c>
    </row>
    <row r="309">
      <c r="A309" s="2"/>
      <c r="B309" s="34">
        <v>301.0</v>
      </c>
      <c r="C309" s="35" t="s">
        <v>30</v>
      </c>
      <c r="D309" s="49" t="s">
        <v>70</v>
      </c>
      <c r="E309" s="49" t="s">
        <v>129</v>
      </c>
      <c r="F309" s="50"/>
      <c r="G309" s="35" t="s">
        <v>129</v>
      </c>
      <c r="H309" s="37">
        <v>131.0</v>
      </c>
      <c r="I309" s="37">
        <v>48.0</v>
      </c>
      <c r="J309" s="37">
        <v>83.0</v>
      </c>
      <c r="K309" s="37">
        <v>36.6</v>
      </c>
      <c r="L309" s="37">
        <v>63.4</v>
      </c>
      <c r="N309" s="17">
        <v>71502.0</v>
      </c>
      <c r="O309" s="18">
        <v>7026.0</v>
      </c>
      <c r="P309" s="18">
        <v>0.0</v>
      </c>
      <c r="Q309" s="4">
        <f t="shared" si="1"/>
        <v>0</v>
      </c>
    </row>
    <row r="310">
      <c r="A310" s="2"/>
      <c r="B310" s="38">
        <v>302.0</v>
      </c>
      <c r="C310" s="39" t="s">
        <v>30</v>
      </c>
      <c r="D310" s="39" t="s">
        <v>70</v>
      </c>
      <c r="E310" s="39" t="s">
        <v>129</v>
      </c>
      <c r="F310" s="40"/>
      <c r="G310" s="41" t="s">
        <v>23</v>
      </c>
      <c r="H310" s="42">
        <v>49.0</v>
      </c>
      <c r="I310" s="42">
        <v>18.0</v>
      </c>
      <c r="J310" s="42">
        <v>31.0</v>
      </c>
      <c r="K310" s="42">
        <v>36.7</v>
      </c>
      <c r="L310" s="42">
        <v>63.3</v>
      </c>
      <c r="N310" s="17">
        <v>71503.0</v>
      </c>
      <c r="O310" s="18">
        <v>14205.0</v>
      </c>
      <c r="P310" s="18">
        <v>8.0</v>
      </c>
      <c r="Q310" s="4">
        <f t="shared" si="1"/>
        <v>56.31819782</v>
      </c>
    </row>
    <row r="311">
      <c r="A311" s="2"/>
      <c r="B311" s="38">
        <v>303.0</v>
      </c>
      <c r="C311" s="39" t="s">
        <v>30</v>
      </c>
      <c r="D311" s="39" t="s">
        <v>70</v>
      </c>
      <c r="E311" s="39" t="s">
        <v>129</v>
      </c>
      <c r="F311" s="40"/>
      <c r="G311" s="41" t="s">
        <v>25</v>
      </c>
      <c r="H311" s="42">
        <v>82.0</v>
      </c>
      <c r="I311" s="42">
        <v>30.0</v>
      </c>
      <c r="J311" s="42">
        <v>52.0</v>
      </c>
      <c r="K311" s="42">
        <v>36.6</v>
      </c>
      <c r="L311" s="42">
        <v>63.4</v>
      </c>
      <c r="N311" s="17">
        <v>80101.0</v>
      </c>
      <c r="O311" s="18">
        <v>106596.0</v>
      </c>
      <c r="P311" s="18">
        <v>53.0</v>
      </c>
      <c r="Q311" s="4">
        <f t="shared" si="1"/>
        <v>49.72043979</v>
      </c>
    </row>
    <row r="312">
      <c r="A312" s="2"/>
      <c r="B312" s="43">
        <v>304.0</v>
      </c>
      <c r="C312" s="44" t="s">
        <v>32</v>
      </c>
      <c r="D312" s="53" t="s">
        <v>70</v>
      </c>
      <c r="E312" s="53" t="s">
        <v>129</v>
      </c>
      <c r="F312" s="53" t="s">
        <v>129</v>
      </c>
      <c r="G312" s="44" t="s">
        <v>129</v>
      </c>
      <c r="H312" s="45">
        <v>15.0</v>
      </c>
      <c r="I312" s="45">
        <v>3.0</v>
      </c>
      <c r="J312" s="45">
        <v>12.0</v>
      </c>
      <c r="K312" s="45">
        <v>20.0</v>
      </c>
      <c r="L312" s="45">
        <v>80.0</v>
      </c>
      <c r="N312" s="17">
        <v>80102.0</v>
      </c>
      <c r="O312" s="18">
        <v>5277.0</v>
      </c>
      <c r="P312" s="18">
        <v>0.0</v>
      </c>
      <c r="Q312" s="4">
        <f t="shared" si="1"/>
        <v>0</v>
      </c>
    </row>
    <row r="313">
      <c r="A313" s="2"/>
      <c r="B313" s="38">
        <v>305.0</v>
      </c>
      <c r="C313" s="39" t="s">
        <v>32</v>
      </c>
      <c r="D313" s="39" t="s">
        <v>70</v>
      </c>
      <c r="E313" s="39" t="s">
        <v>129</v>
      </c>
      <c r="F313" s="39" t="s">
        <v>129</v>
      </c>
      <c r="G313" s="41" t="s">
        <v>23</v>
      </c>
      <c r="H313" s="46"/>
      <c r="I313" s="46"/>
      <c r="J313" s="46"/>
      <c r="K313" s="46"/>
      <c r="L313" s="46"/>
      <c r="N313" s="17">
        <v>80201.0</v>
      </c>
      <c r="O313" s="18">
        <v>89022.0</v>
      </c>
      <c r="P313" s="18">
        <v>12.0</v>
      </c>
      <c r="Q313" s="4">
        <f t="shared" si="1"/>
        <v>13.47981398</v>
      </c>
    </row>
    <row r="314">
      <c r="A314" s="2"/>
      <c r="B314" s="38">
        <v>306.0</v>
      </c>
      <c r="C314" s="39" t="s">
        <v>32</v>
      </c>
      <c r="D314" s="39" t="s">
        <v>70</v>
      </c>
      <c r="E314" s="39" t="s">
        <v>129</v>
      </c>
      <c r="F314" s="39" t="s">
        <v>129</v>
      </c>
      <c r="G314" s="41" t="s">
        <v>25</v>
      </c>
      <c r="H314" s="42">
        <v>15.0</v>
      </c>
      <c r="I314" s="42">
        <v>3.0</v>
      </c>
      <c r="J314" s="42">
        <v>12.0</v>
      </c>
      <c r="K314" s="42">
        <v>20.0</v>
      </c>
      <c r="L314" s="42">
        <v>80.0</v>
      </c>
      <c r="N314" s="17">
        <v>80202.0</v>
      </c>
      <c r="O314" s="18">
        <v>41814.0</v>
      </c>
      <c r="P314" s="18">
        <v>0.0</v>
      </c>
      <c r="Q314" s="4">
        <f t="shared" si="1"/>
        <v>0</v>
      </c>
    </row>
    <row r="315">
      <c r="A315" s="2"/>
      <c r="B315" s="43">
        <v>307.0</v>
      </c>
      <c r="C315" s="44" t="s">
        <v>32</v>
      </c>
      <c r="D315" s="53" t="s">
        <v>70</v>
      </c>
      <c r="E315" s="53" t="s">
        <v>129</v>
      </c>
      <c r="F315" s="53" t="s">
        <v>130</v>
      </c>
      <c r="G315" s="44" t="s">
        <v>130</v>
      </c>
      <c r="H315" s="45">
        <v>48.0</v>
      </c>
      <c r="I315" s="45">
        <v>24.0</v>
      </c>
      <c r="J315" s="45">
        <v>24.0</v>
      </c>
      <c r="K315" s="45">
        <v>50.0</v>
      </c>
      <c r="L315" s="45">
        <v>50.0</v>
      </c>
      <c r="N315" s="17">
        <v>80301.0</v>
      </c>
      <c r="O315" s="18">
        <v>13246.0</v>
      </c>
      <c r="P315" s="18">
        <v>18.0</v>
      </c>
      <c r="Q315" s="4">
        <f t="shared" si="1"/>
        <v>135.89008</v>
      </c>
    </row>
    <row r="316">
      <c r="A316" s="2"/>
      <c r="B316" s="38">
        <v>308.0</v>
      </c>
      <c r="C316" s="39" t="s">
        <v>32</v>
      </c>
      <c r="D316" s="39" t="s">
        <v>70</v>
      </c>
      <c r="E316" s="39" t="s">
        <v>129</v>
      </c>
      <c r="F316" s="39" t="s">
        <v>130</v>
      </c>
      <c r="G316" s="41" t="s">
        <v>23</v>
      </c>
      <c r="H316" s="42">
        <v>18.0</v>
      </c>
      <c r="I316" s="42">
        <v>18.0</v>
      </c>
      <c r="J316" s="42">
        <v>0.0</v>
      </c>
      <c r="K316" s="42">
        <v>100.0</v>
      </c>
      <c r="L316" s="42">
        <v>0.0</v>
      </c>
      <c r="N316" s="17">
        <v>80302.0</v>
      </c>
      <c r="O316" s="18">
        <v>40864.0</v>
      </c>
      <c r="P316" s="18">
        <v>1.0</v>
      </c>
      <c r="Q316" s="4">
        <f t="shared" si="1"/>
        <v>2.447141738</v>
      </c>
    </row>
    <row r="317">
      <c r="A317" s="2"/>
      <c r="B317" s="38">
        <v>309.0</v>
      </c>
      <c r="C317" s="39" t="s">
        <v>32</v>
      </c>
      <c r="D317" s="39" t="s">
        <v>70</v>
      </c>
      <c r="E317" s="39" t="s">
        <v>129</v>
      </c>
      <c r="F317" s="39" t="s">
        <v>130</v>
      </c>
      <c r="G317" s="41" t="s">
        <v>25</v>
      </c>
      <c r="H317" s="42">
        <v>30.0</v>
      </c>
      <c r="I317" s="42">
        <v>6.0</v>
      </c>
      <c r="J317" s="42">
        <v>24.0</v>
      </c>
      <c r="K317" s="42">
        <v>20.0</v>
      </c>
      <c r="L317" s="42">
        <v>80.0</v>
      </c>
      <c r="N317" s="17">
        <v>80303.0</v>
      </c>
      <c r="O317" s="18">
        <v>9478.0</v>
      </c>
      <c r="P317" s="18">
        <v>0.0</v>
      </c>
      <c r="Q317" s="4">
        <f t="shared" si="1"/>
        <v>0</v>
      </c>
    </row>
    <row r="318">
      <c r="A318" s="2"/>
      <c r="B318" s="43">
        <v>310.0</v>
      </c>
      <c r="C318" s="44" t="s">
        <v>32</v>
      </c>
      <c r="D318" s="53" t="s">
        <v>70</v>
      </c>
      <c r="E318" s="53" t="s">
        <v>129</v>
      </c>
      <c r="F318" s="53" t="s">
        <v>131</v>
      </c>
      <c r="G318" s="44" t="s">
        <v>131</v>
      </c>
      <c r="H318" s="45">
        <v>41.0</v>
      </c>
      <c r="I318" s="45">
        <v>15.0</v>
      </c>
      <c r="J318" s="45">
        <v>26.0</v>
      </c>
      <c r="K318" s="45">
        <v>36.6</v>
      </c>
      <c r="L318" s="45">
        <v>63.4</v>
      </c>
      <c r="N318" s="17">
        <v>80304.0</v>
      </c>
      <c r="O318" s="18">
        <v>19195.0</v>
      </c>
      <c r="P318" s="18">
        <v>22.0</v>
      </c>
      <c r="Q318" s="4">
        <f t="shared" si="1"/>
        <v>114.6131805</v>
      </c>
    </row>
    <row r="319">
      <c r="A319" s="2"/>
      <c r="B319" s="38">
        <v>311.0</v>
      </c>
      <c r="C319" s="39" t="s">
        <v>32</v>
      </c>
      <c r="D319" s="39" t="s">
        <v>70</v>
      </c>
      <c r="E319" s="39" t="s">
        <v>129</v>
      </c>
      <c r="F319" s="39" t="s">
        <v>131</v>
      </c>
      <c r="G319" s="41" t="s">
        <v>23</v>
      </c>
      <c r="H319" s="42">
        <v>20.0</v>
      </c>
      <c r="I319" s="42">
        <v>0.0</v>
      </c>
      <c r="J319" s="42">
        <v>20.0</v>
      </c>
      <c r="K319" s="42">
        <v>0.0</v>
      </c>
      <c r="L319" s="42">
        <v>100.0</v>
      </c>
      <c r="N319" s="17">
        <v>80401.0</v>
      </c>
      <c r="O319" s="18">
        <v>18439.0</v>
      </c>
      <c r="P319" s="18">
        <v>0.0</v>
      </c>
      <c r="Q319" s="4">
        <f t="shared" si="1"/>
        <v>0</v>
      </c>
    </row>
    <row r="320">
      <c r="A320" s="2"/>
      <c r="B320" s="38">
        <v>312.0</v>
      </c>
      <c r="C320" s="39" t="s">
        <v>32</v>
      </c>
      <c r="D320" s="39" t="s">
        <v>70</v>
      </c>
      <c r="E320" s="39" t="s">
        <v>129</v>
      </c>
      <c r="F320" s="39" t="s">
        <v>131</v>
      </c>
      <c r="G320" s="41" t="s">
        <v>25</v>
      </c>
      <c r="H320" s="42">
        <v>21.0</v>
      </c>
      <c r="I320" s="42">
        <v>15.0</v>
      </c>
      <c r="J320" s="42">
        <v>6.0</v>
      </c>
      <c r="K320" s="42">
        <v>71.4</v>
      </c>
      <c r="L320" s="42">
        <v>28.6</v>
      </c>
      <c r="N320" s="17">
        <v>80402.0</v>
      </c>
      <c r="O320" s="18">
        <v>6362.0</v>
      </c>
      <c r="P320" s="18">
        <v>0.0</v>
      </c>
      <c r="Q320" s="4">
        <f t="shared" si="1"/>
        <v>0</v>
      </c>
    </row>
    <row r="321">
      <c r="A321" s="2"/>
      <c r="B321" s="43">
        <v>313.0</v>
      </c>
      <c r="C321" s="44" t="s">
        <v>32</v>
      </c>
      <c r="D321" s="53" t="s">
        <v>70</v>
      </c>
      <c r="E321" s="53" t="s">
        <v>129</v>
      </c>
      <c r="F321" s="53" t="s">
        <v>132</v>
      </c>
      <c r="G321" s="44" t="s">
        <v>132</v>
      </c>
      <c r="H321" s="45">
        <v>12.0</v>
      </c>
      <c r="I321" s="45">
        <v>2.0</v>
      </c>
      <c r="J321" s="45">
        <v>10.0</v>
      </c>
      <c r="K321" s="45">
        <v>16.7</v>
      </c>
      <c r="L321" s="45">
        <v>83.3</v>
      </c>
      <c r="N321" s="17">
        <v>80501.0</v>
      </c>
      <c r="O321" s="18">
        <v>21114.0</v>
      </c>
      <c r="P321" s="18">
        <v>0.0</v>
      </c>
      <c r="Q321" s="4">
        <f t="shared" si="1"/>
        <v>0</v>
      </c>
    </row>
    <row r="322">
      <c r="A322" s="2"/>
      <c r="B322" s="38">
        <v>314.0</v>
      </c>
      <c r="C322" s="39" t="s">
        <v>32</v>
      </c>
      <c r="D322" s="39" t="s">
        <v>70</v>
      </c>
      <c r="E322" s="39" t="s">
        <v>129</v>
      </c>
      <c r="F322" s="39" t="s">
        <v>132</v>
      </c>
      <c r="G322" s="41" t="s">
        <v>23</v>
      </c>
      <c r="H322" s="42">
        <v>0.0</v>
      </c>
      <c r="I322" s="42">
        <v>0.0</v>
      </c>
      <c r="J322" s="42">
        <v>0.0</v>
      </c>
      <c r="K322" s="42">
        <v>0.0</v>
      </c>
      <c r="L322" s="42">
        <v>0.0</v>
      </c>
      <c r="N322" s="17">
        <v>80601.0</v>
      </c>
      <c r="O322" s="18">
        <v>3828.0</v>
      </c>
      <c r="P322" s="18">
        <v>0.0</v>
      </c>
      <c r="Q322" s="4">
        <f t="shared" si="1"/>
        <v>0</v>
      </c>
    </row>
    <row r="323">
      <c r="A323" s="2"/>
      <c r="B323" s="38">
        <v>315.0</v>
      </c>
      <c r="C323" s="39" t="s">
        <v>32</v>
      </c>
      <c r="D323" s="39" t="s">
        <v>70</v>
      </c>
      <c r="E323" s="39" t="s">
        <v>129</v>
      </c>
      <c r="F323" s="39" t="s">
        <v>132</v>
      </c>
      <c r="G323" s="41" t="s">
        <v>25</v>
      </c>
      <c r="H323" s="42">
        <v>12.0</v>
      </c>
      <c r="I323" s="42">
        <v>2.0</v>
      </c>
      <c r="J323" s="42">
        <v>10.0</v>
      </c>
      <c r="K323" s="42">
        <v>16.7</v>
      </c>
      <c r="L323" s="42">
        <v>83.3</v>
      </c>
      <c r="N323" s="17">
        <v>80602.0</v>
      </c>
      <c r="O323" s="18">
        <v>12503.0</v>
      </c>
      <c r="P323" s="18">
        <v>66.0</v>
      </c>
      <c r="Q323" s="4">
        <f t="shared" si="1"/>
        <v>527.8733104</v>
      </c>
    </row>
    <row r="324">
      <c r="A324" s="2"/>
      <c r="B324" s="43">
        <v>316.0</v>
      </c>
      <c r="C324" s="44" t="s">
        <v>32</v>
      </c>
      <c r="D324" s="53" t="s">
        <v>70</v>
      </c>
      <c r="E324" s="53" t="s">
        <v>129</v>
      </c>
      <c r="F324" s="53" t="s">
        <v>133</v>
      </c>
      <c r="G324" s="44" t="s">
        <v>133</v>
      </c>
      <c r="H324" s="45">
        <v>15.0</v>
      </c>
      <c r="I324" s="45">
        <v>4.0</v>
      </c>
      <c r="J324" s="45">
        <v>11.0</v>
      </c>
      <c r="K324" s="45">
        <v>26.7</v>
      </c>
      <c r="L324" s="45">
        <v>73.3</v>
      </c>
      <c r="N324" s="17">
        <v>80701.0</v>
      </c>
      <c r="O324" s="18">
        <v>6917.0</v>
      </c>
      <c r="P324" s="18">
        <v>0.0</v>
      </c>
      <c r="Q324" s="4">
        <f t="shared" si="1"/>
        <v>0</v>
      </c>
    </row>
    <row r="325">
      <c r="A325" s="2"/>
      <c r="B325" s="38">
        <v>317.0</v>
      </c>
      <c r="C325" s="39" t="s">
        <v>32</v>
      </c>
      <c r="D325" s="39" t="s">
        <v>70</v>
      </c>
      <c r="E325" s="39" t="s">
        <v>129</v>
      </c>
      <c r="F325" s="39" t="s">
        <v>133</v>
      </c>
      <c r="G325" s="41" t="s">
        <v>23</v>
      </c>
      <c r="H325" s="42">
        <v>11.0</v>
      </c>
      <c r="I325" s="42">
        <v>0.0</v>
      </c>
      <c r="J325" s="42">
        <v>11.0</v>
      </c>
      <c r="K325" s="42">
        <v>0.0</v>
      </c>
      <c r="L325" s="42">
        <v>100.0</v>
      </c>
      <c r="N325" s="17">
        <v>80702.0</v>
      </c>
      <c r="O325" s="18">
        <v>4955.0</v>
      </c>
      <c r="P325" s="18">
        <v>0.0</v>
      </c>
      <c r="Q325" s="4">
        <f t="shared" si="1"/>
        <v>0</v>
      </c>
    </row>
    <row r="326">
      <c r="A326" s="2"/>
      <c r="B326" s="38">
        <v>318.0</v>
      </c>
      <c r="C326" s="39" t="s">
        <v>32</v>
      </c>
      <c r="D326" s="39" t="s">
        <v>70</v>
      </c>
      <c r="E326" s="39" t="s">
        <v>129</v>
      </c>
      <c r="F326" s="39" t="s">
        <v>133</v>
      </c>
      <c r="G326" s="41" t="s">
        <v>25</v>
      </c>
      <c r="H326" s="42">
        <v>4.0</v>
      </c>
      <c r="I326" s="42">
        <v>4.0</v>
      </c>
      <c r="J326" s="42">
        <v>0.0</v>
      </c>
      <c r="K326" s="42">
        <v>100.0</v>
      </c>
      <c r="L326" s="42">
        <v>0.0</v>
      </c>
      <c r="N326" s="17">
        <v>80703.0</v>
      </c>
      <c r="O326" s="18">
        <v>945.0</v>
      </c>
      <c r="P326" s="18">
        <v>0.0</v>
      </c>
      <c r="Q326" s="4">
        <f t="shared" si="1"/>
        <v>0</v>
      </c>
    </row>
    <row r="327">
      <c r="A327" s="2"/>
      <c r="B327" s="43">
        <v>319.0</v>
      </c>
      <c r="C327" s="44" t="s">
        <v>32</v>
      </c>
      <c r="D327" s="53" t="s">
        <v>70</v>
      </c>
      <c r="E327" s="53" t="s">
        <v>129</v>
      </c>
      <c r="F327" s="53" t="s">
        <v>134</v>
      </c>
      <c r="G327" s="44" t="s">
        <v>134</v>
      </c>
      <c r="H327" s="45">
        <v>0.0</v>
      </c>
      <c r="I327" s="45">
        <v>0.0</v>
      </c>
      <c r="J327" s="45">
        <v>0.0</v>
      </c>
      <c r="K327" s="45">
        <v>0.0</v>
      </c>
      <c r="L327" s="45">
        <v>0.0</v>
      </c>
      <c r="N327" s="17">
        <v>80801.0</v>
      </c>
      <c r="O327" s="18">
        <v>11377.0</v>
      </c>
      <c r="P327" s="18">
        <v>2.0</v>
      </c>
      <c r="Q327" s="4">
        <f t="shared" si="1"/>
        <v>17.57932671</v>
      </c>
    </row>
    <row r="328">
      <c r="A328" s="2"/>
      <c r="B328" s="38">
        <v>320.0</v>
      </c>
      <c r="C328" s="39" t="s">
        <v>32</v>
      </c>
      <c r="D328" s="39" t="s">
        <v>70</v>
      </c>
      <c r="E328" s="39" t="s">
        <v>129</v>
      </c>
      <c r="F328" s="39" t="s">
        <v>134</v>
      </c>
      <c r="G328" s="41" t="s">
        <v>23</v>
      </c>
      <c r="H328" s="42">
        <v>0.0</v>
      </c>
      <c r="I328" s="42">
        <v>0.0</v>
      </c>
      <c r="J328" s="42">
        <v>0.0</v>
      </c>
      <c r="K328" s="42">
        <v>0.0</v>
      </c>
      <c r="L328" s="42">
        <v>0.0</v>
      </c>
      <c r="N328" s="17">
        <v>80802.0</v>
      </c>
      <c r="O328" s="18">
        <v>5965.0</v>
      </c>
      <c r="P328" s="18">
        <v>2.0</v>
      </c>
      <c r="Q328" s="4">
        <f t="shared" si="1"/>
        <v>33.52891869</v>
      </c>
    </row>
    <row r="329">
      <c r="A329" s="2"/>
      <c r="B329" s="38">
        <v>321.0</v>
      </c>
      <c r="C329" s="39" t="s">
        <v>32</v>
      </c>
      <c r="D329" s="39" t="s">
        <v>70</v>
      </c>
      <c r="E329" s="39" t="s">
        <v>129</v>
      </c>
      <c r="F329" s="39" t="s">
        <v>134</v>
      </c>
      <c r="G329" s="41" t="s">
        <v>25</v>
      </c>
      <c r="H329" s="42">
        <v>0.0</v>
      </c>
      <c r="I329" s="42">
        <v>0.0</v>
      </c>
      <c r="J329" s="42">
        <v>0.0</v>
      </c>
      <c r="K329" s="42">
        <v>0.0</v>
      </c>
      <c r="L329" s="42">
        <v>0.0</v>
      </c>
      <c r="N329" s="17">
        <v>80803.0</v>
      </c>
      <c r="O329" s="18">
        <v>4111.0</v>
      </c>
      <c r="P329" s="18">
        <v>0.0</v>
      </c>
      <c r="Q329" s="4">
        <f t="shared" si="1"/>
        <v>0</v>
      </c>
    </row>
    <row r="330">
      <c r="A330" s="2"/>
      <c r="B330" s="34">
        <v>322.0</v>
      </c>
      <c r="C330" s="35" t="s">
        <v>30</v>
      </c>
      <c r="D330" s="49" t="s">
        <v>70</v>
      </c>
      <c r="E330" s="49" t="s">
        <v>135</v>
      </c>
      <c r="F330" s="50"/>
      <c r="G330" s="35" t="s">
        <v>135</v>
      </c>
      <c r="H330" s="37">
        <v>391.0</v>
      </c>
      <c r="I330" s="37">
        <v>182.0</v>
      </c>
      <c r="J330" s="37">
        <v>209.0</v>
      </c>
      <c r="K330" s="37">
        <v>46.5</v>
      </c>
      <c r="L330" s="37">
        <v>53.5</v>
      </c>
      <c r="N330" s="17">
        <v>90101.0</v>
      </c>
      <c r="O330" s="18">
        <v>46267.0</v>
      </c>
      <c r="P330" s="18">
        <v>7.0</v>
      </c>
      <c r="Q330" s="4">
        <f t="shared" si="1"/>
        <v>15.12957399</v>
      </c>
    </row>
    <row r="331">
      <c r="A331" s="2"/>
      <c r="B331" s="38">
        <v>323.0</v>
      </c>
      <c r="C331" s="39" t="s">
        <v>30</v>
      </c>
      <c r="D331" s="39" t="s">
        <v>70</v>
      </c>
      <c r="E331" s="39" t="s">
        <v>135</v>
      </c>
      <c r="F331" s="40"/>
      <c r="G331" s="41" t="s">
        <v>23</v>
      </c>
      <c r="H331" s="42">
        <v>53.0</v>
      </c>
      <c r="I331" s="42">
        <v>21.0</v>
      </c>
      <c r="J331" s="42">
        <v>32.0</v>
      </c>
      <c r="K331" s="42">
        <v>39.6</v>
      </c>
      <c r="L331" s="42">
        <v>60.4</v>
      </c>
      <c r="N331" s="17">
        <v>90102.0</v>
      </c>
      <c r="O331" s="18">
        <v>7948.0</v>
      </c>
      <c r="P331" s="18">
        <v>0.0</v>
      </c>
      <c r="Q331" s="4">
        <f t="shared" si="1"/>
        <v>0</v>
      </c>
    </row>
    <row r="332">
      <c r="A332" s="2"/>
      <c r="B332" s="38">
        <v>324.0</v>
      </c>
      <c r="C332" s="39" t="s">
        <v>30</v>
      </c>
      <c r="D332" s="39" t="s">
        <v>70</v>
      </c>
      <c r="E332" s="39" t="s">
        <v>135</v>
      </c>
      <c r="F332" s="40"/>
      <c r="G332" s="41" t="s">
        <v>25</v>
      </c>
      <c r="H332" s="42">
        <v>338.0</v>
      </c>
      <c r="I332" s="42">
        <v>161.0</v>
      </c>
      <c r="J332" s="42">
        <v>177.0</v>
      </c>
      <c r="K332" s="42">
        <v>47.6</v>
      </c>
      <c r="L332" s="42">
        <v>52.4</v>
      </c>
      <c r="N332" s="17">
        <v>90103.0</v>
      </c>
      <c r="O332" s="18">
        <v>2173.0</v>
      </c>
      <c r="P332" s="18">
        <v>0.0</v>
      </c>
      <c r="Q332" s="4">
        <f t="shared" si="1"/>
        <v>0</v>
      </c>
    </row>
    <row r="333">
      <c r="A333" s="2"/>
      <c r="B333" s="43">
        <v>325.0</v>
      </c>
      <c r="C333" s="44" t="s">
        <v>32</v>
      </c>
      <c r="D333" s="53" t="s">
        <v>70</v>
      </c>
      <c r="E333" s="53" t="s">
        <v>135</v>
      </c>
      <c r="F333" s="53" t="s">
        <v>136</v>
      </c>
      <c r="G333" s="44" t="s">
        <v>136</v>
      </c>
      <c r="H333" s="45">
        <v>46.0</v>
      </c>
      <c r="I333" s="45">
        <v>6.0</v>
      </c>
      <c r="J333" s="45">
        <v>40.0</v>
      </c>
      <c r="K333" s="45">
        <v>13.0</v>
      </c>
      <c r="L333" s="45">
        <v>87.0</v>
      </c>
      <c r="N333" s="17">
        <v>90104.0</v>
      </c>
      <c r="O333" s="18">
        <v>3909.0</v>
      </c>
      <c r="P333" s="18">
        <v>0.0</v>
      </c>
      <c r="Q333" s="4">
        <f t="shared" si="1"/>
        <v>0</v>
      </c>
    </row>
    <row r="334">
      <c r="A334" s="2"/>
      <c r="B334" s="38">
        <v>326.0</v>
      </c>
      <c r="C334" s="39" t="s">
        <v>32</v>
      </c>
      <c r="D334" s="39" t="s">
        <v>70</v>
      </c>
      <c r="E334" s="39" t="s">
        <v>135</v>
      </c>
      <c r="F334" s="39" t="s">
        <v>136</v>
      </c>
      <c r="G334" s="41" t="s">
        <v>23</v>
      </c>
      <c r="H334" s="42">
        <v>13.0</v>
      </c>
      <c r="I334" s="42">
        <v>4.0</v>
      </c>
      <c r="J334" s="42">
        <v>9.0</v>
      </c>
      <c r="K334" s="42">
        <v>30.8</v>
      </c>
      <c r="L334" s="42">
        <v>69.2</v>
      </c>
      <c r="N334" s="17">
        <v>90201.0</v>
      </c>
      <c r="O334" s="18">
        <v>6239.0</v>
      </c>
      <c r="P334" s="18">
        <v>0.0</v>
      </c>
      <c r="Q334" s="4">
        <f t="shared" si="1"/>
        <v>0</v>
      </c>
    </row>
    <row r="335">
      <c r="A335" s="2"/>
      <c r="B335" s="38">
        <v>327.0</v>
      </c>
      <c r="C335" s="39" t="s">
        <v>32</v>
      </c>
      <c r="D335" s="39" t="s">
        <v>70</v>
      </c>
      <c r="E335" s="39" t="s">
        <v>135</v>
      </c>
      <c r="F335" s="39" t="s">
        <v>136</v>
      </c>
      <c r="G335" s="41" t="s">
        <v>25</v>
      </c>
      <c r="H335" s="42">
        <v>33.0</v>
      </c>
      <c r="I335" s="42">
        <v>2.0</v>
      </c>
      <c r="J335" s="42">
        <v>31.0</v>
      </c>
      <c r="K335" s="42">
        <v>6.1</v>
      </c>
      <c r="L335" s="42">
        <v>93.9</v>
      </c>
      <c r="N335" s="17">
        <v>90202.0</v>
      </c>
      <c r="O335" s="18">
        <v>2991.0</v>
      </c>
      <c r="P335" s="18">
        <v>0.0</v>
      </c>
      <c r="Q335" s="4">
        <f t="shared" si="1"/>
        <v>0</v>
      </c>
    </row>
    <row r="336">
      <c r="A336" s="2"/>
      <c r="B336" s="43">
        <v>328.0</v>
      </c>
      <c r="C336" s="44" t="s">
        <v>32</v>
      </c>
      <c r="D336" s="53" t="s">
        <v>70</v>
      </c>
      <c r="E336" s="53" t="s">
        <v>135</v>
      </c>
      <c r="F336" s="53" t="s">
        <v>137</v>
      </c>
      <c r="G336" s="44" t="s">
        <v>137</v>
      </c>
      <c r="H336" s="45">
        <v>17.0</v>
      </c>
      <c r="I336" s="45">
        <v>4.0</v>
      </c>
      <c r="J336" s="45">
        <v>13.0</v>
      </c>
      <c r="K336" s="45">
        <v>23.5</v>
      </c>
      <c r="L336" s="45">
        <v>76.5</v>
      </c>
      <c r="N336" s="17">
        <v>90203.0</v>
      </c>
      <c r="O336" s="18">
        <v>5756.0</v>
      </c>
      <c r="P336" s="18">
        <v>0.0</v>
      </c>
      <c r="Q336" s="4">
        <f t="shared" si="1"/>
        <v>0</v>
      </c>
    </row>
    <row r="337">
      <c r="A337" s="2"/>
      <c r="B337" s="38">
        <v>329.0</v>
      </c>
      <c r="C337" s="39" t="s">
        <v>32</v>
      </c>
      <c r="D337" s="39" t="s">
        <v>70</v>
      </c>
      <c r="E337" s="39" t="s">
        <v>135</v>
      </c>
      <c r="F337" s="39" t="s">
        <v>137</v>
      </c>
      <c r="G337" s="41" t="s">
        <v>23</v>
      </c>
      <c r="H337" s="42">
        <v>7.0</v>
      </c>
      <c r="I337" s="42">
        <v>1.0</v>
      </c>
      <c r="J337" s="42">
        <v>6.0</v>
      </c>
      <c r="K337" s="42">
        <v>14.3</v>
      </c>
      <c r="L337" s="42">
        <v>85.7</v>
      </c>
      <c r="N337" s="17">
        <v>90301.0</v>
      </c>
      <c r="O337" s="18">
        <v>8160.0</v>
      </c>
      <c r="P337" s="18">
        <v>51.0</v>
      </c>
      <c r="Q337" s="4">
        <f t="shared" si="1"/>
        <v>625</v>
      </c>
    </row>
    <row r="338">
      <c r="A338" s="2"/>
      <c r="B338" s="38">
        <v>330.0</v>
      </c>
      <c r="C338" s="39" t="s">
        <v>32</v>
      </c>
      <c r="D338" s="39" t="s">
        <v>70</v>
      </c>
      <c r="E338" s="39" t="s">
        <v>135</v>
      </c>
      <c r="F338" s="39" t="s">
        <v>137</v>
      </c>
      <c r="G338" s="41" t="s">
        <v>25</v>
      </c>
      <c r="H338" s="42">
        <v>10.0</v>
      </c>
      <c r="I338" s="42">
        <v>3.0</v>
      </c>
      <c r="J338" s="42">
        <v>7.0</v>
      </c>
      <c r="K338" s="42">
        <v>30.0</v>
      </c>
      <c r="L338" s="42">
        <v>70.0</v>
      </c>
      <c r="N338" s="17">
        <v>90302.0</v>
      </c>
      <c r="O338" s="18">
        <v>7652.0</v>
      </c>
      <c r="P338" s="18">
        <v>0.0</v>
      </c>
      <c r="Q338" s="4">
        <f t="shared" si="1"/>
        <v>0</v>
      </c>
    </row>
    <row r="339">
      <c r="A339" s="2"/>
      <c r="B339" s="43">
        <v>331.0</v>
      </c>
      <c r="C339" s="44" t="s">
        <v>32</v>
      </c>
      <c r="D339" s="53" t="s">
        <v>70</v>
      </c>
      <c r="E339" s="53" t="s">
        <v>135</v>
      </c>
      <c r="F339" s="53" t="s">
        <v>138</v>
      </c>
      <c r="G339" s="44" t="s">
        <v>138</v>
      </c>
      <c r="H339" s="45">
        <v>76.0</v>
      </c>
      <c r="I339" s="45">
        <v>5.0</v>
      </c>
      <c r="J339" s="45">
        <v>71.0</v>
      </c>
      <c r="K339" s="45">
        <v>6.6</v>
      </c>
      <c r="L339" s="45">
        <v>93.4</v>
      </c>
      <c r="N339" s="17">
        <v>90303.0</v>
      </c>
      <c r="O339" s="18">
        <v>8258.0</v>
      </c>
      <c r="P339" s="18">
        <v>0.0</v>
      </c>
      <c r="Q339" s="4">
        <f t="shared" si="1"/>
        <v>0</v>
      </c>
    </row>
    <row r="340">
      <c r="A340" s="2"/>
      <c r="B340" s="38">
        <v>332.0</v>
      </c>
      <c r="C340" s="39" t="s">
        <v>32</v>
      </c>
      <c r="D340" s="39" t="s">
        <v>70</v>
      </c>
      <c r="E340" s="39" t="s">
        <v>135</v>
      </c>
      <c r="F340" s="39" t="s">
        <v>138</v>
      </c>
      <c r="G340" s="41" t="s">
        <v>23</v>
      </c>
      <c r="H340" s="46"/>
      <c r="I340" s="46"/>
      <c r="J340" s="46"/>
      <c r="K340" s="46"/>
      <c r="L340" s="46"/>
      <c r="N340" s="17">
        <v>90401.0</v>
      </c>
      <c r="O340" s="18">
        <v>2395.0</v>
      </c>
      <c r="P340" s="18">
        <v>2.0</v>
      </c>
      <c r="Q340" s="4">
        <f t="shared" si="1"/>
        <v>83.50730689</v>
      </c>
    </row>
    <row r="341">
      <c r="A341" s="2"/>
      <c r="B341" s="38">
        <v>333.0</v>
      </c>
      <c r="C341" s="39" t="s">
        <v>32</v>
      </c>
      <c r="D341" s="39" t="s">
        <v>70</v>
      </c>
      <c r="E341" s="39" t="s">
        <v>135</v>
      </c>
      <c r="F341" s="39" t="s">
        <v>138</v>
      </c>
      <c r="G341" s="41" t="s">
        <v>25</v>
      </c>
      <c r="H341" s="42">
        <v>76.0</v>
      </c>
      <c r="I341" s="42">
        <v>5.0</v>
      </c>
      <c r="J341" s="42">
        <v>71.0</v>
      </c>
      <c r="K341" s="42">
        <v>6.6</v>
      </c>
      <c r="L341" s="42">
        <v>93.4</v>
      </c>
      <c r="N341" s="17">
        <v>90402.0</v>
      </c>
      <c r="O341" s="18">
        <v>1654.0</v>
      </c>
      <c r="P341" s="18">
        <v>6.0</v>
      </c>
      <c r="Q341" s="4">
        <f t="shared" si="1"/>
        <v>362.7569528</v>
      </c>
    </row>
    <row r="342">
      <c r="A342" s="2"/>
      <c r="B342" s="43">
        <v>334.0</v>
      </c>
      <c r="C342" s="44" t="s">
        <v>32</v>
      </c>
      <c r="D342" s="53" t="s">
        <v>70</v>
      </c>
      <c r="E342" s="53" t="s">
        <v>135</v>
      </c>
      <c r="F342" s="53" t="s">
        <v>139</v>
      </c>
      <c r="G342" s="44" t="s">
        <v>139</v>
      </c>
      <c r="H342" s="45">
        <v>27.0</v>
      </c>
      <c r="I342" s="45">
        <v>11.0</v>
      </c>
      <c r="J342" s="45">
        <v>16.0</v>
      </c>
      <c r="K342" s="45">
        <v>40.7</v>
      </c>
      <c r="L342" s="45">
        <v>59.3</v>
      </c>
      <c r="N342" s="17">
        <v>90501.0</v>
      </c>
      <c r="O342" s="18">
        <v>2068.0</v>
      </c>
      <c r="P342" s="18">
        <v>6.0</v>
      </c>
      <c r="Q342" s="4">
        <f t="shared" si="1"/>
        <v>290.1353965</v>
      </c>
    </row>
    <row r="343">
      <c r="A343" s="2"/>
      <c r="B343" s="38">
        <v>335.0</v>
      </c>
      <c r="C343" s="39" t="s">
        <v>32</v>
      </c>
      <c r="D343" s="39" t="s">
        <v>70</v>
      </c>
      <c r="E343" s="39" t="s">
        <v>135</v>
      </c>
      <c r="F343" s="39" t="s">
        <v>139</v>
      </c>
      <c r="G343" s="41" t="s">
        <v>23</v>
      </c>
      <c r="H343" s="42">
        <v>18.0</v>
      </c>
      <c r="I343" s="42">
        <v>9.0</v>
      </c>
      <c r="J343" s="42">
        <v>9.0</v>
      </c>
      <c r="K343" s="42">
        <v>50.0</v>
      </c>
      <c r="L343" s="42">
        <v>50.0</v>
      </c>
      <c r="N343" s="17">
        <v>90502.0</v>
      </c>
      <c r="O343" s="18">
        <v>2801.0</v>
      </c>
      <c r="P343" s="18">
        <v>0.0</v>
      </c>
      <c r="Q343" s="4">
        <f t="shared" si="1"/>
        <v>0</v>
      </c>
    </row>
    <row r="344">
      <c r="A344" s="2"/>
      <c r="B344" s="38">
        <v>336.0</v>
      </c>
      <c r="C344" s="39" t="s">
        <v>32</v>
      </c>
      <c r="D344" s="39" t="s">
        <v>70</v>
      </c>
      <c r="E344" s="39" t="s">
        <v>135</v>
      </c>
      <c r="F344" s="39" t="s">
        <v>139</v>
      </c>
      <c r="G344" s="41" t="s">
        <v>25</v>
      </c>
      <c r="H344" s="42">
        <v>9.0</v>
      </c>
      <c r="I344" s="42">
        <v>2.0</v>
      </c>
      <c r="J344" s="42">
        <v>7.0</v>
      </c>
      <c r="K344" s="42">
        <v>22.2</v>
      </c>
      <c r="L344" s="42">
        <v>77.8</v>
      </c>
      <c r="N344" s="17">
        <v>90503.0</v>
      </c>
      <c r="O344" s="18">
        <v>2165.0</v>
      </c>
      <c r="P344" s="18">
        <v>0.0</v>
      </c>
      <c r="Q344" s="4">
        <f t="shared" si="1"/>
        <v>0</v>
      </c>
    </row>
    <row r="345">
      <c r="A345" s="2"/>
      <c r="B345" s="43">
        <v>337.0</v>
      </c>
      <c r="C345" s="44" t="s">
        <v>32</v>
      </c>
      <c r="D345" s="53" t="s">
        <v>70</v>
      </c>
      <c r="E345" s="53" t="s">
        <v>135</v>
      </c>
      <c r="F345" s="53" t="s">
        <v>140</v>
      </c>
      <c r="G345" s="44" t="s">
        <v>140</v>
      </c>
      <c r="H345" s="45">
        <v>225.0</v>
      </c>
      <c r="I345" s="45">
        <v>156.0</v>
      </c>
      <c r="J345" s="45">
        <v>69.0</v>
      </c>
      <c r="K345" s="45">
        <v>69.3</v>
      </c>
      <c r="L345" s="45">
        <v>30.7</v>
      </c>
      <c r="Q345" s="4"/>
    </row>
    <row r="346">
      <c r="A346" s="2"/>
      <c r="B346" s="38">
        <v>338.0</v>
      </c>
      <c r="C346" s="39" t="s">
        <v>32</v>
      </c>
      <c r="D346" s="39" t="s">
        <v>70</v>
      </c>
      <c r="E346" s="39" t="s">
        <v>135</v>
      </c>
      <c r="F346" s="39" t="s">
        <v>140</v>
      </c>
      <c r="G346" s="41" t="s">
        <v>23</v>
      </c>
      <c r="H346" s="42">
        <v>15.0</v>
      </c>
      <c r="I346" s="42">
        <v>7.0</v>
      </c>
      <c r="J346" s="42">
        <v>8.0</v>
      </c>
      <c r="K346" s="42">
        <v>46.7</v>
      </c>
      <c r="L346" s="42">
        <v>53.3</v>
      </c>
      <c r="Q346" s="4"/>
    </row>
    <row r="347">
      <c r="A347" s="2"/>
      <c r="B347" s="38">
        <v>339.0</v>
      </c>
      <c r="C347" s="39" t="s">
        <v>32</v>
      </c>
      <c r="D347" s="39" t="s">
        <v>70</v>
      </c>
      <c r="E347" s="39" t="s">
        <v>135</v>
      </c>
      <c r="F347" s="39" t="s">
        <v>140</v>
      </c>
      <c r="G347" s="41" t="s">
        <v>25</v>
      </c>
      <c r="H347" s="42">
        <v>210.0</v>
      </c>
      <c r="I347" s="42">
        <v>149.0</v>
      </c>
      <c r="J347" s="42">
        <v>61.0</v>
      </c>
      <c r="K347" s="42">
        <v>71.0</v>
      </c>
      <c r="L347" s="42">
        <v>29.0</v>
      </c>
      <c r="Q347" s="4"/>
    </row>
    <row r="348">
      <c r="A348" s="2"/>
      <c r="B348" s="34">
        <v>340.0</v>
      </c>
      <c r="C348" s="35" t="s">
        <v>30</v>
      </c>
      <c r="D348" s="49" t="s">
        <v>70</v>
      </c>
      <c r="E348" s="49" t="s">
        <v>141</v>
      </c>
      <c r="F348" s="50"/>
      <c r="G348" s="35" t="s">
        <v>141</v>
      </c>
      <c r="H348" s="37">
        <v>297.0</v>
      </c>
      <c r="I348" s="37">
        <v>163.0</v>
      </c>
      <c r="J348" s="37">
        <v>134.0</v>
      </c>
      <c r="K348" s="37">
        <v>54.9</v>
      </c>
      <c r="L348" s="37">
        <v>45.1</v>
      </c>
      <c r="Q348" s="4"/>
    </row>
    <row r="349">
      <c r="A349" s="2"/>
      <c r="B349" s="38">
        <v>341.0</v>
      </c>
      <c r="C349" s="39" t="s">
        <v>30</v>
      </c>
      <c r="D349" s="39" t="s">
        <v>70</v>
      </c>
      <c r="E349" s="39" t="s">
        <v>141</v>
      </c>
      <c r="F349" s="40"/>
      <c r="G349" s="41" t="s">
        <v>23</v>
      </c>
      <c r="H349" s="42">
        <v>94.0</v>
      </c>
      <c r="I349" s="42">
        <v>20.0</v>
      </c>
      <c r="J349" s="42">
        <v>74.0</v>
      </c>
      <c r="K349" s="42">
        <v>21.3</v>
      </c>
      <c r="L349" s="42">
        <v>78.7</v>
      </c>
      <c r="Q349" s="4"/>
    </row>
    <row r="350">
      <c r="A350" s="2"/>
      <c r="B350" s="38">
        <v>342.0</v>
      </c>
      <c r="C350" s="39" t="s">
        <v>30</v>
      </c>
      <c r="D350" s="39" t="s">
        <v>70</v>
      </c>
      <c r="E350" s="39" t="s">
        <v>141</v>
      </c>
      <c r="F350" s="40"/>
      <c r="G350" s="41" t="s">
        <v>25</v>
      </c>
      <c r="H350" s="42">
        <v>203.0</v>
      </c>
      <c r="I350" s="42">
        <v>143.0</v>
      </c>
      <c r="J350" s="42">
        <v>60.0</v>
      </c>
      <c r="K350" s="42">
        <v>70.4</v>
      </c>
      <c r="L350" s="42">
        <v>29.6</v>
      </c>
      <c r="Q350" s="4"/>
    </row>
    <row r="351">
      <c r="A351" s="2"/>
      <c r="B351" s="43">
        <v>343.0</v>
      </c>
      <c r="C351" s="44" t="s">
        <v>32</v>
      </c>
      <c r="D351" s="53" t="s">
        <v>70</v>
      </c>
      <c r="E351" s="53" t="s">
        <v>141</v>
      </c>
      <c r="F351" s="53" t="s">
        <v>142</v>
      </c>
      <c r="G351" s="44" t="s">
        <v>142</v>
      </c>
      <c r="H351" s="45">
        <v>156.0</v>
      </c>
      <c r="I351" s="45">
        <v>73.0</v>
      </c>
      <c r="J351" s="45">
        <v>83.0</v>
      </c>
      <c r="K351" s="45">
        <v>46.8</v>
      </c>
      <c r="L351" s="45">
        <v>53.2</v>
      </c>
      <c r="Q351" s="4"/>
    </row>
    <row r="352">
      <c r="A352" s="2"/>
      <c r="B352" s="38">
        <v>344.0</v>
      </c>
      <c r="C352" s="39" t="s">
        <v>32</v>
      </c>
      <c r="D352" s="39" t="s">
        <v>70</v>
      </c>
      <c r="E352" s="39" t="s">
        <v>141</v>
      </c>
      <c r="F352" s="39" t="s">
        <v>142</v>
      </c>
      <c r="G352" s="41" t="s">
        <v>23</v>
      </c>
      <c r="H352" s="42">
        <v>73.0</v>
      </c>
      <c r="I352" s="42">
        <v>3.0</v>
      </c>
      <c r="J352" s="42">
        <v>70.0</v>
      </c>
      <c r="K352" s="42">
        <v>4.1</v>
      </c>
      <c r="L352" s="42">
        <v>95.9</v>
      </c>
      <c r="Q352" s="4"/>
    </row>
    <row r="353">
      <c r="A353" s="2"/>
      <c r="B353" s="38">
        <v>345.0</v>
      </c>
      <c r="C353" s="39" t="s">
        <v>32</v>
      </c>
      <c r="D353" s="39" t="s">
        <v>70</v>
      </c>
      <c r="E353" s="39" t="s">
        <v>141</v>
      </c>
      <c r="F353" s="39" t="s">
        <v>142</v>
      </c>
      <c r="G353" s="41" t="s">
        <v>25</v>
      </c>
      <c r="H353" s="42">
        <v>83.0</v>
      </c>
      <c r="I353" s="42">
        <v>70.0</v>
      </c>
      <c r="J353" s="42">
        <v>13.0</v>
      </c>
      <c r="K353" s="42">
        <v>84.3</v>
      </c>
      <c r="L353" s="42">
        <v>15.7</v>
      </c>
      <c r="Q353" s="4"/>
    </row>
    <row r="354">
      <c r="A354" s="2"/>
      <c r="B354" s="43">
        <v>346.0</v>
      </c>
      <c r="C354" s="44" t="s">
        <v>32</v>
      </c>
      <c r="D354" s="53" t="s">
        <v>70</v>
      </c>
      <c r="E354" s="53" t="s">
        <v>141</v>
      </c>
      <c r="F354" s="53" t="s">
        <v>143</v>
      </c>
      <c r="G354" s="44" t="s">
        <v>143</v>
      </c>
      <c r="H354" s="45">
        <v>74.0</v>
      </c>
      <c r="I354" s="45">
        <v>62.0</v>
      </c>
      <c r="J354" s="45">
        <v>12.0</v>
      </c>
      <c r="K354" s="45">
        <v>83.8</v>
      </c>
      <c r="L354" s="45">
        <v>16.2</v>
      </c>
      <c r="Q354" s="4"/>
    </row>
    <row r="355">
      <c r="A355" s="2"/>
      <c r="B355" s="38">
        <v>347.0</v>
      </c>
      <c r="C355" s="39" t="s">
        <v>32</v>
      </c>
      <c r="D355" s="39" t="s">
        <v>70</v>
      </c>
      <c r="E355" s="39" t="s">
        <v>141</v>
      </c>
      <c r="F355" s="39" t="s">
        <v>143</v>
      </c>
      <c r="G355" s="41" t="s">
        <v>23</v>
      </c>
      <c r="H355" s="42">
        <v>21.0</v>
      </c>
      <c r="I355" s="42">
        <v>17.0</v>
      </c>
      <c r="J355" s="42">
        <v>4.0</v>
      </c>
      <c r="K355" s="42">
        <v>81.0</v>
      </c>
      <c r="L355" s="42">
        <v>19.0</v>
      </c>
      <c r="Q355" s="4"/>
    </row>
    <row r="356">
      <c r="A356" s="2"/>
      <c r="B356" s="38">
        <v>348.0</v>
      </c>
      <c r="C356" s="39" t="s">
        <v>32</v>
      </c>
      <c r="D356" s="39" t="s">
        <v>70</v>
      </c>
      <c r="E356" s="39" t="s">
        <v>141</v>
      </c>
      <c r="F356" s="39" t="s">
        <v>143</v>
      </c>
      <c r="G356" s="41" t="s">
        <v>25</v>
      </c>
      <c r="H356" s="42">
        <v>53.0</v>
      </c>
      <c r="I356" s="42">
        <v>45.0</v>
      </c>
      <c r="J356" s="42">
        <v>8.0</v>
      </c>
      <c r="K356" s="42">
        <v>84.9</v>
      </c>
      <c r="L356" s="42">
        <v>15.1</v>
      </c>
      <c r="Q356" s="4"/>
    </row>
    <row r="357">
      <c r="A357" s="2"/>
      <c r="B357" s="43">
        <v>349.0</v>
      </c>
      <c r="C357" s="44" t="s">
        <v>32</v>
      </c>
      <c r="D357" s="53" t="s">
        <v>70</v>
      </c>
      <c r="E357" s="53" t="s">
        <v>141</v>
      </c>
      <c r="F357" s="53" t="s">
        <v>144</v>
      </c>
      <c r="G357" s="44" t="s">
        <v>144</v>
      </c>
      <c r="H357" s="45">
        <v>50.0</v>
      </c>
      <c r="I357" s="45">
        <v>25.0</v>
      </c>
      <c r="J357" s="45">
        <v>25.0</v>
      </c>
      <c r="K357" s="45">
        <v>50.0</v>
      </c>
      <c r="L357" s="45">
        <v>50.0</v>
      </c>
      <c r="Q357" s="4"/>
    </row>
    <row r="358">
      <c r="A358" s="2"/>
      <c r="B358" s="38">
        <v>350.0</v>
      </c>
      <c r="C358" s="39" t="s">
        <v>32</v>
      </c>
      <c r="D358" s="39" t="s">
        <v>70</v>
      </c>
      <c r="E358" s="39" t="s">
        <v>141</v>
      </c>
      <c r="F358" s="39" t="s">
        <v>144</v>
      </c>
      <c r="G358" s="41" t="s">
        <v>23</v>
      </c>
      <c r="H358" s="42">
        <v>0.0</v>
      </c>
      <c r="I358" s="42">
        <v>0.0</v>
      </c>
      <c r="J358" s="42">
        <v>0.0</v>
      </c>
      <c r="K358" s="42">
        <v>0.0</v>
      </c>
      <c r="L358" s="42">
        <v>0.0</v>
      </c>
      <c r="Q358" s="4"/>
    </row>
    <row r="359">
      <c r="A359" s="2"/>
      <c r="B359" s="38">
        <v>351.0</v>
      </c>
      <c r="C359" s="39" t="s">
        <v>32</v>
      </c>
      <c r="D359" s="39" t="s">
        <v>70</v>
      </c>
      <c r="E359" s="39" t="s">
        <v>141</v>
      </c>
      <c r="F359" s="39" t="s">
        <v>144</v>
      </c>
      <c r="G359" s="41" t="s">
        <v>25</v>
      </c>
      <c r="H359" s="42">
        <v>50.0</v>
      </c>
      <c r="I359" s="42">
        <v>25.0</v>
      </c>
      <c r="J359" s="42">
        <v>25.0</v>
      </c>
      <c r="K359" s="42">
        <v>50.0</v>
      </c>
      <c r="L359" s="42">
        <v>50.0</v>
      </c>
      <c r="Q359" s="4"/>
    </row>
    <row r="360">
      <c r="A360" s="2"/>
      <c r="B360" s="43">
        <v>352.0</v>
      </c>
      <c r="C360" s="44" t="s">
        <v>32</v>
      </c>
      <c r="D360" s="53" t="s">
        <v>70</v>
      </c>
      <c r="E360" s="53" t="s">
        <v>141</v>
      </c>
      <c r="F360" s="53" t="s">
        <v>145</v>
      </c>
      <c r="G360" s="44" t="s">
        <v>145</v>
      </c>
      <c r="H360" s="45">
        <v>17.0</v>
      </c>
      <c r="I360" s="45">
        <v>3.0</v>
      </c>
      <c r="J360" s="45">
        <v>14.0</v>
      </c>
      <c r="K360" s="45">
        <v>17.6</v>
      </c>
      <c r="L360" s="45">
        <v>82.4</v>
      </c>
      <c r="Q360" s="4"/>
    </row>
    <row r="361">
      <c r="A361" s="2"/>
      <c r="B361" s="38">
        <v>353.0</v>
      </c>
      <c r="C361" s="39" t="s">
        <v>32</v>
      </c>
      <c r="D361" s="39" t="s">
        <v>70</v>
      </c>
      <c r="E361" s="39" t="s">
        <v>141</v>
      </c>
      <c r="F361" s="39" t="s">
        <v>145</v>
      </c>
      <c r="G361" s="41" t="s">
        <v>23</v>
      </c>
      <c r="H361" s="46"/>
      <c r="I361" s="46"/>
      <c r="J361" s="46"/>
      <c r="K361" s="46"/>
      <c r="L361" s="46"/>
      <c r="Q361" s="4"/>
    </row>
    <row r="362">
      <c r="A362" s="2"/>
      <c r="B362" s="38">
        <v>354.0</v>
      </c>
      <c r="C362" s="39" t="s">
        <v>32</v>
      </c>
      <c r="D362" s="39" t="s">
        <v>70</v>
      </c>
      <c r="E362" s="39" t="s">
        <v>141</v>
      </c>
      <c r="F362" s="39" t="s">
        <v>145</v>
      </c>
      <c r="G362" s="41" t="s">
        <v>25</v>
      </c>
      <c r="H362" s="42">
        <v>17.0</v>
      </c>
      <c r="I362" s="42">
        <v>3.0</v>
      </c>
      <c r="J362" s="42">
        <v>14.0</v>
      </c>
      <c r="K362" s="42">
        <v>17.6</v>
      </c>
      <c r="L362" s="42">
        <v>82.4</v>
      </c>
      <c r="Q362" s="4"/>
    </row>
    <row r="363">
      <c r="A363" s="2"/>
      <c r="B363" s="34">
        <v>355.0</v>
      </c>
      <c r="C363" s="35" t="s">
        <v>30</v>
      </c>
      <c r="D363" s="49" t="s">
        <v>70</v>
      </c>
      <c r="E363" s="49" t="s">
        <v>146</v>
      </c>
      <c r="F363" s="50"/>
      <c r="G363" s="35" t="s">
        <v>146</v>
      </c>
      <c r="H363" s="37">
        <v>240.0</v>
      </c>
      <c r="I363" s="37">
        <v>74.0</v>
      </c>
      <c r="J363" s="37">
        <v>166.0</v>
      </c>
      <c r="K363" s="37">
        <v>30.8</v>
      </c>
      <c r="L363" s="37">
        <v>69.2</v>
      </c>
      <c r="Q363" s="4"/>
    </row>
    <row r="364">
      <c r="A364" s="2"/>
      <c r="B364" s="38">
        <v>356.0</v>
      </c>
      <c r="C364" s="39" t="s">
        <v>30</v>
      </c>
      <c r="D364" s="39" t="s">
        <v>70</v>
      </c>
      <c r="E364" s="39" t="s">
        <v>146</v>
      </c>
      <c r="F364" s="40"/>
      <c r="G364" s="41" t="s">
        <v>23</v>
      </c>
      <c r="H364" s="42">
        <v>95.0</v>
      </c>
      <c r="I364" s="42">
        <v>25.0</v>
      </c>
      <c r="J364" s="42">
        <v>70.0</v>
      </c>
      <c r="K364" s="42">
        <v>26.3</v>
      </c>
      <c r="L364" s="42">
        <v>73.7</v>
      </c>
      <c r="Q364" s="4"/>
    </row>
    <row r="365">
      <c r="A365" s="2"/>
      <c r="B365" s="38">
        <v>357.0</v>
      </c>
      <c r="C365" s="39" t="s">
        <v>30</v>
      </c>
      <c r="D365" s="39" t="s">
        <v>70</v>
      </c>
      <c r="E365" s="39" t="s">
        <v>146</v>
      </c>
      <c r="F365" s="40"/>
      <c r="G365" s="41" t="s">
        <v>25</v>
      </c>
      <c r="H365" s="42">
        <v>145.0</v>
      </c>
      <c r="I365" s="42">
        <v>49.0</v>
      </c>
      <c r="J365" s="42">
        <v>96.0</v>
      </c>
      <c r="K365" s="42">
        <v>33.8</v>
      </c>
      <c r="L365" s="42">
        <v>66.2</v>
      </c>
      <c r="Q365" s="4"/>
    </row>
    <row r="366">
      <c r="A366" s="2"/>
      <c r="B366" s="43">
        <v>358.0</v>
      </c>
      <c r="C366" s="44" t="s">
        <v>32</v>
      </c>
      <c r="D366" s="53" t="s">
        <v>70</v>
      </c>
      <c r="E366" s="53" t="s">
        <v>146</v>
      </c>
      <c r="F366" s="53" t="s">
        <v>147</v>
      </c>
      <c r="G366" s="44" t="s">
        <v>147</v>
      </c>
      <c r="H366" s="45">
        <v>66.0</v>
      </c>
      <c r="I366" s="45">
        <v>20.0</v>
      </c>
      <c r="J366" s="45">
        <v>46.0</v>
      </c>
      <c r="K366" s="45">
        <v>30.3</v>
      </c>
      <c r="L366" s="45">
        <v>69.7</v>
      </c>
      <c r="Q366" s="4"/>
    </row>
    <row r="367">
      <c r="A367" s="2"/>
      <c r="B367" s="38">
        <v>359.0</v>
      </c>
      <c r="C367" s="39" t="s">
        <v>32</v>
      </c>
      <c r="D367" s="39" t="s">
        <v>70</v>
      </c>
      <c r="E367" s="39" t="s">
        <v>146</v>
      </c>
      <c r="F367" s="39" t="s">
        <v>147</v>
      </c>
      <c r="G367" s="41" t="s">
        <v>23</v>
      </c>
      <c r="H367" s="42">
        <v>28.0</v>
      </c>
      <c r="I367" s="42">
        <v>3.0</v>
      </c>
      <c r="J367" s="42">
        <v>25.0</v>
      </c>
      <c r="K367" s="42">
        <v>10.7</v>
      </c>
      <c r="L367" s="42">
        <v>89.3</v>
      </c>
      <c r="Q367" s="4"/>
    </row>
    <row r="368">
      <c r="A368" s="2"/>
      <c r="B368" s="38">
        <v>360.0</v>
      </c>
      <c r="C368" s="39" t="s">
        <v>32</v>
      </c>
      <c r="D368" s="39" t="s">
        <v>70</v>
      </c>
      <c r="E368" s="39" t="s">
        <v>146</v>
      </c>
      <c r="F368" s="39" t="s">
        <v>147</v>
      </c>
      <c r="G368" s="41" t="s">
        <v>25</v>
      </c>
      <c r="H368" s="42">
        <v>38.0</v>
      </c>
      <c r="I368" s="42">
        <v>17.0</v>
      </c>
      <c r="J368" s="42">
        <v>21.0</v>
      </c>
      <c r="K368" s="42">
        <v>44.7</v>
      </c>
      <c r="L368" s="42">
        <v>55.3</v>
      </c>
      <c r="Q368" s="4"/>
    </row>
    <row r="369">
      <c r="A369" s="2"/>
      <c r="B369" s="43">
        <v>361.0</v>
      </c>
      <c r="C369" s="44" t="s">
        <v>32</v>
      </c>
      <c r="D369" s="53" t="s">
        <v>70</v>
      </c>
      <c r="E369" s="53" t="s">
        <v>146</v>
      </c>
      <c r="F369" s="53" t="s">
        <v>148</v>
      </c>
      <c r="G369" s="44" t="s">
        <v>148</v>
      </c>
      <c r="H369" s="45">
        <v>15.0</v>
      </c>
      <c r="I369" s="45">
        <v>5.0</v>
      </c>
      <c r="J369" s="45">
        <v>10.0</v>
      </c>
      <c r="K369" s="45">
        <v>33.3</v>
      </c>
      <c r="L369" s="45">
        <v>66.7</v>
      </c>
      <c r="Q369" s="4"/>
    </row>
    <row r="370">
      <c r="A370" s="2"/>
      <c r="B370" s="38">
        <v>362.0</v>
      </c>
      <c r="C370" s="39" t="s">
        <v>32</v>
      </c>
      <c r="D370" s="39" t="s">
        <v>70</v>
      </c>
      <c r="E370" s="39" t="s">
        <v>146</v>
      </c>
      <c r="F370" s="39" t="s">
        <v>148</v>
      </c>
      <c r="G370" s="41" t="s">
        <v>23</v>
      </c>
      <c r="H370" s="46"/>
      <c r="I370" s="46"/>
      <c r="J370" s="46"/>
      <c r="K370" s="46"/>
      <c r="L370" s="46"/>
      <c r="Q370" s="4"/>
    </row>
    <row r="371">
      <c r="A371" s="2"/>
      <c r="B371" s="38">
        <v>363.0</v>
      </c>
      <c r="C371" s="39" t="s">
        <v>32</v>
      </c>
      <c r="D371" s="39" t="s">
        <v>70</v>
      </c>
      <c r="E371" s="39" t="s">
        <v>146</v>
      </c>
      <c r="F371" s="39" t="s">
        <v>148</v>
      </c>
      <c r="G371" s="41" t="s">
        <v>25</v>
      </c>
      <c r="H371" s="42">
        <v>15.0</v>
      </c>
      <c r="I371" s="42">
        <v>5.0</v>
      </c>
      <c r="J371" s="42">
        <v>10.0</v>
      </c>
      <c r="K371" s="42">
        <v>33.3</v>
      </c>
      <c r="L371" s="42">
        <v>66.7</v>
      </c>
      <c r="Q371" s="4"/>
    </row>
    <row r="372">
      <c r="A372" s="2"/>
      <c r="B372" s="43">
        <v>364.0</v>
      </c>
      <c r="C372" s="44" t="s">
        <v>32</v>
      </c>
      <c r="D372" s="53" t="s">
        <v>70</v>
      </c>
      <c r="E372" s="53" t="s">
        <v>146</v>
      </c>
      <c r="F372" s="53" t="s">
        <v>149</v>
      </c>
      <c r="G372" s="44" t="s">
        <v>149</v>
      </c>
      <c r="H372" s="45">
        <v>8.0</v>
      </c>
      <c r="I372" s="45">
        <v>6.0</v>
      </c>
      <c r="J372" s="45">
        <v>2.0</v>
      </c>
      <c r="K372" s="45">
        <v>75.0</v>
      </c>
      <c r="L372" s="45">
        <v>25.0</v>
      </c>
      <c r="Q372" s="4"/>
    </row>
    <row r="373">
      <c r="A373" s="2"/>
      <c r="B373" s="38">
        <v>365.0</v>
      </c>
      <c r="C373" s="39" t="s">
        <v>32</v>
      </c>
      <c r="D373" s="39" t="s">
        <v>70</v>
      </c>
      <c r="E373" s="39" t="s">
        <v>146</v>
      </c>
      <c r="F373" s="39" t="s">
        <v>149</v>
      </c>
      <c r="G373" s="41" t="s">
        <v>23</v>
      </c>
      <c r="H373" s="46"/>
      <c r="I373" s="46"/>
      <c r="J373" s="46"/>
      <c r="K373" s="46"/>
      <c r="L373" s="46"/>
      <c r="Q373" s="4"/>
    </row>
    <row r="374">
      <c r="A374" s="2"/>
      <c r="B374" s="38">
        <v>366.0</v>
      </c>
      <c r="C374" s="39" t="s">
        <v>32</v>
      </c>
      <c r="D374" s="39" t="s">
        <v>70</v>
      </c>
      <c r="E374" s="39" t="s">
        <v>146</v>
      </c>
      <c r="F374" s="39" t="s">
        <v>149</v>
      </c>
      <c r="G374" s="41" t="s">
        <v>25</v>
      </c>
      <c r="H374" s="42">
        <v>8.0</v>
      </c>
      <c r="I374" s="42">
        <v>6.0</v>
      </c>
      <c r="J374" s="42">
        <v>2.0</v>
      </c>
      <c r="K374" s="42">
        <v>75.0</v>
      </c>
      <c r="L374" s="42">
        <v>25.0</v>
      </c>
      <c r="Q374" s="4"/>
    </row>
    <row r="375">
      <c r="A375" s="2"/>
      <c r="B375" s="43">
        <v>367.0</v>
      </c>
      <c r="C375" s="44" t="s">
        <v>32</v>
      </c>
      <c r="D375" s="53" t="s">
        <v>70</v>
      </c>
      <c r="E375" s="53" t="s">
        <v>146</v>
      </c>
      <c r="F375" s="53" t="s">
        <v>150</v>
      </c>
      <c r="G375" s="44" t="s">
        <v>150</v>
      </c>
      <c r="H375" s="45">
        <v>46.0</v>
      </c>
      <c r="I375" s="45">
        <v>15.0</v>
      </c>
      <c r="J375" s="45">
        <v>31.0</v>
      </c>
      <c r="K375" s="45">
        <v>32.6</v>
      </c>
      <c r="L375" s="45">
        <v>67.4</v>
      </c>
      <c r="Q375" s="4"/>
    </row>
    <row r="376">
      <c r="A376" s="2"/>
      <c r="B376" s="38">
        <v>368.0</v>
      </c>
      <c r="C376" s="39" t="s">
        <v>32</v>
      </c>
      <c r="D376" s="39" t="s">
        <v>70</v>
      </c>
      <c r="E376" s="39" t="s">
        <v>146</v>
      </c>
      <c r="F376" s="39" t="s">
        <v>150</v>
      </c>
      <c r="G376" s="41" t="s">
        <v>23</v>
      </c>
      <c r="H376" s="46"/>
      <c r="I376" s="46"/>
      <c r="J376" s="46"/>
      <c r="K376" s="46"/>
      <c r="L376" s="46"/>
      <c r="Q376" s="4"/>
    </row>
    <row r="377">
      <c r="A377" s="2"/>
      <c r="B377" s="38">
        <v>369.0</v>
      </c>
      <c r="C377" s="39" t="s">
        <v>32</v>
      </c>
      <c r="D377" s="39" t="s">
        <v>70</v>
      </c>
      <c r="E377" s="39" t="s">
        <v>146</v>
      </c>
      <c r="F377" s="39" t="s">
        <v>150</v>
      </c>
      <c r="G377" s="41" t="s">
        <v>25</v>
      </c>
      <c r="H377" s="42">
        <v>46.0</v>
      </c>
      <c r="I377" s="42">
        <v>15.0</v>
      </c>
      <c r="J377" s="42">
        <v>31.0</v>
      </c>
      <c r="K377" s="42">
        <v>32.6</v>
      </c>
      <c r="L377" s="42">
        <v>67.4</v>
      </c>
      <c r="Q377" s="4"/>
    </row>
    <row r="378">
      <c r="A378" s="2"/>
      <c r="B378" s="43">
        <v>370.0</v>
      </c>
      <c r="C378" s="44" t="s">
        <v>32</v>
      </c>
      <c r="D378" s="53" t="s">
        <v>70</v>
      </c>
      <c r="E378" s="53" t="s">
        <v>146</v>
      </c>
      <c r="F378" s="53" t="s">
        <v>151</v>
      </c>
      <c r="G378" s="44" t="s">
        <v>151</v>
      </c>
      <c r="H378" s="45">
        <v>89.0</v>
      </c>
      <c r="I378" s="45">
        <v>17.0</v>
      </c>
      <c r="J378" s="45">
        <v>72.0</v>
      </c>
      <c r="K378" s="45">
        <v>19.1</v>
      </c>
      <c r="L378" s="45">
        <v>80.9</v>
      </c>
      <c r="Q378" s="4"/>
    </row>
    <row r="379">
      <c r="A379" s="2"/>
      <c r="B379" s="38">
        <v>371.0</v>
      </c>
      <c r="C379" s="39" t="s">
        <v>32</v>
      </c>
      <c r="D379" s="39" t="s">
        <v>70</v>
      </c>
      <c r="E379" s="39" t="s">
        <v>146</v>
      </c>
      <c r="F379" s="39" t="s">
        <v>151</v>
      </c>
      <c r="G379" s="41" t="s">
        <v>23</v>
      </c>
      <c r="H379" s="42">
        <v>55.0</v>
      </c>
      <c r="I379" s="42">
        <v>15.0</v>
      </c>
      <c r="J379" s="42">
        <v>40.0</v>
      </c>
      <c r="K379" s="42">
        <v>27.3</v>
      </c>
      <c r="L379" s="42">
        <v>72.7</v>
      </c>
      <c r="Q379" s="4"/>
    </row>
    <row r="380">
      <c r="A380" s="2"/>
      <c r="B380" s="38">
        <v>372.0</v>
      </c>
      <c r="C380" s="39" t="s">
        <v>32</v>
      </c>
      <c r="D380" s="39" t="s">
        <v>70</v>
      </c>
      <c r="E380" s="39" t="s">
        <v>146</v>
      </c>
      <c r="F380" s="39" t="s">
        <v>151</v>
      </c>
      <c r="G380" s="41" t="s">
        <v>25</v>
      </c>
      <c r="H380" s="42">
        <v>34.0</v>
      </c>
      <c r="I380" s="42">
        <v>2.0</v>
      </c>
      <c r="J380" s="42">
        <v>32.0</v>
      </c>
      <c r="K380" s="42">
        <v>5.9</v>
      </c>
      <c r="L380" s="42">
        <v>94.1</v>
      </c>
      <c r="Q380" s="4"/>
    </row>
    <row r="381">
      <c r="A381" s="2"/>
      <c r="B381" s="43">
        <v>373.0</v>
      </c>
      <c r="C381" s="44" t="s">
        <v>32</v>
      </c>
      <c r="D381" s="53" t="s">
        <v>70</v>
      </c>
      <c r="E381" s="53" t="s">
        <v>146</v>
      </c>
      <c r="F381" s="53" t="s">
        <v>152</v>
      </c>
      <c r="G381" s="44" t="s">
        <v>152</v>
      </c>
      <c r="H381" s="45">
        <v>7.0</v>
      </c>
      <c r="I381" s="45">
        <v>3.0</v>
      </c>
      <c r="J381" s="45">
        <v>4.0</v>
      </c>
      <c r="K381" s="45">
        <v>42.9</v>
      </c>
      <c r="L381" s="45">
        <v>57.1</v>
      </c>
      <c r="Q381" s="4"/>
    </row>
    <row r="382">
      <c r="A382" s="2"/>
      <c r="B382" s="38">
        <v>374.0</v>
      </c>
      <c r="C382" s="39" t="s">
        <v>32</v>
      </c>
      <c r="D382" s="39" t="s">
        <v>70</v>
      </c>
      <c r="E382" s="39" t="s">
        <v>146</v>
      </c>
      <c r="F382" s="39" t="s">
        <v>152</v>
      </c>
      <c r="G382" s="41" t="s">
        <v>23</v>
      </c>
      <c r="H382" s="42">
        <v>4.0</v>
      </c>
      <c r="I382" s="42">
        <v>0.0</v>
      </c>
      <c r="J382" s="42">
        <v>4.0</v>
      </c>
      <c r="K382" s="42">
        <v>0.0</v>
      </c>
      <c r="L382" s="42">
        <v>100.0</v>
      </c>
      <c r="Q382" s="4"/>
    </row>
    <row r="383">
      <c r="A383" s="2"/>
      <c r="B383" s="38">
        <v>375.0</v>
      </c>
      <c r="C383" s="39" t="s">
        <v>32</v>
      </c>
      <c r="D383" s="39" t="s">
        <v>70</v>
      </c>
      <c r="E383" s="39" t="s">
        <v>146</v>
      </c>
      <c r="F383" s="39" t="s">
        <v>152</v>
      </c>
      <c r="G383" s="41" t="s">
        <v>25</v>
      </c>
      <c r="H383" s="42">
        <v>3.0</v>
      </c>
      <c r="I383" s="42">
        <v>3.0</v>
      </c>
      <c r="J383" s="42">
        <v>0.0</v>
      </c>
      <c r="K383" s="42">
        <v>100.0</v>
      </c>
      <c r="L383" s="42">
        <v>0.0</v>
      </c>
      <c r="Q383" s="4"/>
    </row>
    <row r="384">
      <c r="A384" s="2"/>
      <c r="B384" s="43">
        <v>376.0</v>
      </c>
      <c r="C384" s="44" t="s">
        <v>32</v>
      </c>
      <c r="D384" s="53" t="s">
        <v>70</v>
      </c>
      <c r="E384" s="53" t="s">
        <v>146</v>
      </c>
      <c r="F384" s="53" t="s">
        <v>153</v>
      </c>
      <c r="G384" s="44" t="s">
        <v>153</v>
      </c>
      <c r="H384" s="45">
        <v>9.0</v>
      </c>
      <c r="I384" s="45">
        <v>8.0</v>
      </c>
      <c r="J384" s="45">
        <v>1.0</v>
      </c>
      <c r="K384" s="45">
        <v>88.9</v>
      </c>
      <c r="L384" s="45">
        <v>11.1</v>
      </c>
      <c r="Q384" s="4"/>
    </row>
    <row r="385">
      <c r="A385" s="2"/>
      <c r="B385" s="38">
        <v>377.0</v>
      </c>
      <c r="C385" s="39" t="s">
        <v>32</v>
      </c>
      <c r="D385" s="39" t="s">
        <v>70</v>
      </c>
      <c r="E385" s="39" t="s">
        <v>146</v>
      </c>
      <c r="F385" s="39" t="s">
        <v>153</v>
      </c>
      <c r="G385" s="41" t="s">
        <v>23</v>
      </c>
      <c r="H385" s="42">
        <v>8.0</v>
      </c>
      <c r="I385" s="42">
        <v>7.0</v>
      </c>
      <c r="J385" s="42">
        <v>1.0</v>
      </c>
      <c r="K385" s="42">
        <v>87.5</v>
      </c>
      <c r="L385" s="42">
        <v>12.5</v>
      </c>
      <c r="Q385" s="4"/>
    </row>
    <row r="386">
      <c r="A386" s="2"/>
      <c r="B386" s="38">
        <v>378.0</v>
      </c>
      <c r="C386" s="39" t="s">
        <v>32</v>
      </c>
      <c r="D386" s="39" t="s">
        <v>70</v>
      </c>
      <c r="E386" s="39" t="s">
        <v>146</v>
      </c>
      <c r="F386" s="39" t="s">
        <v>153</v>
      </c>
      <c r="G386" s="41" t="s">
        <v>25</v>
      </c>
      <c r="H386" s="42">
        <v>1.0</v>
      </c>
      <c r="I386" s="42">
        <v>1.0</v>
      </c>
      <c r="J386" s="42">
        <v>0.0</v>
      </c>
      <c r="K386" s="42">
        <v>100.0</v>
      </c>
      <c r="L386" s="42">
        <v>0.0</v>
      </c>
      <c r="Q386" s="4"/>
    </row>
    <row r="387">
      <c r="A387" s="2"/>
      <c r="B387" s="34">
        <v>379.0</v>
      </c>
      <c r="C387" s="35" t="s">
        <v>30</v>
      </c>
      <c r="D387" s="49" t="s">
        <v>70</v>
      </c>
      <c r="E387" s="49" t="s">
        <v>154</v>
      </c>
      <c r="F387" s="50"/>
      <c r="G387" s="35" t="s">
        <v>154</v>
      </c>
      <c r="H387" s="37">
        <v>473.0</v>
      </c>
      <c r="I387" s="37">
        <v>53.0</v>
      </c>
      <c r="J387" s="37">
        <v>420.0</v>
      </c>
      <c r="K387" s="37">
        <v>11.2</v>
      </c>
      <c r="L387" s="37">
        <v>88.8</v>
      </c>
      <c r="Q387" s="4"/>
    </row>
    <row r="388">
      <c r="A388" s="2"/>
      <c r="B388" s="38">
        <v>380.0</v>
      </c>
      <c r="C388" s="39" t="s">
        <v>30</v>
      </c>
      <c r="D388" s="39" t="s">
        <v>70</v>
      </c>
      <c r="E388" s="39" t="s">
        <v>154</v>
      </c>
      <c r="F388" s="40"/>
      <c r="G388" s="41" t="s">
        <v>23</v>
      </c>
      <c r="H388" s="42">
        <v>5.0</v>
      </c>
      <c r="I388" s="42">
        <v>0.0</v>
      </c>
      <c r="J388" s="42">
        <v>5.0</v>
      </c>
      <c r="K388" s="42">
        <v>0.0</v>
      </c>
      <c r="L388" s="42">
        <v>100.0</v>
      </c>
      <c r="Q388" s="4"/>
    </row>
    <row r="389">
      <c r="A389" s="2"/>
      <c r="B389" s="38">
        <v>381.0</v>
      </c>
      <c r="C389" s="39" t="s">
        <v>30</v>
      </c>
      <c r="D389" s="39" t="s">
        <v>70</v>
      </c>
      <c r="E389" s="39" t="s">
        <v>154</v>
      </c>
      <c r="F389" s="40"/>
      <c r="G389" s="41" t="s">
        <v>25</v>
      </c>
      <c r="H389" s="42">
        <v>468.0</v>
      </c>
      <c r="I389" s="42">
        <v>53.0</v>
      </c>
      <c r="J389" s="42">
        <v>415.0</v>
      </c>
      <c r="K389" s="42">
        <v>11.3</v>
      </c>
      <c r="L389" s="42">
        <v>88.7</v>
      </c>
      <c r="Q389" s="4"/>
    </row>
    <row r="390">
      <c r="A390" s="2"/>
      <c r="B390" s="43">
        <v>382.0</v>
      </c>
      <c r="C390" s="44" t="s">
        <v>32</v>
      </c>
      <c r="D390" s="53" t="s">
        <v>70</v>
      </c>
      <c r="E390" s="53" t="s">
        <v>154</v>
      </c>
      <c r="F390" s="53" t="s">
        <v>155</v>
      </c>
      <c r="G390" s="44" t="s">
        <v>155</v>
      </c>
      <c r="H390" s="45">
        <v>132.0</v>
      </c>
      <c r="I390" s="45">
        <v>36.0</v>
      </c>
      <c r="J390" s="45">
        <v>96.0</v>
      </c>
      <c r="K390" s="45">
        <v>27.3</v>
      </c>
      <c r="L390" s="45">
        <v>72.7</v>
      </c>
      <c r="Q390" s="4"/>
    </row>
    <row r="391">
      <c r="A391" s="2"/>
      <c r="B391" s="38">
        <v>383.0</v>
      </c>
      <c r="C391" s="39" t="s">
        <v>32</v>
      </c>
      <c r="D391" s="39" t="s">
        <v>70</v>
      </c>
      <c r="E391" s="39" t="s">
        <v>154</v>
      </c>
      <c r="F391" s="39" t="s">
        <v>155</v>
      </c>
      <c r="G391" s="41" t="s">
        <v>23</v>
      </c>
      <c r="H391" s="42">
        <v>2.0</v>
      </c>
      <c r="I391" s="42">
        <v>0.0</v>
      </c>
      <c r="J391" s="42">
        <v>2.0</v>
      </c>
      <c r="K391" s="42">
        <v>0.0</v>
      </c>
      <c r="L391" s="42">
        <v>100.0</v>
      </c>
      <c r="Q391" s="4"/>
    </row>
    <row r="392">
      <c r="A392" s="2"/>
      <c r="B392" s="38">
        <v>384.0</v>
      </c>
      <c r="C392" s="39" t="s">
        <v>32</v>
      </c>
      <c r="D392" s="39" t="s">
        <v>70</v>
      </c>
      <c r="E392" s="39" t="s">
        <v>154</v>
      </c>
      <c r="F392" s="39" t="s">
        <v>155</v>
      </c>
      <c r="G392" s="41" t="s">
        <v>25</v>
      </c>
      <c r="H392" s="42">
        <v>130.0</v>
      </c>
      <c r="I392" s="42">
        <v>36.0</v>
      </c>
      <c r="J392" s="42">
        <v>94.0</v>
      </c>
      <c r="K392" s="42">
        <v>27.7</v>
      </c>
      <c r="L392" s="42">
        <v>72.3</v>
      </c>
      <c r="Q392" s="4"/>
    </row>
    <row r="393">
      <c r="A393" s="2"/>
      <c r="B393" s="43">
        <v>385.0</v>
      </c>
      <c r="C393" s="44" t="s">
        <v>32</v>
      </c>
      <c r="D393" s="53" t="s">
        <v>70</v>
      </c>
      <c r="E393" s="53" t="s">
        <v>154</v>
      </c>
      <c r="F393" s="53" t="s">
        <v>156</v>
      </c>
      <c r="G393" s="44" t="s">
        <v>156</v>
      </c>
      <c r="H393" s="45">
        <v>341.0</v>
      </c>
      <c r="I393" s="45">
        <v>17.0</v>
      </c>
      <c r="J393" s="45">
        <v>324.0</v>
      </c>
      <c r="K393" s="45">
        <v>5.0</v>
      </c>
      <c r="L393" s="45">
        <v>95.0</v>
      </c>
      <c r="Q393" s="4"/>
    </row>
    <row r="394">
      <c r="A394" s="2"/>
      <c r="B394" s="38">
        <v>386.0</v>
      </c>
      <c r="C394" s="39" t="s">
        <v>32</v>
      </c>
      <c r="D394" s="39" t="s">
        <v>70</v>
      </c>
      <c r="E394" s="39" t="s">
        <v>154</v>
      </c>
      <c r="F394" s="39" t="s">
        <v>156</v>
      </c>
      <c r="G394" s="41" t="s">
        <v>23</v>
      </c>
      <c r="H394" s="42">
        <v>3.0</v>
      </c>
      <c r="I394" s="42">
        <v>0.0</v>
      </c>
      <c r="J394" s="42">
        <v>3.0</v>
      </c>
      <c r="K394" s="42">
        <v>0.0</v>
      </c>
      <c r="L394" s="42">
        <v>100.0</v>
      </c>
      <c r="Q394" s="4"/>
    </row>
    <row r="395">
      <c r="A395" s="2"/>
      <c r="B395" s="38">
        <v>387.0</v>
      </c>
      <c r="C395" s="39" t="s">
        <v>32</v>
      </c>
      <c r="D395" s="39" t="s">
        <v>70</v>
      </c>
      <c r="E395" s="39" t="s">
        <v>154</v>
      </c>
      <c r="F395" s="39" t="s">
        <v>156</v>
      </c>
      <c r="G395" s="41" t="s">
        <v>25</v>
      </c>
      <c r="H395" s="42">
        <v>338.0</v>
      </c>
      <c r="I395" s="42">
        <v>17.0</v>
      </c>
      <c r="J395" s="42">
        <v>321.0</v>
      </c>
      <c r="K395" s="42">
        <v>5.0</v>
      </c>
      <c r="L395" s="42">
        <v>95.0</v>
      </c>
      <c r="Q395" s="4"/>
    </row>
    <row r="396">
      <c r="A396" s="2"/>
      <c r="B396" s="34">
        <v>388.0</v>
      </c>
      <c r="C396" s="35" t="s">
        <v>30</v>
      </c>
      <c r="D396" s="49" t="s">
        <v>70</v>
      </c>
      <c r="E396" s="49" t="s">
        <v>157</v>
      </c>
      <c r="F396" s="50"/>
      <c r="G396" s="35" t="s">
        <v>157</v>
      </c>
      <c r="H396" s="37">
        <v>563.0</v>
      </c>
      <c r="I396" s="37">
        <v>58.0</v>
      </c>
      <c r="J396" s="37">
        <v>505.0</v>
      </c>
      <c r="K396" s="37">
        <v>10.3</v>
      </c>
      <c r="L396" s="37">
        <v>89.7</v>
      </c>
      <c r="Q396" s="4"/>
    </row>
    <row r="397">
      <c r="A397" s="2"/>
      <c r="B397" s="38">
        <v>389.0</v>
      </c>
      <c r="C397" s="39" t="s">
        <v>30</v>
      </c>
      <c r="D397" s="39" t="s">
        <v>70</v>
      </c>
      <c r="E397" s="39" t="s">
        <v>157</v>
      </c>
      <c r="F397" s="40"/>
      <c r="G397" s="41" t="s">
        <v>23</v>
      </c>
      <c r="H397" s="42">
        <v>138.0</v>
      </c>
      <c r="I397" s="42">
        <v>19.0</v>
      </c>
      <c r="J397" s="42">
        <v>119.0</v>
      </c>
      <c r="K397" s="42">
        <v>13.8</v>
      </c>
      <c r="L397" s="42">
        <v>86.2</v>
      </c>
      <c r="Q397" s="4"/>
    </row>
    <row r="398">
      <c r="A398" s="2"/>
      <c r="B398" s="38">
        <v>390.0</v>
      </c>
      <c r="C398" s="39" t="s">
        <v>30</v>
      </c>
      <c r="D398" s="39" t="s">
        <v>70</v>
      </c>
      <c r="E398" s="39" t="s">
        <v>157</v>
      </c>
      <c r="F398" s="40"/>
      <c r="G398" s="41" t="s">
        <v>25</v>
      </c>
      <c r="H398" s="42">
        <v>425.0</v>
      </c>
      <c r="I398" s="42">
        <v>39.0</v>
      </c>
      <c r="J398" s="42">
        <v>386.0</v>
      </c>
      <c r="K398" s="42">
        <v>9.2</v>
      </c>
      <c r="L398" s="42">
        <v>90.8</v>
      </c>
      <c r="Q398" s="4"/>
    </row>
    <row r="399">
      <c r="A399" s="2"/>
      <c r="B399" s="43">
        <v>391.0</v>
      </c>
      <c r="C399" s="44" t="s">
        <v>32</v>
      </c>
      <c r="D399" s="53" t="s">
        <v>70</v>
      </c>
      <c r="E399" s="53" t="s">
        <v>157</v>
      </c>
      <c r="F399" s="53" t="s">
        <v>158</v>
      </c>
      <c r="G399" s="44" t="s">
        <v>158</v>
      </c>
      <c r="H399" s="45">
        <v>416.0</v>
      </c>
      <c r="I399" s="45">
        <v>46.0</v>
      </c>
      <c r="J399" s="45">
        <v>370.0</v>
      </c>
      <c r="K399" s="45">
        <v>11.1</v>
      </c>
      <c r="L399" s="45">
        <v>88.9</v>
      </c>
      <c r="Q399" s="4"/>
    </row>
    <row r="400">
      <c r="A400" s="2"/>
      <c r="B400" s="38">
        <v>392.0</v>
      </c>
      <c r="C400" s="39" t="s">
        <v>32</v>
      </c>
      <c r="D400" s="39" t="s">
        <v>70</v>
      </c>
      <c r="E400" s="39" t="s">
        <v>157</v>
      </c>
      <c r="F400" s="39" t="s">
        <v>158</v>
      </c>
      <c r="G400" s="41" t="s">
        <v>23</v>
      </c>
      <c r="H400" s="42">
        <v>57.0</v>
      </c>
      <c r="I400" s="42">
        <v>18.0</v>
      </c>
      <c r="J400" s="42">
        <v>39.0</v>
      </c>
      <c r="K400" s="42">
        <v>31.6</v>
      </c>
      <c r="L400" s="42">
        <v>68.4</v>
      </c>
      <c r="Q400" s="4"/>
    </row>
    <row r="401">
      <c r="A401" s="2"/>
      <c r="B401" s="38">
        <v>393.0</v>
      </c>
      <c r="C401" s="39" t="s">
        <v>32</v>
      </c>
      <c r="D401" s="39" t="s">
        <v>70</v>
      </c>
      <c r="E401" s="39" t="s">
        <v>157</v>
      </c>
      <c r="F401" s="39" t="s">
        <v>158</v>
      </c>
      <c r="G401" s="41" t="s">
        <v>25</v>
      </c>
      <c r="H401" s="42">
        <v>359.0</v>
      </c>
      <c r="I401" s="42">
        <v>28.0</v>
      </c>
      <c r="J401" s="42">
        <v>331.0</v>
      </c>
      <c r="K401" s="42">
        <v>7.8</v>
      </c>
      <c r="L401" s="42">
        <v>92.2</v>
      </c>
      <c r="Q401" s="4"/>
    </row>
    <row r="402">
      <c r="A402" s="2"/>
      <c r="B402" s="43">
        <v>394.0</v>
      </c>
      <c r="C402" s="44" t="s">
        <v>32</v>
      </c>
      <c r="D402" s="53" t="s">
        <v>70</v>
      </c>
      <c r="E402" s="53" t="s">
        <v>157</v>
      </c>
      <c r="F402" s="53" t="s">
        <v>159</v>
      </c>
      <c r="G402" s="44" t="s">
        <v>159</v>
      </c>
      <c r="H402" s="45">
        <v>147.0</v>
      </c>
      <c r="I402" s="45">
        <v>12.0</v>
      </c>
      <c r="J402" s="45">
        <v>135.0</v>
      </c>
      <c r="K402" s="45">
        <v>8.2</v>
      </c>
      <c r="L402" s="45">
        <v>91.8</v>
      </c>
      <c r="Q402" s="4"/>
    </row>
    <row r="403">
      <c r="A403" s="2"/>
      <c r="B403" s="38">
        <v>395.0</v>
      </c>
      <c r="C403" s="39" t="s">
        <v>32</v>
      </c>
      <c r="D403" s="39" t="s">
        <v>70</v>
      </c>
      <c r="E403" s="39" t="s">
        <v>157</v>
      </c>
      <c r="F403" s="39" t="s">
        <v>159</v>
      </c>
      <c r="G403" s="41" t="s">
        <v>23</v>
      </c>
      <c r="H403" s="42">
        <v>81.0</v>
      </c>
      <c r="I403" s="42">
        <v>1.0</v>
      </c>
      <c r="J403" s="42">
        <v>80.0</v>
      </c>
      <c r="K403" s="42">
        <v>1.2</v>
      </c>
      <c r="L403" s="42">
        <v>98.8</v>
      </c>
      <c r="Q403" s="4"/>
    </row>
    <row r="404">
      <c r="A404" s="2"/>
      <c r="B404" s="38">
        <v>396.0</v>
      </c>
      <c r="C404" s="39" t="s">
        <v>32</v>
      </c>
      <c r="D404" s="39" t="s">
        <v>70</v>
      </c>
      <c r="E404" s="39" t="s">
        <v>157</v>
      </c>
      <c r="F404" s="39" t="s">
        <v>159</v>
      </c>
      <c r="G404" s="41" t="s">
        <v>25</v>
      </c>
      <c r="H404" s="42">
        <v>66.0</v>
      </c>
      <c r="I404" s="42">
        <v>11.0</v>
      </c>
      <c r="J404" s="42">
        <v>55.0</v>
      </c>
      <c r="K404" s="42">
        <v>16.7</v>
      </c>
      <c r="L404" s="42">
        <v>83.3</v>
      </c>
      <c r="Q404" s="4"/>
    </row>
    <row r="405">
      <c r="A405" s="2"/>
      <c r="B405" s="34">
        <v>397.0</v>
      </c>
      <c r="C405" s="35" t="s">
        <v>30</v>
      </c>
      <c r="D405" s="49" t="s">
        <v>70</v>
      </c>
      <c r="E405" s="49" t="s">
        <v>160</v>
      </c>
      <c r="F405" s="50"/>
      <c r="G405" s="35" t="s">
        <v>160</v>
      </c>
      <c r="H405" s="37">
        <v>67.0</v>
      </c>
      <c r="I405" s="37">
        <v>3.0</v>
      </c>
      <c r="J405" s="37">
        <v>64.0</v>
      </c>
      <c r="K405" s="37">
        <v>4.5</v>
      </c>
      <c r="L405" s="37">
        <v>95.5</v>
      </c>
      <c r="Q405" s="4"/>
    </row>
    <row r="406">
      <c r="A406" s="2"/>
      <c r="B406" s="38">
        <v>398.0</v>
      </c>
      <c r="C406" s="39" t="s">
        <v>30</v>
      </c>
      <c r="D406" s="39" t="s">
        <v>70</v>
      </c>
      <c r="E406" s="39" t="s">
        <v>160</v>
      </c>
      <c r="F406" s="40"/>
      <c r="G406" s="41" t="s">
        <v>23</v>
      </c>
      <c r="H406" s="42">
        <v>1.0</v>
      </c>
      <c r="I406" s="42">
        <v>0.0</v>
      </c>
      <c r="J406" s="42">
        <v>1.0</v>
      </c>
      <c r="K406" s="42">
        <v>0.0</v>
      </c>
      <c r="L406" s="42">
        <v>100.0</v>
      </c>
      <c r="Q406" s="4"/>
    </row>
    <row r="407">
      <c r="A407" s="2"/>
      <c r="B407" s="38">
        <v>399.0</v>
      </c>
      <c r="C407" s="39" t="s">
        <v>30</v>
      </c>
      <c r="D407" s="39" t="s">
        <v>70</v>
      </c>
      <c r="E407" s="39" t="s">
        <v>160</v>
      </c>
      <c r="F407" s="40"/>
      <c r="G407" s="41" t="s">
        <v>25</v>
      </c>
      <c r="H407" s="42">
        <v>66.0</v>
      </c>
      <c r="I407" s="42">
        <v>3.0</v>
      </c>
      <c r="J407" s="42">
        <v>63.0</v>
      </c>
      <c r="K407" s="42">
        <v>4.5</v>
      </c>
      <c r="L407" s="42">
        <v>95.5</v>
      </c>
      <c r="Q407" s="4"/>
    </row>
    <row r="408">
      <c r="A408" s="2"/>
      <c r="B408" s="43">
        <v>400.0</v>
      </c>
      <c r="C408" s="44" t="s">
        <v>32</v>
      </c>
      <c r="D408" s="53" t="s">
        <v>70</v>
      </c>
      <c r="E408" s="53" t="s">
        <v>160</v>
      </c>
      <c r="F408" s="53" t="s">
        <v>161</v>
      </c>
      <c r="G408" s="44" t="s">
        <v>161</v>
      </c>
      <c r="H408" s="45">
        <v>66.0</v>
      </c>
      <c r="I408" s="45">
        <v>3.0</v>
      </c>
      <c r="J408" s="45">
        <v>63.0</v>
      </c>
      <c r="K408" s="45">
        <v>4.5</v>
      </c>
      <c r="L408" s="45">
        <v>95.5</v>
      </c>
      <c r="Q408" s="4"/>
    </row>
    <row r="409">
      <c r="A409" s="2"/>
      <c r="B409" s="38">
        <v>401.0</v>
      </c>
      <c r="C409" s="39" t="s">
        <v>32</v>
      </c>
      <c r="D409" s="39" t="s">
        <v>70</v>
      </c>
      <c r="E409" s="39" t="s">
        <v>160</v>
      </c>
      <c r="F409" s="39" t="s">
        <v>161</v>
      </c>
      <c r="G409" s="41" t="s">
        <v>23</v>
      </c>
      <c r="H409" s="42">
        <v>1.0</v>
      </c>
      <c r="I409" s="42">
        <v>0.0</v>
      </c>
      <c r="J409" s="42">
        <v>1.0</v>
      </c>
      <c r="K409" s="42">
        <v>0.0</v>
      </c>
      <c r="L409" s="42">
        <v>100.0</v>
      </c>
      <c r="Q409" s="4"/>
    </row>
    <row r="410">
      <c r="A410" s="2"/>
      <c r="B410" s="38">
        <v>402.0</v>
      </c>
      <c r="C410" s="39" t="s">
        <v>32</v>
      </c>
      <c r="D410" s="39" t="s">
        <v>70</v>
      </c>
      <c r="E410" s="39" t="s">
        <v>160</v>
      </c>
      <c r="F410" s="39" t="s">
        <v>161</v>
      </c>
      <c r="G410" s="41" t="s">
        <v>25</v>
      </c>
      <c r="H410" s="42">
        <v>65.0</v>
      </c>
      <c r="I410" s="42">
        <v>3.0</v>
      </c>
      <c r="J410" s="42">
        <v>62.0</v>
      </c>
      <c r="K410" s="42">
        <v>4.6</v>
      </c>
      <c r="L410" s="42">
        <v>95.4</v>
      </c>
      <c r="Q410" s="4"/>
    </row>
    <row r="411">
      <c r="A411" s="2"/>
      <c r="B411" s="43">
        <v>403.0</v>
      </c>
      <c r="C411" s="44" t="s">
        <v>32</v>
      </c>
      <c r="D411" s="53" t="s">
        <v>70</v>
      </c>
      <c r="E411" s="53" t="s">
        <v>160</v>
      </c>
      <c r="F411" s="53" t="s">
        <v>162</v>
      </c>
      <c r="G411" s="44" t="s">
        <v>162</v>
      </c>
      <c r="H411" s="45">
        <v>1.0</v>
      </c>
      <c r="I411" s="45">
        <v>0.0</v>
      </c>
      <c r="J411" s="45">
        <v>1.0</v>
      </c>
      <c r="K411" s="45">
        <v>0.0</v>
      </c>
      <c r="L411" s="45">
        <v>100.0</v>
      </c>
      <c r="Q411" s="4"/>
    </row>
    <row r="412">
      <c r="A412" s="2"/>
      <c r="B412" s="38">
        <v>404.0</v>
      </c>
      <c r="C412" s="39" t="s">
        <v>32</v>
      </c>
      <c r="D412" s="39" t="s">
        <v>70</v>
      </c>
      <c r="E412" s="39" t="s">
        <v>160</v>
      </c>
      <c r="F412" s="39" t="s">
        <v>162</v>
      </c>
      <c r="G412" s="41" t="s">
        <v>23</v>
      </c>
      <c r="H412" s="46"/>
      <c r="I412" s="46"/>
      <c r="J412" s="46"/>
      <c r="K412" s="46"/>
      <c r="L412" s="46"/>
      <c r="Q412" s="4"/>
    </row>
    <row r="413">
      <c r="A413" s="2"/>
      <c r="B413" s="38">
        <v>405.0</v>
      </c>
      <c r="C413" s="39" t="s">
        <v>32</v>
      </c>
      <c r="D413" s="39" t="s">
        <v>70</v>
      </c>
      <c r="E413" s="39" t="s">
        <v>160</v>
      </c>
      <c r="F413" s="39" t="s">
        <v>162</v>
      </c>
      <c r="G413" s="41" t="s">
        <v>25</v>
      </c>
      <c r="H413" s="42">
        <v>1.0</v>
      </c>
      <c r="I413" s="42">
        <v>0.0</v>
      </c>
      <c r="J413" s="42">
        <v>1.0</v>
      </c>
      <c r="K413" s="42">
        <v>0.0</v>
      </c>
      <c r="L413" s="42">
        <v>100.0</v>
      </c>
      <c r="Q413" s="4"/>
    </row>
    <row r="414">
      <c r="A414" s="2"/>
      <c r="B414" s="34">
        <v>406.0</v>
      </c>
      <c r="C414" s="35" t="s">
        <v>30</v>
      </c>
      <c r="D414" s="49" t="s">
        <v>70</v>
      </c>
      <c r="E414" s="49" t="s">
        <v>163</v>
      </c>
      <c r="F414" s="50"/>
      <c r="G414" s="35" t="s">
        <v>163</v>
      </c>
      <c r="H414" s="37">
        <v>97.0</v>
      </c>
      <c r="I414" s="37">
        <v>29.0</v>
      </c>
      <c r="J414" s="37">
        <v>68.0</v>
      </c>
      <c r="K414" s="37">
        <v>29.9</v>
      </c>
      <c r="L414" s="37">
        <v>70.1</v>
      </c>
      <c r="Q414" s="4"/>
    </row>
    <row r="415">
      <c r="A415" s="2"/>
      <c r="B415" s="38">
        <v>407.0</v>
      </c>
      <c r="C415" s="39" t="s">
        <v>30</v>
      </c>
      <c r="D415" s="39" t="s">
        <v>70</v>
      </c>
      <c r="E415" s="39" t="s">
        <v>163</v>
      </c>
      <c r="F415" s="40"/>
      <c r="G415" s="41" t="s">
        <v>23</v>
      </c>
      <c r="H415" s="42">
        <v>56.0</v>
      </c>
      <c r="I415" s="42">
        <v>14.0</v>
      </c>
      <c r="J415" s="42">
        <v>42.0</v>
      </c>
      <c r="K415" s="42">
        <v>25.0</v>
      </c>
      <c r="L415" s="42">
        <v>75.0</v>
      </c>
      <c r="Q415" s="4"/>
    </row>
    <row r="416">
      <c r="A416" s="2"/>
      <c r="B416" s="38">
        <v>408.0</v>
      </c>
      <c r="C416" s="39" t="s">
        <v>30</v>
      </c>
      <c r="D416" s="39" t="s">
        <v>70</v>
      </c>
      <c r="E416" s="39" t="s">
        <v>163</v>
      </c>
      <c r="F416" s="40"/>
      <c r="G416" s="41" t="s">
        <v>25</v>
      </c>
      <c r="H416" s="42">
        <v>41.0</v>
      </c>
      <c r="I416" s="42">
        <v>15.0</v>
      </c>
      <c r="J416" s="42">
        <v>26.0</v>
      </c>
      <c r="K416" s="42">
        <v>36.6</v>
      </c>
      <c r="L416" s="42">
        <v>63.4</v>
      </c>
      <c r="Q416" s="4"/>
    </row>
    <row r="417">
      <c r="A417" s="2"/>
      <c r="B417" s="43">
        <v>409.0</v>
      </c>
      <c r="C417" s="44" t="s">
        <v>32</v>
      </c>
      <c r="D417" s="53" t="s">
        <v>70</v>
      </c>
      <c r="E417" s="53" t="s">
        <v>163</v>
      </c>
      <c r="F417" s="53" t="s">
        <v>164</v>
      </c>
      <c r="G417" s="44" t="s">
        <v>164</v>
      </c>
      <c r="H417" s="45">
        <v>35.0</v>
      </c>
      <c r="I417" s="45">
        <v>12.0</v>
      </c>
      <c r="J417" s="45">
        <v>23.0</v>
      </c>
      <c r="K417" s="45">
        <v>34.3</v>
      </c>
      <c r="L417" s="45">
        <v>65.7</v>
      </c>
      <c r="Q417" s="4"/>
    </row>
    <row r="418">
      <c r="A418" s="2"/>
      <c r="B418" s="38">
        <v>410.0</v>
      </c>
      <c r="C418" s="39" t="s">
        <v>32</v>
      </c>
      <c r="D418" s="39" t="s">
        <v>70</v>
      </c>
      <c r="E418" s="39" t="s">
        <v>163</v>
      </c>
      <c r="F418" s="39" t="s">
        <v>164</v>
      </c>
      <c r="G418" s="41" t="s">
        <v>23</v>
      </c>
      <c r="H418" s="42">
        <v>22.0</v>
      </c>
      <c r="I418" s="42">
        <v>12.0</v>
      </c>
      <c r="J418" s="42">
        <v>10.0</v>
      </c>
      <c r="K418" s="42">
        <v>54.5</v>
      </c>
      <c r="L418" s="42">
        <v>45.5</v>
      </c>
      <c r="Q418" s="4"/>
    </row>
    <row r="419">
      <c r="A419" s="2"/>
      <c r="B419" s="38">
        <v>411.0</v>
      </c>
      <c r="C419" s="39" t="s">
        <v>32</v>
      </c>
      <c r="D419" s="39" t="s">
        <v>70</v>
      </c>
      <c r="E419" s="39" t="s">
        <v>163</v>
      </c>
      <c r="F419" s="39" t="s">
        <v>164</v>
      </c>
      <c r="G419" s="41" t="s">
        <v>25</v>
      </c>
      <c r="H419" s="42">
        <v>13.0</v>
      </c>
      <c r="I419" s="42">
        <v>0.0</v>
      </c>
      <c r="J419" s="42">
        <v>13.0</v>
      </c>
      <c r="K419" s="42">
        <v>0.0</v>
      </c>
      <c r="L419" s="42">
        <v>100.0</v>
      </c>
      <c r="Q419" s="4"/>
    </row>
    <row r="420">
      <c r="A420" s="2"/>
      <c r="B420" s="43">
        <v>412.0</v>
      </c>
      <c r="C420" s="44" t="s">
        <v>32</v>
      </c>
      <c r="D420" s="53" t="s">
        <v>70</v>
      </c>
      <c r="E420" s="53" t="s">
        <v>163</v>
      </c>
      <c r="F420" s="53" t="s">
        <v>165</v>
      </c>
      <c r="G420" s="44" t="s">
        <v>165</v>
      </c>
      <c r="H420" s="45">
        <v>13.0</v>
      </c>
      <c r="I420" s="45">
        <v>1.0</v>
      </c>
      <c r="J420" s="45">
        <v>12.0</v>
      </c>
      <c r="K420" s="45">
        <v>7.7</v>
      </c>
      <c r="L420" s="45">
        <v>92.3</v>
      </c>
      <c r="Q420" s="4"/>
    </row>
    <row r="421">
      <c r="A421" s="2"/>
      <c r="B421" s="38">
        <v>413.0</v>
      </c>
      <c r="C421" s="39" t="s">
        <v>32</v>
      </c>
      <c r="D421" s="39" t="s">
        <v>70</v>
      </c>
      <c r="E421" s="39" t="s">
        <v>163</v>
      </c>
      <c r="F421" s="39" t="s">
        <v>165</v>
      </c>
      <c r="G421" s="41" t="s">
        <v>23</v>
      </c>
      <c r="H421" s="46"/>
      <c r="I421" s="46"/>
      <c r="J421" s="46"/>
      <c r="K421" s="46"/>
      <c r="L421" s="46"/>
      <c r="Q421" s="4"/>
    </row>
    <row r="422">
      <c r="A422" s="2"/>
      <c r="B422" s="38">
        <v>414.0</v>
      </c>
      <c r="C422" s="39" t="s">
        <v>32</v>
      </c>
      <c r="D422" s="39" t="s">
        <v>70</v>
      </c>
      <c r="E422" s="39" t="s">
        <v>163</v>
      </c>
      <c r="F422" s="39" t="s">
        <v>165</v>
      </c>
      <c r="G422" s="41" t="s">
        <v>25</v>
      </c>
      <c r="H422" s="42">
        <v>13.0</v>
      </c>
      <c r="I422" s="42">
        <v>1.0</v>
      </c>
      <c r="J422" s="42">
        <v>12.0</v>
      </c>
      <c r="K422" s="42">
        <v>7.7</v>
      </c>
      <c r="L422" s="42">
        <v>92.3</v>
      </c>
      <c r="Q422" s="4"/>
    </row>
    <row r="423">
      <c r="A423" s="2"/>
      <c r="B423" s="43">
        <v>415.0</v>
      </c>
      <c r="C423" s="44" t="s">
        <v>32</v>
      </c>
      <c r="D423" s="53" t="s">
        <v>70</v>
      </c>
      <c r="E423" s="53" t="s">
        <v>163</v>
      </c>
      <c r="F423" s="53" t="s">
        <v>166</v>
      </c>
      <c r="G423" s="44" t="s">
        <v>166</v>
      </c>
      <c r="H423" s="45">
        <v>49.0</v>
      </c>
      <c r="I423" s="45">
        <v>16.0</v>
      </c>
      <c r="J423" s="45">
        <v>33.0</v>
      </c>
      <c r="K423" s="45">
        <v>32.7</v>
      </c>
      <c r="L423" s="45">
        <v>67.3</v>
      </c>
      <c r="Q423" s="4"/>
    </row>
    <row r="424">
      <c r="A424" s="2"/>
      <c r="B424" s="38">
        <v>416.0</v>
      </c>
      <c r="C424" s="39" t="s">
        <v>32</v>
      </c>
      <c r="D424" s="39" t="s">
        <v>70</v>
      </c>
      <c r="E424" s="39" t="s">
        <v>163</v>
      </c>
      <c r="F424" s="39" t="s">
        <v>166</v>
      </c>
      <c r="G424" s="41" t="s">
        <v>23</v>
      </c>
      <c r="H424" s="42">
        <v>34.0</v>
      </c>
      <c r="I424" s="42">
        <v>2.0</v>
      </c>
      <c r="J424" s="42">
        <v>32.0</v>
      </c>
      <c r="K424" s="42">
        <v>5.9</v>
      </c>
      <c r="L424" s="42">
        <v>94.1</v>
      </c>
      <c r="Q424" s="4"/>
    </row>
    <row r="425">
      <c r="A425" s="2"/>
      <c r="B425" s="38">
        <v>417.0</v>
      </c>
      <c r="C425" s="39" t="s">
        <v>32</v>
      </c>
      <c r="D425" s="39" t="s">
        <v>70</v>
      </c>
      <c r="E425" s="39" t="s">
        <v>163</v>
      </c>
      <c r="F425" s="39" t="s">
        <v>166</v>
      </c>
      <c r="G425" s="41" t="s">
        <v>25</v>
      </c>
      <c r="H425" s="42">
        <v>15.0</v>
      </c>
      <c r="I425" s="42">
        <v>14.0</v>
      </c>
      <c r="J425" s="42">
        <v>1.0</v>
      </c>
      <c r="K425" s="42">
        <v>93.3</v>
      </c>
      <c r="L425" s="42">
        <v>6.7</v>
      </c>
      <c r="Q425" s="4"/>
    </row>
    <row r="426">
      <c r="A426" s="2"/>
      <c r="B426" s="34">
        <v>418.0</v>
      </c>
      <c r="C426" s="35" t="s">
        <v>30</v>
      </c>
      <c r="D426" s="49" t="s">
        <v>70</v>
      </c>
      <c r="E426" s="49" t="s">
        <v>167</v>
      </c>
      <c r="F426" s="50"/>
      <c r="G426" s="35" t="s">
        <v>167</v>
      </c>
      <c r="H426" s="37">
        <v>10.0</v>
      </c>
      <c r="I426" s="37">
        <v>3.0</v>
      </c>
      <c r="J426" s="37">
        <v>7.0</v>
      </c>
      <c r="K426" s="37">
        <v>30.0</v>
      </c>
      <c r="L426" s="37">
        <v>70.0</v>
      </c>
      <c r="Q426" s="4"/>
    </row>
    <row r="427">
      <c r="A427" s="2"/>
      <c r="B427" s="38">
        <v>419.0</v>
      </c>
      <c r="C427" s="39" t="s">
        <v>30</v>
      </c>
      <c r="D427" s="39" t="s">
        <v>70</v>
      </c>
      <c r="E427" s="39" t="s">
        <v>167</v>
      </c>
      <c r="F427" s="40"/>
      <c r="G427" s="41" t="s">
        <v>23</v>
      </c>
      <c r="H427" s="46"/>
      <c r="I427" s="46"/>
      <c r="J427" s="46"/>
      <c r="K427" s="46"/>
      <c r="L427" s="46"/>
      <c r="Q427" s="4"/>
    </row>
    <row r="428">
      <c r="A428" s="2"/>
      <c r="B428" s="38">
        <v>420.0</v>
      </c>
      <c r="C428" s="39" t="s">
        <v>30</v>
      </c>
      <c r="D428" s="39" t="s">
        <v>70</v>
      </c>
      <c r="E428" s="39" t="s">
        <v>167</v>
      </c>
      <c r="F428" s="40"/>
      <c r="G428" s="41" t="s">
        <v>25</v>
      </c>
      <c r="H428" s="42">
        <v>10.0</v>
      </c>
      <c r="I428" s="42">
        <v>3.0</v>
      </c>
      <c r="J428" s="42">
        <v>7.0</v>
      </c>
      <c r="K428" s="42">
        <v>30.0</v>
      </c>
      <c r="L428" s="42">
        <v>70.0</v>
      </c>
      <c r="Q428" s="4"/>
    </row>
    <row r="429">
      <c r="A429" s="2"/>
      <c r="B429" s="43">
        <v>421.0</v>
      </c>
      <c r="C429" s="44" t="s">
        <v>32</v>
      </c>
      <c r="D429" s="53" t="s">
        <v>70</v>
      </c>
      <c r="E429" s="53" t="s">
        <v>167</v>
      </c>
      <c r="F429" s="53" t="s">
        <v>168</v>
      </c>
      <c r="G429" s="44" t="s">
        <v>168</v>
      </c>
      <c r="H429" s="45">
        <v>3.0</v>
      </c>
      <c r="I429" s="45">
        <v>0.0</v>
      </c>
      <c r="J429" s="45">
        <v>3.0</v>
      </c>
      <c r="K429" s="45">
        <v>0.0</v>
      </c>
      <c r="L429" s="45">
        <v>100.0</v>
      </c>
      <c r="Q429" s="4"/>
    </row>
    <row r="430">
      <c r="A430" s="2"/>
      <c r="B430" s="38">
        <v>422.0</v>
      </c>
      <c r="C430" s="39" t="s">
        <v>32</v>
      </c>
      <c r="D430" s="39" t="s">
        <v>70</v>
      </c>
      <c r="E430" s="39" t="s">
        <v>167</v>
      </c>
      <c r="F430" s="39" t="s">
        <v>168</v>
      </c>
      <c r="G430" s="41" t="s">
        <v>23</v>
      </c>
      <c r="H430" s="46"/>
      <c r="I430" s="46"/>
      <c r="J430" s="46"/>
      <c r="K430" s="46"/>
      <c r="L430" s="46"/>
      <c r="Q430" s="4"/>
    </row>
    <row r="431">
      <c r="A431" s="2"/>
      <c r="B431" s="38">
        <v>423.0</v>
      </c>
      <c r="C431" s="39" t="s">
        <v>32</v>
      </c>
      <c r="D431" s="39" t="s">
        <v>70</v>
      </c>
      <c r="E431" s="39" t="s">
        <v>167</v>
      </c>
      <c r="F431" s="39" t="s">
        <v>168</v>
      </c>
      <c r="G431" s="41" t="s">
        <v>25</v>
      </c>
      <c r="H431" s="42">
        <v>3.0</v>
      </c>
      <c r="I431" s="42">
        <v>0.0</v>
      </c>
      <c r="J431" s="42">
        <v>3.0</v>
      </c>
      <c r="K431" s="42">
        <v>0.0</v>
      </c>
      <c r="L431" s="42">
        <v>100.0</v>
      </c>
      <c r="Q431" s="4"/>
    </row>
    <row r="432">
      <c r="A432" s="2"/>
      <c r="B432" s="43">
        <v>424.0</v>
      </c>
      <c r="C432" s="44" t="s">
        <v>32</v>
      </c>
      <c r="D432" s="53" t="s">
        <v>70</v>
      </c>
      <c r="E432" s="53" t="s">
        <v>167</v>
      </c>
      <c r="F432" s="53" t="s">
        <v>169</v>
      </c>
      <c r="G432" s="44" t="s">
        <v>169</v>
      </c>
      <c r="H432" s="45">
        <v>4.0</v>
      </c>
      <c r="I432" s="45">
        <v>1.0</v>
      </c>
      <c r="J432" s="45">
        <v>3.0</v>
      </c>
      <c r="K432" s="45">
        <v>25.0</v>
      </c>
      <c r="L432" s="45">
        <v>75.0</v>
      </c>
      <c r="Q432" s="4"/>
    </row>
    <row r="433">
      <c r="A433" s="2"/>
      <c r="B433" s="38">
        <v>425.0</v>
      </c>
      <c r="C433" s="39" t="s">
        <v>32</v>
      </c>
      <c r="D433" s="39" t="s">
        <v>70</v>
      </c>
      <c r="E433" s="39" t="s">
        <v>167</v>
      </c>
      <c r="F433" s="39" t="s">
        <v>169</v>
      </c>
      <c r="G433" s="41" t="s">
        <v>23</v>
      </c>
      <c r="H433" s="46"/>
      <c r="I433" s="46"/>
      <c r="J433" s="46"/>
      <c r="K433" s="46"/>
      <c r="L433" s="46"/>
      <c r="Q433" s="4"/>
    </row>
    <row r="434">
      <c r="A434" s="2"/>
      <c r="B434" s="38">
        <v>426.0</v>
      </c>
      <c r="C434" s="39" t="s">
        <v>32</v>
      </c>
      <c r="D434" s="39" t="s">
        <v>70</v>
      </c>
      <c r="E434" s="39" t="s">
        <v>167</v>
      </c>
      <c r="F434" s="39" t="s">
        <v>169</v>
      </c>
      <c r="G434" s="41" t="s">
        <v>25</v>
      </c>
      <c r="H434" s="42">
        <v>4.0</v>
      </c>
      <c r="I434" s="42">
        <v>1.0</v>
      </c>
      <c r="J434" s="42">
        <v>3.0</v>
      </c>
      <c r="K434" s="42">
        <v>25.0</v>
      </c>
      <c r="L434" s="42">
        <v>75.0</v>
      </c>
      <c r="Q434" s="4"/>
    </row>
    <row r="435">
      <c r="A435" s="2"/>
      <c r="B435" s="43">
        <v>427.0</v>
      </c>
      <c r="C435" s="44" t="s">
        <v>32</v>
      </c>
      <c r="D435" s="53" t="s">
        <v>70</v>
      </c>
      <c r="E435" s="53" t="s">
        <v>167</v>
      </c>
      <c r="F435" s="53" t="s">
        <v>170</v>
      </c>
      <c r="G435" s="44" t="s">
        <v>170</v>
      </c>
      <c r="H435" s="45">
        <v>3.0</v>
      </c>
      <c r="I435" s="45">
        <v>2.0</v>
      </c>
      <c r="J435" s="45">
        <v>1.0</v>
      </c>
      <c r="K435" s="45">
        <v>66.7</v>
      </c>
      <c r="L435" s="45">
        <v>33.3</v>
      </c>
      <c r="Q435" s="4"/>
    </row>
    <row r="436">
      <c r="A436" s="2"/>
      <c r="B436" s="38">
        <v>428.0</v>
      </c>
      <c r="C436" s="39" t="s">
        <v>32</v>
      </c>
      <c r="D436" s="39" t="s">
        <v>70</v>
      </c>
      <c r="E436" s="39" t="s">
        <v>167</v>
      </c>
      <c r="F436" s="39" t="s">
        <v>170</v>
      </c>
      <c r="G436" s="41" t="s">
        <v>23</v>
      </c>
      <c r="H436" s="46"/>
      <c r="I436" s="46"/>
      <c r="J436" s="46"/>
      <c r="K436" s="46"/>
      <c r="L436" s="46"/>
      <c r="Q436" s="4"/>
    </row>
    <row r="437">
      <c r="A437" s="2"/>
      <c r="B437" s="38">
        <v>429.0</v>
      </c>
      <c r="C437" s="39" t="s">
        <v>32</v>
      </c>
      <c r="D437" s="39" t="s">
        <v>70</v>
      </c>
      <c r="E437" s="39" t="s">
        <v>167</v>
      </c>
      <c r="F437" s="39" t="s">
        <v>170</v>
      </c>
      <c r="G437" s="41" t="s">
        <v>25</v>
      </c>
      <c r="H437" s="42">
        <v>3.0</v>
      </c>
      <c r="I437" s="42">
        <v>2.0</v>
      </c>
      <c r="J437" s="42">
        <v>1.0</v>
      </c>
      <c r="K437" s="42">
        <v>66.7</v>
      </c>
      <c r="L437" s="42">
        <v>33.3</v>
      </c>
      <c r="Q437" s="4"/>
    </row>
    <row r="438">
      <c r="A438" s="2"/>
      <c r="B438" s="34">
        <v>430.0</v>
      </c>
      <c r="C438" s="35" t="s">
        <v>30</v>
      </c>
      <c r="D438" s="49" t="s">
        <v>70</v>
      </c>
      <c r="E438" s="49" t="s">
        <v>171</v>
      </c>
      <c r="F438" s="50"/>
      <c r="G438" s="35" t="s">
        <v>171</v>
      </c>
      <c r="H438" s="37">
        <v>2.0</v>
      </c>
      <c r="I438" s="37">
        <v>0.0</v>
      </c>
      <c r="J438" s="37">
        <v>2.0</v>
      </c>
      <c r="K438" s="37">
        <v>0.0</v>
      </c>
      <c r="L438" s="37">
        <v>100.0</v>
      </c>
      <c r="Q438" s="4"/>
    </row>
    <row r="439">
      <c r="A439" s="2"/>
      <c r="B439" s="38">
        <v>431.0</v>
      </c>
      <c r="C439" s="39" t="s">
        <v>30</v>
      </c>
      <c r="D439" s="39" t="s">
        <v>70</v>
      </c>
      <c r="E439" s="39" t="s">
        <v>171</v>
      </c>
      <c r="F439" s="40"/>
      <c r="G439" s="41" t="s">
        <v>23</v>
      </c>
      <c r="H439" s="46"/>
      <c r="I439" s="46"/>
      <c r="J439" s="46"/>
      <c r="K439" s="46"/>
      <c r="L439" s="46"/>
      <c r="Q439" s="4"/>
    </row>
    <row r="440">
      <c r="A440" s="2"/>
      <c r="B440" s="38">
        <v>432.0</v>
      </c>
      <c r="C440" s="39" t="s">
        <v>30</v>
      </c>
      <c r="D440" s="39" t="s">
        <v>70</v>
      </c>
      <c r="E440" s="39" t="s">
        <v>171</v>
      </c>
      <c r="F440" s="40"/>
      <c r="G440" s="41" t="s">
        <v>25</v>
      </c>
      <c r="H440" s="42">
        <v>2.0</v>
      </c>
      <c r="I440" s="42">
        <v>0.0</v>
      </c>
      <c r="J440" s="42">
        <v>2.0</v>
      </c>
      <c r="K440" s="42">
        <v>0.0</v>
      </c>
      <c r="L440" s="42">
        <v>100.0</v>
      </c>
      <c r="Q440" s="4"/>
    </row>
    <row r="441">
      <c r="A441" s="2"/>
      <c r="B441" s="43">
        <v>433.0</v>
      </c>
      <c r="C441" s="44" t="s">
        <v>32</v>
      </c>
      <c r="D441" s="53" t="s">
        <v>70</v>
      </c>
      <c r="E441" s="53" t="s">
        <v>171</v>
      </c>
      <c r="F441" s="53" t="s">
        <v>172</v>
      </c>
      <c r="G441" s="44" t="s">
        <v>172</v>
      </c>
      <c r="H441" s="45">
        <v>2.0</v>
      </c>
      <c r="I441" s="45">
        <v>0.0</v>
      </c>
      <c r="J441" s="45">
        <v>2.0</v>
      </c>
      <c r="K441" s="45">
        <v>0.0</v>
      </c>
      <c r="L441" s="45">
        <v>100.0</v>
      </c>
      <c r="Q441" s="4"/>
    </row>
    <row r="442">
      <c r="A442" s="2"/>
      <c r="B442" s="38">
        <v>434.0</v>
      </c>
      <c r="C442" s="39" t="s">
        <v>32</v>
      </c>
      <c r="D442" s="39" t="s">
        <v>70</v>
      </c>
      <c r="E442" s="39" t="s">
        <v>171</v>
      </c>
      <c r="F442" s="39" t="s">
        <v>172</v>
      </c>
      <c r="G442" s="41" t="s">
        <v>23</v>
      </c>
      <c r="H442" s="46"/>
      <c r="I442" s="46"/>
      <c r="J442" s="46"/>
      <c r="K442" s="46"/>
      <c r="L442" s="46"/>
      <c r="Q442" s="4"/>
    </row>
    <row r="443">
      <c r="A443" s="2"/>
      <c r="B443" s="38">
        <v>435.0</v>
      </c>
      <c r="C443" s="39" t="s">
        <v>32</v>
      </c>
      <c r="D443" s="39" t="s">
        <v>70</v>
      </c>
      <c r="E443" s="39" t="s">
        <v>171</v>
      </c>
      <c r="F443" s="39" t="s">
        <v>172</v>
      </c>
      <c r="G443" s="41" t="s">
        <v>25</v>
      </c>
      <c r="H443" s="42">
        <v>2.0</v>
      </c>
      <c r="I443" s="42">
        <v>0.0</v>
      </c>
      <c r="J443" s="42">
        <v>2.0</v>
      </c>
      <c r="K443" s="42">
        <v>0.0</v>
      </c>
      <c r="L443" s="42">
        <v>100.0</v>
      </c>
      <c r="Q443" s="4"/>
    </row>
    <row r="444">
      <c r="A444" s="2"/>
      <c r="B444" s="43">
        <v>436.0</v>
      </c>
      <c r="C444" s="44" t="s">
        <v>32</v>
      </c>
      <c r="D444" s="53" t="s">
        <v>70</v>
      </c>
      <c r="E444" s="53" t="s">
        <v>171</v>
      </c>
      <c r="F444" s="53" t="s">
        <v>173</v>
      </c>
      <c r="G444" s="44" t="s">
        <v>173</v>
      </c>
      <c r="H444" s="45">
        <v>0.0</v>
      </c>
      <c r="I444" s="45">
        <v>0.0</v>
      </c>
      <c r="J444" s="45">
        <v>0.0</v>
      </c>
      <c r="K444" s="45">
        <v>0.0</v>
      </c>
      <c r="L444" s="45">
        <v>0.0</v>
      </c>
      <c r="Q444" s="4"/>
    </row>
    <row r="445">
      <c r="A445" s="2"/>
      <c r="B445" s="38">
        <v>437.0</v>
      </c>
      <c r="C445" s="39" t="s">
        <v>32</v>
      </c>
      <c r="D445" s="39" t="s">
        <v>70</v>
      </c>
      <c r="E445" s="39" t="s">
        <v>171</v>
      </c>
      <c r="F445" s="39" t="s">
        <v>173</v>
      </c>
      <c r="G445" s="41" t="s">
        <v>23</v>
      </c>
      <c r="H445" s="46"/>
      <c r="I445" s="46"/>
      <c r="J445" s="46"/>
      <c r="K445" s="46"/>
      <c r="L445" s="46"/>
      <c r="Q445" s="4"/>
    </row>
    <row r="446">
      <c r="A446" s="2"/>
      <c r="B446" s="38">
        <v>438.0</v>
      </c>
      <c r="C446" s="39" t="s">
        <v>32</v>
      </c>
      <c r="D446" s="39" t="s">
        <v>70</v>
      </c>
      <c r="E446" s="39" t="s">
        <v>171</v>
      </c>
      <c r="F446" s="39" t="s">
        <v>173</v>
      </c>
      <c r="G446" s="41" t="s">
        <v>25</v>
      </c>
      <c r="H446" s="42">
        <v>0.0</v>
      </c>
      <c r="I446" s="42">
        <v>0.0</v>
      </c>
      <c r="J446" s="42">
        <v>0.0</v>
      </c>
      <c r="K446" s="42">
        <v>0.0</v>
      </c>
      <c r="L446" s="42">
        <v>0.0</v>
      </c>
      <c r="Q446" s="4"/>
    </row>
    <row r="447">
      <c r="A447" s="2"/>
      <c r="B447" s="34">
        <v>439.0</v>
      </c>
      <c r="C447" s="35" t="s">
        <v>30</v>
      </c>
      <c r="D447" s="49" t="s">
        <v>70</v>
      </c>
      <c r="E447" s="49" t="s">
        <v>174</v>
      </c>
      <c r="F447" s="50"/>
      <c r="G447" s="35" t="s">
        <v>174</v>
      </c>
      <c r="H447" s="37">
        <v>552.0</v>
      </c>
      <c r="I447" s="37">
        <v>28.0</v>
      </c>
      <c r="J447" s="37">
        <v>524.0</v>
      </c>
      <c r="K447" s="37">
        <v>5.1</v>
      </c>
      <c r="L447" s="37">
        <v>94.9</v>
      </c>
      <c r="Q447" s="4"/>
    </row>
    <row r="448">
      <c r="A448" s="2"/>
      <c r="B448" s="38">
        <v>440.0</v>
      </c>
      <c r="C448" s="39" t="s">
        <v>30</v>
      </c>
      <c r="D448" s="39" t="s">
        <v>70</v>
      </c>
      <c r="E448" s="39" t="s">
        <v>174</v>
      </c>
      <c r="F448" s="40"/>
      <c r="G448" s="41" t="s">
        <v>23</v>
      </c>
      <c r="H448" s="42">
        <v>73.0</v>
      </c>
      <c r="I448" s="42">
        <v>18.0</v>
      </c>
      <c r="J448" s="42">
        <v>55.0</v>
      </c>
      <c r="K448" s="42">
        <v>24.7</v>
      </c>
      <c r="L448" s="42">
        <v>75.3</v>
      </c>
      <c r="Q448" s="4"/>
    </row>
    <row r="449">
      <c r="A449" s="2"/>
      <c r="B449" s="38">
        <v>441.0</v>
      </c>
      <c r="C449" s="39" t="s">
        <v>30</v>
      </c>
      <c r="D449" s="39" t="s">
        <v>70</v>
      </c>
      <c r="E449" s="39" t="s">
        <v>174</v>
      </c>
      <c r="F449" s="40"/>
      <c r="G449" s="41" t="s">
        <v>25</v>
      </c>
      <c r="H449" s="42">
        <v>479.0</v>
      </c>
      <c r="I449" s="42">
        <v>10.0</v>
      </c>
      <c r="J449" s="42">
        <v>469.0</v>
      </c>
      <c r="K449" s="42">
        <v>2.1</v>
      </c>
      <c r="L449" s="42">
        <v>97.9</v>
      </c>
      <c r="Q449" s="4"/>
    </row>
    <row r="450">
      <c r="A450" s="2"/>
      <c r="B450" s="43">
        <v>442.0</v>
      </c>
      <c r="C450" s="44" t="s">
        <v>32</v>
      </c>
      <c r="D450" s="53" t="s">
        <v>70</v>
      </c>
      <c r="E450" s="53" t="s">
        <v>174</v>
      </c>
      <c r="F450" s="53" t="s">
        <v>174</v>
      </c>
      <c r="G450" s="44" t="s">
        <v>174</v>
      </c>
      <c r="H450" s="45">
        <v>509.0</v>
      </c>
      <c r="I450" s="45">
        <v>23.0</v>
      </c>
      <c r="J450" s="45">
        <v>486.0</v>
      </c>
      <c r="K450" s="45">
        <v>4.5</v>
      </c>
      <c r="L450" s="45">
        <v>95.5</v>
      </c>
      <c r="Q450" s="4"/>
    </row>
    <row r="451">
      <c r="A451" s="2"/>
      <c r="B451" s="38">
        <v>443.0</v>
      </c>
      <c r="C451" s="39" t="s">
        <v>32</v>
      </c>
      <c r="D451" s="39" t="s">
        <v>70</v>
      </c>
      <c r="E451" s="39" t="s">
        <v>174</v>
      </c>
      <c r="F451" s="39" t="s">
        <v>174</v>
      </c>
      <c r="G451" s="41" t="s">
        <v>23</v>
      </c>
      <c r="H451" s="42">
        <v>73.0</v>
      </c>
      <c r="I451" s="42">
        <v>18.0</v>
      </c>
      <c r="J451" s="42">
        <v>55.0</v>
      </c>
      <c r="K451" s="42">
        <v>24.7</v>
      </c>
      <c r="L451" s="42">
        <v>75.3</v>
      </c>
      <c r="Q451" s="4"/>
    </row>
    <row r="452">
      <c r="A452" s="2"/>
      <c r="B452" s="38">
        <v>444.0</v>
      </c>
      <c r="C452" s="39" t="s">
        <v>32</v>
      </c>
      <c r="D452" s="39" t="s">
        <v>70</v>
      </c>
      <c r="E452" s="39" t="s">
        <v>174</v>
      </c>
      <c r="F452" s="39" t="s">
        <v>174</v>
      </c>
      <c r="G452" s="41" t="s">
        <v>25</v>
      </c>
      <c r="H452" s="42">
        <v>436.0</v>
      </c>
      <c r="I452" s="42">
        <v>5.0</v>
      </c>
      <c r="J452" s="42">
        <v>431.0</v>
      </c>
      <c r="K452" s="42">
        <v>1.1</v>
      </c>
      <c r="L452" s="42">
        <v>98.9</v>
      </c>
      <c r="Q452" s="4"/>
    </row>
    <row r="453">
      <c r="A453" s="2"/>
      <c r="B453" s="43">
        <v>445.0</v>
      </c>
      <c r="C453" s="44" t="s">
        <v>32</v>
      </c>
      <c r="D453" s="53" t="s">
        <v>70</v>
      </c>
      <c r="E453" s="53" t="s">
        <v>174</v>
      </c>
      <c r="F453" s="53" t="s">
        <v>175</v>
      </c>
      <c r="G453" s="44" t="s">
        <v>175</v>
      </c>
      <c r="H453" s="45">
        <v>43.0</v>
      </c>
      <c r="I453" s="45">
        <v>5.0</v>
      </c>
      <c r="J453" s="45">
        <v>38.0</v>
      </c>
      <c r="K453" s="45">
        <v>11.6</v>
      </c>
      <c r="L453" s="45">
        <v>88.4</v>
      </c>
      <c r="Q453" s="4"/>
    </row>
    <row r="454">
      <c r="A454" s="2"/>
      <c r="B454" s="38">
        <v>446.0</v>
      </c>
      <c r="C454" s="39" t="s">
        <v>32</v>
      </c>
      <c r="D454" s="39" t="s">
        <v>70</v>
      </c>
      <c r="E454" s="39" t="s">
        <v>174</v>
      </c>
      <c r="F454" s="39" t="s">
        <v>175</v>
      </c>
      <c r="G454" s="41" t="s">
        <v>23</v>
      </c>
      <c r="H454" s="46"/>
      <c r="I454" s="46"/>
      <c r="J454" s="46"/>
      <c r="K454" s="46"/>
      <c r="L454" s="46"/>
      <c r="Q454" s="4"/>
    </row>
    <row r="455">
      <c r="A455" s="2"/>
      <c r="B455" s="38">
        <v>447.0</v>
      </c>
      <c r="C455" s="39" t="s">
        <v>32</v>
      </c>
      <c r="D455" s="39" t="s">
        <v>70</v>
      </c>
      <c r="E455" s="39" t="s">
        <v>174</v>
      </c>
      <c r="F455" s="39" t="s">
        <v>175</v>
      </c>
      <c r="G455" s="41" t="s">
        <v>25</v>
      </c>
      <c r="H455" s="42">
        <v>43.0</v>
      </c>
      <c r="I455" s="42">
        <v>5.0</v>
      </c>
      <c r="J455" s="42">
        <v>38.0</v>
      </c>
      <c r="K455" s="42">
        <v>11.6</v>
      </c>
      <c r="L455" s="42">
        <v>88.4</v>
      </c>
      <c r="Q455" s="4"/>
    </row>
    <row r="456">
      <c r="A456" s="2"/>
      <c r="B456" s="24">
        <v>448.0</v>
      </c>
      <c r="C456" s="25" t="s">
        <v>26</v>
      </c>
      <c r="D456" s="25" t="s">
        <v>176</v>
      </c>
      <c r="E456" s="26"/>
      <c r="F456" s="26"/>
      <c r="G456" s="25" t="s">
        <v>176</v>
      </c>
      <c r="H456" s="27">
        <v>5104.0</v>
      </c>
      <c r="I456" s="27">
        <v>1265.0</v>
      </c>
      <c r="J456" s="27">
        <v>3839.0</v>
      </c>
      <c r="K456" s="28">
        <v>24.8</v>
      </c>
      <c r="L456" s="28">
        <v>75.2</v>
      </c>
      <c r="Q456" s="4"/>
    </row>
    <row r="457">
      <c r="A457" s="2"/>
      <c r="B457" s="29">
        <v>449.0</v>
      </c>
      <c r="C457" s="30" t="s">
        <v>26</v>
      </c>
      <c r="D457" s="47" t="s">
        <v>176</v>
      </c>
      <c r="E457" s="48"/>
      <c r="F457" s="48"/>
      <c r="G457" s="30" t="s">
        <v>23</v>
      </c>
      <c r="H457" s="32">
        <v>3400.0</v>
      </c>
      <c r="I457" s="33">
        <v>808.0</v>
      </c>
      <c r="J457" s="32">
        <v>2592.0</v>
      </c>
      <c r="K457" s="33">
        <v>23.8</v>
      </c>
      <c r="L457" s="33">
        <v>76.2</v>
      </c>
      <c r="Q457" s="4"/>
    </row>
    <row r="458">
      <c r="A458" s="2"/>
      <c r="B458" s="29">
        <v>450.0</v>
      </c>
      <c r="C458" s="30" t="s">
        <v>26</v>
      </c>
      <c r="D458" s="47" t="s">
        <v>176</v>
      </c>
      <c r="E458" s="48"/>
      <c r="F458" s="48"/>
      <c r="G458" s="30" t="s">
        <v>25</v>
      </c>
      <c r="H458" s="32">
        <v>1704.0</v>
      </c>
      <c r="I458" s="33">
        <v>457.0</v>
      </c>
      <c r="J458" s="32">
        <v>1247.0</v>
      </c>
      <c r="K458" s="33">
        <v>26.8</v>
      </c>
      <c r="L458" s="33">
        <v>73.2</v>
      </c>
      <c r="Q458" s="4"/>
    </row>
    <row r="459">
      <c r="A459" s="2"/>
      <c r="B459" s="34">
        <v>451.0</v>
      </c>
      <c r="C459" s="35" t="s">
        <v>30</v>
      </c>
      <c r="D459" s="49" t="s">
        <v>176</v>
      </c>
      <c r="E459" s="49" t="s">
        <v>177</v>
      </c>
      <c r="F459" s="50"/>
      <c r="G459" s="35" t="s">
        <v>177</v>
      </c>
      <c r="H459" s="51">
        <v>1188.0</v>
      </c>
      <c r="I459" s="37">
        <v>350.0</v>
      </c>
      <c r="J459" s="37">
        <v>838.0</v>
      </c>
      <c r="K459" s="37">
        <v>29.5</v>
      </c>
      <c r="L459" s="37">
        <v>70.5</v>
      </c>
      <c r="Q459" s="4"/>
    </row>
    <row r="460">
      <c r="A460" s="2"/>
      <c r="B460" s="38">
        <v>452.0</v>
      </c>
      <c r="C460" s="39" t="s">
        <v>30</v>
      </c>
      <c r="D460" s="39" t="s">
        <v>176</v>
      </c>
      <c r="E460" s="39" t="s">
        <v>177</v>
      </c>
      <c r="F460" s="40"/>
      <c r="G460" s="41" t="s">
        <v>23</v>
      </c>
      <c r="H460" s="52">
        <v>1188.0</v>
      </c>
      <c r="I460" s="42">
        <v>350.0</v>
      </c>
      <c r="J460" s="42">
        <v>838.0</v>
      </c>
      <c r="K460" s="42">
        <v>29.5</v>
      </c>
      <c r="L460" s="42">
        <v>70.5</v>
      </c>
      <c r="Q460" s="4"/>
    </row>
    <row r="461">
      <c r="A461" s="2"/>
      <c r="B461" s="38">
        <v>453.0</v>
      </c>
      <c r="C461" s="39" t="s">
        <v>30</v>
      </c>
      <c r="D461" s="39" t="s">
        <v>176</v>
      </c>
      <c r="E461" s="39" t="s">
        <v>177</v>
      </c>
      <c r="F461" s="40"/>
      <c r="G461" s="41" t="s">
        <v>25</v>
      </c>
      <c r="H461" s="42">
        <v>0.0</v>
      </c>
      <c r="I461" s="42">
        <v>0.0</v>
      </c>
      <c r="J461" s="42">
        <v>0.0</v>
      </c>
      <c r="K461" s="42">
        <v>0.0</v>
      </c>
      <c r="L461" s="42">
        <v>0.0</v>
      </c>
      <c r="Q461" s="4"/>
    </row>
    <row r="462">
      <c r="A462" s="2"/>
      <c r="B462" s="43">
        <v>454.0</v>
      </c>
      <c r="C462" s="44" t="s">
        <v>32</v>
      </c>
      <c r="D462" s="53" t="s">
        <v>176</v>
      </c>
      <c r="E462" s="53" t="s">
        <v>177</v>
      </c>
      <c r="F462" s="53" t="s">
        <v>176</v>
      </c>
      <c r="G462" s="44" t="s">
        <v>176</v>
      </c>
      <c r="H462" s="54">
        <v>1188.0</v>
      </c>
      <c r="I462" s="45">
        <v>350.0</v>
      </c>
      <c r="J462" s="45">
        <v>838.0</v>
      </c>
      <c r="K462" s="45">
        <v>29.5</v>
      </c>
      <c r="L462" s="45">
        <v>70.5</v>
      </c>
      <c r="Q462" s="4"/>
    </row>
    <row r="463">
      <c r="A463" s="2"/>
      <c r="B463" s="38">
        <v>455.0</v>
      </c>
      <c r="C463" s="39" t="s">
        <v>32</v>
      </c>
      <c r="D463" s="39" t="s">
        <v>176</v>
      </c>
      <c r="E463" s="39" t="s">
        <v>177</v>
      </c>
      <c r="F463" s="39" t="s">
        <v>176</v>
      </c>
      <c r="G463" s="41" t="s">
        <v>23</v>
      </c>
      <c r="H463" s="52">
        <v>1188.0</v>
      </c>
      <c r="I463" s="42">
        <v>350.0</v>
      </c>
      <c r="J463" s="42">
        <v>838.0</v>
      </c>
      <c r="K463" s="42">
        <v>29.5</v>
      </c>
      <c r="L463" s="42">
        <v>70.5</v>
      </c>
      <c r="Q463" s="4"/>
    </row>
    <row r="464">
      <c r="A464" s="2"/>
      <c r="B464" s="38">
        <v>456.0</v>
      </c>
      <c r="C464" s="39" t="s">
        <v>32</v>
      </c>
      <c r="D464" s="39" t="s">
        <v>176</v>
      </c>
      <c r="E464" s="39" t="s">
        <v>177</v>
      </c>
      <c r="F464" s="39" t="s">
        <v>176</v>
      </c>
      <c r="G464" s="41" t="s">
        <v>25</v>
      </c>
      <c r="H464" s="42">
        <v>0.0</v>
      </c>
      <c r="I464" s="42">
        <v>0.0</v>
      </c>
      <c r="J464" s="42">
        <v>0.0</v>
      </c>
      <c r="K464" s="42">
        <v>0.0</v>
      </c>
      <c r="L464" s="42">
        <v>0.0</v>
      </c>
      <c r="Q464" s="4"/>
    </row>
    <row r="465">
      <c r="A465" s="2"/>
      <c r="B465" s="34">
        <v>457.0</v>
      </c>
      <c r="C465" s="35" t="s">
        <v>30</v>
      </c>
      <c r="D465" s="49" t="s">
        <v>176</v>
      </c>
      <c r="E465" s="49" t="s">
        <v>178</v>
      </c>
      <c r="F465" s="50"/>
      <c r="G465" s="35" t="s">
        <v>178</v>
      </c>
      <c r="H465" s="37">
        <v>48.0</v>
      </c>
      <c r="I465" s="37">
        <v>10.0</v>
      </c>
      <c r="J465" s="37">
        <v>38.0</v>
      </c>
      <c r="K465" s="37">
        <v>20.8</v>
      </c>
      <c r="L465" s="37">
        <v>79.2</v>
      </c>
      <c r="Q465" s="4"/>
    </row>
    <row r="466">
      <c r="A466" s="2"/>
      <c r="B466" s="38">
        <v>458.0</v>
      </c>
      <c r="C466" s="39" t="s">
        <v>30</v>
      </c>
      <c r="D466" s="39" t="s">
        <v>176</v>
      </c>
      <c r="E466" s="39" t="s">
        <v>178</v>
      </c>
      <c r="F466" s="40"/>
      <c r="G466" s="41" t="s">
        <v>23</v>
      </c>
      <c r="H466" s="42">
        <v>27.0</v>
      </c>
      <c r="I466" s="42">
        <v>4.0</v>
      </c>
      <c r="J466" s="42">
        <v>23.0</v>
      </c>
      <c r="K466" s="42">
        <v>14.8</v>
      </c>
      <c r="L466" s="42">
        <v>85.2</v>
      </c>
      <c r="Q466" s="4"/>
    </row>
    <row r="467">
      <c r="A467" s="2"/>
      <c r="B467" s="38">
        <v>459.0</v>
      </c>
      <c r="C467" s="39" t="s">
        <v>30</v>
      </c>
      <c r="D467" s="39" t="s">
        <v>176</v>
      </c>
      <c r="E467" s="39" t="s">
        <v>178</v>
      </c>
      <c r="F467" s="40"/>
      <c r="G467" s="41" t="s">
        <v>25</v>
      </c>
      <c r="H467" s="42">
        <v>21.0</v>
      </c>
      <c r="I467" s="42">
        <v>6.0</v>
      </c>
      <c r="J467" s="42">
        <v>15.0</v>
      </c>
      <c r="K467" s="42">
        <v>28.6</v>
      </c>
      <c r="L467" s="42">
        <v>71.4</v>
      </c>
      <c r="Q467" s="4"/>
    </row>
    <row r="468">
      <c r="A468" s="2"/>
      <c r="B468" s="43">
        <v>460.0</v>
      </c>
      <c r="C468" s="44" t="s">
        <v>32</v>
      </c>
      <c r="D468" s="53" t="s">
        <v>176</v>
      </c>
      <c r="E468" s="53" t="s">
        <v>178</v>
      </c>
      <c r="F468" s="53" t="s">
        <v>179</v>
      </c>
      <c r="G468" s="44" t="s">
        <v>179</v>
      </c>
      <c r="H468" s="45">
        <v>41.0</v>
      </c>
      <c r="I468" s="45">
        <v>9.0</v>
      </c>
      <c r="J468" s="45">
        <v>32.0</v>
      </c>
      <c r="K468" s="45">
        <v>22.0</v>
      </c>
      <c r="L468" s="45">
        <v>78.0</v>
      </c>
      <c r="Q468" s="4"/>
    </row>
    <row r="469">
      <c r="A469" s="2"/>
      <c r="B469" s="38">
        <v>461.0</v>
      </c>
      <c r="C469" s="39" t="s">
        <v>32</v>
      </c>
      <c r="D469" s="39" t="s">
        <v>176</v>
      </c>
      <c r="E469" s="39" t="s">
        <v>178</v>
      </c>
      <c r="F469" s="39" t="s">
        <v>179</v>
      </c>
      <c r="G469" s="41" t="s">
        <v>23</v>
      </c>
      <c r="H469" s="42">
        <v>24.0</v>
      </c>
      <c r="I469" s="42">
        <v>4.0</v>
      </c>
      <c r="J469" s="42">
        <v>20.0</v>
      </c>
      <c r="K469" s="42">
        <v>16.7</v>
      </c>
      <c r="L469" s="42">
        <v>83.3</v>
      </c>
      <c r="Q469" s="4"/>
    </row>
    <row r="470">
      <c r="A470" s="2"/>
      <c r="B470" s="38">
        <v>462.0</v>
      </c>
      <c r="C470" s="39" t="s">
        <v>32</v>
      </c>
      <c r="D470" s="39" t="s">
        <v>176</v>
      </c>
      <c r="E470" s="39" t="s">
        <v>178</v>
      </c>
      <c r="F470" s="39" t="s">
        <v>179</v>
      </c>
      <c r="G470" s="41" t="s">
        <v>25</v>
      </c>
      <c r="H470" s="42">
        <v>17.0</v>
      </c>
      <c r="I470" s="42">
        <v>5.0</v>
      </c>
      <c r="J470" s="42">
        <v>12.0</v>
      </c>
      <c r="K470" s="42">
        <v>29.4</v>
      </c>
      <c r="L470" s="42">
        <v>70.6</v>
      </c>
      <c r="Q470" s="4"/>
    </row>
    <row r="471">
      <c r="A471" s="2"/>
      <c r="B471" s="43">
        <v>463.0</v>
      </c>
      <c r="C471" s="44" t="s">
        <v>32</v>
      </c>
      <c r="D471" s="53" t="s">
        <v>176</v>
      </c>
      <c r="E471" s="53" t="s">
        <v>178</v>
      </c>
      <c r="F471" s="53" t="s">
        <v>180</v>
      </c>
      <c r="G471" s="44" t="s">
        <v>180</v>
      </c>
      <c r="H471" s="45">
        <v>3.0</v>
      </c>
      <c r="I471" s="45">
        <v>0.0</v>
      </c>
      <c r="J471" s="45">
        <v>3.0</v>
      </c>
      <c r="K471" s="45">
        <v>0.0</v>
      </c>
      <c r="L471" s="45">
        <v>100.0</v>
      </c>
      <c r="Q471" s="4"/>
    </row>
    <row r="472">
      <c r="A472" s="2"/>
      <c r="B472" s="38">
        <v>464.0</v>
      </c>
      <c r="C472" s="39" t="s">
        <v>32</v>
      </c>
      <c r="D472" s="39" t="s">
        <v>176</v>
      </c>
      <c r="E472" s="39" t="s">
        <v>178</v>
      </c>
      <c r="F472" s="39" t="s">
        <v>180</v>
      </c>
      <c r="G472" s="41" t="s">
        <v>23</v>
      </c>
      <c r="H472" s="42">
        <v>3.0</v>
      </c>
      <c r="I472" s="42">
        <v>0.0</v>
      </c>
      <c r="J472" s="42">
        <v>3.0</v>
      </c>
      <c r="K472" s="42">
        <v>0.0</v>
      </c>
      <c r="L472" s="42">
        <v>100.0</v>
      </c>
      <c r="Q472" s="4"/>
    </row>
    <row r="473">
      <c r="A473" s="2"/>
      <c r="B473" s="38">
        <v>465.0</v>
      </c>
      <c r="C473" s="39" t="s">
        <v>32</v>
      </c>
      <c r="D473" s="39" t="s">
        <v>176</v>
      </c>
      <c r="E473" s="39" t="s">
        <v>178</v>
      </c>
      <c r="F473" s="39" t="s">
        <v>180</v>
      </c>
      <c r="G473" s="41" t="s">
        <v>25</v>
      </c>
      <c r="H473" s="42">
        <v>0.0</v>
      </c>
      <c r="I473" s="42">
        <v>0.0</v>
      </c>
      <c r="J473" s="42">
        <v>0.0</v>
      </c>
      <c r="K473" s="42">
        <v>0.0</v>
      </c>
      <c r="L473" s="42">
        <v>0.0</v>
      </c>
      <c r="Q473" s="4"/>
    </row>
    <row r="474">
      <c r="A474" s="2"/>
      <c r="B474" s="43">
        <v>466.0</v>
      </c>
      <c r="C474" s="44" t="s">
        <v>32</v>
      </c>
      <c r="D474" s="53" t="s">
        <v>176</v>
      </c>
      <c r="E474" s="53" t="s">
        <v>178</v>
      </c>
      <c r="F474" s="53" t="s">
        <v>181</v>
      </c>
      <c r="G474" s="44" t="s">
        <v>181</v>
      </c>
      <c r="H474" s="45">
        <v>4.0</v>
      </c>
      <c r="I474" s="45">
        <v>1.0</v>
      </c>
      <c r="J474" s="45">
        <v>3.0</v>
      </c>
      <c r="K474" s="45">
        <v>25.0</v>
      </c>
      <c r="L474" s="45">
        <v>75.0</v>
      </c>
      <c r="Q474" s="4"/>
    </row>
    <row r="475">
      <c r="A475" s="2"/>
      <c r="B475" s="38">
        <v>467.0</v>
      </c>
      <c r="C475" s="39" t="s">
        <v>32</v>
      </c>
      <c r="D475" s="39" t="s">
        <v>176</v>
      </c>
      <c r="E475" s="39" t="s">
        <v>178</v>
      </c>
      <c r="F475" s="39" t="s">
        <v>181</v>
      </c>
      <c r="G475" s="41" t="s">
        <v>23</v>
      </c>
      <c r="H475" s="46"/>
      <c r="I475" s="46"/>
      <c r="J475" s="46"/>
      <c r="K475" s="46"/>
      <c r="L475" s="46"/>
      <c r="Q475" s="4"/>
    </row>
    <row r="476">
      <c r="A476" s="2"/>
      <c r="B476" s="38">
        <v>468.0</v>
      </c>
      <c r="C476" s="39" t="s">
        <v>32</v>
      </c>
      <c r="D476" s="39" t="s">
        <v>176</v>
      </c>
      <c r="E476" s="39" t="s">
        <v>178</v>
      </c>
      <c r="F476" s="39" t="s">
        <v>181</v>
      </c>
      <c r="G476" s="41" t="s">
        <v>25</v>
      </c>
      <c r="H476" s="42">
        <v>4.0</v>
      </c>
      <c r="I476" s="42">
        <v>1.0</v>
      </c>
      <c r="J476" s="42">
        <v>3.0</v>
      </c>
      <c r="K476" s="42">
        <v>25.0</v>
      </c>
      <c r="L476" s="42">
        <v>75.0</v>
      </c>
      <c r="Q476" s="4"/>
    </row>
    <row r="477">
      <c r="A477" s="2"/>
      <c r="B477" s="34">
        <v>469.0</v>
      </c>
      <c r="C477" s="35" t="s">
        <v>30</v>
      </c>
      <c r="D477" s="49" t="s">
        <v>176</v>
      </c>
      <c r="E477" s="49" t="s">
        <v>182</v>
      </c>
      <c r="F477" s="50"/>
      <c r="G477" s="35" t="s">
        <v>182</v>
      </c>
      <c r="H477" s="37">
        <v>74.0</v>
      </c>
      <c r="I477" s="37">
        <v>20.0</v>
      </c>
      <c r="J477" s="37">
        <v>54.0</v>
      </c>
      <c r="K477" s="37">
        <v>27.0</v>
      </c>
      <c r="L477" s="37">
        <v>73.0</v>
      </c>
      <c r="Q477" s="4"/>
    </row>
    <row r="478">
      <c r="A478" s="2"/>
      <c r="B478" s="38">
        <v>470.0</v>
      </c>
      <c r="C478" s="39" t="s">
        <v>30</v>
      </c>
      <c r="D478" s="39" t="s">
        <v>176</v>
      </c>
      <c r="E478" s="39" t="s">
        <v>182</v>
      </c>
      <c r="F478" s="40"/>
      <c r="G478" s="41" t="s">
        <v>23</v>
      </c>
      <c r="H478" s="46"/>
      <c r="I478" s="46"/>
      <c r="J478" s="46"/>
      <c r="K478" s="46"/>
      <c r="L478" s="46"/>
      <c r="Q478" s="4"/>
    </row>
    <row r="479">
      <c r="A479" s="2"/>
      <c r="B479" s="38">
        <v>471.0</v>
      </c>
      <c r="C479" s="39" t="s">
        <v>30</v>
      </c>
      <c r="D479" s="39" t="s">
        <v>176</v>
      </c>
      <c r="E479" s="39" t="s">
        <v>182</v>
      </c>
      <c r="F479" s="40"/>
      <c r="G479" s="41" t="s">
        <v>25</v>
      </c>
      <c r="H479" s="42">
        <v>74.0</v>
      </c>
      <c r="I479" s="42">
        <v>20.0</v>
      </c>
      <c r="J479" s="42">
        <v>54.0</v>
      </c>
      <c r="K479" s="42">
        <v>27.0</v>
      </c>
      <c r="L479" s="42">
        <v>73.0</v>
      </c>
      <c r="Q479" s="4"/>
    </row>
    <row r="480">
      <c r="A480" s="2"/>
      <c r="B480" s="43">
        <v>472.0</v>
      </c>
      <c r="C480" s="44" t="s">
        <v>32</v>
      </c>
      <c r="D480" s="53" t="s">
        <v>176</v>
      </c>
      <c r="E480" s="53" t="s">
        <v>182</v>
      </c>
      <c r="F480" s="53" t="s">
        <v>182</v>
      </c>
      <c r="G480" s="44" t="s">
        <v>182</v>
      </c>
      <c r="H480" s="45">
        <v>23.0</v>
      </c>
      <c r="I480" s="45">
        <v>10.0</v>
      </c>
      <c r="J480" s="45">
        <v>13.0</v>
      </c>
      <c r="K480" s="45">
        <v>43.5</v>
      </c>
      <c r="L480" s="45">
        <v>56.5</v>
      </c>
      <c r="Q480" s="4"/>
    </row>
    <row r="481">
      <c r="A481" s="2"/>
      <c r="B481" s="38">
        <v>473.0</v>
      </c>
      <c r="C481" s="39" t="s">
        <v>32</v>
      </c>
      <c r="D481" s="39" t="s">
        <v>176</v>
      </c>
      <c r="E481" s="39" t="s">
        <v>182</v>
      </c>
      <c r="F481" s="39" t="s">
        <v>182</v>
      </c>
      <c r="G481" s="41" t="s">
        <v>23</v>
      </c>
      <c r="H481" s="46"/>
      <c r="I481" s="46"/>
      <c r="J481" s="46"/>
      <c r="K481" s="46"/>
      <c r="L481" s="46"/>
      <c r="Q481" s="4"/>
    </row>
    <row r="482">
      <c r="A482" s="2"/>
      <c r="B482" s="38">
        <v>474.0</v>
      </c>
      <c r="C482" s="39" t="s">
        <v>32</v>
      </c>
      <c r="D482" s="39" t="s">
        <v>176</v>
      </c>
      <c r="E482" s="39" t="s">
        <v>182</v>
      </c>
      <c r="F482" s="39" t="s">
        <v>182</v>
      </c>
      <c r="G482" s="41" t="s">
        <v>25</v>
      </c>
      <c r="H482" s="42">
        <v>23.0</v>
      </c>
      <c r="I482" s="42">
        <v>10.0</v>
      </c>
      <c r="J482" s="42">
        <v>13.0</v>
      </c>
      <c r="K482" s="42">
        <v>43.5</v>
      </c>
      <c r="L482" s="42">
        <v>56.5</v>
      </c>
      <c r="Q482" s="4"/>
    </row>
    <row r="483">
      <c r="A483" s="2"/>
      <c r="B483" s="43">
        <v>475.0</v>
      </c>
      <c r="C483" s="44" t="s">
        <v>32</v>
      </c>
      <c r="D483" s="53" t="s">
        <v>176</v>
      </c>
      <c r="E483" s="53" t="s">
        <v>182</v>
      </c>
      <c r="F483" s="53" t="s">
        <v>183</v>
      </c>
      <c r="G483" s="44" t="s">
        <v>183</v>
      </c>
      <c r="H483" s="45">
        <v>37.0</v>
      </c>
      <c r="I483" s="45">
        <v>7.0</v>
      </c>
      <c r="J483" s="45">
        <v>30.0</v>
      </c>
      <c r="K483" s="45">
        <v>18.9</v>
      </c>
      <c r="L483" s="45">
        <v>81.1</v>
      </c>
      <c r="Q483" s="4"/>
    </row>
    <row r="484">
      <c r="A484" s="2"/>
      <c r="B484" s="38">
        <v>476.0</v>
      </c>
      <c r="C484" s="39" t="s">
        <v>32</v>
      </c>
      <c r="D484" s="39" t="s">
        <v>176</v>
      </c>
      <c r="E484" s="39" t="s">
        <v>182</v>
      </c>
      <c r="F484" s="39" t="s">
        <v>183</v>
      </c>
      <c r="G484" s="41" t="s">
        <v>23</v>
      </c>
      <c r="H484" s="46"/>
      <c r="I484" s="46"/>
      <c r="J484" s="46"/>
      <c r="K484" s="46"/>
      <c r="L484" s="46"/>
      <c r="Q484" s="4"/>
    </row>
    <row r="485">
      <c r="A485" s="2"/>
      <c r="B485" s="38">
        <v>477.0</v>
      </c>
      <c r="C485" s="39" t="s">
        <v>32</v>
      </c>
      <c r="D485" s="39" t="s">
        <v>176</v>
      </c>
      <c r="E485" s="39" t="s">
        <v>182</v>
      </c>
      <c r="F485" s="39" t="s">
        <v>183</v>
      </c>
      <c r="G485" s="41" t="s">
        <v>25</v>
      </c>
      <c r="H485" s="42">
        <v>37.0</v>
      </c>
      <c r="I485" s="42">
        <v>7.0</v>
      </c>
      <c r="J485" s="42">
        <v>30.0</v>
      </c>
      <c r="K485" s="42">
        <v>18.9</v>
      </c>
      <c r="L485" s="42">
        <v>81.1</v>
      </c>
      <c r="Q485" s="4"/>
    </row>
    <row r="486">
      <c r="A486" s="2"/>
      <c r="B486" s="43">
        <v>478.0</v>
      </c>
      <c r="C486" s="44" t="s">
        <v>32</v>
      </c>
      <c r="D486" s="53" t="s">
        <v>176</v>
      </c>
      <c r="E486" s="53" t="s">
        <v>182</v>
      </c>
      <c r="F486" s="53" t="s">
        <v>184</v>
      </c>
      <c r="G486" s="44" t="s">
        <v>184</v>
      </c>
      <c r="H486" s="45">
        <v>14.0</v>
      </c>
      <c r="I486" s="45">
        <v>3.0</v>
      </c>
      <c r="J486" s="45">
        <v>11.0</v>
      </c>
      <c r="K486" s="45">
        <v>21.4</v>
      </c>
      <c r="L486" s="45">
        <v>78.6</v>
      </c>
      <c r="Q486" s="4"/>
    </row>
    <row r="487">
      <c r="A487" s="2"/>
      <c r="B487" s="38">
        <v>479.0</v>
      </c>
      <c r="C487" s="39" t="s">
        <v>32</v>
      </c>
      <c r="D487" s="39" t="s">
        <v>176</v>
      </c>
      <c r="E487" s="39" t="s">
        <v>182</v>
      </c>
      <c r="F487" s="39" t="s">
        <v>184</v>
      </c>
      <c r="G487" s="41" t="s">
        <v>23</v>
      </c>
      <c r="H487" s="46"/>
      <c r="I487" s="46"/>
      <c r="J487" s="46"/>
      <c r="K487" s="46"/>
      <c r="L487" s="46"/>
      <c r="Q487" s="4"/>
    </row>
    <row r="488">
      <c r="A488" s="2"/>
      <c r="B488" s="38">
        <v>480.0</v>
      </c>
      <c r="C488" s="39" t="s">
        <v>32</v>
      </c>
      <c r="D488" s="39" t="s">
        <v>176</v>
      </c>
      <c r="E488" s="39" t="s">
        <v>182</v>
      </c>
      <c r="F488" s="39" t="s">
        <v>184</v>
      </c>
      <c r="G488" s="41" t="s">
        <v>25</v>
      </c>
      <c r="H488" s="42">
        <v>14.0</v>
      </c>
      <c r="I488" s="42">
        <v>3.0</v>
      </c>
      <c r="J488" s="42">
        <v>11.0</v>
      </c>
      <c r="K488" s="42">
        <v>21.4</v>
      </c>
      <c r="L488" s="42">
        <v>78.6</v>
      </c>
      <c r="Q488" s="4"/>
    </row>
    <row r="489">
      <c r="A489" s="2"/>
      <c r="B489" s="34">
        <v>481.0</v>
      </c>
      <c r="C489" s="35" t="s">
        <v>30</v>
      </c>
      <c r="D489" s="49" t="s">
        <v>176</v>
      </c>
      <c r="E489" s="49" t="s">
        <v>185</v>
      </c>
      <c r="F489" s="50"/>
      <c r="G489" s="35" t="s">
        <v>185</v>
      </c>
      <c r="H489" s="37">
        <v>112.0</v>
      </c>
      <c r="I489" s="37">
        <v>80.0</v>
      </c>
      <c r="J489" s="37">
        <v>32.0</v>
      </c>
      <c r="K489" s="37">
        <v>71.4</v>
      </c>
      <c r="L489" s="37">
        <v>28.6</v>
      </c>
      <c r="Q489" s="4"/>
    </row>
    <row r="490">
      <c r="A490" s="2"/>
      <c r="B490" s="38">
        <v>482.0</v>
      </c>
      <c r="C490" s="39" t="s">
        <v>30</v>
      </c>
      <c r="D490" s="39" t="s">
        <v>176</v>
      </c>
      <c r="E490" s="39" t="s">
        <v>185</v>
      </c>
      <c r="F490" s="40"/>
      <c r="G490" s="41" t="s">
        <v>23</v>
      </c>
      <c r="H490" s="42">
        <v>60.0</v>
      </c>
      <c r="I490" s="42">
        <v>43.0</v>
      </c>
      <c r="J490" s="42">
        <v>17.0</v>
      </c>
      <c r="K490" s="42">
        <v>71.7</v>
      </c>
      <c r="L490" s="42">
        <v>28.3</v>
      </c>
      <c r="Q490" s="4"/>
    </row>
    <row r="491">
      <c r="A491" s="2"/>
      <c r="B491" s="38">
        <v>483.0</v>
      </c>
      <c r="C491" s="39" t="s">
        <v>30</v>
      </c>
      <c r="D491" s="39" t="s">
        <v>176</v>
      </c>
      <c r="E491" s="39" t="s">
        <v>185</v>
      </c>
      <c r="F491" s="40"/>
      <c r="G491" s="41" t="s">
        <v>25</v>
      </c>
      <c r="H491" s="42">
        <v>52.0</v>
      </c>
      <c r="I491" s="42">
        <v>37.0</v>
      </c>
      <c r="J491" s="42">
        <v>15.0</v>
      </c>
      <c r="K491" s="42">
        <v>71.2</v>
      </c>
      <c r="L491" s="42">
        <v>28.8</v>
      </c>
      <c r="Q491" s="4"/>
    </row>
    <row r="492">
      <c r="A492" s="2"/>
      <c r="B492" s="43">
        <v>484.0</v>
      </c>
      <c r="C492" s="44" t="s">
        <v>32</v>
      </c>
      <c r="D492" s="53" t="s">
        <v>176</v>
      </c>
      <c r="E492" s="53" t="s">
        <v>185</v>
      </c>
      <c r="F492" s="53" t="s">
        <v>186</v>
      </c>
      <c r="G492" s="44" t="s">
        <v>186</v>
      </c>
      <c r="H492" s="45">
        <v>14.0</v>
      </c>
      <c r="I492" s="45">
        <v>11.0</v>
      </c>
      <c r="J492" s="45">
        <v>3.0</v>
      </c>
      <c r="K492" s="45">
        <v>78.6</v>
      </c>
      <c r="L492" s="45">
        <v>21.4</v>
      </c>
      <c r="Q492" s="4"/>
    </row>
    <row r="493">
      <c r="A493" s="2"/>
      <c r="B493" s="38">
        <v>485.0</v>
      </c>
      <c r="C493" s="39" t="s">
        <v>32</v>
      </c>
      <c r="D493" s="39" t="s">
        <v>176</v>
      </c>
      <c r="E493" s="39" t="s">
        <v>185</v>
      </c>
      <c r="F493" s="39" t="s">
        <v>186</v>
      </c>
      <c r="G493" s="41" t="s">
        <v>23</v>
      </c>
      <c r="H493" s="42">
        <v>4.0</v>
      </c>
      <c r="I493" s="42">
        <v>2.0</v>
      </c>
      <c r="J493" s="42">
        <v>2.0</v>
      </c>
      <c r="K493" s="42">
        <v>50.0</v>
      </c>
      <c r="L493" s="42">
        <v>50.0</v>
      </c>
      <c r="Q493" s="4"/>
    </row>
    <row r="494">
      <c r="A494" s="2"/>
      <c r="B494" s="38">
        <v>486.0</v>
      </c>
      <c r="C494" s="39" t="s">
        <v>32</v>
      </c>
      <c r="D494" s="39" t="s">
        <v>176</v>
      </c>
      <c r="E494" s="39" t="s">
        <v>185</v>
      </c>
      <c r="F494" s="39" t="s">
        <v>186</v>
      </c>
      <c r="G494" s="41" t="s">
        <v>25</v>
      </c>
      <c r="H494" s="42">
        <v>10.0</v>
      </c>
      <c r="I494" s="42">
        <v>9.0</v>
      </c>
      <c r="J494" s="42">
        <v>1.0</v>
      </c>
      <c r="K494" s="42">
        <v>90.0</v>
      </c>
      <c r="L494" s="42">
        <v>10.0</v>
      </c>
      <c r="Q494" s="4"/>
    </row>
    <row r="495">
      <c r="A495" s="2"/>
      <c r="B495" s="43">
        <v>487.0</v>
      </c>
      <c r="C495" s="44" t="s">
        <v>32</v>
      </c>
      <c r="D495" s="53" t="s">
        <v>176</v>
      </c>
      <c r="E495" s="53" t="s">
        <v>185</v>
      </c>
      <c r="F495" s="53" t="s">
        <v>187</v>
      </c>
      <c r="G495" s="44" t="s">
        <v>187</v>
      </c>
      <c r="H495" s="45">
        <v>18.0</v>
      </c>
      <c r="I495" s="45">
        <v>14.0</v>
      </c>
      <c r="J495" s="45">
        <v>4.0</v>
      </c>
      <c r="K495" s="45">
        <v>77.8</v>
      </c>
      <c r="L495" s="45">
        <v>22.2</v>
      </c>
      <c r="Q495" s="4"/>
    </row>
    <row r="496">
      <c r="A496" s="2"/>
      <c r="B496" s="38">
        <v>488.0</v>
      </c>
      <c r="C496" s="39" t="s">
        <v>32</v>
      </c>
      <c r="D496" s="39" t="s">
        <v>176</v>
      </c>
      <c r="E496" s="39" t="s">
        <v>185</v>
      </c>
      <c r="F496" s="39" t="s">
        <v>187</v>
      </c>
      <c r="G496" s="41" t="s">
        <v>23</v>
      </c>
      <c r="H496" s="46"/>
      <c r="I496" s="46"/>
      <c r="J496" s="46"/>
      <c r="K496" s="46"/>
      <c r="L496" s="46"/>
      <c r="Q496" s="4"/>
    </row>
    <row r="497">
      <c r="A497" s="2"/>
      <c r="B497" s="38">
        <v>489.0</v>
      </c>
      <c r="C497" s="39" t="s">
        <v>32</v>
      </c>
      <c r="D497" s="39" t="s">
        <v>176</v>
      </c>
      <c r="E497" s="39" t="s">
        <v>185</v>
      </c>
      <c r="F497" s="39" t="s">
        <v>187</v>
      </c>
      <c r="G497" s="41" t="s">
        <v>25</v>
      </c>
      <c r="H497" s="42">
        <v>18.0</v>
      </c>
      <c r="I497" s="42">
        <v>14.0</v>
      </c>
      <c r="J497" s="42">
        <v>4.0</v>
      </c>
      <c r="K497" s="42">
        <v>77.8</v>
      </c>
      <c r="L497" s="42">
        <v>22.2</v>
      </c>
      <c r="Q497" s="4"/>
    </row>
    <row r="498">
      <c r="A498" s="2"/>
      <c r="B498" s="43">
        <v>490.0</v>
      </c>
      <c r="C498" s="44" t="s">
        <v>32</v>
      </c>
      <c r="D498" s="53" t="s">
        <v>176</v>
      </c>
      <c r="E498" s="53" t="s">
        <v>185</v>
      </c>
      <c r="F498" s="53" t="s">
        <v>188</v>
      </c>
      <c r="G498" s="44" t="s">
        <v>188</v>
      </c>
      <c r="H498" s="45">
        <v>75.0</v>
      </c>
      <c r="I498" s="45">
        <v>51.0</v>
      </c>
      <c r="J498" s="45">
        <v>24.0</v>
      </c>
      <c r="K498" s="45">
        <v>68.0</v>
      </c>
      <c r="L498" s="45">
        <v>32.0</v>
      </c>
      <c r="Q498" s="4"/>
    </row>
    <row r="499">
      <c r="A499" s="2"/>
      <c r="B499" s="38">
        <v>491.0</v>
      </c>
      <c r="C499" s="39" t="s">
        <v>32</v>
      </c>
      <c r="D499" s="39" t="s">
        <v>176</v>
      </c>
      <c r="E499" s="39" t="s">
        <v>185</v>
      </c>
      <c r="F499" s="39" t="s">
        <v>188</v>
      </c>
      <c r="G499" s="41" t="s">
        <v>23</v>
      </c>
      <c r="H499" s="42">
        <v>56.0</v>
      </c>
      <c r="I499" s="42">
        <v>41.0</v>
      </c>
      <c r="J499" s="42">
        <v>15.0</v>
      </c>
      <c r="K499" s="42">
        <v>73.2</v>
      </c>
      <c r="L499" s="42">
        <v>26.8</v>
      </c>
      <c r="Q499" s="4"/>
    </row>
    <row r="500">
      <c r="A500" s="2"/>
      <c r="B500" s="38">
        <v>492.0</v>
      </c>
      <c r="C500" s="39" t="s">
        <v>32</v>
      </c>
      <c r="D500" s="39" t="s">
        <v>176</v>
      </c>
      <c r="E500" s="39" t="s">
        <v>185</v>
      </c>
      <c r="F500" s="39" t="s">
        <v>188</v>
      </c>
      <c r="G500" s="41" t="s">
        <v>25</v>
      </c>
      <c r="H500" s="42">
        <v>19.0</v>
      </c>
      <c r="I500" s="42">
        <v>10.0</v>
      </c>
      <c r="J500" s="42">
        <v>9.0</v>
      </c>
      <c r="K500" s="42">
        <v>52.6</v>
      </c>
      <c r="L500" s="42">
        <v>47.4</v>
      </c>
      <c r="Q500" s="4"/>
    </row>
    <row r="501">
      <c r="A501" s="2"/>
      <c r="B501" s="43">
        <v>493.0</v>
      </c>
      <c r="C501" s="44" t="s">
        <v>32</v>
      </c>
      <c r="D501" s="53" t="s">
        <v>176</v>
      </c>
      <c r="E501" s="53" t="s">
        <v>185</v>
      </c>
      <c r="F501" s="53" t="s">
        <v>189</v>
      </c>
      <c r="G501" s="44" t="s">
        <v>189</v>
      </c>
      <c r="H501" s="45">
        <v>5.0</v>
      </c>
      <c r="I501" s="45">
        <v>4.0</v>
      </c>
      <c r="J501" s="45">
        <v>1.0</v>
      </c>
      <c r="K501" s="45">
        <v>80.0</v>
      </c>
      <c r="L501" s="45">
        <v>20.0</v>
      </c>
      <c r="Q501" s="4"/>
    </row>
    <row r="502">
      <c r="A502" s="2"/>
      <c r="B502" s="38">
        <v>494.0</v>
      </c>
      <c r="C502" s="39" t="s">
        <v>32</v>
      </c>
      <c r="D502" s="39" t="s">
        <v>176</v>
      </c>
      <c r="E502" s="39" t="s">
        <v>185</v>
      </c>
      <c r="F502" s="39" t="s">
        <v>189</v>
      </c>
      <c r="G502" s="41" t="s">
        <v>23</v>
      </c>
      <c r="H502" s="46"/>
      <c r="I502" s="46"/>
      <c r="J502" s="46"/>
      <c r="K502" s="46"/>
      <c r="L502" s="46"/>
      <c r="Q502" s="4"/>
    </row>
    <row r="503">
      <c r="A503" s="2"/>
      <c r="B503" s="38">
        <v>495.0</v>
      </c>
      <c r="C503" s="39" t="s">
        <v>32</v>
      </c>
      <c r="D503" s="39" t="s">
        <v>176</v>
      </c>
      <c r="E503" s="39" t="s">
        <v>185</v>
      </c>
      <c r="F503" s="39" t="s">
        <v>189</v>
      </c>
      <c r="G503" s="41" t="s">
        <v>25</v>
      </c>
      <c r="H503" s="42">
        <v>5.0</v>
      </c>
      <c r="I503" s="42">
        <v>4.0</v>
      </c>
      <c r="J503" s="42">
        <v>1.0</v>
      </c>
      <c r="K503" s="42">
        <v>80.0</v>
      </c>
      <c r="L503" s="42">
        <v>20.0</v>
      </c>
      <c r="Q503" s="4"/>
    </row>
    <row r="504">
      <c r="A504" s="2"/>
      <c r="B504" s="34">
        <v>496.0</v>
      </c>
      <c r="C504" s="35" t="s">
        <v>30</v>
      </c>
      <c r="D504" s="49" t="s">
        <v>176</v>
      </c>
      <c r="E504" s="49" t="s">
        <v>190</v>
      </c>
      <c r="F504" s="50"/>
      <c r="G504" s="35" t="s">
        <v>190</v>
      </c>
      <c r="H504" s="37">
        <v>43.0</v>
      </c>
      <c r="I504" s="37">
        <v>6.0</v>
      </c>
      <c r="J504" s="37">
        <v>37.0</v>
      </c>
      <c r="K504" s="37">
        <v>14.0</v>
      </c>
      <c r="L504" s="37">
        <v>86.0</v>
      </c>
      <c r="Q504" s="4"/>
    </row>
    <row r="505">
      <c r="A505" s="2"/>
      <c r="B505" s="38">
        <v>497.0</v>
      </c>
      <c r="C505" s="39" t="s">
        <v>30</v>
      </c>
      <c r="D505" s="39" t="s">
        <v>176</v>
      </c>
      <c r="E505" s="39" t="s">
        <v>190</v>
      </c>
      <c r="F505" s="40"/>
      <c r="G505" s="41" t="s">
        <v>23</v>
      </c>
      <c r="H505" s="42">
        <v>2.0</v>
      </c>
      <c r="I505" s="42">
        <v>0.0</v>
      </c>
      <c r="J505" s="42">
        <v>2.0</v>
      </c>
      <c r="K505" s="42">
        <v>0.0</v>
      </c>
      <c r="L505" s="42">
        <v>100.0</v>
      </c>
      <c r="Q505" s="4"/>
    </row>
    <row r="506">
      <c r="A506" s="2"/>
      <c r="B506" s="38">
        <v>498.0</v>
      </c>
      <c r="C506" s="39" t="s">
        <v>30</v>
      </c>
      <c r="D506" s="39" t="s">
        <v>176</v>
      </c>
      <c r="E506" s="39" t="s">
        <v>190</v>
      </c>
      <c r="F506" s="40"/>
      <c r="G506" s="41" t="s">
        <v>25</v>
      </c>
      <c r="H506" s="42">
        <v>41.0</v>
      </c>
      <c r="I506" s="42">
        <v>6.0</v>
      </c>
      <c r="J506" s="42">
        <v>35.0</v>
      </c>
      <c r="K506" s="42">
        <v>14.6</v>
      </c>
      <c r="L506" s="42">
        <v>85.4</v>
      </c>
      <c r="Q506" s="4"/>
    </row>
    <row r="507">
      <c r="A507" s="2"/>
      <c r="B507" s="43">
        <v>499.0</v>
      </c>
      <c r="C507" s="44" t="s">
        <v>32</v>
      </c>
      <c r="D507" s="53" t="s">
        <v>176</v>
      </c>
      <c r="E507" s="53" t="s">
        <v>190</v>
      </c>
      <c r="F507" s="53" t="s">
        <v>190</v>
      </c>
      <c r="G507" s="44" t="s">
        <v>190</v>
      </c>
      <c r="H507" s="45">
        <v>5.0</v>
      </c>
      <c r="I507" s="45">
        <v>1.0</v>
      </c>
      <c r="J507" s="45">
        <v>4.0</v>
      </c>
      <c r="K507" s="45">
        <v>20.0</v>
      </c>
      <c r="L507" s="45">
        <v>80.0</v>
      </c>
      <c r="Q507" s="4"/>
    </row>
    <row r="508">
      <c r="A508" s="2"/>
      <c r="B508" s="38">
        <v>500.0</v>
      </c>
      <c r="C508" s="39" t="s">
        <v>32</v>
      </c>
      <c r="D508" s="39" t="s">
        <v>176</v>
      </c>
      <c r="E508" s="39" t="s">
        <v>190</v>
      </c>
      <c r="F508" s="39" t="s">
        <v>190</v>
      </c>
      <c r="G508" s="41" t="s">
        <v>23</v>
      </c>
      <c r="H508" s="42">
        <v>2.0</v>
      </c>
      <c r="I508" s="42">
        <v>0.0</v>
      </c>
      <c r="J508" s="42">
        <v>2.0</v>
      </c>
      <c r="K508" s="42">
        <v>0.0</v>
      </c>
      <c r="L508" s="42">
        <v>100.0</v>
      </c>
      <c r="Q508" s="4"/>
    </row>
    <row r="509">
      <c r="A509" s="2"/>
      <c r="B509" s="38">
        <v>501.0</v>
      </c>
      <c r="C509" s="39" t="s">
        <v>32</v>
      </c>
      <c r="D509" s="39" t="s">
        <v>176</v>
      </c>
      <c r="E509" s="39" t="s">
        <v>190</v>
      </c>
      <c r="F509" s="39" t="s">
        <v>190</v>
      </c>
      <c r="G509" s="41" t="s">
        <v>25</v>
      </c>
      <c r="H509" s="42">
        <v>3.0</v>
      </c>
      <c r="I509" s="42">
        <v>1.0</v>
      </c>
      <c r="J509" s="42">
        <v>2.0</v>
      </c>
      <c r="K509" s="42">
        <v>33.3</v>
      </c>
      <c r="L509" s="42">
        <v>66.7</v>
      </c>
      <c r="Q509" s="4"/>
    </row>
    <row r="510">
      <c r="A510" s="2"/>
      <c r="B510" s="43">
        <v>502.0</v>
      </c>
      <c r="C510" s="44" t="s">
        <v>32</v>
      </c>
      <c r="D510" s="53" t="s">
        <v>176</v>
      </c>
      <c r="E510" s="53" t="s">
        <v>190</v>
      </c>
      <c r="F510" s="53" t="s">
        <v>191</v>
      </c>
      <c r="G510" s="44" t="s">
        <v>191</v>
      </c>
      <c r="H510" s="45">
        <v>38.0</v>
      </c>
      <c r="I510" s="45">
        <v>5.0</v>
      </c>
      <c r="J510" s="45">
        <v>33.0</v>
      </c>
      <c r="K510" s="45">
        <v>13.2</v>
      </c>
      <c r="L510" s="45">
        <v>86.8</v>
      </c>
      <c r="Q510" s="4"/>
    </row>
    <row r="511">
      <c r="A511" s="2"/>
      <c r="B511" s="38">
        <v>503.0</v>
      </c>
      <c r="C511" s="39" t="s">
        <v>32</v>
      </c>
      <c r="D511" s="39" t="s">
        <v>176</v>
      </c>
      <c r="E511" s="39" t="s">
        <v>190</v>
      </c>
      <c r="F511" s="39" t="s">
        <v>191</v>
      </c>
      <c r="G511" s="41" t="s">
        <v>23</v>
      </c>
      <c r="H511" s="46"/>
      <c r="I511" s="46"/>
      <c r="J511" s="46"/>
      <c r="K511" s="46"/>
      <c r="L511" s="46"/>
      <c r="Q511" s="4"/>
    </row>
    <row r="512">
      <c r="A512" s="2"/>
      <c r="B512" s="38">
        <v>504.0</v>
      </c>
      <c r="C512" s="39" t="s">
        <v>32</v>
      </c>
      <c r="D512" s="39" t="s">
        <v>176</v>
      </c>
      <c r="E512" s="39" t="s">
        <v>190</v>
      </c>
      <c r="F512" s="39" t="s">
        <v>191</v>
      </c>
      <c r="G512" s="41" t="s">
        <v>25</v>
      </c>
      <c r="H512" s="42">
        <v>38.0</v>
      </c>
      <c r="I512" s="42">
        <v>5.0</v>
      </c>
      <c r="J512" s="42">
        <v>33.0</v>
      </c>
      <c r="K512" s="42">
        <v>13.2</v>
      </c>
      <c r="L512" s="42">
        <v>86.8</v>
      </c>
      <c r="Q512" s="4"/>
    </row>
    <row r="513">
      <c r="A513" s="2"/>
      <c r="B513" s="34">
        <v>505.0</v>
      </c>
      <c r="C513" s="35" t="s">
        <v>30</v>
      </c>
      <c r="D513" s="49" t="s">
        <v>176</v>
      </c>
      <c r="E513" s="49" t="s">
        <v>192</v>
      </c>
      <c r="F513" s="50"/>
      <c r="G513" s="35" t="s">
        <v>192</v>
      </c>
      <c r="H513" s="37">
        <v>9.0</v>
      </c>
      <c r="I513" s="37">
        <v>6.0</v>
      </c>
      <c r="J513" s="37">
        <v>3.0</v>
      </c>
      <c r="K513" s="37">
        <v>66.7</v>
      </c>
      <c r="L513" s="37">
        <v>33.3</v>
      </c>
      <c r="Q513" s="4"/>
    </row>
    <row r="514">
      <c r="A514" s="2"/>
      <c r="B514" s="38">
        <v>506.0</v>
      </c>
      <c r="C514" s="39" t="s">
        <v>30</v>
      </c>
      <c r="D514" s="39" t="s">
        <v>176</v>
      </c>
      <c r="E514" s="39" t="s">
        <v>192</v>
      </c>
      <c r="F514" s="40"/>
      <c r="G514" s="41" t="s">
        <v>23</v>
      </c>
      <c r="H514" s="46"/>
      <c r="I514" s="46"/>
      <c r="J514" s="46"/>
      <c r="K514" s="46"/>
      <c r="L514" s="46"/>
      <c r="Q514" s="4"/>
    </row>
    <row r="515">
      <c r="A515" s="2"/>
      <c r="B515" s="38">
        <v>507.0</v>
      </c>
      <c r="C515" s="39" t="s">
        <v>30</v>
      </c>
      <c r="D515" s="39" t="s">
        <v>176</v>
      </c>
      <c r="E515" s="39" t="s">
        <v>192</v>
      </c>
      <c r="F515" s="40"/>
      <c r="G515" s="41" t="s">
        <v>25</v>
      </c>
      <c r="H515" s="42">
        <v>9.0</v>
      </c>
      <c r="I515" s="42">
        <v>6.0</v>
      </c>
      <c r="J515" s="42">
        <v>3.0</v>
      </c>
      <c r="K515" s="42">
        <v>66.7</v>
      </c>
      <c r="L515" s="42">
        <v>33.3</v>
      </c>
      <c r="Q515" s="4"/>
    </row>
    <row r="516">
      <c r="A516" s="2"/>
      <c r="B516" s="43">
        <v>508.0</v>
      </c>
      <c r="C516" s="44" t="s">
        <v>32</v>
      </c>
      <c r="D516" s="53" t="s">
        <v>176</v>
      </c>
      <c r="E516" s="53" t="s">
        <v>192</v>
      </c>
      <c r="F516" s="53" t="s">
        <v>192</v>
      </c>
      <c r="G516" s="44" t="s">
        <v>192</v>
      </c>
      <c r="H516" s="45">
        <v>8.0</v>
      </c>
      <c r="I516" s="45">
        <v>5.0</v>
      </c>
      <c r="J516" s="45">
        <v>3.0</v>
      </c>
      <c r="K516" s="45">
        <v>62.5</v>
      </c>
      <c r="L516" s="45">
        <v>37.5</v>
      </c>
      <c r="Q516" s="4"/>
    </row>
    <row r="517">
      <c r="A517" s="2"/>
      <c r="B517" s="38">
        <v>509.0</v>
      </c>
      <c r="C517" s="39" t="s">
        <v>32</v>
      </c>
      <c r="D517" s="39" t="s">
        <v>176</v>
      </c>
      <c r="E517" s="39" t="s">
        <v>192</v>
      </c>
      <c r="F517" s="39" t="s">
        <v>192</v>
      </c>
      <c r="G517" s="41" t="s">
        <v>23</v>
      </c>
      <c r="H517" s="46"/>
      <c r="I517" s="46"/>
      <c r="J517" s="46"/>
      <c r="K517" s="46"/>
      <c r="L517" s="46"/>
      <c r="Q517" s="4"/>
    </row>
    <row r="518">
      <c r="A518" s="2"/>
      <c r="B518" s="38">
        <v>510.0</v>
      </c>
      <c r="C518" s="39" t="s">
        <v>32</v>
      </c>
      <c r="D518" s="39" t="s">
        <v>176</v>
      </c>
      <c r="E518" s="39" t="s">
        <v>192</v>
      </c>
      <c r="F518" s="39" t="s">
        <v>192</v>
      </c>
      <c r="G518" s="41" t="s">
        <v>25</v>
      </c>
      <c r="H518" s="42">
        <v>8.0</v>
      </c>
      <c r="I518" s="42">
        <v>5.0</v>
      </c>
      <c r="J518" s="42">
        <v>3.0</v>
      </c>
      <c r="K518" s="42">
        <v>62.5</v>
      </c>
      <c r="L518" s="42">
        <v>37.5</v>
      </c>
      <c r="Q518" s="4"/>
    </row>
    <row r="519">
      <c r="A519" s="2"/>
      <c r="B519" s="43">
        <v>511.0</v>
      </c>
      <c r="C519" s="44" t="s">
        <v>32</v>
      </c>
      <c r="D519" s="53" t="s">
        <v>176</v>
      </c>
      <c r="E519" s="53" t="s">
        <v>192</v>
      </c>
      <c r="F519" s="53" t="s">
        <v>193</v>
      </c>
      <c r="G519" s="44" t="s">
        <v>193</v>
      </c>
      <c r="H519" s="45">
        <v>1.0</v>
      </c>
      <c r="I519" s="45">
        <v>1.0</v>
      </c>
      <c r="J519" s="45">
        <v>0.0</v>
      </c>
      <c r="K519" s="45">
        <v>100.0</v>
      </c>
      <c r="L519" s="45">
        <v>0.0</v>
      </c>
      <c r="Q519" s="4"/>
    </row>
    <row r="520">
      <c r="A520" s="2"/>
      <c r="B520" s="38">
        <v>512.0</v>
      </c>
      <c r="C520" s="39" t="s">
        <v>32</v>
      </c>
      <c r="D520" s="39" t="s">
        <v>176</v>
      </c>
      <c r="E520" s="39" t="s">
        <v>192</v>
      </c>
      <c r="F520" s="39" t="s">
        <v>193</v>
      </c>
      <c r="G520" s="41" t="s">
        <v>23</v>
      </c>
      <c r="H520" s="46"/>
      <c r="I520" s="46"/>
      <c r="J520" s="46"/>
      <c r="K520" s="46"/>
      <c r="L520" s="46"/>
      <c r="Q520" s="4"/>
    </row>
    <row r="521">
      <c r="A521" s="2"/>
      <c r="B521" s="38">
        <v>513.0</v>
      </c>
      <c r="C521" s="39" t="s">
        <v>32</v>
      </c>
      <c r="D521" s="39" t="s">
        <v>176</v>
      </c>
      <c r="E521" s="39" t="s">
        <v>192</v>
      </c>
      <c r="F521" s="39" t="s">
        <v>193</v>
      </c>
      <c r="G521" s="41" t="s">
        <v>25</v>
      </c>
      <c r="H521" s="42">
        <v>1.0</v>
      </c>
      <c r="I521" s="42">
        <v>1.0</v>
      </c>
      <c r="J521" s="42">
        <v>0.0</v>
      </c>
      <c r="K521" s="42">
        <v>100.0</v>
      </c>
      <c r="L521" s="42">
        <v>0.0</v>
      </c>
      <c r="Q521" s="4"/>
    </row>
    <row r="522">
      <c r="A522" s="2"/>
      <c r="B522" s="34">
        <v>514.0</v>
      </c>
      <c r="C522" s="35" t="s">
        <v>30</v>
      </c>
      <c r="D522" s="49" t="s">
        <v>176</v>
      </c>
      <c r="E522" s="49" t="s">
        <v>194</v>
      </c>
      <c r="F522" s="50"/>
      <c r="G522" s="35" t="s">
        <v>194</v>
      </c>
      <c r="H522" s="37">
        <v>93.0</v>
      </c>
      <c r="I522" s="37">
        <v>40.0</v>
      </c>
      <c r="J522" s="37">
        <v>53.0</v>
      </c>
      <c r="K522" s="37">
        <v>43.0</v>
      </c>
      <c r="L522" s="37">
        <v>57.0</v>
      </c>
      <c r="Q522" s="4"/>
    </row>
    <row r="523">
      <c r="A523" s="2"/>
      <c r="B523" s="38">
        <v>515.0</v>
      </c>
      <c r="C523" s="39" t="s">
        <v>30</v>
      </c>
      <c r="D523" s="39" t="s">
        <v>176</v>
      </c>
      <c r="E523" s="39" t="s">
        <v>194</v>
      </c>
      <c r="F523" s="40"/>
      <c r="G523" s="41" t="s">
        <v>23</v>
      </c>
      <c r="H523" s="42">
        <v>7.0</v>
      </c>
      <c r="I523" s="42">
        <v>1.0</v>
      </c>
      <c r="J523" s="42">
        <v>6.0</v>
      </c>
      <c r="K523" s="42">
        <v>14.3</v>
      </c>
      <c r="L523" s="42">
        <v>85.7</v>
      </c>
      <c r="Q523" s="4"/>
    </row>
    <row r="524">
      <c r="A524" s="2"/>
      <c r="B524" s="38">
        <v>516.0</v>
      </c>
      <c r="C524" s="39" t="s">
        <v>30</v>
      </c>
      <c r="D524" s="39" t="s">
        <v>176</v>
      </c>
      <c r="E524" s="39" t="s">
        <v>194</v>
      </c>
      <c r="F524" s="40"/>
      <c r="G524" s="41" t="s">
        <v>25</v>
      </c>
      <c r="H524" s="42">
        <v>86.0</v>
      </c>
      <c r="I524" s="42">
        <v>39.0</v>
      </c>
      <c r="J524" s="42">
        <v>47.0</v>
      </c>
      <c r="K524" s="42">
        <v>45.3</v>
      </c>
      <c r="L524" s="42">
        <v>54.7</v>
      </c>
      <c r="Q524" s="4"/>
    </row>
    <row r="525">
      <c r="A525" s="2"/>
      <c r="B525" s="43">
        <v>517.0</v>
      </c>
      <c r="C525" s="44" t="s">
        <v>32</v>
      </c>
      <c r="D525" s="53" t="s">
        <v>176</v>
      </c>
      <c r="E525" s="53" t="s">
        <v>194</v>
      </c>
      <c r="F525" s="53" t="s">
        <v>194</v>
      </c>
      <c r="G525" s="44" t="s">
        <v>194</v>
      </c>
      <c r="H525" s="45">
        <v>35.0</v>
      </c>
      <c r="I525" s="45">
        <v>5.0</v>
      </c>
      <c r="J525" s="45">
        <v>30.0</v>
      </c>
      <c r="K525" s="45">
        <v>14.3</v>
      </c>
      <c r="L525" s="45">
        <v>85.7</v>
      </c>
      <c r="Q525" s="4"/>
    </row>
    <row r="526">
      <c r="A526" s="2"/>
      <c r="B526" s="38">
        <v>518.0</v>
      </c>
      <c r="C526" s="39" t="s">
        <v>32</v>
      </c>
      <c r="D526" s="39" t="s">
        <v>176</v>
      </c>
      <c r="E526" s="39" t="s">
        <v>194</v>
      </c>
      <c r="F526" s="39" t="s">
        <v>194</v>
      </c>
      <c r="G526" s="41" t="s">
        <v>23</v>
      </c>
      <c r="H526" s="42">
        <v>7.0</v>
      </c>
      <c r="I526" s="42">
        <v>1.0</v>
      </c>
      <c r="J526" s="42">
        <v>6.0</v>
      </c>
      <c r="K526" s="42">
        <v>14.3</v>
      </c>
      <c r="L526" s="42">
        <v>85.7</v>
      </c>
      <c r="Q526" s="4"/>
    </row>
    <row r="527">
      <c r="A527" s="2"/>
      <c r="B527" s="38">
        <v>519.0</v>
      </c>
      <c r="C527" s="39" t="s">
        <v>32</v>
      </c>
      <c r="D527" s="39" t="s">
        <v>176</v>
      </c>
      <c r="E527" s="39" t="s">
        <v>194</v>
      </c>
      <c r="F527" s="39" t="s">
        <v>194</v>
      </c>
      <c r="G527" s="41" t="s">
        <v>25</v>
      </c>
      <c r="H527" s="42">
        <v>28.0</v>
      </c>
      <c r="I527" s="42">
        <v>4.0</v>
      </c>
      <c r="J527" s="42">
        <v>24.0</v>
      </c>
      <c r="K527" s="42">
        <v>14.3</v>
      </c>
      <c r="L527" s="42">
        <v>85.7</v>
      </c>
      <c r="Q527" s="4"/>
    </row>
    <row r="528">
      <c r="A528" s="2"/>
      <c r="B528" s="43">
        <v>520.0</v>
      </c>
      <c r="C528" s="44" t="s">
        <v>32</v>
      </c>
      <c r="D528" s="53" t="s">
        <v>176</v>
      </c>
      <c r="E528" s="53" t="s">
        <v>194</v>
      </c>
      <c r="F528" s="53" t="s">
        <v>195</v>
      </c>
      <c r="G528" s="44" t="s">
        <v>195</v>
      </c>
      <c r="H528" s="45">
        <v>44.0</v>
      </c>
      <c r="I528" s="45">
        <v>21.0</v>
      </c>
      <c r="J528" s="45">
        <v>23.0</v>
      </c>
      <c r="K528" s="45">
        <v>47.7</v>
      </c>
      <c r="L528" s="45">
        <v>52.3</v>
      </c>
      <c r="Q528" s="4"/>
    </row>
    <row r="529">
      <c r="A529" s="2"/>
      <c r="B529" s="38">
        <v>521.0</v>
      </c>
      <c r="C529" s="39" t="s">
        <v>32</v>
      </c>
      <c r="D529" s="39" t="s">
        <v>176</v>
      </c>
      <c r="E529" s="39" t="s">
        <v>194</v>
      </c>
      <c r="F529" s="39" t="s">
        <v>195</v>
      </c>
      <c r="G529" s="41" t="s">
        <v>23</v>
      </c>
      <c r="H529" s="46"/>
      <c r="I529" s="46"/>
      <c r="J529" s="46"/>
      <c r="K529" s="46"/>
      <c r="L529" s="46"/>
      <c r="Q529" s="4"/>
    </row>
    <row r="530">
      <c r="A530" s="2"/>
      <c r="B530" s="38">
        <v>522.0</v>
      </c>
      <c r="C530" s="39" t="s">
        <v>32</v>
      </c>
      <c r="D530" s="39" t="s">
        <v>176</v>
      </c>
      <c r="E530" s="39" t="s">
        <v>194</v>
      </c>
      <c r="F530" s="39" t="s">
        <v>195</v>
      </c>
      <c r="G530" s="41" t="s">
        <v>25</v>
      </c>
      <c r="H530" s="42">
        <v>44.0</v>
      </c>
      <c r="I530" s="42">
        <v>21.0</v>
      </c>
      <c r="J530" s="42">
        <v>23.0</v>
      </c>
      <c r="K530" s="42">
        <v>47.7</v>
      </c>
      <c r="L530" s="42">
        <v>52.3</v>
      </c>
      <c r="Q530" s="4"/>
    </row>
    <row r="531">
      <c r="A531" s="2"/>
      <c r="B531" s="43">
        <v>523.0</v>
      </c>
      <c r="C531" s="44" t="s">
        <v>32</v>
      </c>
      <c r="D531" s="53" t="s">
        <v>176</v>
      </c>
      <c r="E531" s="53" t="s">
        <v>194</v>
      </c>
      <c r="F531" s="53" t="s">
        <v>196</v>
      </c>
      <c r="G531" s="44" t="s">
        <v>196</v>
      </c>
      <c r="H531" s="45">
        <v>14.0</v>
      </c>
      <c r="I531" s="45">
        <v>14.0</v>
      </c>
      <c r="J531" s="45">
        <v>0.0</v>
      </c>
      <c r="K531" s="45">
        <v>100.0</v>
      </c>
      <c r="L531" s="45">
        <v>0.0</v>
      </c>
      <c r="Q531" s="4"/>
    </row>
    <row r="532">
      <c r="A532" s="2"/>
      <c r="B532" s="38">
        <v>524.0</v>
      </c>
      <c r="C532" s="39" t="s">
        <v>32</v>
      </c>
      <c r="D532" s="39" t="s">
        <v>176</v>
      </c>
      <c r="E532" s="39" t="s">
        <v>194</v>
      </c>
      <c r="F532" s="39" t="s">
        <v>196</v>
      </c>
      <c r="G532" s="41" t="s">
        <v>23</v>
      </c>
      <c r="H532" s="46"/>
      <c r="I532" s="46"/>
      <c r="J532" s="46"/>
      <c r="K532" s="46"/>
      <c r="L532" s="46"/>
      <c r="Q532" s="4"/>
    </row>
    <row r="533">
      <c r="A533" s="2"/>
      <c r="B533" s="38">
        <v>525.0</v>
      </c>
      <c r="C533" s="39" t="s">
        <v>32</v>
      </c>
      <c r="D533" s="39" t="s">
        <v>176</v>
      </c>
      <c r="E533" s="39" t="s">
        <v>194</v>
      </c>
      <c r="F533" s="39" t="s">
        <v>196</v>
      </c>
      <c r="G533" s="41" t="s">
        <v>25</v>
      </c>
      <c r="H533" s="42">
        <v>14.0</v>
      </c>
      <c r="I533" s="42">
        <v>14.0</v>
      </c>
      <c r="J533" s="42">
        <v>0.0</v>
      </c>
      <c r="K533" s="42">
        <v>100.0</v>
      </c>
      <c r="L533" s="42">
        <v>0.0</v>
      </c>
      <c r="Q533" s="4"/>
    </row>
    <row r="534">
      <c r="A534" s="2"/>
      <c r="B534" s="34">
        <v>526.0</v>
      </c>
      <c r="C534" s="35" t="s">
        <v>30</v>
      </c>
      <c r="D534" s="49" t="s">
        <v>176</v>
      </c>
      <c r="E534" s="49" t="s">
        <v>197</v>
      </c>
      <c r="F534" s="50"/>
      <c r="G534" s="35" t="s">
        <v>197</v>
      </c>
      <c r="H534" s="37">
        <v>38.0</v>
      </c>
      <c r="I534" s="37">
        <v>28.0</v>
      </c>
      <c r="J534" s="37">
        <v>10.0</v>
      </c>
      <c r="K534" s="37">
        <v>73.7</v>
      </c>
      <c r="L534" s="37">
        <v>26.3</v>
      </c>
      <c r="Q534" s="4"/>
    </row>
    <row r="535">
      <c r="A535" s="2"/>
      <c r="B535" s="38">
        <v>527.0</v>
      </c>
      <c r="C535" s="39" t="s">
        <v>30</v>
      </c>
      <c r="D535" s="39" t="s">
        <v>176</v>
      </c>
      <c r="E535" s="39" t="s">
        <v>197</v>
      </c>
      <c r="F535" s="40"/>
      <c r="G535" s="41" t="s">
        <v>23</v>
      </c>
      <c r="H535" s="42">
        <v>5.0</v>
      </c>
      <c r="I535" s="42">
        <v>5.0</v>
      </c>
      <c r="J535" s="42">
        <v>0.0</v>
      </c>
      <c r="K535" s="42">
        <v>100.0</v>
      </c>
      <c r="L535" s="42">
        <v>0.0</v>
      </c>
      <c r="Q535" s="4"/>
    </row>
    <row r="536">
      <c r="A536" s="2"/>
      <c r="B536" s="38">
        <v>528.0</v>
      </c>
      <c r="C536" s="39" t="s">
        <v>30</v>
      </c>
      <c r="D536" s="39" t="s">
        <v>176</v>
      </c>
      <c r="E536" s="39" t="s">
        <v>197</v>
      </c>
      <c r="F536" s="40"/>
      <c r="G536" s="41" t="s">
        <v>25</v>
      </c>
      <c r="H536" s="42">
        <v>33.0</v>
      </c>
      <c r="I536" s="42">
        <v>23.0</v>
      </c>
      <c r="J536" s="42">
        <v>10.0</v>
      </c>
      <c r="K536" s="42">
        <v>69.7</v>
      </c>
      <c r="L536" s="42">
        <v>30.3</v>
      </c>
      <c r="Q536" s="4"/>
    </row>
    <row r="537">
      <c r="A537" s="2"/>
      <c r="B537" s="43">
        <v>529.0</v>
      </c>
      <c r="C537" s="44" t="s">
        <v>32</v>
      </c>
      <c r="D537" s="53" t="s">
        <v>176</v>
      </c>
      <c r="E537" s="53" t="s">
        <v>197</v>
      </c>
      <c r="F537" s="53" t="s">
        <v>198</v>
      </c>
      <c r="G537" s="44" t="s">
        <v>198</v>
      </c>
      <c r="H537" s="45">
        <v>9.0</v>
      </c>
      <c r="I537" s="45">
        <v>9.0</v>
      </c>
      <c r="J537" s="45">
        <v>0.0</v>
      </c>
      <c r="K537" s="45">
        <v>100.0</v>
      </c>
      <c r="L537" s="45">
        <v>0.0</v>
      </c>
      <c r="Q537" s="4"/>
    </row>
    <row r="538">
      <c r="A538" s="2"/>
      <c r="B538" s="38">
        <v>530.0</v>
      </c>
      <c r="C538" s="39" t="s">
        <v>32</v>
      </c>
      <c r="D538" s="39" t="s">
        <v>176</v>
      </c>
      <c r="E538" s="39" t="s">
        <v>197</v>
      </c>
      <c r="F538" s="39" t="s">
        <v>198</v>
      </c>
      <c r="G538" s="41" t="s">
        <v>23</v>
      </c>
      <c r="H538" s="42">
        <v>5.0</v>
      </c>
      <c r="I538" s="42">
        <v>5.0</v>
      </c>
      <c r="J538" s="42">
        <v>0.0</v>
      </c>
      <c r="K538" s="42">
        <v>100.0</v>
      </c>
      <c r="L538" s="42">
        <v>0.0</v>
      </c>
      <c r="Q538" s="4"/>
    </row>
    <row r="539">
      <c r="A539" s="2"/>
      <c r="B539" s="38">
        <v>531.0</v>
      </c>
      <c r="C539" s="39" t="s">
        <v>32</v>
      </c>
      <c r="D539" s="39" t="s">
        <v>176</v>
      </c>
      <c r="E539" s="39" t="s">
        <v>197</v>
      </c>
      <c r="F539" s="39" t="s">
        <v>198</v>
      </c>
      <c r="G539" s="41" t="s">
        <v>25</v>
      </c>
      <c r="H539" s="42">
        <v>4.0</v>
      </c>
      <c r="I539" s="42">
        <v>4.0</v>
      </c>
      <c r="J539" s="42">
        <v>0.0</v>
      </c>
      <c r="K539" s="42">
        <v>100.0</v>
      </c>
      <c r="L539" s="42">
        <v>0.0</v>
      </c>
      <c r="Q539" s="4"/>
    </row>
    <row r="540">
      <c r="A540" s="2"/>
      <c r="B540" s="43">
        <v>532.0</v>
      </c>
      <c r="C540" s="44" t="s">
        <v>32</v>
      </c>
      <c r="D540" s="53" t="s">
        <v>176</v>
      </c>
      <c r="E540" s="53" t="s">
        <v>197</v>
      </c>
      <c r="F540" s="53" t="s">
        <v>199</v>
      </c>
      <c r="G540" s="44" t="s">
        <v>199</v>
      </c>
      <c r="H540" s="45">
        <v>5.0</v>
      </c>
      <c r="I540" s="45">
        <v>1.0</v>
      </c>
      <c r="J540" s="45">
        <v>4.0</v>
      </c>
      <c r="K540" s="45">
        <v>20.0</v>
      </c>
      <c r="L540" s="45">
        <v>80.0</v>
      </c>
      <c r="Q540" s="4"/>
    </row>
    <row r="541">
      <c r="A541" s="2"/>
      <c r="B541" s="38">
        <v>533.0</v>
      </c>
      <c r="C541" s="39" t="s">
        <v>32</v>
      </c>
      <c r="D541" s="39" t="s">
        <v>176</v>
      </c>
      <c r="E541" s="39" t="s">
        <v>197</v>
      </c>
      <c r="F541" s="39" t="s">
        <v>199</v>
      </c>
      <c r="G541" s="41" t="s">
        <v>23</v>
      </c>
      <c r="H541" s="46"/>
      <c r="I541" s="46"/>
      <c r="J541" s="46"/>
      <c r="K541" s="46"/>
      <c r="L541" s="46"/>
      <c r="Q541" s="4"/>
    </row>
    <row r="542">
      <c r="A542" s="2"/>
      <c r="B542" s="38">
        <v>534.0</v>
      </c>
      <c r="C542" s="39" t="s">
        <v>32</v>
      </c>
      <c r="D542" s="39" t="s">
        <v>176</v>
      </c>
      <c r="E542" s="39" t="s">
        <v>197</v>
      </c>
      <c r="F542" s="39" t="s">
        <v>199</v>
      </c>
      <c r="G542" s="41" t="s">
        <v>25</v>
      </c>
      <c r="H542" s="42">
        <v>5.0</v>
      </c>
      <c r="I542" s="42">
        <v>1.0</v>
      </c>
      <c r="J542" s="42">
        <v>4.0</v>
      </c>
      <c r="K542" s="42">
        <v>20.0</v>
      </c>
      <c r="L542" s="42">
        <v>80.0</v>
      </c>
      <c r="Q542" s="4"/>
    </row>
    <row r="543">
      <c r="A543" s="2"/>
      <c r="B543" s="43">
        <v>535.0</v>
      </c>
      <c r="C543" s="44" t="s">
        <v>32</v>
      </c>
      <c r="D543" s="53" t="s">
        <v>176</v>
      </c>
      <c r="E543" s="53" t="s">
        <v>197</v>
      </c>
      <c r="F543" s="53" t="s">
        <v>200</v>
      </c>
      <c r="G543" s="44" t="s">
        <v>200</v>
      </c>
      <c r="H543" s="45">
        <v>24.0</v>
      </c>
      <c r="I543" s="45">
        <v>18.0</v>
      </c>
      <c r="J543" s="45">
        <v>6.0</v>
      </c>
      <c r="K543" s="45">
        <v>75.0</v>
      </c>
      <c r="L543" s="45">
        <v>25.0</v>
      </c>
      <c r="Q543" s="4"/>
    </row>
    <row r="544">
      <c r="A544" s="2"/>
      <c r="B544" s="38">
        <v>536.0</v>
      </c>
      <c r="C544" s="39" t="s">
        <v>32</v>
      </c>
      <c r="D544" s="39" t="s">
        <v>176</v>
      </c>
      <c r="E544" s="39" t="s">
        <v>197</v>
      </c>
      <c r="F544" s="39" t="s">
        <v>200</v>
      </c>
      <c r="G544" s="41" t="s">
        <v>23</v>
      </c>
      <c r="H544" s="42">
        <v>0.0</v>
      </c>
      <c r="I544" s="42">
        <v>0.0</v>
      </c>
      <c r="J544" s="42">
        <v>0.0</v>
      </c>
      <c r="K544" s="42">
        <v>0.0</v>
      </c>
      <c r="L544" s="42">
        <v>0.0</v>
      </c>
      <c r="Q544" s="4"/>
    </row>
    <row r="545">
      <c r="A545" s="2"/>
      <c r="B545" s="38">
        <v>537.0</v>
      </c>
      <c r="C545" s="39" t="s">
        <v>32</v>
      </c>
      <c r="D545" s="39" t="s">
        <v>176</v>
      </c>
      <c r="E545" s="39" t="s">
        <v>197</v>
      </c>
      <c r="F545" s="39" t="s">
        <v>200</v>
      </c>
      <c r="G545" s="41" t="s">
        <v>25</v>
      </c>
      <c r="H545" s="42">
        <v>24.0</v>
      </c>
      <c r="I545" s="42">
        <v>18.0</v>
      </c>
      <c r="J545" s="42">
        <v>6.0</v>
      </c>
      <c r="K545" s="42">
        <v>75.0</v>
      </c>
      <c r="L545" s="42">
        <v>25.0</v>
      </c>
      <c r="Q545" s="4"/>
    </row>
    <row r="546">
      <c r="A546" s="2"/>
      <c r="B546" s="34">
        <v>538.0</v>
      </c>
      <c r="C546" s="35" t="s">
        <v>30</v>
      </c>
      <c r="D546" s="49" t="s">
        <v>176</v>
      </c>
      <c r="E546" s="49" t="s">
        <v>201</v>
      </c>
      <c r="F546" s="50"/>
      <c r="G546" s="35" t="s">
        <v>201</v>
      </c>
      <c r="H546" s="37">
        <v>650.0</v>
      </c>
      <c r="I546" s="37">
        <v>52.0</v>
      </c>
      <c r="J546" s="37">
        <v>598.0</v>
      </c>
      <c r="K546" s="37">
        <v>8.0</v>
      </c>
      <c r="L546" s="37">
        <v>92.0</v>
      </c>
      <c r="Q546" s="4"/>
    </row>
    <row r="547">
      <c r="A547" s="2"/>
      <c r="B547" s="38">
        <v>539.0</v>
      </c>
      <c r="C547" s="39" t="s">
        <v>30</v>
      </c>
      <c r="D547" s="39" t="s">
        <v>176</v>
      </c>
      <c r="E547" s="39" t="s">
        <v>201</v>
      </c>
      <c r="F547" s="40"/>
      <c r="G547" s="41" t="s">
        <v>23</v>
      </c>
      <c r="H547" s="42">
        <v>607.0</v>
      </c>
      <c r="I547" s="42">
        <v>39.0</v>
      </c>
      <c r="J547" s="42">
        <v>568.0</v>
      </c>
      <c r="K547" s="42">
        <v>6.4</v>
      </c>
      <c r="L547" s="42">
        <v>93.6</v>
      </c>
      <c r="Q547" s="4"/>
    </row>
    <row r="548">
      <c r="A548" s="2"/>
      <c r="B548" s="38">
        <v>540.0</v>
      </c>
      <c r="C548" s="39" t="s">
        <v>30</v>
      </c>
      <c r="D548" s="39" t="s">
        <v>176</v>
      </c>
      <c r="E548" s="39" t="s">
        <v>201</v>
      </c>
      <c r="F548" s="40"/>
      <c r="G548" s="41" t="s">
        <v>25</v>
      </c>
      <c r="H548" s="42">
        <v>43.0</v>
      </c>
      <c r="I548" s="42">
        <v>13.0</v>
      </c>
      <c r="J548" s="42">
        <v>30.0</v>
      </c>
      <c r="K548" s="42">
        <v>30.2</v>
      </c>
      <c r="L548" s="42">
        <v>69.8</v>
      </c>
      <c r="Q548" s="4"/>
    </row>
    <row r="549">
      <c r="A549" s="2"/>
      <c r="B549" s="43">
        <v>541.0</v>
      </c>
      <c r="C549" s="44" t="s">
        <v>32</v>
      </c>
      <c r="D549" s="53" t="s">
        <v>176</v>
      </c>
      <c r="E549" s="53" t="s">
        <v>201</v>
      </c>
      <c r="F549" s="53" t="s">
        <v>201</v>
      </c>
      <c r="G549" s="44" t="s">
        <v>201</v>
      </c>
      <c r="H549" s="45">
        <v>101.0</v>
      </c>
      <c r="I549" s="45">
        <v>39.0</v>
      </c>
      <c r="J549" s="45">
        <v>62.0</v>
      </c>
      <c r="K549" s="45">
        <v>38.6</v>
      </c>
      <c r="L549" s="45">
        <v>61.4</v>
      </c>
      <c r="Q549" s="4"/>
    </row>
    <row r="550">
      <c r="A550" s="2"/>
      <c r="B550" s="38">
        <v>542.0</v>
      </c>
      <c r="C550" s="39" t="s">
        <v>32</v>
      </c>
      <c r="D550" s="39" t="s">
        <v>176</v>
      </c>
      <c r="E550" s="39" t="s">
        <v>201</v>
      </c>
      <c r="F550" s="39" t="s">
        <v>201</v>
      </c>
      <c r="G550" s="41" t="s">
        <v>23</v>
      </c>
      <c r="H550" s="42">
        <v>75.0</v>
      </c>
      <c r="I550" s="42">
        <v>33.0</v>
      </c>
      <c r="J550" s="42">
        <v>42.0</v>
      </c>
      <c r="K550" s="42">
        <v>44.0</v>
      </c>
      <c r="L550" s="42">
        <v>56.0</v>
      </c>
      <c r="Q550" s="4"/>
    </row>
    <row r="551">
      <c r="A551" s="2"/>
      <c r="B551" s="38">
        <v>543.0</v>
      </c>
      <c r="C551" s="39" t="s">
        <v>32</v>
      </c>
      <c r="D551" s="39" t="s">
        <v>176</v>
      </c>
      <c r="E551" s="39" t="s">
        <v>201</v>
      </c>
      <c r="F551" s="39" t="s">
        <v>201</v>
      </c>
      <c r="G551" s="41" t="s">
        <v>25</v>
      </c>
      <c r="H551" s="42">
        <v>26.0</v>
      </c>
      <c r="I551" s="42">
        <v>6.0</v>
      </c>
      <c r="J551" s="42">
        <v>20.0</v>
      </c>
      <c r="K551" s="42">
        <v>23.1</v>
      </c>
      <c r="L551" s="42">
        <v>76.9</v>
      </c>
      <c r="Q551" s="4"/>
    </row>
    <row r="552">
      <c r="A552" s="2"/>
      <c r="B552" s="43">
        <v>544.0</v>
      </c>
      <c r="C552" s="44" t="s">
        <v>32</v>
      </c>
      <c r="D552" s="53" t="s">
        <v>176</v>
      </c>
      <c r="E552" s="53" t="s">
        <v>201</v>
      </c>
      <c r="F552" s="53" t="s">
        <v>202</v>
      </c>
      <c r="G552" s="44" t="s">
        <v>202</v>
      </c>
      <c r="H552" s="45">
        <v>78.0</v>
      </c>
      <c r="I552" s="45">
        <v>6.0</v>
      </c>
      <c r="J552" s="45">
        <v>72.0</v>
      </c>
      <c r="K552" s="45">
        <v>7.7</v>
      </c>
      <c r="L552" s="45">
        <v>92.3</v>
      </c>
      <c r="Q552" s="4"/>
    </row>
    <row r="553">
      <c r="A553" s="2"/>
      <c r="B553" s="38">
        <v>545.0</v>
      </c>
      <c r="C553" s="39" t="s">
        <v>32</v>
      </c>
      <c r="D553" s="39" t="s">
        <v>176</v>
      </c>
      <c r="E553" s="39" t="s">
        <v>201</v>
      </c>
      <c r="F553" s="39" t="s">
        <v>202</v>
      </c>
      <c r="G553" s="41" t="s">
        <v>23</v>
      </c>
      <c r="H553" s="42">
        <v>65.0</v>
      </c>
      <c r="I553" s="42">
        <v>1.0</v>
      </c>
      <c r="J553" s="42">
        <v>64.0</v>
      </c>
      <c r="K553" s="42">
        <v>1.5</v>
      </c>
      <c r="L553" s="42">
        <v>98.5</v>
      </c>
      <c r="Q553" s="4"/>
    </row>
    <row r="554">
      <c r="A554" s="2"/>
      <c r="B554" s="38">
        <v>546.0</v>
      </c>
      <c r="C554" s="39" t="s">
        <v>32</v>
      </c>
      <c r="D554" s="39" t="s">
        <v>176</v>
      </c>
      <c r="E554" s="39" t="s">
        <v>201</v>
      </c>
      <c r="F554" s="39" t="s">
        <v>202</v>
      </c>
      <c r="G554" s="41" t="s">
        <v>25</v>
      </c>
      <c r="H554" s="42">
        <v>13.0</v>
      </c>
      <c r="I554" s="42">
        <v>5.0</v>
      </c>
      <c r="J554" s="42">
        <v>8.0</v>
      </c>
      <c r="K554" s="42">
        <v>38.5</v>
      </c>
      <c r="L554" s="42">
        <v>61.5</v>
      </c>
      <c r="Q554" s="4"/>
    </row>
    <row r="555">
      <c r="A555" s="2"/>
      <c r="B555" s="43">
        <v>547.0</v>
      </c>
      <c r="C555" s="44" t="s">
        <v>32</v>
      </c>
      <c r="D555" s="53" t="s">
        <v>176</v>
      </c>
      <c r="E555" s="53" t="s">
        <v>201</v>
      </c>
      <c r="F555" s="53" t="s">
        <v>203</v>
      </c>
      <c r="G555" s="44" t="s">
        <v>203</v>
      </c>
      <c r="H555" s="45">
        <v>30.0</v>
      </c>
      <c r="I555" s="45">
        <v>0.0</v>
      </c>
      <c r="J555" s="45">
        <v>30.0</v>
      </c>
      <c r="K555" s="45">
        <v>0.0</v>
      </c>
      <c r="L555" s="45">
        <v>100.0</v>
      </c>
      <c r="Q555" s="4"/>
    </row>
    <row r="556">
      <c r="A556" s="2"/>
      <c r="B556" s="38">
        <v>548.0</v>
      </c>
      <c r="C556" s="39" t="s">
        <v>32</v>
      </c>
      <c r="D556" s="39" t="s">
        <v>176</v>
      </c>
      <c r="E556" s="39" t="s">
        <v>201</v>
      </c>
      <c r="F556" s="39" t="s">
        <v>203</v>
      </c>
      <c r="G556" s="41" t="s">
        <v>23</v>
      </c>
      <c r="H556" s="42">
        <v>29.0</v>
      </c>
      <c r="I556" s="42">
        <v>0.0</v>
      </c>
      <c r="J556" s="42">
        <v>29.0</v>
      </c>
      <c r="K556" s="42">
        <v>0.0</v>
      </c>
      <c r="L556" s="42">
        <v>100.0</v>
      </c>
      <c r="Q556" s="4"/>
    </row>
    <row r="557">
      <c r="A557" s="2"/>
      <c r="B557" s="38">
        <v>549.0</v>
      </c>
      <c r="C557" s="39" t="s">
        <v>32</v>
      </c>
      <c r="D557" s="39" t="s">
        <v>176</v>
      </c>
      <c r="E557" s="39" t="s">
        <v>201</v>
      </c>
      <c r="F557" s="39" t="s">
        <v>203</v>
      </c>
      <c r="G557" s="41" t="s">
        <v>25</v>
      </c>
      <c r="H557" s="42">
        <v>1.0</v>
      </c>
      <c r="I557" s="42">
        <v>0.0</v>
      </c>
      <c r="J557" s="42">
        <v>1.0</v>
      </c>
      <c r="K557" s="42">
        <v>0.0</v>
      </c>
      <c r="L557" s="42">
        <v>100.0</v>
      </c>
      <c r="Q557" s="4"/>
    </row>
    <row r="558">
      <c r="A558" s="2"/>
      <c r="B558" s="43">
        <v>550.0</v>
      </c>
      <c r="C558" s="44" t="s">
        <v>32</v>
      </c>
      <c r="D558" s="53" t="s">
        <v>176</v>
      </c>
      <c r="E558" s="53" t="s">
        <v>201</v>
      </c>
      <c r="F558" s="53" t="s">
        <v>204</v>
      </c>
      <c r="G558" s="44" t="s">
        <v>204</v>
      </c>
      <c r="H558" s="45">
        <v>415.0</v>
      </c>
      <c r="I558" s="45">
        <v>4.0</v>
      </c>
      <c r="J558" s="45">
        <v>411.0</v>
      </c>
      <c r="K558" s="45">
        <v>1.0</v>
      </c>
      <c r="L558" s="45">
        <v>99.0</v>
      </c>
      <c r="Q558" s="4"/>
    </row>
    <row r="559">
      <c r="A559" s="2"/>
      <c r="B559" s="38">
        <v>551.0</v>
      </c>
      <c r="C559" s="39" t="s">
        <v>32</v>
      </c>
      <c r="D559" s="39" t="s">
        <v>176</v>
      </c>
      <c r="E559" s="39" t="s">
        <v>201</v>
      </c>
      <c r="F559" s="39" t="s">
        <v>204</v>
      </c>
      <c r="G559" s="41" t="s">
        <v>23</v>
      </c>
      <c r="H559" s="42">
        <v>412.0</v>
      </c>
      <c r="I559" s="42">
        <v>2.0</v>
      </c>
      <c r="J559" s="42">
        <v>410.0</v>
      </c>
      <c r="K559" s="42">
        <v>0.5</v>
      </c>
      <c r="L559" s="42">
        <v>99.5</v>
      </c>
      <c r="Q559" s="4"/>
    </row>
    <row r="560">
      <c r="A560" s="2"/>
      <c r="B560" s="38">
        <v>552.0</v>
      </c>
      <c r="C560" s="39" t="s">
        <v>32</v>
      </c>
      <c r="D560" s="39" t="s">
        <v>176</v>
      </c>
      <c r="E560" s="39" t="s">
        <v>201</v>
      </c>
      <c r="F560" s="39" t="s">
        <v>204</v>
      </c>
      <c r="G560" s="41" t="s">
        <v>25</v>
      </c>
      <c r="H560" s="42">
        <v>3.0</v>
      </c>
      <c r="I560" s="42">
        <v>2.0</v>
      </c>
      <c r="J560" s="42">
        <v>1.0</v>
      </c>
      <c r="K560" s="42">
        <v>66.7</v>
      </c>
      <c r="L560" s="42">
        <v>33.3</v>
      </c>
      <c r="Q560" s="4"/>
    </row>
    <row r="561">
      <c r="A561" s="2"/>
      <c r="B561" s="43">
        <v>553.0</v>
      </c>
      <c r="C561" s="44" t="s">
        <v>32</v>
      </c>
      <c r="D561" s="53" t="s">
        <v>176</v>
      </c>
      <c r="E561" s="53" t="s">
        <v>201</v>
      </c>
      <c r="F561" s="53" t="s">
        <v>205</v>
      </c>
      <c r="G561" s="44" t="s">
        <v>205</v>
      </c>
      <c r="H561" s="45">
        <v>26.0</v>
      </c>
      <c r="I561" s="45">
        <v>3.0</v>
      </c>
      <c r="J561" s="45">
        <v>23.0</v>
      </c>
      <c r="K561" s="45">
        <v>11.5</v>
      </c>
      <c r="L561" s="45">
        <v>88.5</v>
      </c>
      <c r="Q561" s="4"/>
    </row>
    <row r="562">
      <c r="A562" s="2"/>
      <c r="B562" s="38">
        <v>554.0</v>
      </c>
      <c r="C562" s="39" t="s">
        <v>32</v>
      </c>
      <c r="D562" s="39" t="s">
        <v>176</v>
      </c>
      <c r="E562" s="39" t="s">
        <v>201</v>
      </c>
      <c r="F562" s="39" t="s">
        <v>205</v>
      </c>
      <c r="G562" s="41" t="s">
        <v>23</v>
      </c>
      <c r="H562" s="42">
        <v>26.0</v>
      </c>
      <c r="I562" s="42">
        <v>3.0</v>
      </c>
      <c r="J562" s="42">
        <v>23.0</v>
      </c>
      <c r="K562" s="42">
        <v>11.5</v>
      </c>
      <c r="L562" s="42">
        <v>88.5</v>
      </c>
      <c r="Q562" s="4"/>
    </row>
    <row r="563">
      <c r="A563" s="2"/>
      <c r="B563" s="38">
        <v>555.0</v>
      </c>
      <c r="C563" s="39" t="s">
        <v>32</v>
      </c>
      <c r="D563" s="39" t="s">
        <v>176</v>
      </c>
      <c r="E563" s="39" t="s">
        <v>201</v>
      </c>
      <c r="F563" s="39" t="s">
        <v>205</v>
      </c>
      <c r="G563" s="41" t="s">
        <v>25</v>
      </c>
      <c r="H563" s="46"/>
      <c r="I563" s="46"/>
      <c r="J563" s="46"/>
      <c r="K563" s="46"/>
      <c r="L563" s="46"/>
      <c r="Q563" s="4"/>
    </row>
    <row r="564">
      <c r="A564" s="2"/>
      <c r="B564" s="34">
        <v>556.0</v>
      </c>
      <c r="C564" s="35" t="s">
        <v>30</v>
      </c>
      <c r="D564" s="49" t="s">
        <v>176</v>
      </c>
      <c r="E564" s="49" t="s">
        <v>206</v>
      </c>
      <c r="F564" s="50"/>
      <c r="G564" s="35" t="s">
        <v>206</v>
      </c>
      <c r="H564" s="37">
        <v>958.0</v>
      </c>
      <c r="I564" s="37">
        <v>210.0</v>
      </c>
      <c r="J564" s="37">
        <v>748.0</v>
      </c>
      <c r="K564" s="37">
        <v>21.9</v>
      </c>
      <c r="L564" s="37">
        <v>78.1</v>
      </c>
      <c r="Q564" s="4"/>
    </row>
    <row r="565">
      <c r="A565" s="2"/>
      <c r="B565" s="38">
        <v>557.0</v>
      </c>
      <c r="C565" s="39" t="s">
        <v>30</v>
      </c>
      <c r="D565" s="39" t="s">
        <v>176</v>
      </c>
      <c r="E565" s="39" t="s">
        <v>206</v>
      </c>
      <c r="F565" s="40"/>
      <c r="G565" s="41" t="s">
        <v>23</v>
      </c>
      <c r="H565" s="42">
        <v>446.0</v>
      </c>
      <c r="I565" s="42">
        <v>109.0</v>
      </c>
      <c r="J565" s="42">
        <v>337.0</v>
      </c>
      <c r="K565" s="42">
        <v>24.4</v>
      </c>
      <c r="L565" s="42">
        <v>75.6</v>
      </c>
      <c r="Q565" s="4"/>
    </row>
    <row r="566">
      <c r="A566" s="2"/>
      <c r="B566" s="38">
        <v>558.0</v>
      </c>
      <c r="C566" s="39" t="s">
        <v>30</v>
      </c>
      <c r="D566" s="39" t="s">
        <v>176</v>
      </c>
      <c r="E566" s="39" t="s">
        <v>206</v>
      </c>
      <c r="F566" s="40"/>
      <c r="G566" s="41" t="s">
        <v>25</v>
      </c>
      <c r="H566" s="42">
        <v>512.0</v>
      </c>
      <c r="I566" s="42">
        <v>101.0</v>
      </c>
      <c r="J566" s="42">
        <v>411.0</v>
      </c>
      <c r="K566" s="42">
        <v>19.7</v>
      </c>
      <c r="L566" s="42">
        <v>80.3</v>
      </c>
      <c r="Q566" s="4"/>
    </row>
    <row r="567">
      <c r="A567" s="2"/>
      <c r="B567" s="43">
        <v>559.0</v>
      </c>
      <c r="C567" s="44" t="s">
        <v>32</v>
      </c>
      <c r="D567" s="53" t="s">
        <v>176</v>
      </c>
      <c r="E567" s="53" t="s">
        <v>206</v>
      </c>
      <c r="F567" s="53" t="s">
        <v>207</v>
      </c>
      <c r="G567" s="44" t="s">
        <v>207</v>
      </c>
      <c r="H567" s="45">
        <v>445.0</v>
      </c>
      <c r="I567" s="45">
        <v>120.0</v>
      </c>
      <c r="J567" s="45">
        <v>325.0</v>
      </c>
      <c r="K567" s="45">
        <v>27.0</v>
      </c>
      <c r="L567" s="45">
        <v>73.0</v>
      </c>
      <c r="Q567" s="4"/>
    </row>
    <row r="568">
      <c r="A568" s="2"/>
      <c r="B568" s="38">
        <v>560.0</v>
      </c>
      <c r="C568" s="39" t="s">
        <v>32</v>
      </c>
      <c r="D568" s="39" t="s">
        <v>176</v>
      </c>
      <c r="E568" s="39" t="s">
        <v>206</v>
      </c>
      <c r="F568" s="39" t="s">
        <v>207</v>
      </c>
      <c r="G568" s="41" t="s">
        <v>23</v>
      </c>
      <c r="H568" s="42">
        <v>356.0</v>
      </c>
      <c r="I568" s="42">
        <v>95.0</v>
      </c>
      <c r="J568" s="42">
        <v>261.0</v>
      </c>
      <c r="K568" s="42">
        <v>26.7</v>
      </c>
      <c r="L568" s="42">
        <v>73.3</v>
      </c>
      <c r="Q568" s="4"/>
    </row>
    <row r="569">
      <c r="A569" s="2"/>
      <c r="B569" s="38">
        <v>561.0</v>
      </c>
      <c r="C569" s="39" t="s">
        <v>32</v>
      </c>
      <c r="D569" s="39" t="s">
        <v>176</v>
      </c>
      <c r="E569" s="39" t="s">
        <v>206</v>
      </c>
      <c r="F569" s="39" t="s">
        <v>207</v>
      </c>
      <c r="G569" s="41" t="s">
        <v>25</v>
      </c>
      <c r="H569" s="42">
        <v>89.0</v>
      </c>
      <c r="I569" s="42">
        <v>25.0</v>
      </c>
      <c r="J569" s="42">
        <v>64.0</v>
      </c>
      <c r="K569" s="42">
        <v>28.1</v>
      </c>
      <c r="L569" s="42">
        <v>71.9</v>
      </c>
      <c r="Q569" s="4"/>
    </row>
    <row r="570">
      <c r="A570" s="2"/>
      <c r="B570" s="43">
        <v>562.0</v>
      </c>
      <c r="C570" s="44" t="s">
        <v>32</v>
      </c>
      <c r="D570" s="53" t="s">
        <v>176</v>
      </c>
      <c r="E570" s="53" t="s">
        <v>206</v>
      </c>
      <c r="F570" s="53" t="s">
        <v>208</v>
      </c>
      <c r="G570" s="44" t="s">
        <v>208</v>
      </c>
      <c r="H570" s="45">
        <v>85.0</v>
      </c>
      <c r="I570" s="45">
        <v>9.0</v>
      </c>
      <c r="J570" s="45">
        <v>76.0</v>
      </c>
      <c r="K570" s="45">
        <v>10.6</v>
      </c>
      <c r="L570" s="45">
        <v>89.4</v>
      </c>
      <c r="Q570" s="4"/>
    </row>
    <row r="571">
      <c r="A571" s="2"/>
      <c r="B571" s="38">
        <v>563.0</v>
      </c>
      <c r="C571" s="39" t="s">
        <v>32</v>
      </c>
      <c r="D571" s="39" t="s">
        <v>176</v>
      </c>
      <c r="E571" s="39" t="s">
        <v>206</v>
      </c>
      <c r="F571" s="39" t="s">
        <v>208</v>
      </c>
      <c r="G571" s="41" t="s">
        <v>23</v>
      </c>
      <c r="H571" s="42">
        <v>39.0</v>
      </c>
      <c r="I571" s="42">
        <v>0.0</v>
      </c>
      <c r="J571" s="42">
        <v>39.0</v>
      </c>
      <c r="K571" s="42">
        <v>0.0</v>
      </c>
      <c r="L571" s="42">
        <v>100.0</v>
      </c>
      <c r="Q571" s="4"/>
    </row>
    <row r="572">
      <c r="A572" s="2"/>
      <c r="B572" s="38">
        <v>564.0</v>
      </c>
      <c r="C572" s="39" t="s">
        <v>32</v>
      </c>
      <c r="D572" s="39" t="s">
        <v>176</v>
      </c>
      <c r="E572" s="39" t="s">
        <v>206</v>
      </c>
      <c r="F572" s="39" t="s">
        <v>208</v>
      </c>
      <c r="G572" s="41" t="s">
        <v>25</v>
      </c>
      <c r="H572" s="42">
        <v>46.0</v>
      </c>
      <c r="I572" s="42">
        <v>9.0</v>
      </c>
      <c r="J572" s="42">
        <v>37.0</v>
      </c>
      <c r="K572" s="42">
        <v>19.6</v>
      </c>
      <c r="L572" s="42">
        <v>80.4</v>
      </c>
      <c r="Q572" s="4"/>
    </row>
    <row r="573">
      <c r="A573" s="2"/>
      <c r="B573" s="43">
        <v>565.0</v>
      </c>
      <c r="C573" s="44" t="s">
        <v>32</v>
      </c>
      <c r="D573" s="53" t="s">
        <v>176</v>
      </c>
      <c r="E573" s="53" t="s">
        <v>206</v>
      </c>
      <c r="F573" s="53" t="s">
        <v>209</v>
      </c>
      <c r="G573" s="44" t="s">
        <v>209</v>
      </c>
      <c r="H573" s="45">
        <v>428.0</v>
      </c>
      <c r="I573" s="45">
        <v>81.0</v>
      </c>
      <c r="J573" s="45">
        <v>347.0</v>
      </c>
      <c r="K573" s="45">
        <v>18.9</v>
      </c>
      <c r="L573" s="45">
        <v>81.1</v>
      </c>
      <c r="Q573" s="4"/>
    </row>
    <row r="574">
      <c r="A574" s="2"/>
      <c r="B574" s="38">
        <v>566.0</v>
      </c>
      <c r="C574" s="39" t="s">
        <v>32</v>
      </c>
      <c r="D574" s="39" t="s">
        <v>176</v>
      </c>
      <c r="E574" s="39" t="s">
        <v>206</v>
      </c>
      <c r="F574" s="39" t="s">
        <v>209</v>
      </c>
      <c r="G574" s="41" t="s">
        <v>23</v>
      </c>
      <c r="H574" s="42">
        <v>51.0</v>
      </c>
      <c r="I574" s="42">
        <v>14.0</v>
      </c>
      <c r="J574" s="42">
        <v>37.0</v>
      </c>
      <c r="K574" s="42">
        <v>27.5</v>
      </c>
      <c r="L574" s="42">
        <v>72.5</v>
      </c>
      <c r="Q574" s="4"/>
    </row>
    <row r="575">
      <c r="A575" s="2"/>
      <c r="B575" s="38">
        <v>567.0</v>
      </c>
      <c r="C575" s="39" t="s">
        <v>32</v>
      </c>
      <c r="D575" s="39" t="s">
        <v>176</v>
      </c>
      <c r="E575" s="39" t="s">
        <v>206</v>
      </c>
      <c r="F575" s="39" t="s">
        <v>209</v>
      </c>
      <c r="G575" s="41" t="s">
        <v>25</v>
      </c>
      <c r="H575" s="42">
        <v>377.0</v>
      </c>
      <c r="I575" s="42">
        <v>67.0</v>
      </c>
      <c r="J575" s="42">
        <v>310.0</v>
      </c>
      <c r="K575" s="42">
        <v>17.8</v>
      </c>
      <c r="L575" s="42">
        <v>82.2</v>
      </c>
      <c r="Q575" s="4"/>
    </row>
    <row r="576">
      <c r="A576" s="2"/>
      <c r="B576" s="34">
        <v>568.0</v>
      </c>
      <c r="C576" s="35" t="s">
        <v>30</v>
      </c>
      <c r="D576" s="49" t="s">
        <v>176</v>
      </c>
      <c r="E576" s="49" t="s">
        <v>210</v>
      </c>
      <c r="F576" s="50"/>
      <c r="G576" s="35" t="s">
        <v>210</v>
      </c>
      <c r="H576" s="37">
        <v>65.0</v>
      </c>
      <c r="I576" s="37">
        <v>40.0</v>
      </c>
      <c r="J576" s="37">
        <v>25.0</v>
      </c>
      <c r="K576" s="37">
        <v>61.5</v>
      </c>
      <c r="L576" s="37">
        <v>38.5</v>
      </c>
      <c r="Q576" s="4"/>
    </row>
    <row r="577">
      <c r="A577" s="2"/>
      <c r="B577" s="38">
        <v>569.0</v>
      </c>
      <c r="C577" s="39" t="s">
        <v>30</v>
      </c>
      <c r="D577" s="39" t="s">
        <v>176</v>
      </c>
      <c r="E577" s="39" t="s">
        <v>210</v>
      </c>
      <c r="F577" s="40"/>
      <c r="G577" s="41" t="s">
        <v>23</v>
      </c>
      <c r="H577" s="46"/>
      <c r="I577" s="46"/>
      <c r="J577" s="46"/>
      <c r="K577" s="46"/>
      <c r="L577" s="46"/>
      <c r="Q577" s="4"/>
    </row>
    <row r="578">
      <c r="A578" s="2"/>
      <c r="B578" s="38">
        <v>570.0</v>
      </c>
      <c r="C578" s="39" t="s">
        <v>30</v>
      </c>
      <c r="D578" s="39" t="s">
        <v>176</v>
      </c>
      <c r="E578" s="39" t="s">
        <v>210</v>
      </c>
      <c r="F578" s="40"/>
      <c r="G578" s="41" t="s">
        <v>25</v>
      </c>
      <c r="H578" s="42">
        <v>65.0</v>
      </c>
      <c r="I578" s="42">
        <v>40.0</v>
      </c>
      <c r="J578" s="42">
        <v>25.0</v>
      </c>
      <c r="K578" s="42">
        <v>61.5</v>
      </c>
      <c r="L578" s="42">
        <v>38.5</v>
      </c>
      <c r="Q578" s="4"/>
    </row>
    <row r="579">
      <c r="A579" s="2"/>
      <c r="B579" s="43">
        <v>571.0</v>
      </c>
      <c r="C579" s="44" t="s">
        <v>32</v>
      </c>
      <c r="D579" s="53" t="s">
        <v>176</v>
      </c>
      <c r="E579" s="53" t="s">
        <v>210</v>
      </c>
      <c r="F579" s="53" t="s">
        <v>210</v>
      </c>
      <c r="G579" s="44" t="s">
        <v>210</v>
      </c>
      <c r="H579" s="45">
        <v>65.0</v>
      </c>
      <c r="I579" s="45">
        <v>40.0</v>
      </c>
      <c r="J579" s="45">
        <v>25.0</v>
      </c>
      <c r="K579" s="45">
        <v>61.5</v>
      </c>
      <c r="L579" s="45">
        <v>38.5</v>
      </c>
      <c r="Q579" s="4"/>
    </row>
    <row r="580">
      <c r="A580" s="2"/>
      <c r="B580" s="38">
        <v>572.0</v>
      </c>
      <c r="C580" s="39" t="s">
        <v>32</v>
      </c>
      <c r="D580" s="39" t="s">
        <v>176</v>
      </c>
      <c r="E580" s="39" t="s">
        <v>210</v>
      </c>
      <c r="F580" s="39" t="s">
        <v>210</v>
      </c>
      <c r="G580" s="41" t="s">
        <v>23</v>
      </c>
      <c r="H580" s="46"/>
      <c r="I580" s="46"/>
      <c r="J580" s="46"/>
      <c r="K580" s="46"/>
      <c r="L580" s="46"/>
      <c r="Q580" s="4"/>
    </row>
    <row r="581">
      <c r="A581" s="2"/>
      <c r="B581" s="38">
        <v>573.0</v>
      </c>
      <c r="C581" s="39" t="s">
        <v>32</v>
      </c>
      <c r="D581" s="39" t="s">
        <v>176</v>
      </c>
      <c r="E581" s="39" t="s">
        <v>210</v>
      </c>
      <c r="F581" s="39" t="s">
        <v>210</v>
      </c>
      <c r="G581" s="41" t="s">
        <v>25</v>
      </c>
      <c r="H581" s="42">
        <v>65.0</v>
      </c>
      <c r="I581" s="42">
        <v>40.0</v>
      </c>
      <c r="J581" s="42">
        <v>25.0</v>
      </c>
      <c r="K581" s="42">
        <v>61.5</v>
      </c>
      <c r="L581" s="42">
        <v>38.5</v>
      </c>
      <c r="Q581" s="4"/>
    </row>
    <row r="582">
      <c r="A582" s="2"/>
      <c r="B582" s="34">
        <v>574.0</v>
      </c>
      <c r="C582" s="35" t="s">
        <v>30</v>
      </c>
      <c r="D582" s="49" t="s">
        <v>176</v>
      </c>
      <c r="E582" s="49" t="s">
        <v>211</v>
      </c>
      <c r="F582" s="50"/>
      <c r="G582" s="35" t="s">
        <v>211</v>
      </c>
      <c r="H582" s="51">
        <v>1293.0</v>
      </c>
      <c r="I582" s="37">
        <v>290.0</v>
      </c>
      <c r="J582" s="51">
        <v>1003.0</v>
      </c>
      <c r="K582" s="37">
        <v>22.4</v>
      </c>
      <c r="L582" s="37">
        <v>77.6</v>
      </c>
      <c r="Q582" s="4"/>
    </row>
    <row r="583">
      <c r="A583" s="2"/>
      <c r="B583" s="38">
        <v>575.0</v>
      </c>
      <c r="C583" s="39" t="s">
        <v>30</v>
      </c>
      <c r="D583" s="39" t="s">
        <v>176</v>
      </c>
      <c r="E583" s="39" t="s">
        <v>211</v>
      </c>
      <c r="F583" s="40"/>
      <c r="G583" s="41" t="s">
        <v>23</v>
      </c>
      <c r="H583" s="42">
        <v>944.0</v>
      </c>
      <c r="I583" s="42">
        <v>221.0</v>
      </c>
      <c r="J583" s="42">
        <v>723.0</v>
      </c>
      <c r="K583" s="42">
        <v>23.4</v>
      </c>
      <c r="L583" s="42">
        <v>76.6</v>
      </c>
      <c r="Q583" s="4"/>
    </row>
    <row r="584">
      <c r="A584" s="2"/>
      <c r="B584" s="38">
        <v>576.0</v>
      </c>
      <c r="C584" s="39" t="s">
        <v>30</v>
      </c>
      <c r="D584" s="39" t="s">
        <v>176</v>
      </c>
      <c r="E584" s="39" t="s">
        <v>211</v>
      </c>
      <c r="F584" s="40"/>
      <c r="G584" s="41" t="s">
        <v>25</v>
      </c>
      <c r="H584" s="42">
        <v>349.0</v>
      </c>
      <c r="I584" s="42">
        <v>69.0</v>
      </c>
      <c r="J584" s="42">
        <v>280.0</v>
      </c>
      <c r="K584" s="42">
        <v>19.8</v>
      </c>
      <c r="L584" s="42">
        <v>80.2</v>
      </c>
      <c r="Q584" s="4"/>
    </row>
    <row r="585">
      <c r="A585" s="2"/>
      <c r="B585" s="43">
        <v>577.0</v>
      </c>
      <c r="C585" s="44" t="s">
        <v>32</v>
      </c>
      <c r="D585" s="53" t="s">
        <v>176</v>
      </c>
      <c r="E585" s="53" t="s">
        <v>211</v>
      </c>
      <c r="F585" s="53" t="s">
        <v>212</v>
      </c>
      <c r="G585" s="44" t="s">
        <v>212</v>
      </c>
      <c r="H585" s="45">
        <v>7.0</v>
      </c>
      <c r="I585" s="45">
        <v>0.0</v>
      </c>
      <c r="J585" s="45">
        <v>7.0</v>
      </c>
      <c r="K585" s="45">
        <v>0.0</v>
      </c>
      <c r="L585" s="45">
        <v>100.0</v>
      </c>
      <c r="Q585" s="4"/>
    </row>
    <row r="586">
      <c r="A586" s="2"/>
      <c r="B586" s="38">
        <v>578.0</v>
      </c>
      <c r="C586" s="39" t="s">
        <v>32</v>
      </c>
      <c r="D586" s="39" t="s">
        <v>176</v>
      </c>
      <c r="E586" s="39" t="s">
        <v>211</v>
      </c>
      <c r="F586" s="39" t="s">
        <v>212</v>
      </c>
      <c r="G586" s="41" t="s">
        <v>23</v>
      </c>
      <c r="H586" s="46"/>
      <c r="I586" s="46"/>
      <c r="J586" s="46"/>
      <c r="K586" s="46"/>
      <c r="L586" s="46"/>
      <c r="Q586" s="4"/>
    </row>
    <row r="587">
      <c r="A587" s="2"/>
      <c r="B587" s="38">
        <v>579.0</v>
      </c>
      <c r="C587" s="39" t="s">
        <v>32</v>
      </c>
      <c r="D587" s="39" t="s">
        <v>176</v>
      </c>
      <c r="E587" s="39" t="s">
        <v>211</v>
      </c>
      <c r="F587" s="39" t="s">
        <v>212</v>
      </c>
      <c r="G587" s="41" t="s">
        <v>25</v>
      </c>
      <c r="H587" s="42">
        <v>7.0</v>
      </c>
      <c r="I587" s="42">
        <v>0.0</v>
      </c>
      <c r="J587" s="42">
        <v>7.0</v>
      </c>
      <c r="K587" s="42">
        <v>0.0</v>
      </c>
      <c r="L587" s="42">
        <v>100.0</v>
      </c>
      <c r="Q587" s="4"/>
    </row>
    <row r="588">
      <c r="A588" s="2"/>
      <c r="B588" s="43">
        <v>580.0</v>
      </c>
      <c r="C588" s="44" t="s">
        <v>32</v>
      </c>
      <c r="D588" s="53" t="s">
        <v>176</v>
      </c>
      <c r="E588" s="53" t="s">
        <v>211</v>
      </c>
      <c r="F588" s="53" t="s">
        <v>213</v>
      </c>
      <c r="G588" s="44" t="s">
        <v>213</v>
      </c>
      <c r="H588" s="45">
        <v>159.0</v>
      </c>
      <c r="I588" s="45">
        <v>9.0</v>
      </c>
      <c r="J588" s="45">
        <v>150.0</v>
      </c>
      <c r="K588" s="45">
        <v>5.7</v>
      </c>
      <c r="L588" s="45">
        <v>94.3</v>
      </c>
      <c r="Q588" s="4"/>
    </row>
    <row r="589">
      <c r="A589" s="2"/>
      <c r="B589" s="38">
        <v>581.0</v>
      </c>
      <c r="C589" s="39" t="s">
        <v>32</v>
      </c>
      <c r="D589" s="39" t="s">
        <v>176</v>
      </c>
      <c r="E589" s="39" t="s">
        <v>211</v>
      </c>
      <c r="F589" s="39" t="s">
        <v>213</v>
      </c>
      <c r="G589" s="41" t="s">
        <v>23</v>
      </c>
      <c r="H589" s="46"/>
      <c r="I589" s="46"/>
      <c r="J589" s="46"/>
      <c r="K589" s="46"/>
      <c r="L589" s="46"/>
      <c r="Q589" s="4"/>
    </row>
    <row r="590">
      <c r="A590" s="2"/>
      <c r="B590" s="38">
        <v>582.0</v>
      </c>
      <c r="C590" s="39" t="s">
        <v>32</v>
      </c>
      <c r="D590" s="39" t="s">
        <v>176</v>
      </c>
      <c r="E590" s="39" t="s">
        <v>211</v>
      </c>
      <c r="F590" s="39" t="s">
        <v>213</v>
      </c>
      <c r="G590" s="41" t="s">
        <v>25</v>
      </c>
      <c r="H590" s="42">
        <v>159.0</v>
      </c>
      <c r="I590" s="42">
        <v>9.0</v>
      </c>
      <c r="J590" s="42">
        <v>150.0</v>
      </c>
      <c r="K590" s="42">
        <v>5.7</v>
      </c>
      <c r="L590" s="42">
        <v>94.3</v>
      </c>
      <c r="Q590" s="4"/>
    </row>
    <row r="591">
      <c r="A591" s="2"/>
      <c r="B591" s="43">
        <v>583.0</v>
      </c>
      <c r="C591" s="44" t="s">
        <v>32</v>
      </c>
      <c r="D591" s="53" t="s">
        <v>176</v>
      </c>
      <c r="E591" s="53" t="s">
        <v>211</v>
      </c>
      <c r="F591" s="53" t="s">
        <v>214</v>
      </c>
      <c r="G591" s="44" t="s">
        <v>214</v>
      </c>
      <c r="H591" s="45">
        <v>26.0</v>
      </c>
      <c r="I591" s="45">
        <v>5.0</v>
      </c>
      <c r="J591" s="45">
        <v>21.0</v>
      </c>
      <c r="K591" s="45">
        <v>19.2</v>
      </c>
      <c r="L591" s="45">
        <v>80.8</v>
      </c>
      <c r="Q591" s="4"/>
    </row>
    <row r="592">
      <c r="A592" s="2"/>
      <c r="B592" s="38">
        <v>584.0</v>
      </c>
      <c r="C592" s="39" t="s">
        <v>32</v>
      </c>
      <c r="D592" s="39" t="s">
        <v>176</v>
      </c>
      <c r="E592" s="39" t="s">
        <v>211</v>
      </c>
      <c r="F592" s="39" t="s">
        <v>214</v>
      </c>
      <c r="G592" s="41" t="s">
        <v>23</v>
      </c>
      <c r="H592" s="46"/>
      <c r="I592" s="46"/>
      <c r="J592" s="46"/>
      <c r="K592" s="46"/>
      <c r="L592" s="46"/>
      <c r="Q592" s="4"/>
    </row>
    <row r="593">
      <c r="A593" s="2"/>
      <c r="B593" s="38">
        <v>585.0</v>
      </c>
      <c r="C593" s="39" t="s">
        <v>32</v>
      </c>
      <c r="D593" s="39" t="s">
        <v>176</v>
      </c>
      <c r="E593" s="39" t="s">
        <v>211</v>
      </c>
      <c r="F593" s="39" t="s">
        <v>214</v>
      </c>
      <c r="G593" s="41" t="s">
        <v>25</v>
      </c>
      <c r="H593" s="42">
        <v>26.0</v>
      </c>
      <c r="I593" s="42">
        <v>5.0</v>
      </c>
      <c r="J593" s="42">
        <v>21.0</v>
      </c>
      <c r="K593" s="42">
        <v>19.2</v>
      </c>
      <c r="L593" s="42">
        <v>80.8</v>
      </c>
      <c r="Q593" s="4"/>
    </row>
    <row r="594">
      <c r="A594" s="2"/>
      <c r="B594" s="43">
        <v>586.0</v>
      </c>
      <c r="C594" s="44" t="s">
        <v>32</v>
      </c>
      <c r="D594" s="53" t="s">
        <v>176</v>
      </c>
      <c r="E594" s="53" t="s">
        <v>211</v>
      </c>
      <c r="F594" s="53" t="s">
        <v>215</v>
      </c>
      <c r="G594" s="44" t="s">
        <v>215</v>
      </c>
      <c r="H594" s="45">
        <v>367.0</v>
      </c>
      <c r="I594" s="45">
        <v>34.0</v>
      </c>
      <c r="J594" s="45">
        <v>333.0</v>
      </c>
      <c r="K594" s="45">
        <v>9.3</v>
      </c>
      <c r="L594" s="45">
        <v>90.7</v>
      </c>
      <c r="Q594" s="4"/>
    </row>
    <row r="595">
      <c r="A595" s="2"/>
      <c r="B595" s="38">
        <v>587.0</v>
      </c>
      <c r="C595" s="39" t="s">
        <v>32</v>
      </c>
      <c r="D595" s="39" t="s">
        <v>176</v>
      </c>
      <c r="E595" s="39" t="s">
        <v>211</v>
      </c>
      <c r="F595" s="39" t="s">
        <v>215</v>
      </c>
      <c r="G595" s="41" t="s">
        <v>23</v>
      </c>
      <c r="H595" s="42">
        <v>336.0</v>
      </c>
      <c r="I595" s="42">
        <v>30.0</v>
      </c>
      <c r="J595" s="42">
        <v>306.0</v>
      </c>
      <c r="K595" s="42">
        <v>8.9</v>
      </c>
      <c r="L595" s="42">
        <v>91.1</v>
      </c>
      <c r="Q595" s="4"/>
    </row>
    <row r="596">
      <c r="A596" s="2"/>
      <c r="B596" s="38">
        <v>588.0</v>
      </c>
      <c r="C596" s="39" t="s">
        <v>32</v>
      </c>
      <c r="D596" s="39" t="s">
        <v>176</v>
      </c>
      <c r="E596" s="39" t="s">
        <v>211</v>
      </c>
      <c r="F596" s="39" t="s">
        <v>215</v>
      </c>
      <c r="G596" s="41" t="s">
        <v>25</v>
      </c>
      <c r="H596" s="42">
        <v>31.0</v>
      </c>
      <c r="I596" s="42">
        <v>4.0</v>
      </c>
      <c r="J596" s="42">
        <v>27.0</v>
      </c>
      <c r="K596" s="42">
        <v>12.9</v>
      </c>
      <c r="L596" s="42">
        <v>87.1</v>
      </c>
      <c r="Q596" s="4"/>
    </row>
    <row r="597">
      <c r="A597" s="2"/>
      <c r="B597" s="43">
        <v>589.0</v>
      </c>
      <c r="C597" s="44" t="s">
        <v>32</v>
      </c>
      <c r="D597" s="53" t="s">
        <v>176</v>
      </c>
      <c r="E597" s="53" t="s">
        <v>211</v>
      </c>
      <c r="F597" s="53" t="s">
        <v>216</v>
      </c>
      <c r="G597" s="44" t="s">
        <v>216</v>
      </c>
      <c r="H597" s="45">
        <v>386.0</v>
      </c>
      <c r="I597" s="45">
        <v>148.0</v>
      </c>
      <c r="J597" s="45">
        <v>238.0</v>
      </c>
      <c r="K597" s="45">
        <v>38.3</v>
      </c>
      <c r="L597" s="45">
        <v>61.7</v>
      </c>
      <c r="Q597" s="4"/>
    </row>
    <row r="598">
      <c r="A598" s="2"/>
      <c r="B598" s="38">
        <v>590.0</v>
      </c>
      <c r="C598" s="39" t="s">
        <v>32</v>
      </c>
      <c r="D598" s="39" t="s">
        <v>176</v>
      </c>
      <c r="E598" s="39" t="s">
        <v>211</v>
      </c>
      <c r="F598" s="39" t="s">
        <v>216</v>
      </c>
      <c r="G598" s="41" t="s">
        <v>23</v>
      </c>
      <c r="H598" s="42">
        <v>353.0</v>
      </c>
      <c r="I598" s="42">
        <v>135.0</v>
      </c>
      <c r="J598" s="42">
        <v>218.0</v>
      </c>
      <c r="K598" s="42">
        <v>38.2</v>
      </c>
      <c r="L598" s="42">
        <v>61.8</v>
      </c>
      <c r="Q598" s="4"/>
    </row>
    <row r="599">
      <c r="A599" s="2"/>
      <c r="B599" s="38">
        <v>591.0</v>
      </c>
      <c r="C599" s="39" t="s">
        <v>32</v>
      </c>
      <c r="D599" s="39" t="s">
        <v>176</v>
      </c>
      <c r="E599" s="39" t="s">
        <v>211</v>
      </c>
      <c r="F599" s="39" t="s">
        <v>216</v>
      </c>
      <c r="G599" s="41" t="s">
        <v>25</v>
      </c>
      <c r="H599" s="42">
        <v>33.0</v>
      </c>
      <c r="I599" s="42">
        <v>13.0</v>
      </c>
      <c r="J599" s="42">
        <v>20.0</v>
      </c>
      <c r="K599" s="42">
        <v>39.4</v>
      </c>
      <c r="L599" s="42">
        <v>60.6</v>
      </c>
      <c r="Q599" s="4"/>
    </row>
    <row r="600">
      <c r="A600" s="2"/>
      <c r="B600" s="43">
        <v>592.0</v>
      </c>
      <c r="C600" s="44" t="s">
        <v>32</v>
      </c>
      <c r="D600" s="53" t="s">
        <v>176</v>
      </c>
      <c r="E600" s="53" t="s">
        <v>211</v>
      </c>
      <c r="F600" s="53" t="s">
        <v>217</v>
      </c>
      <c r="G600" s="44" t="s">
        <v>217</v>
      </c>
      <c r="H600" s="45">
        <v>348.0</v>
      </c>
      <c r="I600" s="45">
        <v>94.0</v>
      </c>
      <c r="J600" s="45">
        <v>254.0</v>
      </c>
      <c r="K600" s="45">
        <v>27.0</v>
      </c>
      <c r="L600" s="45">
        <v>73.0</v>
      </c>
      <c r="Q600" s="4"/>
    </row>
    <row r="601">
      <c r="A601" s="2"/>
      <c r="B601" s="38">
        <v>593.0</v>
      </c>
      <c r="C601" s="39" t="s">
        <v>32</v>
      </c>
      <c r="D601" s="39" t="s">
        <v>176</v>
      </c>
      <c r="E601" s="39" t="s">
        <v>211</v>
      </c>
      <c r="F601" s="39" t="s">
        <v>217</v>
      </c>
      <c r="G601" s="41" t="s">
        <v>23</v>
      </c>
      <c r="H601" s="42">
        <v>255.0</v>
      </c>
      <c r="I601" s="42">
        <v>56.0</v>
      </c>
      <c r="J601" s="42">
        <v>199.0</v>
      </c>
      <c r="K601" s="42">
        <v>22.0</v>
      </c>
      <c r="L601" s="42">
        <v>78.0</v>
      </c>
      <c r="Q601" s="4"/>
    </row>
    <row r="602">
      <c r="A602" s="2"/>
      <c r="B602" s="38">
        <v>594.0</v>
      </c>
      <c r="C602" s="39" t="s">
        <v>32</v>
      </c>
      <c r="D602" s="39" t="s">
        <v>176</v>
      </c>
      <c r="E602" s="39" t="s">
        <v>211</v>
      </c>
      <c r="F602" s="39" t="s">
        <v>217</v>
      </c>
      <c r="G602" s="41" t="s">
        <v>25</v>
      </c>
      <c r="H602" s="42">
        <v>93.0</v>
      </c>
      <c r="I602" s="42">
        <v>38.0</v>
      </c>
      <c r="J602" s="42">
        <v>55.0</v>
      </c>
      <c r="K602" s="42">
        <v>40.9</v>
      </c>
      <c r="L602" s="42">
        <v>59.1</v>
      </c>
      <c r="Q602" s="4"/>
    </row>
    <row r="603">
      <c r="A603" s="2"/>
      <c r="B603" s="34">
        <v>595.0</v>
      </c>
      <c r="C603" s="35" t="s">
        <v>30</v>
      </c>
      <c r="D603" s="49" t="s">
        <v>176</v>
      </c>
      <c r="E603" s="49" t="s">
        <v>218</v>
      </c>
      <c r="F603" s="50"/>
      <c r="G603" s="35" t="s">
        <v>218</v>
      </c>
      <c r="H603" s="37">
        <v>119.0</v>
      </c>
      <c r="I603" s="37">
        <v>66.0</v>
      </c>
      <c r="J603" s="37">
        <v>53.0</v>
      </c>
      <c r="K603" s="37">
        <v>55.5</v>
      </c>
      <c r="L603" s="37">
        <v>44.5</v>
      </c>
      <c r="Q603" s="4"/>
    </row>
    <row r="604">
      <c r="A604" s="2"/>
      <c r="B604" s="38">
        <v>596.0</v>
      </c>
      <c r="C604" s="39" t="s">
        <v>30</v>
      </c>
      <c r="D604" s="39" t="s">
        <v>176</v>
      </c>
      <c r="E604" s="39" t="s">
        <v>218</v>
      </c>
      <c r="F604" s="40"/>
      <c r="G604" s="41" t="s">
        <v>23</v>
      </c>
      <c r="H604" s="42">
        <v>14.0</v>
      </c>
      <c r="I604" s="42">
        <v>4.0</v>
      </c>
      <c r="J604" s="42">
        <v>10.0</v>
      </c>
      <c r="K604" s="42">
        <v>28.6</v>
      </c>
      <c r="L604" s="42">
        <v>71.4</v>
      </c>
      <c r="Q604" s="4"/>
    </row>
    <row r="605">
      <c r="A605" s="2"/>
      <c r="B605" s="38">
        <v>597.0</v>
      </c>
      <c r="C605" s="39" t="s">
        <v>30</v>
      </c>
      <c r="D605" s="39" t="s">
        <v>176</v>
      </c>
      <c r="E605" s="39" t="s">
        <v>218</v>
      </c>
      <c r="F605" s="40"/>
      <c r="G605" s="41" t="s">
        <v>25</v>
      </c>
      <c r="H605" s="42">
        <v>105.0</v>
      </c>
      <c r="I605" s="42">
        <v>62.0</v>
      </c>
      <c r="J605" s="42">
        <v>43.0</v>
      </c>
      <c r="K605" s="42">
        <v>59.0</v>
      </c>
      <c r="L605" s="42">
        <v>41.0</v>
      </c>
      <c r="Q605" s="4"/>
    </row>
    <row r="606">
      <c r="A606" s="2"/>
      <c r="B606" s="43">
        <v>598.0</v>
      </c>
      <c r="C606" s="44" t="s">
        <v>32</v>
      </c>
      <c r="D606" s="53" t="s">
        <v>176</v>
      </c>
      <c r="E606" s="53" t="s">
        <v>218</v>
      </c>
      <c r="F606" s="53" t="s">
        <v>218</v>
      </c>
      <c r="G606" s="44" t="s">
        <v>218</v>
      </c>
      <c r="H606" s="45">
        <v>70.0</v>
      </c>
      <c r="I606" s="45">
        <v>30.0</v>
      </c>
      <c r="J606" s="45">
        <v>40.0</v>
      </c>
      <c r="K606" s="45">
        <v>42.9</v>
      </c>
      <c r="L606" s="45">
        <v>57.1</v>
      </c>
      <c r="Q606" s="4"/>
    </row>
    <row r="607">
      <c r="A607" s="2"/>
      <c r="B607" s="38">
        <v>599.0</v>
      </c>
      <c r="C607" s="39" t="s">
        <v>32</v>
      </c>
      <c r="D607" s="39" t="s">
        <v>176</v>
      </c>
      <c r="E607" s="39" t="s">
        <v>218</v>
      </c>
      <c r="F607" s="39" t="s">
        <v>218</v>
      </c>
      <c r="G607" s="41" t="s">
        <v>23</v>
      </c>
      <c r="H607" s="42">
        <v>14.0</v>
      </c>
      <c r="I607" s="42">
        <v>4.0</v>
      </c>
      <c r="J607" s="42">
        <v>10.0</v>
      </c>
      <c r="K607" s="42">
        <v>28.6</v>
      </c>
      <c r="L607" s="42">
        <v>71.4</v>
      </c>
      <c r="Q607" s="4"/>
    </row>
    <row r="608">
      <c r="A608" s="2"/>
      <c r="B608" s="38">
        <v>600.0</v>
      </c>
      <c r="C608" s="39" t="s">
        <v>32</v>
      </c>
      <c r="D608" s="39" t="s">
        <v>176</v>
      </c>
      <c r="E608" s="39" t="s">
        <v>218</v>
      </c>
      <c r="F608" s="39" t="s">
        <v>218</v>
      </c>
      <c r="G608" s="41" t="s">
        <v>25</v>
      </c>
      <c r="H608" s="42">
        <v>56.0</v>
      </c>
      <c r="I608" s="42">
        <v>26.0</v>
      </c>
      <c r="J608" s="42">
        <v>30.0</v>
      </c>
      <c r="K608" s="42">
        <v>46.4</v>
      </c>
      <c r="L608" s="42">
        <v>53.6</v>
      </c>
      <c r="Q608" s="4"/>
    </row>
    <row r="609">
      <c r="A609" s="2"/>
      <c r="B609" s="43">
        <v>601.0</v>
      </c>
      <c r="C609" s="44" t="s">
        <v>32</v>
      </c>
      <c r="D609" s="53" t="s">
        <v>176</v>
      </c>
      <c r="E609" s="53" t="s">
        <v>218</v>
      </c>
      <c r="F609" s="53" t="s">
        <v>219</v>
      </c>
      <c r="G609" s="44" t="s">
        <v>219</v>
      </c>
      <c r="H609" s="45">
        <v>10.0</v>
      </c>
      <c r="I609" s="45">
        <v>10.0</v>
      </c>
      <c r="J609" s="45">
        <v>0.0</v>
      </c>
      <c r="K609" s="45">
        <v>100.0</v>
      </c>
      <c r="L609" s="45">
        <v>0.0</v>
      </c>
      <c r="Q609" s="4"/>
    </row>
    <row r="610">
      <c r="A610" s="2"/>
      <c r="B610" s="38">
        <v>602.0</v>
      </c>
      <c r="C610" s="39" t="s">
        <v>32</v>
      </c>
      <c r="D610" s="39" t="s">
        <v>176</v>
      </c>
      <c r="E610" s="39" t="s">
        <v>218</v>
      </c>
      <c r="F610" s="39" t="s">
        <v>219</v>
      </c>
      <c r="G610" s="41" t="s">
        <v>23</v>
      </c>
      <c r="H610" s="46"/>
      <c r="I610" s="46"/>
      <c r="J610" s="46"/>
      <c r="K610" s="46"/>
      <c r="L610" s="46"/>
      <c r="Q610" s="4"/>
    </row>
    <row r="611">
      <c r="A611" s="2"/>
      <c r="B611" s="38">
        <v>603.0</v>
      </c>
      <c r="C611" s="39" t="s">
        <v>32</v>
      </c>
      <c r="D611" s="39" t="s">
        <v>176</v>
      </c>
      <c r="E611" s="39" t="s">
        <v>218</v>
      </c>
      <c r="F611" s="39" t="s">
        <v>219</v>
      </c>
      <c r="G611" s="41" t="s">
        <v>25</v>
      </c>
      <c r="H611" s="42">
        <v>10.0</v>
      </c>
      <c r="I611" s="42">
        <v>10.0</v>
      </c>
      <c r="J611" s="42">
        <v>0.0</v>
      </c>
      <c r="K611" s="42">
        <v>100.0</v>
      </c>
      <c r="L611" s="42">
        <v>0.0</v>
      </c>
      <c r="Q611" s="4"/>
    </row>
    <row r="612">
      <c r="A612" s="2"/>
      <c r="B612" s="43">
        <v>604.0</v>
      </c>
      <c r="C612" s="44" t="s">
        <v>32</v>
      </c>
      <c r="D612" s="53" t="s">
        <v>176</v>
      </c>
      <c r="E612" s="53" t="s">
        <v>218</v>
      </c>
      <c r="F612" s="53" t="s">
        <v>220</v>
      </c>
      <c r="G612" s="44" t="s">
        <v>220</v>
      </c>
      <c r="H612" s="45">
        <v>18.0</v>
      </c>
      <c r="I612" s="45">
        <v>12.0</v>
      </c>
      <c r="J612" s="45">
        <v>6.0</v>
      </c>
      <c r="K612" s="45">
        <v>66.7</v>
      </c>
      <c r="L612" s="45">
        <v>33.3</v>
      </c>
      <c r="Q612" s="4"/>
    </row>
    <row r="613">
      <c r="A613" s="2"/>
      <c r="B613" s="38">
        <v>605.0</v>
      </c>
      <c r="C613" s="39" t="s">
        <v>32</v>
      </c>
      <c r="D613" s="39" t="s">
        <v>176</v>
      </c>
      <c r="E613" s="39" t="s">
        <v>218</v>
      </c>
      <c r="F613" s="39" t="s">
        <v>220</v>
      </c>
      <c r="G613" s="41" t="s">
        <v>23</v>
      </c>
      <c r="H613" s="46"/>
      <c r="I613" s="46"/>
      <c r="J613" s="46"/>
      <c r="K613" s="46"/>
      <c r="L613" s="46"/>
      <c r="Q613" s="4"/>
    </row>
    <row r="614">
      <c r="A614" s="2"/>
      <c r="B614" s="38">
        <v>606.0</v>
      </c>
      <c r="C614" s="39" t="s">
        <v>32</v>
      </c>
      <c r="D614" s="39" t="s">
        <v>176</v>
      </c>
      <c r="E614" s="39" t="s">
        <v>218</v>
      </c>
      <c r="F614" s="39" t="s">
        <v>220</v>
      </c>
      <c r="G614" s="41" t="s">
        <v>25</v>
      </c>
      <c r="H614" s="42">
        <v>18.0</v>
      </c>
      <c r="I614" s="42">
        <v>12.0</v>
      </c>
      <c r="J614" s="42">
        <v>6.0</v>
      </c>
      <c r="K614" s="42">
        <v>66.7</v>
      </c>
      <c r="L614" s="42">
        <v>33.3</v>
      </c>
      <c r="Q614" s="4"/>
    </row>
    <row r="615">
      <c r="A615" s="2"/>
      <c r="B615" s="43">
        <v>607.0</v>
      </c>
      <c r="C615" s="44" t="s">
        <v>32</v>
      </c>
      <c r="D615" s="53" t="s">
        <v>176</v>
      </c>
      <c r="E615" s="53" t="s">
        <v>218</v>
      </c>
      <c r="F615" s="53" t="s">
        <v>221</v>
      </c>
      <c r="G615" s="44" t="s">
        <v>221</v>
      </c>
      <c r="H615" s="45">
        <v>21.0</v>
      </c>
      <c r="I615" s="45">
        <v>14.0</v>
      </c>
      <c r="J615" s="45">
        <v>7.0</v>
      </c>
      <c r="K615" s="45">
        <v>66.7</v>
      </c>
      <c r="L615" s="45">
        <v>33.3</v>
      </c>
      <c r="Q615" s="4"/>
    </row>
    <row r="616">
      <c r="A616" s="2"/>
      <c r="B616" s="38">
        <v>608.0</v>
      </c>
      <c r="C616" s="39" t="s">
        <v>32</v>
      </c>
      <c r="D616" s="39" t="s">
        <v>176</v>
      </c>
      <c r="E616" s="39" t="s">
        <v>218</v>
      </c>
      <c r="F616" s="39" t="s">
        <v>221</v>
      </c>
      <c r="G616" s="41" t="s">
        <v>23</v>
      </c>
      <c r="H616" s="46"/>
      <c r="I616" s="46"/>
      <c r="J616" s="46"/>
      <c r="K616" s="46"/>
      <c r="L616" s="46"/>
      <c r="Q616" s="4"/>
    </row>
    <row r="617">
      <c r="A617" s="2"/>
      <c r="B617" s="38">
        <v>609.0</v>
      </c>
      <c r="C617" s="39" t="s">
        <v>32</v>
      </c>
      <c r="D617" s="39" t="s">
        <v>176</v>
      </c>
      <c r="E617" s="39" t="s">
        <v>218</v>
      </c>
      <c r="F617" s="39" t="s">
        <v>221</v>
      </c>
      <c r="G617" s="41" t="s">
        <v>25</v>
      </c>
      <c r="H617" s="42">
        <v>21.0</v>
      </c>
      <c r="I617" s="42">
        <v>14.0</v>
      </c>
      <c r="J617" s="42">
        <v>7.0</v>
      </c>
      <c r="K617" s="42">
        <v>66.7</v>
      </c>
      <c r="L617" s="42">
        <v>33.3</v>
      </c>
      <c r="Q617" s="4"/>
    </row>
    <row r="618">
      <c r="A618" s="2"/>
      <c r="B618" s="34">
        <v>610.0</v>
      </c>
      <c r="C618" s="35" t="s">
        <v>30</v>
      </c>
      <c r="D618" s="49" t="s">
        <v>176</v>
      </c>
      <c r="E618" s="49" t="s">
        <v>222</v>
      </c>
      <c r="F618" s="50"/>
      <c r="G618" s="35" t="s">
        <v>222</v>
      </c>
      <c r="H618" s="37">
        <v>232.0</v>
      </c>
      <c r="I618" s="37">
        <v>22.0</v>
      </c>
      <c r="J618" s="37">
        <v>210.0</v>
      </c>
      <c r="K618" s="37">
        <v>9.5</v>
      </c>
      <c r="L618" s="37">
        <v>90.5</v>
      </c>
      <c r="Q618" s="4"/>
    </row>
    <row r="619">
      <c r="A619" s="2"/>
      <c r="B619" s="38">
        <v>611.0</v>
      </c>
      <c r="C619" s="39" t="s">
        <v>30</v>
      </c>
      <c r="D619" s="39" t="s">
        <v>176</v>
      </c>
      <c r="E619" s="39" t="s">
        <v>222</v>
      </c>
      <c r="F619" s="40"/>
      <c r="G619" s="41" t="s">
        <v>23</v>
      </c>
      <c r="H619" s="42">
        <v>48.0</v>
      </c>
      <c r="I619" s="42">
        <v>19.0</v>
      </c>
      <c r="J619" s="42">
        <v>29.0</v>
      </c>
      <c r="K619" s="42">
        <v>39.6</v>
      </c>
      <c r="L619" s="42">
        <v>60.4</v>
      </c>
      <c r="Q619" s="4"/>
    </row>
    <row r="620">
      <c r="A620" s="2"/>
      <c r="B620" s="38">
        <v>612.0</v>
      </c>
      <c r="C620" s="39" t="s">
        <v>30</v>
      </c>
      <c r="D620" s="39" t="s">
        <v>176</v>
      </c>
      <c r="E620" s="39" t="s">
        <v>222</v>
      </c>
      <c r="F620" s="40"/>
      <c r="G620" s="41" t="s">
        <v>25</v>
      </c>
      <c r="H620" s="42">
        <v>184.0</v>
      </c>
      <c r="I620" s="42">
        <v>3.0</v>
      </c>
      <c r="J620" s="42">
        <v>181.0</v>
      </c>
      <c r="K620" s="42">
        <v>1.6</v>
      </c>
      <c r="L620" s="42">
        <v>98.4</v>
      </c>
      <c r="Q620" s="4"/>
    </row>
    <row r="621">
      <c r="A621" s="2"/>
      <c r="B621" s="43">
        <v>613.0</v>
      </c>
      <c r="C621" s="44" t="s">
        <v>32</v>
      </c>
      <c r="D621" s="53" t="s">
        <v>176</v>
      </c>
      <c r="E621" s="53" t="s">
        <v>222</v>
      </c>
      <c r="F621" s="53" t="s">
        <v>222</v>
      </c>
      <c r="G621" s="44" t="s">
        <v>222</v>
      </c>
      <c r="H621" s="45">
        <v>210.0</v>
      </c>
      <c r="I621" s="45">
        <v>8.0</v>
      </c>
      <c r="J621" s="45">
        <v>202.0</v>
      </c>
      <c r="K621" s="45">
        <v>3.8</v>
      </c>
      <c r="L621" s="45">
        <v>96.2</v>
      </c>
      <c r="Q621" s="4"/>
    </row>
    <row r="622">
      <c r="A622" s="2"/>
      <c r="B622" s="38">
        <v>614.0</v>
      </c>
      <c r="C622" s="39" t="s">
        <v>32</v>
      </c>
      <c r="D622" s="39" t="s">
        <v>176</v>
      </c>
      <c r="E622" s="39" t="s">
        <v>222</v>
      </c>
      <c r="F622" s="39" t="s">
        <v>222</v>
      </c>
      <c r="G622" s="41" t="s">
        <v>23</v>
      </c>
      <c r="H622" s="42">
        <v>36.0</v>
      </c>
      <c r="I622" s="42">
        <v>7.0</v>
      </c>
      <c r="J622" s="42">
        <v>29.0</v>
      </c>
      <c r="K622" s="42">
        <v>19.4</v>
      </c>
      <c r="L622" s="42">
        <v>80.6</v>
      </c>
      <c r="Q622" s="4"/>
    </row>
    <row r="623">
      <c r="A623" s="2"/>
      <c r="B623" s="38">
        <v>615.0</v>
      </c>
      <c r="C623" s="39" t="s">
        <v>32</v>
      </c>
      <c r="D623" s="39" t="s">
        <v>176</v>
      </c>
      <c r="E623" s="39" t="s">
        <v>222</v>
      </c>
      <c r="F623" s="39" t="s">
        <v>222</v>
      </c>
      <c r="G623" s="41" t="s">
        <v>25</v>
      </c>
      <c r="H623" s="42">
        <v>174.0</v>
      </c>
      <c r="I623" s="42">
        <v>1.0</v>
      </c>
      <c r="J623" s="42">
        <v>173.0</v>
      </c>
      <c r="K623" s="42">
        <v>0.6</v>
      </c>
      <c r="L623" s="42">
        <v>99.4</v>
      </c>
      <c r="Q623" s="4"/>
    </row>
    <row r="624">
      <c r="A624" s="2"/>
      <c r="B624" s="43">
        <v>616.0</v>
      </c>
      <c r="C624" s="44" t="s">
        <v>32</v>
      </c>
      <c r="D624" s="53" t="s">
        <v>176</v>
      </c>
      <c r="E624" s="53" t="s">
        <v>222</v>
      </c>
      <c r="F624" s="53" t="s">
        <v>223</v>
      </c>
      <c r="G624" s="44" t="s">
        <v>223</v>
      </c>
      <c r="H624" s="45">
        <v>12.0</v>
      </c>
      <c r="I624" s="45">
        <v>9.0</v>
      </c>
      <c r="J624" s="45">
        <v>3.0</v>
      </c>
      <c r="K624" s="45">
        <v>75.0</v>
      </c>
      <c r="L624" s="45">
        <v>25.0</v>
      </c>
      <c r="Q624" s="4"/>
    </row>
    <row r="625">
      <c r="A625" s="2"/>
      <c r="B625" s="38">
        <v>617.0</v>
      </c>
      <c r="C625" s="39" t="s">
        <v>32</v>
      </c>
      <c r="D625" s="39" t="s">
        <v>176</v>
      </c>
      <c r="E625" s="39" t="s">
        <v>222</v>
      </c>
      <c r="F625" s="39" t="s">
        <v>223</v>
      </c>
      <c r="G625" s="41" t="s">
        <v>23</v>
      </c>
      <c r="H625" s="42">
        <v>9.0</v>
      </c>
      <c r="I625" s="42">
        <v>9.0</v>
      </c>
      <c r="J625" s="42">
        <v>0.0</v>
      </c>
      <c r="K625" s="42">
        <v>100.0</v>
      </c>
      <c r="L625" s="42">
        <v>0.0</v>
      </c>
      <c r="Q625" s="4"/>
    </row>
    <row r="626">
      <c r="A626" s="2"/>
      <c r="B626" s="38">
        <v>618.0</v>
      </c>
      <c r="C626" s="39" t="s">
        <v>32</v>
      </c>
      <c r="D626" s="39" t="s">
        <v>176</v>
      </c>
      <c r="E626" s="39" t="s">
        <v>222</v>
      </c>
      <c r="F626" s="39" t="s">
        <v>223</v>
      </c>
      <c r="G626" s="41" t="s">
        <v>25</v>
      </c>
      <c r="H626" s="42">
        <v>3.0</v>
      </c>
      <c r="I626" s="42">
        <v>0.0</v>
      </c>
      <c r="J626" s="42">
        <v>3.0</v>
      </c>
      <c r="K626" s="42">
        <v>0.0</v>
      </c>
      <c r="L626" s="42">
        <v>100.0</v>
      </c>
      <c r="Q626" s="4"/>
    </row>
    <row r="627">
      <c r="A627" s="2"/>
      <c r="B627" s="43">
        <v>619.0</v>
      </c>
      <c r="C627" s="44" t="s">
        <v>32</v>
      </c>
      <c r="D627" s="53" t="s">
        <v>176</v>
      </c>
      <c r="E627" s="53" t="s">
        <v>222</v>
      </c>
      <c r="F627" s="53" t="s">
        <v>224</v>
      </c>
      <c r="G627" s="44" t="s">
        <v>224</v>
      </c>
      <c r="H627" s="45">
        <v>4.0</v>
      </c>
      <c r="I627" s="45">
        <v>4.0</v>
      </c>
      <c r="J627" s="45">
        <v>0.0</v>
      </c>
      <c r="K627" s="45">
        <v>100.0</v>
      </c>
      <c r="L627" s="45">
        <v>0.0</v>
      </c>
      <c r="Q627" s="4"/>
    </row>
    <row r="628">
      <c r="A628" s="2"/>
      <c r="B628" s="38">
        <v>620.0</v>
      </c>
      <c r="C628" s="39" t="s">
        <v>32</v>
      </c>
      <c r="D628" s="39" t="s">
        <v>176</v>
      </c>
      <c r="E628" s="39" t="s">
        <v>222</v>
      </c>
      <c r="F628" s="39" t="s">
        <v>224</v>
      </c>
      <c r="G628" s="41" t="s">
        <v>23</v>
      </c>
      <c r="H628" s="42">
        <v>3.0</v>
      </c>
      <c r="I628" s="42">
        <v>3.0</v>
      </c>
      <c r="J628" s="42">
        <v>0.0</v>
      </c>
      <c r="K628" s="42">
        <v>100.0</v>
      </c>
      <c r="L628" s="42">
        <v>0.0</v>
      </c>
      <c r="Q628" s="4"/>
    </row>
    <row r="629">
      <c r="A629" s="2"/>
      <c r="B629" s="38">
        <v>621.0</v>
      </c>
      <c r="C629" s="39" t="s">
        <v>32</v>
      </c>
      <c r="D629" s="39" t="s">
        <v>176</v>
      </c>
      <c r="E629" s="39" t="s">
        <v>222</v>
      </c>
      <c r="F629" s="39" t="s">
        <v>224</v>
      </c>
      <c r="G629" s="41" t="s">
        <v>25</v>
      </c>
      <c r="H629" s="42">
        <v>1.0</v>
      </c>
      <c r="I629" s="42">
        <v>1.0</v>
      </c>
      <c r="J629" s="42">
        <v>0.0</v>
      </c>
      <c r="K629" s="42">
        <v>100.0</v>
      </c>
      <c r="L629" s="42">
        <v>0.0</v>
      </c>
      <c r="Q629" s="4"/>
    </row>
    <row r="630">
      <c r="A630" s="2"/>
      <c r="B630" s="43">
        <v>622.0</v>
      </c>
      <c r="C630" s="44" t="s">
        <v>32</v>
      </c>
      <c r="D630" s="53" t="s">
        <v>176</v>
      </c>
      <c r="E630" s="53" t="s">
        <v>222</v>
      </c>
      <c r="F630" s="53" t="s">
        <v>225</v>
      </c>
      <c r="G630" s="44" t="s">
        <v>225</v>
      </c>
      <c r="H630" s="45">
        <v>1.0</v>
      </c>
      <c r="I630" s="45">
        <v>1.0</v>
      </c>
      <c r="J630" s="45">
        <v>0.0</v>
      </c>
      <c r="K630" s="45">
        <v>100.0</v>
      </c>
      <c r="L630" s="45">
        <v>0.0</v>
      </c>
      <c r="Q630" s="4"/>
    </row>
    <row r="631">
      <c r="A631" s="2"/>
      <c r="B631" s="38">
        <v>623.0</v>
      </c>
      <c r="C631" s="39" t="s">
        <v>32</v>
      </c>
      <c r="D631" s="39" t="s">
        <v>176</v>
      </c>
      <c r="E631" s="39" t="s">
        <v>222</v>
      </c>
      <c r="F631" s="39" t="s">
        <v>225</v>
      </c>
      <c r="G631" s="41" t="s">
        <v>23</v>
      </c>
      <c r="H631" s="46"/>
      <c r="I631" s="46"/>
      <c r="J631" s="46"/>
      <c r="K631" s="46"/>
      <c r="L631" s="46"/>
      <c r="Q631" s="4"/>
    </row>
    <row r="632">
      <c r="A632" s="2"/>
      <c r="B632" s="38">
        <v>624.0</v>
      </c>
      <c r="C632" s="39" t="s">
        <v>32</v>
      </c>
      <c r="D632" s="39" t="s">
        <v>176</v>
      </c>
      <c r="E632" s="39" t="s">
        <v>222</v>
      </c>
      <c r="F632" s="39" t="s">
        <v>225</v>
      </c>
      <c r="G632" s="41" t="s">
        <v>25</v>
      </c>
      <c r="H632" s="42">
        <v>1.0</v>
      </c>
      <c r="I632" s="42">
        <v>1.0</v>
      </c>
      <c r="J632" s="42">
        <v>0.0</v>
      </c>
      <c r="K632" s="42">
        <v>100.0</v>
      </c>
      <c r="L632" s="42">
        <v>0.0</v>
      </c>
      <c r="Q632" s="4"/>
    </row>
    <row r="633">
      <c r="A633" s="2"/>
      <c r="B633" s="43">
        <v>625.0</v>
      </c>
      <c r="C633" s="44" t="s">
        <v>32</v>
      </c>
      <c r="D633" s="53" t="s">
        <v>176</v>
      </c>
      <c r="E633" s="53" t="s">
        <v>222</v>
      </c>
      <c r="F633" s="53" t="s">
        <v>226</v>
      </c>
      <c r="G633" s="44" t="s">
        <v>226</v>
      </c>
      <c r="H633" s="45">
        <v>5.0</v>
      </c>
      <c r="I633" s="45">
        <v>0.0</v>
      </c>
      <c r="J633" s="45">
        <v>5.0</v>
      </c>
      <c r="K633" s="45">
        <v>0.0</v>
      </c>
      <c r="L633" s="45">
        <v>100.0</v>
      </c>
      <c r="Q633" s="4"/>
    </row>
    <row r="634">
      <c r="A634" s="2"/>
      <c r="B634" s="38">
        <v>626.0</v>
      </c>
      <c r="C634" s="39" t="s">
        <v>32</v>
      </c>
      <c r="D634" s="39" t="s">
        <v>176</v>
      </c>
      <c r="E634" s="39" t="s">
        <v>222</v>
      </c>
      <c r="F634" s="39" t="s">
        <v>226</v>
      </c>
      <c r="G634" s="41" t="s">
        <v>23</v>
      </c>
      <c r="H634" s="46"/>
      <c r="I634" s="46"/>
      <c r="J634" s="46"/>
      <c r="K634" s="46"/>
      <c r="L634" s="46"/>
      <c r="Q634" s="4"/>
    </row>
    <row r="635">
      <c r="A635" s="2"/>
      <c r="B635" s="38">
        <v>627.0</v>
      </c>
      <c r="C635" s="39" t="s">
        <v>32</v>
      </c>
      <c r="D635" s="39" t="s">
        <v>176</v>
      </c>
      <c r="E635" s="39" t="s">
        <v>222</v>
      </c>
      <c r="F635" s="39" t="s">
        <v>226</v>
      </c>
      <c r="G635" s="41" t="s">
        <v>25</v>
      </c>
      <c r="H635" s="42">
        <v>5.0</v>
      </c>
      <c r="I635" s="42">
        <v>0.0</v>
      </c>
      <c r="J635" s="42">
        <v>5.0</v>
      </c>
      <c r="K635" s="42">
        <v>0.0</v>
      </c>
      <c r="L635" s="42">
        <v>100.0</v>
      </c>
      <c r="Q635" s="4"/>
    </row>
    <row r="636">
      <c r="A636" s="2"/>
      <c r="B636" s="34">
        <v>628.0</v>
      </c>
      <c r="C636" s="35" t="s">
        <v>30</v>
      </c>
      <c r="D636" s="49" t="s">
        <v>176</v>
      </c>
      <c r="E636" s="49" t="s">
        <v>227</v>
      </c>
      <c r="F636" s="50"/>
      <c r="G636" s="35" t="s">
        <v>227</v>
      </c>
      <c r="H636" s="37">
        <v>4.0</v>
      </c>
      <c r="I636" s="37">
        <v>1.0</v>
      </c>
      <c r="J636" s="37">
        <v>3.0</v>
      </c>
      <c r="K636" s="37">
        <v>25.0</v>
      </c>
      <c r="L636" s="37">
        <v>75.0</v>
      </c>
      <c r="Q636" s="4"/>
    </row>
    <row r="637">
      <c r="A637" s="2"/>
      <c r="B637" s="38">
        <v>629.0</v>
      </c>
      <c r="C637" s="39" t="s">
        <v>30</v>
      </c>
      <c r="D637" s="39" t="s">
        <v>176</v>
      </c>
      <c r="E637" s="39" t="s">
        <v>227</v>
      </c>
      <c r="F637" s="40"/>
      <c r="G637" s="41" t="s">
        <v>23</v>
      </c>
      <c r="H637" s="46"/>
      <c r="I637" s="46"/>
      <c r="J637" s="46"/>
      <c r="K637" s="46"/>
      <c r="L637" s="46"/>
      <c r="Q637" s="4"/>
    </row>
    <row r="638">
      <c r="A638" s="2"/>
      <c r="B638" s="38">
        <v>630.0</v>
      </c>
      <c r="C638" s="39" t="s">
        <v>30</v>
      </c>
      <c r="D638" s="39" t="s">
        <v>176</v>
      </c>
      <c r="E638" s="39" t="s">
        <v>227</v>
      </c>
      <c r="F638" s="40"/>
      <c r="G638" s="41" t="s">
        <v>25</v>
      </c>
      <c r="H638" s="42">
        <v>4.0</v>
      </c>
      <c r="I638" s="42">
        <v>1.0</v>
      </c>
      <c r="J638" s="42">
        <v>3.0</v>
      </c>
      <c r="K638" s="42">
        <v>25.0</v>
      </c>
      <c r="L638" s="42">
        <v>75.0</v>
      </c>
      <c r="Q638" s="4"/>
    </row>
    <row r="639">
      <c r="A639" s="2"/>
      <c r="B639" s="43">
        <v>631.0</v>
      </c>
      <c r="C639" s="44" t="s">
        <v>32</v>
      </c>
      <c r="D639" s="53" t="s">
        <v>176</v>
      </c>
      <c r="E639" s="53" t="s">
        <v>227</v>
      </c>
      <c r="F639" s="53" t="s">
        <v>227</v>
      </c>
      <c r="G639" s="44" t="s">
        <v>227</v>
      </c>
      <c r="H639" s="45">
        <v>4.0</v>
      </c>
      <c r="I639" s="45">
        <v>1.0</v>
      </c>
      <c r="J639" s="45">
        <v>3.0</v>
      </c>
      <c r="K639" s="45">
        <v>25.0</v>
      </c>
      <c r="L639" s="45">
        <v>75.0</v>
      </c>
      <c r="Q639" s="4"/>
    </row>
    <row r="640">
      <c r="A640" s="2"/>
      <c r="B640" s="38">
        <v>632.0</v>
      </c>
      <c r="C640" s="39" t="s">
        <v>32</v>
      </c>
      <c r="D640" s="39" t="s">
        <v>176</v>
      </c>
      <c r="E640" s="39" t="s">
        <v>227</v>
      </c>
      <c r="F640" s="39" t="s">
        <v>227</v>
      </c>
      <c r="G640" s="41" t="s">
        <v>23</v>
      </c>
      <c r="H640" s="46"/>
      <c r="I640" s="46"/>
      <c r="J640" s="46"/>
      <c r="K640" s="46"/>
      <c r="L640" s="46"/>
      <c r="Q640" s="4"/>
    </row>
    <row r="641">
      <c r="A641" s="2"/>
      <c r="B641" s="38">
        <v>633.0</v>
      </c>
      <c r="C641" s="39" t="s">
        <v>32</v>
      </c>
      <c r="D641" s="39" t="s">
        <v>176</v>
      </c>
      <c r="E641" s="39" t="s">
        <v>227</v>
      </c>
      <c r="F641" s="39" t="s">
        <v>227</v>
      </c>
      <c r="G641" s="41" t="s">
        <v>25</v>
      </c>
      <c r="H641" s="42">
        <v>4.0</v>
      </c>
      <c r="I641" s="42">
        <v>1.0</v>
      </c>
      <c r="J641" s="42">
        <v>3.0</v>
      </c>
      <c r="K641" s="42">
        <v>25.0</v>
      </c>
      <c r="L641" s="42">
        <v>75.0</v>
      </c>
      <c r="Q641" s="4"/>
    </row>
    <row r="642">
      <c r="A642" s="2"/>
      <c r="B642" s="34">
        <v>634.0</v>
      </c>
      <c r="C642" s="35" t="s">
        <v>30</v>
      </c>
      <c r="D642" s="49" t="s">
        <v>176</v>
      </c>
      <c r="E642" s="49" t="s">
        <v>228</v>
      </c>
      <c r="F642" s="50"/>
      <c r="G642" s="35" t="s">
        <v>228</v>
      </c>
      <c r="H642" s="37">
        <v>178.0</v>
      </c>
      <c r="I642" s="37">
        <v>44.0</v>
      </c>
      <c r="J642" s="37">
        <v>134.0</v>
      </c>
      <c r="K642" s="37">
        <v>24.7</v>
      </c>
      <c r="L642" s="37">
        <v>75.3</v>
      </c>
      <c r="Q642" s="4"/>
    </row>
    <row r="643">
      <c r="A643" s="2"/>
      <c r="B643" s="38">
        <v>635.0</v>
      </c>
      <c r="C643" s="39" t="s">
        <v>30</v>
      </c>
      <c r="D643" s="39" t="s">
        <v>176</v>
      </c>
      <c r="E643" s="39" t="s">
        <v>228</v>
      </c>
      <c r="F643" s="40"/>
      <c r="G643" s="41" t="s">
        <v>23</v>
      </c>
      <c r="H643" s="42">
        <v>52.0</v>
      </c>
      <c r="I643" s="42">
        <v>13.0</v>
      </c>
      <c r="J643" s="42">
        <v>39.0</v>
      </c>
      <c r="K643" s="42">
        <v>25.0</v>
      </c>
      <c r="L643" s="42">
        <v>75.0</v>
      </c>
      <c r="Q643" s="4"/>
    </row>
    <row r="644">
      <c r="A644" s="2"/>
      <c r="B644" s="38">
        <v>636.0</v>
      </c>
      <c r="C644" s="39" t="s">
        <v>30</v>
      </c>
      <c r="D644" s="39" t="s">
        <v>176</v>
      </c>
      <c r="E644" s="39" t="s">
        <v>228</v>
      </c>
      <c r="F644" s="40"/>
      <c r="G644" s="41" t="s">
        <v>25</v>
      </c>
      <c r="H644" s="42">
        <v>126.0</v>
      </c>
      <c r="I644" s="42">
        <v>31.0</v>
      </c>
      <c r="J644" s="42">
        <v>95.0</v>
      </c>
      <c r="K644" s="42">
        <v>24.6</v>
      </c>
      <c r="L644" s="42">
        <v>75.4</v>
      </c>
      <c r="Q644" s="4"/>
    </row>
    <row r="645">
      <c r="A645" s="2"/>
      <c r="B645" s="43">
        <v>637.0</v>
      </c>
      <c r="C645" s="44" t="s">
        <v>32</v>
      </c>
      <c r="D645" s="53" t="s">
        <v>176</v>
      </c>
      <c r="E645" s="53" t="s">
        <v>228</v>
      </c>
      <c r="F645" s="53" t="s">
        <v>228</v>
      </c>
      <c r="G645" s="44" t="s">
        <v>228</v>
      </c>
      <c r="H645" s="45">
        <v>35.0</v>
      </c>
      <c r="I645" s="45">
        <v>6.0</v>
      </c>
      <c r="J645" s="45">
        <v>29.0</v>
      </c>
      <c r="K645" s="45">
        <v>17.1</v>
      </c>
      <c r="L645" s="45">
        <v>82.9</v>
      </c>
      <c r="Q645" s="4"/>
    </row>
    <row r="646">
      <c r="A646" s="2"/>
      <c r="B646" s="38">
        <v>638.0</v>
      </c>
      <c r="C646" s="39" t="s">
        <v>32</v>
      </c>
      <c r="D646" s="39" t="s">
        <v>176</v>
      </c>
      <c r="E646" s="39" t="s">
        <v>228</v>
      </c>
      <c r="F646" s="39" t="s">
        <v>228</v>
      </c>
      <c r="G646" s="41" t="s">
        <v>23</v>
      </c>
      <c r="H646" s="42">
        <v>4.0</v>
      </c>
      <c r="I646" s="42">
        <v>0.0</v>
      </c>
      <c r="J646" s="42">
        <v>4.0</v>
      </c>
      <c r="K646" s="42">
        <v>0.0</v>
      </c>
      <c r="L646" s="42">
        <v>100.0</v>
      </c>
      <c r="Q646" s="4"/>
    </row>
    <row r="647">
      <c r="A647" s="2"/>
      <c r="B647" s="38">
        <v>639.0</v>
      </c>
      <c r="C647" s="39" t="s">
        <v>32</v>
      </c>
      <c r="D647" s="39" t="s">
        <v>176</v>
      </c>
      <c r="E647" s="39" t="s">
        <v>228</v>
      </c>
      <c r="F647" s="39" t="s">
        <v>228</v>
      </c>
      <c r="G647" s="41" t="s">
        <v>25</v>
      </c>
      <c r="H647" s="42">
        <v>31.0</v>
      </c>
      <c r="I647" s="42">
        <v>6.0</v>
      </c>
      <c r="J647" s="42">
        <v>25.0</v>
      </c>
      <c r="K647" s="42">
        <v>19.4</v>
      </c>
      <c r="L647" s="42">
        <v>80.6</v>
      </c>
      <c r="Q647" s="4"/>
    </row>
    <row r="648">
      <c r="A648" s="2"/>
      <c r="B648" s="43">
        <v>640.0</v>
      </c>
      <c r="C648" s="44" t="s">
        <v>32</v>
      </c>
      <c r="D648" s="53" t="s">
        <v>176</v>
      </c>
      <c r="E648" s="53" t="s">
        <v>228</v>
      </c>
      <c r="F648" s="53" t="s">
        <v>229</v>
      </c>
      <c r="G648" s="44" t="s">
        <v>229</v>
      </c>
      <c r="H648" s="45">
        <v>143.0</v>
      </c>
      <c r="I648" s="45">
        <v>38.0</v>
      </c>
      <c r="J648" s="45">
        <v>105.0</v>
      </c>
      <c r="K648" s="45">
        <v>26.6</v>
      </c>
      <c r="L648" s="45">
        <v>73.4</v>
      </c>
      <c r="Q648" s="4"/>
    </row>
    <row r="649">
      <c r="A649" s="2"/>
      <c r="B649" s="38">
        <v>641.0</v>
      </c>
      <c r="C649" s="39" t="s">
        <v>32</v>
      </c>
      <c r="D649" s="39" t="s">
        <v>176</v>
      </c>
      <c r="E649" s="39" t="s">
        <v>228</v>
      </c>
      <c r="F649" s="39" t="s">
        <v>229</v>
      </c>
      <c r="G649" s="41" t="s">
        <v>23</v>
      </c>
      <c r="H649" s="42">
        <v>48.0</v>
      </c>
      <c r="I649" s="42">
        <v>13.0</v>
      </c>
      <c r="J649" s="42">
        <v>35.0</v>
      </c>
      <c r="K649" s="42">
        <v>27.1</v>
      </c>
      <c r="L649" s="42">
        <v>72.9</v>
      </c>
      <c r="Q649" s="4"/>
    </row>
    <row r="650">
      <c r="A650" s="2"/>
      <c r="B650" s="38">
        <v>642.0</v>
      </c>
      <c r="C650" s="39" t="s">
        <v>32</v>
      </c>
      <c r="D650" s="39" t="s">
        <v>176</v>
      </c>
      <c r="E650" s="39" t="s">
        <v>228</v>
      </c>
      <c r="F650" s="39" t="s">
        <v>229</v>
      </c>
      <c r="G650" s="41" t="s">
        <v>25</v>
      </c>
      <c r="H650" s="42">
        <v>95.0</v>
      </c>
      <c r="I650" s="42">
        <v>25.0</v>
      </c>
      <c r="J650" s="42">
        <v>70.0</v>
      </c>
      <c r="K650" s="42">
        <v>26.3</v>
      </c>
      <c r="L650" s="42">
        <v>73.7</v>
      </c>
      <c r="Q650" s="4"/>
    </row>
    <row r="651">
      <c r="A651" s="2"/>
      <c r="B651" s="24">
        <v>643.0</v>
      </c>
      <c r="C651" s="25" t="s">
        <v>26</v>
      </c>
      <c r="D651" s="25" t="s">
        <v>230</v>
      </c>
      <c r="E651" s="26"/>
      <c r="F651" s="26"/>
      <c r="G651" s="25" t="s">
        <v>230</v>
      </c>
      <c r="H651" s="28">
        <v>802.0</v>
      </c>
      <c r="I651" s="28">
        <v>221.0</v>
      </c>
      <c r="J651" s="28">
        <v>581.0</v>
      </c>
      <c r="K651" s="28">
        <v>27.6</v>
      </c>
      <c r="L651" s="28">
        <v>72.4</v>
      </c>
      <c r="Q651" s="4"/>
    </row>
    <row r="652">
      <c r="A652" s="2"/>
      <c r="B652" s="29">
        <v>644.0</v>
      </c>
      <c r="C652" s="30" t="s">
        <v>26</v>
      </c>
      <c r="D652" s="47" t="s">
        <v>230</v>
      </c>
      <c r="E652" s="48"/>
      <c r="F652" s="48"/>
      <c r="G652" s="30" t="s">
        <v>23</v>
      </c>
      <c r="H652" s="33">
        <v>505.0</v>
      </c>
      <c r="I652" s="33">
        <v>149.0</v>
      </c>
      <c r="J652" s="33">
        <v>356.0</v>
      </c>
      <c r="K652" s="33">
        <v>29.5</v>
      </c>
      <c r="L652" s="33">
        <v>70.5</v>
      </c>
      <c r="Q652" s="4"/>
    </row>
    <row r="653">
      <c r="A653" s="2"/>
      <c r="B653" s="29">
        <v>645.0</v>
      </c>
      <c r="C653" s="30" t="s">
        <v>26</v>
      </c>
      <c r="D653" s="47" t="s">
        <v>230</v>
      </c>
      <c r="E653" s="48"/>
      <c r="F653" s="48"/>
      <c r="G653" s="30" t="s">
        <v>25</v>
      </c>
      <c r="H653" s="33">
        <v>297.0</v>
      </c>
      <c r="I653" s="33">
        <v>72.0</v>
      </c>
      <c r="J653" s="33">
        <v>225.0</v>
      </c>
      <c r="K653" s="33">
        <v>24.2</v>
      </c>
      <c r="L653" s="33">
        <v>75.8</v>
      </c>
      <c r="Q653" s="4"/>
    </row>
    <row r="654">
      <c r="A654" s="2"/>
      <c r="B654" s="34">
        <v>646.0</v>
      </c>
      <c r="C654" s="35" t="s">
        <v>30</v>
      </c>
      <c r="D654" s="49" t="s">
        <v>230</v>
      </c>
      <c r="E654" s="49" t="s">
        <v>177</v>
      </c>
      <c r="F654" s="50"/>
      <c r="G654" s="35" t="s">
        <v>177</v>
      </c>
      <c r="H654" s="37">
        <v>417.0</v>
      </c>
      <c r="I654" s="37">
        <v>144.0</v>
      </c>
      <c r="J654" s="37">
        <v>273.0</v>
      </c>
      <c r="K654" s="37">
        <v>34.5</v>
      </c>
      <c r="L654" s="37">
        <v>65.5</v>
      </c>
      <c r="Q654" s="4"/>
    </row>
    <row r="655">
      <c r="A655" s="2"/>
      <c r="B655" s="38">
        <v>647.0</v>
      </c>
      <c r="C655" s="39" t="s">
        <v>30</v>
      </c>
      <c r="D655" s="39" t="s">
        <v>230</v>
      </c>
      <c r="E655" s="39" t="s">
        <v>177</v>
      </c>
      <c r="F655" s="40"/>
      <c r="G655" s="41" t="s">
        <v>23</v>
      </c>
      <c r="H655" s="42">
        <v>357.0</v>
      </c>
      <c r="I655" s="42">
        <v>130.0</v>
      </c>
      <c r="J655" s="42">
        <v>227.0</v>
      </c>
      <c r="K655" s="42">
        <v>36.4</v>
      </c>
      <c r="L655" s="42">
        <v>63.6</v>
      </c>
      <c r="Q655" s="4"/>
    </row>
    <row r="656">
      <c r="A656" s="2"/>
      <c r="B656" s="38">
        <v>648.0</v>
      </c>
      <c r="C656" s="39" t="s">
        <v>30</v>
      </c>
      <c r="D656" s="39" t="s">
        <v>230</v>
      </c>
      <c r="E656" s="39" t="s">
        <v>177</v>
      </c>
      <c r="F656" s="40"/>
      <c r="G656" s="41" t="s">
        <v>25</v>
      </c>
      <c r="H656" s="42">
        <v>60.0</v>
      </c>
      <c r="I656" s="42">
        <v>14.0</v>
      </c>
      <c r="J656" s="42">
        <v>46.0</v>
      </c>
      <c r="K656" s="42">
        <v>23.3</v>
      </c>
      <c r="L656" s="42">
        <v>76.7</v>
      </c>
      <c r="Q656" s="4"/>
    </row>
    <row r="657">
      <c r="A657" s="2"/>
      <c r="B657" s="43">
        <v>649.0</v>
      </c>
      <c r="C657" s="44" t="s">
        <v>32</v>
      </c>
      <c r="D657" s="53" t="s">
        <v>230</v>
      </c>
      <c r="E657" s="53" t="s">
        <v>177</v>
      </c>
      <c r="F657" s="53" t="s">
        <v>230</v>
      </c>
      <c r="G657" s="44" t="s">
        <v>230</v>
      </c>
      <c r="H657" s="45">
        <v>354.0</v>
      </c>
      <c r="I657" s="45">
        <v>130.0</v>
      </c>
      <c r="J657" s="45">
        <v>224.0</v>
      </c>
      <c r="K657" s="45">
        <v>36.7</v>
      </c>
      <c r="L657" s="45">
        <v>63.3</v>
      </c>
      <c r="Q657" s="4"/>
    </row>
    <row r="658">
      <c r="A658" s="2"/>
      <c r="B658" s="38">
        <v>650.0</v>
      </c>
      <c r="C658" s="39" t="s">
        <v>32</v>
      </c>
      <c r="D658" s="39" t="s">
        <v>230</v>
      </c>
      <c r="E658" s="39" t="s">
        <v>177</v>
      </c>
      <c r="F658" s="39" t="s">
        <v>230</v>
      </c>
      <c r="G658" s="41" t="s">
        <v>23</v>
      </c>
      <c r="H658" s="42">
        <v>354.0</v>
      </c>
      <c r="I658" s="42">
        <v>130.0</v>
      </c>
      <c r="J658" s="42">
        <v>224.0</v>
      </c>
      <c r="K658" s="42">
        <v>36.7</v>
      </c>
      <c r="L658" s="42">
        <v>63.3</v>
      </c>
      <c r="Q658" s="4"/>
    </row>
    <row r="659">
      <c r="A659" s="2"/>
      <c r="B659" s="38">
        <v>651.0</v>
      </c>
      <c r="C659" s="39" t="s">
        <v>32</v>
      </c>
      <c r="D659" s="39" t="s">
        <v>230</v>
      </c>
      <c r="E659" s="39" t="s">
        <v>177</v>
      </c>
      <c r="F659" s="39" t="s">
        <v>230</v>
      </c>
      <c r="G659" s="41" t="s">
        <v>25</v>
      </c>
      <c r="H659" s="42">
        <v>0.0</v>
      </c>
      <c r="I659" s="42">
        <v>0.0</v>
      </c>
      <c r="J659" s="42">
        <v>0.0</v>
      </c>
      <c r="K659" s="42">
        <v>0.0</v>
      </c>
      <c r="L659" s="42">
        <v>0.0</v>
      </c>
      <c r="Q659" s="4"/>
    </row>
    <row r="660">
      <c r="A660" s="2"/>
      <c r="B660" s="43">
        <v>652.0</v>
      </c>
      <c r="C660" s="44" t="s">
        <v>32</v>
      </c>
      <c r="D660" s="53" t="s">
        <v>230</v>
      </c>
      <c r="E660" s="53" t="s">
        <v>177</v>
      </c>
      <c r="F660" s="53" t="s">
        <v>231</v>
      </c>
      <c r="G660" s="44" t="s">
        <v>231</v>
      </c>
      <c r="H660" s="45">
        <v>35.0</v>
      </c>
      <c r="I660" s="45">
        <v>8.0</v>
      </c>
      <c r="J660" s="45">
        <v>27.0</v>
      </c>
      <c r="K660" s="45">
        <v>22.9</v>
      </c>
      <c r="L660" s="45">
        <v>77.1</v>
      </c>
      <c r="Q660" s="4"/>
    </row>
    <row r="661">
      <c r="A661" s="2"/>
      <c r="B661" s="38">
        <v>653.0</v>
      </c>
      <c r="C661" s="39" t="s">
        <v>32</v>
      </c>
      <c r="D661" s="39" t="s">
        <v>230</v>
      </c>
      <c r="E661" s="39" t="s">
        <v>177</v>
      </c>
      <c r="F661" s="39" t="s">
        <v>231</v>
      </c>
      <c r="G661" s="41" t="s">
        <v>23</v>
      </c>
      <c r="H661" s="42">
        <v>3.0</v>
      </c>
      <c r="I661" s="42">
        <v>0.0</v>
      </c>
      <c r="J661" s="42">
        <v>3.0</v>
      </c>
      <c r="K661" s="42">
        <v>0.0</v>
      </c>
      <c r="L661" s="42">
        <v>100.0</v>
      </c>
      <c r="Q661" s="4"/>
    </row>
    <row r="662">
      <c r="A662" s="2"/>
      <c r="B662" s="38">
        <v>654.0</v>
      </c>
      <c r="C662" s="39" t="s">
        <v>32</v>
      </c>
      <c r="D662" s="39" t="s">
        <v>230</v>
      </c>
      <c r="E662" s="39" t="s">
        <v>177</v>
      </c>
      <c r="F662" s="39" t="s">
        <v>231</v>
      </c>
      <c r="G662" s="41" t="s">
        <v>25</v>
      </c>
      <c r="H662" s="42">
        <v>32.0</v>
      </c>
      <c r="I662" s="42">
        <v>8.0</v>
      </c>
      <c r="J662" s="42">
        <v>24.0</v>
      </c>
      <c r="K662" s="42">
        <v>25.0</v>
      </c>
      <c r="L662" s="42">
        <v>75.0</v>
      </c>
      <c r="Q662" s="4"/>
    </row>
    <row r="663">
      <c r="A663" s="2"/>
      <c r="B663" s="43">
        <v>655.0</v>
      </c>
      <c r="C663" s="44" t="s">
        <v>32</v>
      </c>
      <c r="D663" s="53" t="s">
        <v>230</v>
      </c>
      <c r="E663" s="53" t="s">
        <v>177</v>
      </c>
      <c r="F663" s="53" t="s">
        <v>232</v>
      </c>
      <c r="G663" s="44" t="s">
        <v>232</v>
      </c>
      <c r="H663" s="45">
        <v>6.0</v>
      </c>
      <c r="I663" s="45">
        <v>0.0</v>
      </c>
      <c r="J663" s="45">
        <v>6.0</v>
      </c>
      <c r="K663" s="45">
        <v>0.0</v>
      </c>
      <c r="L663" s="45">
        <v>100.0</v>
      </c>
      <c r="Q663" s="4"/>
    </row>
    <row r="664">
      <c r="A664" s="2"/>
      <c r="B664" s="38">
        <v>656.0</v>
      </c>
      <c r="C664" s="39" t="s">
        <v>32</v>
      </c>
      <c r="D664" s="39" t="s">
        <v>230</v>
      </c>
      <c r="E664" s="39" t="s">
        <v>177</v>
      </c>
      <c r="F664" s="39" t="s">
        <v>232</v>
      </c>
      <c r="G664" s="41" t="s">
        <v>23</v>
      </c>
      <c r="H664" s="46"/>
      <c r="I664" s="46"/>
      <c r="J664" s="46"/>
      <c r="K664" s="46"/>
      <c r="L664" s="46"/>
      <c r="Q664" s="4"/>
    </row>
    <row r="665">
      <c r="A665" s="2"/>
      <c r="B665" s="38">
        <v>657.0</v>
      </c>
      <c r="C665" s="39" t="s">
        <v>32</v>
      </c>
      <c r="D665" s="39" t="s">
        <v>230</v>
      </c>
      <c r="E665" s="39" t="s">
        <v>177</v>
      </c>
      <c r="F665" s="39" t="s">
        <v>232</v>
      </c>
      <c r="G665" s="41" t="s">
        <v>25</v>
      </c>
      <c r="H665" s="42">
        <v>6.0</v>
      </c>
      <c r="I665" s="42">
        <v>0.0</v>
      </c>
      <c r="J665" s="42">
        <v>6.0</v>
      </c>
      <c r="K665" s="42">
        <v>0.0</v>
      </c>
      <c r="L665" s="42">
        <v>100.0</v>
      </c>
      <c r="Q665" s="4"/>
    </row>
    <row r="666">
      <c r="A666" s="2"/>
      <c r="B666" s="43">
        <v>658.0</v>
      </c>
      <c r="C666" s="44" t="s">
        <v>32</v>
      </c>
      <c r="D666" s="53" t="s">
        <v>230</v>
      </c>
      <c r="E666" s="53" t="s">
        <v>177</v>
      </c>
      <c r="F666" s="53" t="s">
        <v>233</v>
      </c>
      <c r="G666" s="44" t="s">
        <v>233</v>
      </c>
      <c r="H666" s="45">
        <v>22.0</v>
      </c>
      <c r="I666" s="45">
        <v>6.0</v>
      </c>
      <c r="J666" s="45">
        <v>16.0</v>
      </c>
      <c r="K666" s="45">
        <v>27.3</v>
      </c>
      <c r="L666" s="45">
        <v>72.7</v>
      </c>
      <c r="Q666" s="4"/>
    </row>
    <row r="667">
      <c r="A667" s="2"/>
      <c r="B667" s="38">
        <v>659.0</v>
      </c>
      <c r="C667" s="39" t="s">
        <v>32</v>
      </c>
      <c r="D667" s="39" t="s">
        <v>230</v>
      </c>
      <c r="E667" s="39" t="s">
        <v>177</v>
      </c>
      <c r="F667" s="39" t="s">
        <v>233</v>
      </c>
      <c r="G667" s="41" t="s">
        <v>23</v>
      </c>
      <c r="H667" s="46"/>
      <c r="I667" s="46"/>
      <c r="J667" s="46"/>
      <c r="K667" s="46"/>
      <c r="L667" s="46"/>
      <c r="Q667" s="4"/>
    </row>
    <row r="668">
      <c r="A668" s="2"/>
      <c r="B668" s="38">
        <v>660.0</v>
      </c>
      <c r="C668" s="39" t="s">
        <v>32</v>
      </c>
      <c r="D668" s="39" t="s">
        <v>230</v>
      </c>
      <c r="E668" s="39" t="s">
        <v>177</v>
      </c>
      <c r="F668" s="39" t="s">
        <v>233</v>
      </c>
      <c r="G668" s="41" t="s">
        <v>25</v>
      </c>
      <c r="H668" s="42">
        <v>22.0</v>
      </c>
      <c r="I668" s="42">
        <v>6.0</v>
      </c>
      <c r="J668" s="42">
        <v>16.0</v>
      </c>
      <c r="K668" s="42">
        <v>27.3</v>
      </c>
      <c r="L668" s="42">
        <v>72.7</v>
      </c>
      <c r="Q668" s="4"/>
    </row>
    <row r="669">
      <c r="A669" s="2"/>
      <c r="B669" s="34">
        <v>661.0</v>
      </c>
      <c r="C669" s="35" t="s">
        <v>30</v>
      </c>
      <c r="D669" s="49" t="s">
        <v>230</v>
      </c>
      <c r="E669" s="49" t="s">
        <v>234</v>
      </c>
      <c r="F669" s="50"/>
      <c r="G669" s="35" t="s">
        <v>234</v>
      </c>
      <c r="H669" s="37">
        <v>53.0</v>
      </c>
      <c r="I669" s="37">
        <v>10.0</v>
      </c>
      <c r="J669" s="37">
        <v>43.0</v>
      </c>
      <c r="K669" s="37">
        <v>18.9</v>
      </c>
      <c r="L669" s="37">
        <v>81.1</v>
      </c>
      <c r="Q669" s="4"/>
    </row>
    <row r="670">
      <c r="A670" s="2"/>
      <c r="B670" s="38">
        <v>662.0</v>
      </c>
      <c r="C670" s="39" t="s">
        <v>30</v>
      </c>
      <c r="D670" s="39" t="s">
        <v>230</v>
      </c>
      <c r="E670" s="39" t="s">
        <v>234</v>
      </c>
      <c r="F670" s="40"/>
      <c r="G670" s="41" t="s">
        <v>23</v>
      </c>
      <c r="H670" s="42">
        <v>18.0</v>
      </c>
      <c r="I670" s="42">
        <v>3.0</v>
      </c>
      <c r="J670" s="42">
        <v>15.0</v>
      </c>
      <c r="K670" s="42">
        <v>16.7</v>
      </c>
      <c r="L670" s="42">
        <v>83.3</v>
      </c>
      <c r="Q670" s="4"/>
    </row>
    <row r="671">
      <c r="A671" s="2"/>
      <c r="B671" s="38">
        <v>663.0</v>
      </c>
      <c r="C671" s="39" t="s">
        <v>30</v>
      </c>
      <c r="D671" s="39" t="s">
        <v>230</v>
      </c>
      <c r="E671" s="39" t="s">
        <v>234</v>
      </c>
      <c r="F671" s="40"/>
      <c r="G671" s="41" t="s">
        <v>25</v>
      </c>
      <c r="H671" s="42">
        <v>35.0</v>
      </c>
      <c r="I671" s="42">
        <v>7.0</v>
      </c>
      <c r="J671" s="42">
        <v>28.0</v>
      </c>
      <c r="K671" s="42">
        <v>20.0</v>
      </c>
      <c r="L671" s="42">
        <v>80.0</v>
      </c>
      <c r="Q671" s="4"/>
    </row>
    <row r="672">
      <c r="A672" s="2"/>
      <c r="B672" s="43">
        <v>664.0</v>
      </c>
      <c r="C672" s="44" t="s">
        <v>32</v>
      </c>
      <c r="D672" s="53" t="s">
        <v>230</v>
      </c>
      <c r="E672" s="53" t="s">
        <v>234</v>
      </c>
      <c r="F672" s="53" t="s">
        <v>235</v>
      </c>
      <c r="G672" s="44" t="s">
        <v>235</v>
      </c>
      <c r="H672" s="45">
        <v>50.0</v>
      </c>
      <c r="I672" s="45">
        <v>10.0</v>
      </c>
      <c r="J672" s="45">
        <v>40.0</v>
      </c>
      <c r="K672" s="45">
        <v>20.0</v>
      </c>
      <c r="L672" s="45">
        <v>80.0</v>
      </c>
      <c r="Q672" s="4"/>
    </row>
    <row r="673">
      <c r="A673" s="2"/>
      <c r="B673" s="38">
        <v>665.0</v>
      </c>
      <c r="C673" s="39" t="s">
        <v>32</v>
      </c>
      <c r="D673" s="39" t="s">
        <v>230</v>
      </c>
      <c r="E673" s="39" t="s">
        <v>234</v>
      </c>
      <c r="F673" s="39" t="s">
        <v>235</v>
      </c>
      <c r="G673" s="41" t="s">
        <v>23</v>
      </c>
      <c r="H673" s="42">
        <v>18.0</v>
      </c>
      <c r="I673" s="42">
        <v>3.0</v>
      </c>
      <c r="J673" s="42">
        <v>15.0</v>
      </c>
      <c r="K673" s="42">
        <v>16.7</v>
      </c>
      <c r="L673" s="42">
        <v>83.3</v>
      </c>
      <c r="Q673" s="4"/>
    </row>
    <row r="674">
      <c r="A674" s="2"/>
      <c r="B674" s="38">
        <v>666.0</v>
      </c>
      <c r="C674" s="39" t="s">
        <v>32</v>
      </c>
      <c r="D674" s="39" t="s">
        <v>230</v>
      </c>
      <c r="E674" s="39" t="s">
        <v>234</v>
      </c>
      <c r="F674" s="39" t="s">
        <v>235</v>
      </c>
      <c r="G674" s="41" t="s">
        <v>25</v>
      </c>
      <c r="H674" s="42">
        <v>32.0</v>
      </c>
      <c r="I674" s="42">
        <v>7.0</v>
      </c>
      <c r="J674" s="42">
        <v>25.0</v>
      </c>
      <c r="K674" s="42">
        <v>21.9</v>
      </c>
      <c r="L674" s="42">
        <v>78.1</v>
      </c>
      <c r="Q674" s="4"/>
    </row>
    <row r="675">
      <c r="A675" s="2"/>
      <c r="B675" s="43">
        <v>667.0</v>
      </c>
      <c r="C675" s="44" t="s">
        <v>32</v>
      </c>
      <c r="D675" s="53" t="s">
        <v>230</v>
      </c>
      <c r="E675" s="53" t="s">
        <v>234</v>
      </c>
      <c r="F675" s="53" t="s">
        <v>236</v>
      </c>
      <c r="G675" s="44" t="s">
        <v>236</v>
      </c>
      <c r="H675" s="45">
        <v>3.0</v>
      </c>
      <c r="I675" s="45">
        <v>0.0</v>
      </c>
      <c r="J675" s="45">
        <v>3.0</v>
      </c>
      <c r="K675" s="45">
        <v>0.0</v>
      </c>
      <c r="L675" s="45">
        <v>100.0</v>
      </c>
      <c r="Q675" s="4"/>
    </row>
    <row r="676">
      <c r="A676" s="2"/>
      <c r="B676" s="38">
        <v>668.0</v>
      </c>
      <c r="C676" s="39" t="s">
        <v>32</v>
      </c>
      <c r="D676" s="39" t="s">
        <v>230</v>
      </c>
      <c r="E676" s="39" t="s">
        <v>234</v>
      </c>
      <c r="F676" s="39" t="s">
        <v>236</v>
      </c>
      <c r="G676" s="41" t="s">
        <v>23</v>
      </c>
      <c r="H676" s="46"/>
      <c r="I676" s="46"/>
      <c r="J676" s="46"/>
      <c r="K676" s="46"/>
      <c r="L676" s="46"/>
      <c r="Q676" s="4"/>
    </row>
    <row r="677">
      <c r="A677" s="2"/>
      <c r="B677" s="38">
        <v>669.0</v>
      </c>
      <c r="C677" s="39" t="s">
        <v>32</v>
      </c>
      <c r="D677" s="39" t="s">
        <v>230</v>
      </c>
      <c r="E677" s="39" t="s">
        <v>234</v>
      </c>
      <c r="F677" s="39" t="s">
        <v>236</v>
      </c>
      <c r="G677" s="41" t="s">
        <v>25</v>
      </c>
      <c r="H677" s="42">
        <v>3.0</v>
      </c>
      <c r="I677" s="42">
        <v>0.0</v>
      </c>
      <c r="J677" s="42">
        <v>3.0</v>
      </c>
      <c r="K677" s="42">
        <v>0.0</v>
      </c>
      <c r="L677" s="42">
        <v>100.0</v>
      </c>
      <c r="Q677" s="4"/>
    </row>
    <row r="678">
      <c r="A678" s="2"/>
      <c r="B678" s="34">
        <v>670.0</v>
      </c>
      <c r="C678" s="35" t="s">
        <v>30</v>
      </c>
      <c r="D678" s="49" t="s">
        <v>230</v>
      </c>
      <c r="E678" s="49" t="s">
        <v>237</v>
      </c>
      <c r="F678" s="50"/>
      <c r="G678" s="35" t="s">
        <v>237</v>
      </c>
      <c r="H678" s="37">
        <v>18.0</v>
      </c>
      <c r="I678" s="37">
        <v>0.0</v>
      </c>
      <c r="J678" s="37">
        <v>18.0</v>
      </c>
      <c r="K678" s="37">
        <v>0.0</v>
      </c>
      <c r="L678" s="37">
        <v>100.0</v>
      </c>
      <c r="Q678" s="4"/>
    </row>
    <row r="679">
      <c r="A679" s="2"/>
      <c r="B679" s="38">
        <v>671.0</v>
      </c>
      <c r="C679" s="39" t="s">
        <v>30</v>
      </c>
      <c r="D679" s="39" t="s">
        <v>230</v>
      </c>
      <c r="E679" s="39" t="s">
        <v>237</v>
      </c>
      <c r="F679" s="40"/>
      <c r="G679" s="41" t="s">
        <v>23</v>
      </c>
      <c r="H679" s="46"/>
      <c r="I679" s="46"/>
      <c r="J679" s="46"/>
      <c r="K679" s="46"/>
      <c r="L679" s="46"/>
      <c r="Q679" s="4"/>
    </row>
    <row r="680">
      <c r="A680" s="2"/>
      <c r="B680" s="38">
        <v>672.0</v>
      </c>
      <c r="C680" s="39" t="s">
        <v>30</v>
      </c>
      <c r="D680" s="39" t="s">
        <v>230</v>
      </c>
      <c r="E680" s="39" t="s">
        <v>237</v>
      </c>
      <c r="F680" s="40"/>
      <c r="G680" s="41" t="s">
        <v>25</v>
      </c>
      <c r="H680" s="42">
        <v>18.0</v>
      </c>
      <c r="I680" s="42">
        <v>0.0</v>
      </c>
      <c r="J680" s="42">
        <v>18.0</v>
      </c>
      <c r="K680" s="42">
        <v>0.0</v>
      </c>
      <c r="L680" s="42">
        <v>100.0</v>
      </c>
      <c r="Q680" s="4"/>
    </row>
    <row r="681">
      <c r="A681" s="2"/>
      <c r="B681" s="43">
        <v>673.0</v>
      </c>
      <c r="C681" s="44" t="s">
        <v>32</v>
      </c>
      <c r="D681" s="53" t="s">
        <v>230</v>
      </c>
      <c r="E681" s="53" t="s">
        <v>237</v>
      </c>
      <c r="F681" s="53" t="s">
        <v>238</v>
      </c>
      <c r="G681" s="44" t="s">
        <v>238</v>
      </c>
      <c r="H681" s="45">
        <v>18.0</v>
      </c>
      <c r="I681" s="45">
        <v>0.0</v>
      </c>
      <c r="J681" s="45">
        <v>18.0</v>
      </c>
      <c r="K681" s="45">
        <v>0.0</v>
      </c>
      <c r="L681" s="45">
        <v>100.0</v>
      </c>
      <c r="Q681" s="4"/>
    </row>
    <row r="682">
      <c r="A682" s="2"/>
      <c r="B682" s="38">
        <v>674.0</v>
      </c>
      <c r="C682" s="39" t="s">
        <v>32</v>
      </c>
      <c r="D682" s="39" t="s">
        <v>230</v>
      </c>
      <c r="E682" s="39" t="s">
        <v>237</v>
      </c>
      <c r="F682" s="39" t="s">
        <v>238</v>
      </c>
      <c r="G682" s="41" t="s">
        <v>23</v>
      </c>
      <c r="H682" s="46"/>
      <c r="I682" s="46"/>
      <c r="J682" s="46"/>
      <c r="K682" s="46"/>
      <c r="L682" s="46"/>
      <c r="Q682" s="4"/>
    </row>
    <row r="683">
      <c r="A683" s="2"/>
      <c r="B683" s="38">
        <v>675.0</v>
      </c>
      <c r="C683" s="39" t="s">
        <v>32</v>
      </c>
      <c r="D683" s="39" t="s">
        <v>230</v>
      </c>
      <c r="E683" s="39" t="s">
        <v>237</v>
      </c>
      <c r="F683" s="39" t="s">
        <v>238</v>
      </c>
      <c r="G683" s="41" t="s">
        <v>25</v>
      </c>
      <c r="H683" s="42">
        <v>18.0</v>
      </c>
      <c r="I683" s="42">
        <v>0.0</v>
      </c>
      <c r="J683" s="42">
        <v>18.0</v>
      </c>
      <c r="K683" s="42">
        <v>0.0</v>
      </c>
      <c r="L683" s="42">
        <v>100.0</v>
      </c>
      <c r="Q683" s="4"/>
    </row>
    <row r="684">
      <c r="A684" s="2"/>
      <c r="B684" s="43">
        <v>676.0</v>
      </c>
      <c r="C684" s="44" t="s">
        <v>32</v>
      </c>
      <c r="D684" s="53" t="s">
        <v>230</v>
      </c>
      <c r="E684" s="53" t="s">
        <v>237</v>
      </c>
      <c r="F684" s="53" t="s">
        <v>239</v>
      </c>
      <c r="G684" s="44" t="s">
        <v>239</v>
      </c>
      <c r="H684" s="45">
        <v>0.0</v>
      </c>
      <c r="I684" s="45">
        <v>0.0</v>
      </c>
      <c r="J684" s="45">
        <v>0.0</v>
      </c>
      <c r="K684" s="45">
        <v>0.0</v>
      </c>
      <c r="L684" s="45">
        <v>0.0</v>
      </c>
      <c r="Q684" s="4"/>
    </row>
    <row r="685">
      <c r="A685" s="2"/>
      <c r="B685" s="38">
        <v>677.0</v>
      </c>
      <c r="C685" s="39" t="s">
        <v>32</v>
      </c>
      <c r="D685" s="39" t="s">
        <v>230</v>
      </c>
      <c r="E685" s="39" t="s">
        <v>237</v>
      </c>
      <c r="F685" s="39" t="s">
        <v>239</v>
      </c>
      <c r="G685" s="41" t="s">
        <v>23</v>
      </c>
      <c r="H685" s="46"/>
      <c r="I685" s="46"/>
      <c r="J685" s="46"/>
      <c r="K685" s="46"/>
      <c r="L685" s="46"/>
      <c r="Q685" s="4"/>
    </row>
    <row r="686">
      <c r="A686" s="2"/>
      <c r="B686" s="38">
        <v>678.0</v>
      </c>
      <c r="C686" s="39" t="s">
        <v>32</v>
      </c>
      <c r="D686" s="39" t="s">
        <v>230</v>
      </c>
      <c r="E686" s="39" t="s">
        <v>237</v>
      </c>
      <c r="F686" s="39" t="s">
        <v>239</v>
      </c>
      <c r="G686" s="41" t="s">
        <v>25</v>
      </c>
      <c r="H686" s="42">
        <v>0.0</v>
      </c>
      <c r="I686" s="42">
        <v>0.0</v>
      </c>
      <c r="J686" s="42">
        <v>0.0</v>
      </c>
      <c r="K686" s="42">
        <v>0.0</v>
      </c>
      <c r="L686" s="42">
        <v>0.0</v>
      </c>
      <c r="Q686" s="4"/>
    </row>
    <row r="687">
      <c r="A687" s="2"/>
      <c r="B687" s="34">
        <v>679.0</v>
      </c>
      <c r="C687" s="35" t="s">
        <v>30</v>
      </c>
      <c r="D687" s="49" t="s">
        <v>230</v>
      </c>
      <c r="E687" s="49" t="s">
        <v>240</v>
      </c>
      <c r="F687" s="50"/>
      <c r="G687" s="35" t="s">
        <v>240</v>
      </c>
      <c r="H687" s="37">
        <v>20.0</v>
      </c>
      <c r="I687" s="37">
        <v>0.0</v>
      </c>
      <c r="J687" s="37">
        <v>20.0</v>
      </c>
      <c r="K687" s="37">
        <v>0.0</v>
      </c>
      <c r="L687" s="37">
        <v>100.0</v>
      </c>
      <c r="Q687" s="4"/>
    </row>
    <row r="688">
      <c r="A688" s="2"/>
      <c r="B688" s="38">
        <v>680.0</v>
      </c>
      <c r="C688" s="39" t="s">
        <v>30</v>
      </c>
      <c r="D688" s="39" t="s">
        <v>230</v>
      </c>
      <c r="E688" s="39" t="s">
        <v>240</v>
      </c>
      <c r="F688" s="40"/>
      <c r="G688" s="41" t="s">
        <v>23</v>
      </c>
      <c r="H688" s="46"/>
      <c r="I688" s="46"/>
      <c r="J688" s="46"/>
      <c r="K688" s="46"/>
      <c r="L688" s="46"/>
      <c r="Q688" s="4"/>
    </row>
    <row r="689">
      <c r="A689" s="2"/>
      <c r="B689" s="38">
        <v>681.0</v>
      </c>
      <c r="C689" s="39" t="s">
        <v>30</v>
      </c>
      <c r="D689" s="39" t="s">
        <v>230</v>
      </c>
      <c r="E689" s="39" t="s">
        <v>240</v>
      </c>
      <c r="F689" s="40"/>
      <c r="G689" s="41" t="s">
        <v>25</v>
      </c>
      <c r="H689" s="42">
        <v>20.0</v>
      </c>
      <c r="I689" s="42">
        <v>0.0</v>
      </c>
      <c r="J689" s="42">
        <v>20.0</v>
      </c>
      <c r="K689" s="42">
        <v>0.0</v>
      </c>
      <c r="L689" s="42">
        <v>100.0</v>
      </c>
      <c r="Q689" s="4"/>
    </row>
    <row r="690">
      <c r="A690" s="2"/>
      <c r="B690" s="43">
        <v>682.0</v>
      </c>
      <c r="C690" s="44" t="s">
        <v>32</v>
      </c>
      <c r="D690" s="53" t="s">
        <v>230</v>
      </c>
      <c r="E690" s="53" t="s">
        <v>240</v>
      </c>
      <c r="F690" s="53" t="s">
        <v>241</v>
      </c>
      <c r="G690" s="44" t="s">
        <v>241</v>
      </c>
      <c r="H690" s="45">
        <v>8.0</v>
      </c>
      <c r="I690" s="45">
        <v>0.0</v>
      </c>
      <c r="J690" s="45">
        <v>8.0</v>
      </c>
      <c r="K690" s="45">
        <v>0.0</v>
      </c>
      <c r="L690" s="45">
        <v>100.0</v>
      </c>
      <c r="Q690" s="4"/>
    </row>
    <row r="691">
      <c r="A691" s="2"/>
      <c r="B691" s="38">
        <v>683.0</v>
      </c>
      <c r="C691" s="39" t="s">
        <v>32</v>
      </c>
      <c r="D691" s="39" t="s">
        <v>230</v>
      </c>
      <c r="E691" s="39" t="s">
        <v>240</v>
      </c>
      <c r="F691" s="39" t="s">
        <v>241</v>
      </c>
      <c r="G691" s="41" t="s">
        <v>23</v>
      </c>
      <c r="H691" s="46"/>
      <c r="I691" s="46"/>
      <c r="J691" s="46"/>
      <c r="K691" s="46"/>
      <c r="L691" s="46"/>
      <c r="Q691" s="4"/>
    </row>
    <row r="692">
      <c r="A692" s="2"/>
      <c r="B692" s="38">
        <v>684.0</v>
      </c>
      <c r="C692" s="39" t="s">
        <v>32</v>
      </c>
      <c r="D692" s="39" t="s">
        <v>230</v>
      </c>
      <c r="E692" s="39" t="s">
        <v>240</v>
      </c>
      <c r="F692" s="39" t="s">
        <v>241</v>
      </c>
      <c r="G692" s="41" t="s">
        <v>25</v>
      </c>
      <c r="H692" s="42">
        <v>8.0</v>
      </c>
      <c r="I692" s="42">
        <v>0.0</v>
      </c>
      <c r="J692" s="42">
        <v>8.0</v>
      </c>
      <c r="K692" s="42">
        <v>0.0</v>
      </c>
      <c r="L692" s="42">
        <v>100.0</v>
      </c>
      <c r="Q692" s="4"/>
    </row>
    <row r="693">
      <c r="A693" s="2"/>
      <c r="B693" s="43">
        <v>685.0</v>
      </c>
      <c r="C693" s="44" t="s">
        <v>32</v>
      </c>
      <c r="D693" s="53" t="s">
        <v>230</v>
      </c>
      <c r="E693" s="53" t="s">
        <v>240</v>
      </c>
      <c r="F693" s="53" t="s">
        <v>242</v>
      </c>
      <c r="G693" s="44" t="s">
        <v>242</v>
      </c>
      <c r="H693" s="45">
        <v>12.0</v>
      </c>
      <c r="I693" s="45">
        <v>0.0</v>
      </c>
      <c r="J693" s="45">
        <v>12.0</v>
      </c>
      <c r="K693" s="45">
        <v>0.0</v>
      </c>
      <c r="L693" s="45">
        <v>100.0</v>
      </c>
      <c r="Q693" s="4"/>
    </row>
    <row r="694">
      <c r="A694" s="2"/>
      <c r="B694" s="38">
        <v>686.0</v>
      </c>
      <c r="C694" s="39" t="s">
        <v>32</v>
      </c>
      <c r="D694" s="39" t="s">
        <v>230</v>
      </c>
      <c r="E694" s="39" t="s">
        <v>240</v>
      </c>
      <c r="F694" s="39" t="s">
        <v>242</v>
      </c>
      <c r="G694" s="41" t="s">
        <v>23</v>
      </c>
      <c r="H694" s="46"/>
      <c r="I694" s="46"/>
      <c r="J694" s="46"/>
      <c r="K694" s="46"/>
      <c r="L694" s="46"/>
      <c r="Q694" s="4"/>
    </row>
    <row r="695">
      <c r="A695" s="2"/>
      <c r="B695" s="38">
        <v>687.0</v>
      </c>
      <c r="C695" s="39" t="s">
        <v>32</v>
      </c>
      <c r="D695" s="39" t="s">
        <v>230</v>
      </c>
      <c r="E695" s="39" t="s">
        <v>240</v>
      </c>
      <c r="F695" s="39" t="s">
        <v>242</v>
      </c>
      <c r="G695" s="41" t="s">
        <v>25</v>
      </c>
      <c r="H695" s="42">
        <v>12.0</v>
      </c>
      <c r="I695" s="42">
        <v>0.0</v>
      </c>
      <c r="J695" s="42">
        <v>12.0</v>
      </c>
      <c r="K695" s="42">
        <v>0.0</v>
      </c>
      <c r="L695" s="42">
        <v>100.0</v>
      </c>
      <c r="Q695" s="4"/>
    </row>
    <row r="696">
      <c r="A696" s="2"/>
      <c r="B696" s="34">
        <v>688.0</v>
      </c>
      <c r="C696" s="35" t="s">
        <v>30</v>
      </c>
      <c r="D696" s="49" t="s">
        <v>230</v>
      </c>
      <c r="E696" s="49" t="s">
        <v>243</v>
      </c>
      <c r="F696" s="50"/>
      <c r="G696" s="35" t="s">
        <v>243</v>
      </c>
      <c r="H696" s="37">
        <v>17.0</v>
      </c>
      <c r="I696" s="37">
        <v>9.0</v>
      </c>
      <c r="J696" s="37">
        <v>8.0</v>
      </c>
      <c r="K696" s="37">
        <v>52.9</v>
      </c>
      <c r="L696" s="37">
        <v>47.1</v>
      </c>
      <c r="Q696" s="4"/>
    </row>
    <row r="697">
      <c r="A697" s="2"/>
      <c r="B697" s="38">
        <v>689.0</v>
      </c>
      <c r="C697" s="39" t="s">
        <v>30</v>
      </c>
      <c r="D697" s="39" t="s">
        <v>230</v>
      </c>
      <c r="E697" s="39" t="s">
        <v>243</v>
      </c>
      <c r="F697" s="40"/>
      <c r="G697" s="41" t="s">
        <v>23</v>
      </c>
      <c r="H697" s="42">
        <v>13.0</v>
      </c>
      <c r="I697" s="42">
        <v>9.0</v>
      </c>
      <c r="J697" s="42">
        <v>4.0</v>
      </c>
      <c r="K697" s="42">
        <v>69.2</v>
      </c>
      <c r="L697" s="42">
        <v>30.8</v>
      </c>
      <c r="Q697" s="4"/>
    </row>
    <row r="698">
      <c r="A698" s="2"/>
      <c r="B698" s="38">
        <v>690.0</v>
      </c>
      <c r="C698" s="39" t="s">
        <v>30</v>
      </c>
      <c r="D698" s="39" t="s">
        <v>230</v>
      </c>
      <c r="E698" s="39" t="s">
        <v>243</v>
      </c>
      <c r="F698" s="40"/>
      <c r="G698" s="41" t="s">
        <v>25</v>
      </c>
      <c r="H698" s="42">
        <v>4.0</v>
      </c>
      <c r="I698" s="42">
        <v>0.0</v>
      </c>
      <c r="J698" s="42">
        <v>4.0</v>
      </c>
      <c r="K698" s="42">
        <v>0.0</v>
      </c>
      <c r="L698" s="42">
        <v>100.0</v>
      </c>
      <c r="Q698" s="4"/>
    </row>
    <row r="699">
      <c r="A699" s="2"/>
      <c r="B699" s="43">
        <v>691.0</v>
      </c>
      <c r="C699" s="44" t="s">
        <v>32</v>
      </c>
      <c r="D699" s="53" t="s">
        <v>230</v>
      </c>
      <c r="E699" s="53" t="s">
        <v>243</v>
      </c>
      <c r="F699" s="53" t="s">
        <v>244</v>
      </c>
      <c r="G699" s="44" t="s">
        <v>244</v>
      </c>
      <c r="H699" s="45">
        <v>7.0</v>
      </c>
      <c r="I699" s="45">
        <v>0.0</v>
      </c>
      <c r="J699" s="45">
        <v>7.0</v>
      </c>
      <c r="K699" s="45">
        <v>0.0</v>
      </c>
      <c r="L699" s="45">
        <v>100.0</v>
      </c>
      <c r="Q699" s="4"/>
    </row>
    <row r="700">
      <c r="A700" s="2"/>
      <c r="B700" s="38">
        <v>692.0</v>
      </c>
      <c r="C700" s="39" t="s">
        <v>32</v>
      </c>
      <c r="D700" s="39" t="s">
        <v>230</v>
      </c>
      <c r="E700" s="39" t="s">
        <v>243</v>
      </c>
      <c r="F700" s="39" t="s">
        <v>244</v>
      </c>
      <c r="G700" s="41" t="s">
        <v>23</v>
      </c>
      <c r="H700" s="42">
        <v>4.0</v>
      </c>
      <c r="I700" s="42">
        <v>0.0</v>
      </c>
      <c r="J700" s="42">
        <v>4.0</v>
      </c>
      <c r="K700" s="42">
        <v>0.0</v>
      </c>
      <c r="L700" s="42">
        <v>100.0</v>
      </c>
      <c r="Q700" s="4"/>
    </row>
    <row r="701">
      <c r="A701" s="2"/>
      <c r="B701" s="38">
        <v>693.0</v>
      </c>
      <c r="C701" s="39" t="s">
        <v>32</v>
      </c>
      <c r="D701" s="39" t="s">
        <v>230</v>
      </c>
      <c r="E701" s="39" t="s">
        <v>243</v>
      </c>
      <c r="F701" s="39" t="s">
        <v>244</v>
      </c>
      <c r="G701" s="41" t="s">
        <v>25</v>
      </c>
      <c r="H701" s="42">
        <v>3.0</v>
      </c>
      <c r="I701" s="42">
        <v>0.0</v>
      </c>
      <c r="J701" s="42">
        <v>3.0</v>
      </c>
      <c r="K701" s="42">
        <v>0.0</v>
      </c>
      <c r="L701" s="42">
        <v>100.0</v>
      </c>
      <c r="Q701" s="4"/>
    </row>
    <row r="702">
      <c r="A702" s="2"/>
      <c r="B702" s="43">
        <v>694.0</v>
      </c>
      <c r="C702" s="44" t="s">
        <v>32</v>
      </c>
      <c r="D702" s="53" t="s">
        <v>230</v>
      </c>
      <c r="E702" s="53" t="s">
        <v>243</v>
      </c>
      <c r="F702" s="53" t="s">
        <v>245</v>
      </c>
      <c r="G702" s="44" t="s">
        <v>245</v>
      </c>
      <c r="H702" s="45">
        <v>9.0</v>
      </c>
      <c r="I702" s="45">
        <v>9.0</v>
      </c>
      <c r="J702" s="45">
        <v>0.0</v>
      </c>
      <c r="K702" s="45">
        <v>100.0</v>
      </c>
      <c r="L702" s="45">
        <v>0.0</v>
      </c>
      <c r="Q702" s="4"/>
    </row>
    <row r="703">
      <c r="A703" s="2"/>
      <c r="B703" s="38">
        <v>695.0</v>
      </c>
      <c r="C703" s="39" t="s">
        <v>32</v>
      </c>
      <c r="D703" s="39" t="s">
        <v>230</v>
      </c>
      <c r="E703" s="39" t="s">
        <v>243</v>
      </c>
      <c r="F703" s="39" t="s">
        <v>245</v>
      </c>
      <c r="G703" s="41" t="s">
        <v>23</v>
      </c>
      <c r="H703" s="42">
        <v>9.0</v>
      </c>
      <c r="I703" s="42">
        <v>9.0</v>
      </c>
      <c r="J703" s="42">
        <v>0.0</v>
      </c>
      <c r="K703" s="42">
        <v>100.0</v>
      </c>
      <c r="L703" s="42">
        <v>0.0</v>
      </c>
      <c r="Q703" s="4"/>
    </row>
    <row r="704">
      <c r="A704" s="2"/>
      <c r="B704" s="38">
        <v>696.0</v>
      </c>
      <c r="C704" s="39" t="s">
        <v>32</v>
      </c>
      <c r="D704" s="39" t="s">
        <v>230</v>
      </c>
      <c r="E704" s="39" t="s">
        <v>243</v>
      </c>
      <c r="F704" s="39" t="s">
        <v>245</v>
      </c>
      <c r="G704" s="41" t="s">
        <v>25</v>
      </c>
      <c r="H704" s="42">
        <v>0.0</v>
      </c>
      <c r="I704" s="42">
        <v>0.0</v>
      </c>
      <c r="J704" s="42">
        <v>0.0</v>
      </c>
      <c r="K704" s="42">
        <v>0.0</v>
      </c>
      <c r="L704" s="42">
        <v>0.0</v>
      </c>
      <c r="Q704" s="4"/>
    </row>
    <row r="705">
      <c r="A705" s="2"/>
      <c r="B705" s="43">
        <v>697.0</v>
      </c>
      <c r="C705" s="44" t="s">
        <v>32</v>
      </c>
      <c r="D705" s="53" t="s">
        <v>230</v>
      </c>
      <c r="E705" s="53" t="s">
        <v>243</v>
      </c>
      <c r="F705" s="53" t="s">
        <v>246</v>
      </c>
      <c r="G705" s="44" t="s">
        <v>246</v>
      </c>
      <c r="H705" s="45">
        <v>0.0</v>
      </c>
      <c r="I705" s="45">
        <v>0.0</v>
      </c>
      <c r="J705" s="45">
        <v>0.0</v>
      </c>
      <c r="K705" s="45">
        <v>0.0</v>
      </c>
      <c r="L705" s="45">
        <v>0.0</v>
      </c>
      <c r="Q705" s="4"/>
    </row>
    <row r="706">
      <c r="A706" s="2"/>
      <c r="B706" s="38">
        <v>698.0</v>
      </c>
      <c r="C706" s="39" t="s">
        <v>32</v>
      </c>
      <c r="D706" s="39" t="s">
        <v>230</v>
      </c>
      <c r="E706" s="39" t="s">
        <v>243</v>
      </c>
      <c r="F706" s="39" t="s">
        <v>246</v>
      </c>
      <c r="G706" s="41" t="s">
        <v>23</v>
      </c>
      <c r="H706" s="46"/>
      <c r="I706" s="46"/>
      <c r="J706" s="46"/>
      <c r="K706" s="46"/>
      <c r="L706" s="46"/>
      <c r="Q706" s="4"/>
    </row>
    <row r="707">
      <c r="A707" s="2"/>
      <c r="B707" s="38">
        <v>699.0</v>
      </c>
      <c r="C707" s="39" t="s">
        <v>32</v>
      </c>
      <c r="D707" s="39" t="s">
        <v>230</v>
      </c>
      <c r="E707" s="39" t="s">
        <v>243</v>
      </c>
      <c r="F707" s="39" t="s">
        <v>246</v>
      </c>
      <c r="G707" s="41" t="s">
        <v>25</v>
      </c>
      <c r="H707" s="42">
        <v>0.0</v>
      </c>
      <c r="I707" s="42">
        <v>0.0</v>
      </c>
      <c r="J707" s="42">
        <v>0.0</v>
      </c>
      <c r="K707" s="42">
        <v>0.0</v>
      </c>
      <c r="L707" s="42">
        <v>0.0</v>
      </c>
      <c r="Q707" s="4"/>
    </row>
    <row r="708">
      <c r="A708" s="2"/>
      <c r="B708" s="43">
        <v>700.0</v>
      </c>
      <c r="C708" s="44" t="s">
        <v>32</v>
      </c>
      <c r="D708" s="53" t="s">
        <v>230</v>
      </c>
      <c r="E708" s="53" t="s">
        <v>243</v>
      </c>
      <c r="F708" s="53" t="s">
        <v>247</v>
      </c>
      <c r="G708" s="44" t="s">
        <v>247</v>
      </c>
      <c r="H708" s="45">
        <v>0.0</v>
      </c>
      <c r="I708" s="45">
        <v>0.0</v>
      </c>
      <c r="J708" s="45">
        <v>0.0</v>
      </c>
      <c r="K708" s="45">
        <v>0.0</v>
      </c>
      <c r="L708" s="45">
        <v>0.0</v>
      </c>
      <c r="Q708" s="4"/>
    </row>
    <row r="709">
      <c r="A709" s="2"/>
      <c r="B709" s="38">
        <v>701.0</v>
      </c>
      <c r="C709" s="39" t="s">
        <v>32</v>
      </c>
      <c r="D709" s="39" t="s">
        <v>230</v>
      </c>
      <c r="E709" s="39" t="s">
        <v>243</v>
      </c>
      <c r="F709" s="39" t="s">
        <v>247</v>
      </c>
      <c r="G709" s="41" t="s">
        <v>23</v>
      </c>
      <c r="H709" s="46"/>
      <c r="I709" s="46"/>
      <c r="J709" s="46"/>
      <c r="K709" s="46"/>
      <c r="L709" s="46"/>
      <c r="Q709" s="4"/>
    </row>
    <row r="710">
      <c r="A710" s="2"/>
      <c r="B710" s="38">
        <v>702.0</v>
      </c>
      <c r="C710" s="39" t="s">
        <v>32</v>
      </c>
      <c r="D710" s="39" t="s">
        <v>230</v>
      </c>
      <c r="E710" s="39" t="s">
        <v>243</v>
      </c>
      <c r="F710" s="39" t="s">
        <v>247</v>
      </c>
      <c r="G710" s="41" t="s">
        <v>25</v>
      </c>
      <c r="H710" s="42">
        <v>0.0</v>
      </c>
      <c r="I710" s="42">
        <v>0.0</v>
      </c>
      <c r="J710" s="42">
        <v>0.0</v>
      </c>
      <c r="K710" s="42">
        <v>0.0</v>
      </c>
      <c r="L710" s="42">
        <v>0.0</v>
      </c>
      <c r="Q710" s="4"/>
    </row>
    <row r="711">
      <c r="A711" s="2"/>
      <c r="B711" s="43">
        <v>703.0</v>
      </c>
      <c r="C711" s="44" t="s">
        <v>32</v>
      </c>
      <c r="D711" s="53" t="s">
        <v>230</v>
      </c>
      <c r="E711" s="53" t="s">
        <v>243</v>
      </c>
      <c r="F711" s="53" t="s">
        <v>248</v>
      </c>
      <c r="G711" s="44" t="s">
        <v>248</v>
      </c>
      <c r="H711" s="45">
        <v>1.0</v>
      </c>
      <c r="I711" s="45">
        <v>0.0</v>
      </c>
      <c r="J711" s="45">
        <v>1.0</v>
      </c>
      <c r="K711" s="45">
        <v>0.0</v>
      </c>
      <c r="L711" s="45">
        <v>100.0</v>
      </c>
      <c r="Q711" s="4"/>
    </row>
    <row r="712">
      <c r="A712" s="2"/>
      <c r="B712" s="38">
        <v>704.0</v>
      </c>
      <c r="C712" s="39" t="s">
        <v>32</v>
      </c>
      <c r="D712" s="39" t="s">
        <v>230</v>
      </c>
      <c r="E712" s="39" t="s">
        <v>243</v>
      </c>
      <c r="F712" s="39" t="s">
        <v>248</v>
      </c>
      <c r="G712" s="41" t="s">
        <v>23</v>
      </c>
      <c r="H712" s="46"/>
      <c r="I712" s="46"/>
      <c r="J712" s="46"/>
      <c r="K712" s="46"/>
      <c r="L712" s="46"/>
      <c r="Q712" s="4"/>
    </row>
    <row r="713">
      <c r="A713" s="2"/>
      <c r="B713" s="38">
        <v>705.0</v>
      </c>
      <c r="C713" s="39" t="s">
        <v>32</v>
      </c>
      <c r="D713" s="39" t="s">
        <v>230</v>
      </c>
      <c r="E713" s="39" t="s">
        <v>243</v>
      </c>
      <c r="F713" s="39" t="s">
        <v>248</v>
      </c>
      <c r="G713" s="41" t="s">
        <v>25</v>
      </c>
      <c r="H713" s="42">
        <v>1.0</v>
      </c>
      <c r="I713" s="42">
        <v>0.0</v>
      </c>
      <c r="J713" s="42">
        <v>1.0</v>
      </c>
      <c r="K713" s="42">
        <v>0.0</v>
      </c>
      <c r="L713" s="42">
        <v>100.0</v>
      </c>
      <c r="Q713" s="4"/>
    </row>
    <row r="714">
      <c r="A714" s="2"/>
      <c r="B714" s="34">
        <v>706.0</v>
      </c>
      <c r="C714" s="35" t="s">
        <v>30</v>
      </c>
      <c r="D714" s="49" t="s">
        <v>230</v>
      </c>
      <c r="E714" s="49" t="s">
        <v>249</v>
      </c>
      <c r="F714" s="50"/>
      <c r="G714" s="35" t="s">
        <v>249</v>
      </c>
      <c r="H714" s="37">
        <v>75.0</v>
      </c>
      <c r="I714" s="37">
        <v>23.0</v>
      </c>
      <c r="J714" s="37">
        <v>52.0</v>
      </c>
      <c r="K714" s="37">
        <v>30.7</v>
      </c>
      <c r="L714" s="37">
        <v>69.3</v>
      </c>
      <c r="Q714" s="4"/>
    </row>
    <row r="715">
      <c r="A715" s="2"/>
      <c r="B715" s="38">
        <v>707.0</v>
      </c>
      <c r="C715" s="39" t="s">
        <v>30</v>
      </c>
      <c r="D715" s="39" t="s">
        <v>230</v>
      </c>
      <c r="E715" s="39" t="s">
        <v>249</v>
      </c>
      <c r="F715" s="40"/>
      <c r="G715" s="41" t="s">
        <v>23</v>
      </c>
      <c r="H715" s="42">
        <v>3.0</v>
      </c>
      <c r="I715" s="42">
        <v>1.0</v>
      </c>
      <c r="J715" s="42">
        <v>2.0</v>
      </c>
      <c r="K715" s="42">
        <v>33.3</v>
      </c>
      <c r="L715" s="42">
        <v>66.7</v>
      </c>
      <c r="Q715" s="4"/>
    </row>
    <row r="716">
      <c r="A716" s="2"/>
      <c r="B716" s="38">
        <v>708.0</v>
      </c>
      <c r="C716" s="39" t="s">
        <v>30</v>
      </c>
      <c r="D716" s="39" t="s">
        <v>230</v>
      </c>
      <c r="E716" s="39" t="s">
        <v>249</v>
      </c>
      <c r="F716" s="40"/>
      <c r="G716" s="41" t="s">
        <v>25</v>
      </c>
      <c r="H716" s="42">
        <v>72.0</v>
      </c>
      <c r="I716" s="42">
        <v>22.0</v>
      </c>
      <c r="J716" s="42">
        <v>50.0</v>
      </c>
      <c r="K716" s="42">
        <v>30.6</v>
      </c>
      <c r="L716" s="42">
        <v>69.4</v>
      </c>
      <c r="Q716" s="4"/>
    </row>
    <row r="717">
      <c r="A717" s="2"/>
      <c r="B717" s="43">
        <v>709.0</v>
      </c>
      <c r="C717" s="44" t="s">
        <v>32</v>
      </c>
      <c r="D717" s="53" t="s">
        <v>230</v>
      </c>
      <c r="E717" s="53" t="s">
        <v>249</v>
      </c>
      <c r="F717" s="53" t="s">
        <v>249</v>
      </c>
      <c r="G717" s="44" t="s">
        <v>249</v>
      </c>
      <c r="H717" s="45">
        <v>6.0</v>
      </c>
      <c r="I717" s="45">
        <v>2.0</v>
      </c>
      <c r="J717" s="45">
        <v>4.0</v>
      </c>
      <c r="K717" s="45">
        <v>33.3</v>
      </c>
      <c r="L717" s="45">
        <v>66.7</v>
      </c>
      <c r="Q717" s="4"/>
    </row>
    <row r="718">
      <c r="A718" s="2"/>
      <c r="B718" s="38">
        <v>710.0</v>
      </c>
      <c r="C718" s="39" t="s">
        <v>32</v>
      </c>
      <c r="D718" s="39" t="s">
        <v>230</v>
      </c>
      <c r="E718" s="39" t="s">
        <v>249</v>
      </c>
      <c r="F718" s="39" t="s">
        <v>249</v>
      </c>
      <c r="G718" s="41" t="s">
        <v>23</v>
      </c>
      <c r="H718" s="42">
        <v>3.0</v>
      </c>
      <c r="I718" s="42">
        <v>1.0</v>
      </c>
      <c r="J718" s="42">
        <v>2.0</v>
      </c>
      <c r="K718" s="42">
        <v>33.3</v>
      </c>
      <c r="L718" s="42">
        <v>66.7</v>
      </c>
      <c r="Q718" s="4"/>
    </row>
    <row r="719">
      <c r="A719" s="2"/>
      <c r="B719" s="38">
        <v>711.0</v>
      </c>
      <c r="C719" s="39" t="s">
        <v>32</v>
      </c>
      <c r="D719" s="39" t="s">
        <v>230</v>
      </c>
      <c r="E719" s="39" t="s">
        <v>249</v>
      </c>
      <c r="F719" s="39" t="s">
        <v>249</v>
      </c>
      <c r="G719" s="41" t="s">
        <v>25</v>
      </c>
      <c r="H719" s="42">
        <v>3.0</v>
      </c>
      <c r="I719" s="42">
        <v>1.0</v>
      </c>
      <c r="J719" s="42">
        <v>2.0</v>
      </c>
      <c r="K719" s="42">
        <v>33.3</v>
      </c>
      <c r="L719" s="42">
        <v>66.7</v>
      </c>
      <c r="Q719" s="4"/>
    </row>
    <row r="720">
      <c r="A720" s="2"/>
      <c r="B720" s="43">
        <v>712.0</v>
      </c>
      <c r="C720" s="44" t="s">
        <v>32</v>
      </c>
      <c r="D720" s="53" t="s">
        <v>230</v>
      </c>
      <c r="E720" s="53" t="s">
        <v>249</v>
      </c>
      <c r="F720" s="53" t="s">
        <v>250</v>
      </c>
      <c r="G720" s="44" t="s">
        <v>250</v>
      </c>
      <c r="H720" s="45">
        <v>33.0</v>
      </c>
      <c r="I720" s="45">
        <v>18.0</v>
      </c>
      <c r="J720" s="45">
        <v>15.0</v>
      </c>
      <c r="K720" s="45">
        <v>54.5</v>
      </c>
      <c r="L720" s="45">
        <v>45.5</v>
      </c>
      <c r="Q720" s="4"/>
    </row>
    <row r="721">
      <c r="A721" s="2"/>
      <c r="B721" s="38">
        <v>713.0</v>
      </c>
      <c r="C721" s="39" t="s">
        <v>32</v>
      </c>
      <c r="D721" s="39" t="s">
        <v>230</v>
      </c>
      <c r="E721" s="39" t="s">
        <v>249</v>
      </c>
      <c r="F721" s="39" t="s">
        <v>250</v>
      </c>
      <c r="G721" s="41" t="s">
        <v>23</v>
      </c>
      <c r="H721" s="46"/>
      <c r="I721" s="46"/>
      <c r="J721" s="46"/>
      <c r="K721" s="46"/>
      <c r="L721" s="46"/>
      <c r="Q721" s="4"/>
    </row>
    <row r="722">
      <c r="A722" s="2"/>
      <c r="B722" s="38">
        <v>714.0</v>
      </c>
      <c r="C722" s="39" t="s">
        <v>32</v>
      </c>
      <c r="D722" s="39" t="s">
        <v>230</v>
      </c>
      <c r="E722" s="39" t="s">
        <v>249</v>
      </c>
      <c r="F722" s="39" t="s">
        <v>250</v>
      </c>
      <c r="G722" s="41" t="s">
        <v>25</v>
      </c>
      <c r="H722" s="42">
        <v>33.0</v>
      </c>
      <c r="I722" s="42">
        <v>18.0</v>
      </c>
      <c r="J722" s="42">
        <v>15.0</v>
      </c>
      <c r="K722" s="42">
        <v>54.5</v>
      </c>
      <c r="L722" s="42">
        <v>45.5</v>
      </c>
      <c r="Q722" s="4"/>
    </row>
    <row r="723">
      <c r="A723" s="2"/>
      <c r="B723" s="43">
        <v>715.0</v>
      </c>
      <c r="C723" s="44" t="s">
        <v>32</v>
      </c>
      <c r="D723" s="53" t="s">
        <v>230</v>
      </c>
      <c r="E723" s="53" t="s">
        <v>249</v>
      </c>
      <c r="F723" s="53" t="s">
        <v>251</v>
      </c>
      <c r="G723" s="44" t="s">
        <v>251</v>
      </c>
      <c r="H723" s="45">
        <v>36.0</v>
      </c>
      <c r="I723" s="45">
        <v>3.0</v>
      </c>
      <c r="J723" s="45">
        <v>33.0</v>
      </c>
      <c r="K723" s="45">
        <v>8.3</v>
      </c>
      <c r="L723" s="45">
        <v>91.7</v>
      </c>
      <c r="Q723" s="4"/>
    </row>
    <row r="724">
      <c r="A724" s="2"/>
      <c r="B724" s="38">
        <v>716.0</v>
      </c>
      <c r="C724" s="39" t="s">
        <v>32</v>
      </c>
      <c r="D724" s="39" t="s">
        <v>230</v>
      </c>
      <c r="E724" s="39" t="s">
        <v>249</v>
      </c>
      <c r="F724" s="39" t="s">
        <v>251</v>
      </c>
      <c r="G724" s="41" t="s">
        <v>23</v>
      </c>
      <c r="H724" s="46"/>
      <c r="I724" s="46"/>
      <c r="J724" s="46"/>
      <c r="K724" s="46"/>
      <c r="L724" s="46"/>
      <c r="Q724" s="4"/>
    </row>
    <row r="725">
      <c r="A725" s="2"/>
      <c r="B725" s="38">
        <v>717.0</v>
      </c>
      <c r="C725" s="39" t="s">
        <v>32</v>
      </c>
      <c r="D725" s="39" t="s">
        <v>230</v>
      </c>
      <c r="E725" s="39" t="s">
        <v>249</v>
      </c>
      <c r="F725" s="39" t="s">
        <v>251</v>
      </c>
      <c r="G725" s="41" t="s">
        <v>25</v>
      </c>
      <c r="H725" s="42">
        <v>36.0</v>
      </c>
      <c r="I725" s="42">
        <v>3.0</v>
      </c>
      <c r="J725" s="42">
        <v>33.0</v>
      </c>
      <c r="K725" s="42">
        <v>8.3</v>
      </c>
      <c r="L725" s="42">
        <v>91.7</v>
      </c>
      <c r="Q725" s="4"/>
    </row>
    <row r="726">
      <c r="A726" s="2"/>
      <c r="B726" s="34">
        <v>718.0</v>
      </c>
      <c r="C726" s="35" t="s">
        <v>30</v>
      </c>
      <c r="D726" s="49" t="s">
        <v>230</v>
      </c>
      <c r="E726" s="49" t="s">
        <v>252</v>
      </c>
      <c r="F726" s="50"/>
      <c r="G726" s="35" t="s">
        <v>252</v>
      </c>
      <c r="H726" s="37">
        <v>62.0</v>
      </c>
      <c r="I726" s="37">
        <v>0.0</v>
      </c>
      <c r="J726" s="37">
        <v>62.0</v>
      </c>
      <c r="K726" s="37">
        <v>0.0</v>
      </c>
      <c r="L726" s="37">
        <v>100.0</v>
      </c>
      <c r="Q726" s="4"/>
    </row>
    <row r="727">
      <c r="A727" s="2"/>
      <c r="B727" s="38">
        <v>719.0</v>
      </c>
      <c r="C727" s="39" t="s">
        <v>30</v>
      </c>
      <c r="D727" s="39" t="s">
        <v>230</v>
      </c>
      <c r="E727" s="39" t="s">
        <v>252</v>
      </c>
      <c r="F727" s="40"/>
      <c r="G727" s="41" t="s">
        <v>23</v>
      </c>
      <c r="H727" s="42">
        <v>62.0</v>
      </c>
      <c r="I727" s="42">
        <v>0.0</v>
      </c>
      <c r="J727" s="42">
        <v>62.0</v>
      </c>
      <c r="K727" s="42">
        <v>0.0</v>
      </c>
      <c r="L727" s="42">
        <v>100.0</v>
      </c>
      <c r="Q727" s="4"/>
    </row>
    <row r="728">
      <c r="A728" s="2"/>
      <c r="B728" s="38">
        <v>720.0</v>
      </c>
      <c r="C728" s="39" t="s">
        <v>30</v>
      </c>
      <c r="D728" s="39" t="s">
        <v>230</v>
      </c>
      <c r="E728" s="39" t="s">
        <v>252</v>
      </c>
      <c r="F728" s="40"/>
      <c r="G728" s="41" t="s">
        <v>25</v>
      </c>
      <c r="H728" s="42">
        <v>0.0</v>
      </c>
      <c r="I728" s="42">
        <v>0.0</v>
      </c>
      <c r="J728" s="42">
        <v>0.0</v>
      </c>
      <c r="K728" s="42">
        <v>0.0</v>
      </c>
      <c r="L728" s="42">
        <v>0.0</v>
      </c>
      <c r="Q728" s="4"/>
    </row>
    <row r="729">
      <c r="A729" s="2"/>
      <c r="B729" s="43">
        <v>721.0</v>
      </c>
      <c r="C729" s="44" t="s">
        <v>32</v>
      </c>
      <c r="D729" s="53" t="s">
        <v>230</v>
      </c>
      <c r="E729" s="53" t="s">
        <v>252</v>
      </c>
      <c r="F729" s="53" t="s">
        <v>253</v>
      </c>
      <c r="G729" s="44" t="s">
        <v>253</v>
      </c>
      <c r="H729" s="45">
        <v>62.0</v>
      </c>
      <c r="I729" s="45">
        <v>0.0</v>
      </c>
      <c r="J729" s="45">
        <v>62.0</v>
      </c>
      <c r="K729" s="45">
        <v>0.0</v>
      </c>
      <c r="L729" s="45">
        <v>100.0</v>
      </c>
      <c r="Q729" s="4"/>
    </row>
    <row r="730">
      <c r="A730" s="2"/>
      <c r="B730" s="38">
        <v>722.0</v>
      </c>
      <c r="C730" s="39" t="s">
        <v>32</v>
      </c>
      <c r="D730" s="39" t="s">
        <v>230</v>
      </c>
      <c r="E730" s="39" t="s">
        <v>252</v>
      </c>
      <c r="F730" s="39" t="s">
        <v>253</v>
      </c>
      <c r="G730" s="41" t="s">
        <v>23</v>
      </c>
      <c r="H730" s="42">
        <v>62.0</v>
      </c>
      <c r="I730" s="42">
        <v>0.0</v>
      </c>
      <c r="J730" s="42">
        <v>62.0</v>
      </c>
      <c r="K730" s="42">
        <v>0.0</v>
      </c>
      <c r="L730" s="42">
        <v>100.0</v>
      </c>
      <c r="Q730" s="4"/>
    </row>
    <row r="731">
      <c r="A731" s="2"/>
      <c r="B731" s="38">
        <v>723.0</v>
      </c>
      <c r="C731" s="39" t="s">
        <v>32</v>
      </c>
      <c r="D731" s="39" t="s">
        <v>230</v>
      </c>
      <c r="E731" s="39" t="s">
        <v>252</v>
      </c>
      <c r="F731" s="39" t="s">
        <v>253</v>
      </c>
      <c r="G731" s="41" t="s">
        <v>25</v>
      </c>
      <c r="H731" s="42">
        <v>0.0</v>
      </c>
      <c r="I731" s="42">
        <v>0.0</v>
      </c>
      <c r="J731" s="42">
        <v>0.0</v>
      </c>
      <c r="K731" s="42">
        <v>0.0</v>
      </c>
      <c r="L731" s="42">
        <v>0.0</v>
      </c>
      <c r="Q731" s="4"/>
    </row>
    <row r="732">
      <c r="A732" s="2"/>
      <c r="B732" s="43">
        <v>724.0</v>
      </c>
      <c r="C732" s="44" t="s">
        <v>32</v>
      </c>
      <c r="D732" s="53" t="s">
        <v>230</v>
      </c>
      <c r="E732" s="53" t="s">
        <v>252</v>
      </c>
      <c r="F732" s="53" t="s">
        <v>254</v>
      </c>
      <c r="G732" s="44" t="s">
        <v>254</v>
      </c>
      <c r="H732" s="45">
        <v>0.0</v>
      </c>
      <c r="I732" s="45">
        <v>0.0</v>
      </c>
      <c r="J732" s="45">
        <v>0.0</v>
      </c>
      <c r="K732" s="45">
        <v>0.0</v>
      </c>
      <c r="L732" s="45">
        <v>0.0</v>
      </c>
      <c r="Q732" s="4"/>
    </row>
    <row r="733">
      <c r="A733" s="2"/>
      <c r="B733" s="38">
        <v>725.0</v>
      </c>
      <c r="C733" s="39" t="s">
        <v>32</v>
      </c>
      <c r="D733" s="39" t="s">
        <v>230</v>
      </c>
      <c r="E733" s="39" t="s">
        <v>252</v>
      </c>
      <c r="F733" s="39" t="s">
        <v>254</v>
      </c>
      <c r="G733" s="41" t="s">
        <v>23</v>
      </c>
      <c r="H733" s="42">
        <v>0.0</v>
      </c>
      <c r="I733" s="42">
        <v>0.0</v>
      </c>
      <c r="J733" s="42">
        <v>0.0</v>
      </c>
      <c r="K733" s="42">
        <v>0.0</v>
      </c>
      <c r="L733" s="42">
        <v>0.0</v>
      </c>
      <c r="Q733" s="4"/>
    </row>
    <row r="734">
      <c r="A734" s="2"/>
      <c r="B734" s="38">
        <v>726.0</v>
      </c>
      <c r="C734" s="39" t="s">
        <v>32</v>
      </c>
      <c r="D734" s="39" t="s">
        <v>230</v>
      </c>
      <c r="E734" s="39" t="s">
        <v>252</v>
      </c>
      <c r="F734" s="39" t="s">
        <v>254</v>
      </c>
      <c r="G734" s="41" t="s">
        <v>25</v>
      </c>
      <c r="H734" s="42">
        <v>0.0</v>
      </c>
      <c r="I734" s="42">
        <v>0.0</v>
      </c>
      <c r="J734" s="42">
        <v>0.0</v>
      </c>
      <c r="K734" s="42">
        <v>0.0</v>
      </c>
      <c r="L734" s="42">
        <v>0.0</v>
      </c>
      <c r="Q734" s="4"/>
    </row>
    <row r="735">
      <c r="A735" s="2"/>
      <c r="B735" s="34">
        <v>727.0</v>
      </c>
      <c r="C735" s="35" t="s">
        <v>30</v>
      </c>
      <c r="D735" s="49" t="s">
        <v>230</v>
      </c>
      <c r="E735" s="49" t="s">
        <v>255</v>
      </c>
      <c r="F735" s="50"/>
      <c r="G735" s="35" t="s">
        <v>255</v>
      </c>
      <c r="H735" s="37">
        <v>34.0</v>
      </c>
      <c r="I735" s="37">
        <v>8.0</v>
      </c>
      <c r="J735" s="37">
        <v>26.0</v>
      </c>
      <c r="K735" s="37">
        <v>23.5</v>
      </c>
      <c r="L735" s="37">
        <v>76.5</v>
      </c>
      <c r="Q735" s="4"/>
    </row>
    <row r="736">
      <c r="A736" s="2"/>
      <c r="B736" s="38">
        <v>728.0</v>
      </c>
      <c r="C736" s="39" t="s">
        <v>30</v>
      </c>
      <c r="D736" s="39" t="s">
        <v>230</v>
      </c>
      <c r="E736" s="39" t="s">
        <v>255</v>
      </c>
      <c r="F736" s="40"/>
      <c r="G736" s="41" t="s">
        <v>23</v>
      </c>
      <c r="H736" s="46"/>
      <c r="I736" s="46"/>
      <c r="J736" s="46"/>
      <c r="K736" s="46"/>
      <c r="L736" s="46"/>
      <c r="Q736" s="4"/>
    </row>
    <row r="737">
      <c r="A737" s="2"/>
      <c r="B737" s="38">
        <v>729.0</v>
      </c>
      <c r="C737" s="39" t="s">
        <v>30</v>
      </c>
      <c r="D737" s="39" t="s">
        <v>230</v>
      </c>
      <c r="E737" s="39" t="s">
        <v>255</v>
      </c>
      <c r="F737" s="40"/>
      <c r="G737" s="41" t="s">
        <v>25</v>
      </c>
      <c r="H737" s="42">
        <v>34.0</v>
      </c>
      <c r="I737" s="42">
        <v>8.0</v>
      </c>
      <c r="J737" s="42">
        <v>26.0</v>
      </c>
      <c r="K737" s="42">
        <v>23.5</v>
      </c>
      <c r="L737" s="42">
        <v>76.5</v>
      </c>
      <c r="Q737" s="4"/>
    </row>
    <row r="738">
      <c r="A738" s="2"/>
      <c r="B738" s="43">
        <v>730.0</v>
      </c>
      <c r="C738" s="44" t="s">
        <v>32</v>
      </c>
      <c r="D738" s="53" t="s">
        <v>230</v>
      </c>
      <c r="E738" s="53" t="s">
        <v>255</v>
      </c>
      <c r="F738" s="53" t="s">
        <v>256</v>
      </c>
      <c r="G738" s="44" t="s">
        <v>256</v>
      </c>
      <c r="H738" s="45">
        <v>34.0</v>
      </c>
      <c r="I738" s="45">
        <v>8.0</v>
      </c>
      <c r="J738" s="45">
        <v>26.0</v>
      </c>
      <c r="K738" s="45">
        <v>23.5</v>
      </c>
      <c r="L738" s="45">
        <v>76.5</v>
      </c>
      <c r="Q738" s="4"/>
    </row>
    <row r="739">
      <c r="A739" s="2"/>
      <c r="B739" s="38">
        <v>731.0</v>
      </c>
      <c r="C739" s="39" t="s">
        <v>32</v>
      </c>
      <c r="D739" s="39" t="s">
        <v>230</v>
      </c>
      <c r="E739" s="39" t="s">
        <v>255</v>
      </c>
      <c r="F739" s="39" t="s">
        <v>256</v>
      </c>
      <c r="G739" s="41" t="s">
        <v>23</v>
      </c>
      <c r="H739" s="46"/>
      <c r="I739" s="46"/>
      <c r="J739" s="46"/>
      <c r="K739" s="46"/>
      <c r="L739" s="46"/>
      <c r="Q739" s="4"/>
    </row>
    <row r="740">
      <c r="A740" s="2"/>
      <c r="B740" s="38">
        <v>732.0</v>
      </c>
      <c r="C740" s="39" t="s">
        <v>32</v>
      </c>
      <c r="D740" s="39" t="s">
        <v>230</v>
      </c>
      <c r="E740" s="39" t="s">
        <v>255</v>
      </c>
      <c r="F740" s="39" t="s">
        <v>256</v>
      </c>
      <c r="G740" s="41" t="s">
        <v>25</v>
      </c>
      <c r="H740" s="42">
        <v>34.0</v>
      </c>
      <c r="I740" s="42">
        <v>8.0</v>
      </c>
      <c r="J740" s="42">
        <v>26.0</v>
      </c>
      <c r="K740" s="42">
        <v>23.5</v>
      </c>
      <c r="L740" s="42">
        <v>76.5</v>
      </c>
      <c r="Q740" s="4"/>
    </row>
    <row r="741">
      <c r="A741" s="2"/>
      <c r="B741" s="43">
        <v>733.0</v>
      </c>
      <c r="C741" s="44" t="s">
        <v>32</v>
      </c>
      <c r="D741" s="53" t="s">
        <v>230</v>
      </c>
      <c r="E741" s="53" t="s">
        <v>255</v>
      </c>
      <c r="F741" s="53" t="s">
        <v>257</v>
      </c>
      <c r="G741" s="44" t="s">
        <v>257</v>
      </c>
      <c r="H741" s="45">
        <v>0.0</v>
      </c>
      <c r="I741" s="45">
        <v>0.0</v>
      </c>
      <c r="J741" s="45">
        <v>0.0</v>
      </c>
      <c r="K741" s="45">
        <v>0.0</v>
      </c>
      <c r="L741" s="45">
        <v>0.0</v>
      </c>
      <c r="Q741" s="4"/>
    </row>
    <row r="742">
      <c r="A742" s="2"/>
      <c r="B742" s="38">
        <v>734.0</v>
      </c>
      <c r="C742" s="39" t="s">
        <v>32</v>
      </c>
      <c r="D742" s="39" t="s">
        <v>230</v>
      </c>
      <c r="E742" s="39" t="s">
        <v>255</v>
      </c>
      <c r="F742" s="39" t="s">
        <v>257</v>
      </c>
      <c r="G742" s="41" t="s">
        <v>23</v>
      </c>
      <c r="H742" s="46"/>
      <c r="I742" s="46"/>
      <c r="J742" s="46"/>
      <c r="K742" s="46"/>
      <c r="L742" s="46"/>
      <c r="Q742" s="4"/>
    </row>
    <row r="743">
      <c r="A743" s="2"/>
      <c r="B743" s="38">
        <v>735.0</v>
      </c>
      <c r="C743" s="39" t="s">
        <v>32</v>
      </c>
      <c r="D743" s="39" t="s">
        <v>230</v>
      </c>
      <c r="E743" s="39" t="s">
        <v>255</v>
      </c>
      <c r="F743" s="39" t="s">
        <v>257</v>
      </c>
      <c r="G743" s="41" t="s">
        <v>25</v>
      </c>
      <c r="H743" s="42">
        <v>0.0</v>
      </c>
      <c r="I743" s="42">
        <v>0.0</v>
      </c>
      <c r="J743" s="42">
        <v>0.0</v>
      </c>
      <c r="K743" s="42">
        <v>0.0</v>
      </c>
      <c r="L743" s="42">
        <v>0.0</v>
      </c>
      <c r="Q743" s="4"/>
    </row>
    <row r="744">
      <c r="A744" s="2"/>
      <c r="B744" s="34">
        <v>736.0</v>
      </c>
      <c r="C744" s="35" t="s">
        <v>30</v>
      </c>
      <c r="D744" s="49" t="s">
        <v>230</v>
      </c>
      <c r="E744" s="49" t="s">
        <v>258</v>
      </c>
      <c r="F744" s="50"/>
      <c r="G744" s="35" t="s">
        <v>258</v>
      </c>
      <c r="H744" s="37">
        <v>43.0</v>
      </c>
      <c r="I744" s="37">
        <v>0.0</v>
      </c>
      <c r="J744" s="37">
        <v>43.0</v>
      </c>
      <c r="K744" s="37">
        <v>0.0</v>
      </c>
      <c r="L744" s="37">
        <v>100.0</v>
      </c>
      <c r="Q744" s="4"/>
    </row>
    <row r="745">
      <c r="A745" s="2"/>
      <c r="B745" s="38">
        <v>737.0</v>
      </c>
      <c r="C745" s="39" t="s">
        <v>30</v>
      </c>
      <c r="D745" s="39" t="s">
        <v>230</v>
      </c>
      <c r="E745" s="39" t="s">
        <v>258</v>
      </c>
      <c r="F745" s="40"/>
      <c r="G745" s="41" t="s">
        <v>23</v>
      </c>
      <c r="H745" s="42">
        <v>40.0</v>
      </c>
      <c r="I745" s="42">
        <v>0.0</v>
      </c>
      <c r="J745" s="42">
        <v>40.0</v>
      </c>
      <c r="K745" s="42">
        <v>0.0</v>
      </c>
      <c r="L745" s="42">
        <v>100.0</v>
      </c>
      <c r="Q745" s="4"/>
    </row>
    <row r="746">
      <c r="A746" s="2"/>
      <c r="B746" s="38">
        <v>738.0</v>
      </c>
      <c r="C746" s="39" t="s">
        <v>30</v>
      </c>
      <c r="D746" s="39" t="s">
        <v>230</v>
      </c>
      <c r="E746" s="39" t="s">
        <v>258</v>
      </c>
      <c r="F746" s="40"/>
      <c r="G746" s="41" t="s">
        <v>25</v>
      </c>
      <c r="H746" s="42">
        <v>3.0</v>
      </c>
      <c r="I746" s="42">
        <v>0.0</v>
      </c>
      <c r="J746" s="42">
        <v>3.0</v>
      </c>
      <c r="K746" s="42">
        <v>0.0</v>
      </c>
      <c r="L746" s="42">
        <v>100.0</v>
      </c>
      <c r="Q746" s="4"/>
    </row>
    <row r="747">
      <c r="A747" s="2"/>
      <c r="B747" s="43">
        <v>739.0</v>
      </c>
      <c r="C747" s="44" t="s">
        <v>32</v>
      </c>
      <c r="D747" s="53" t="s">
        <v>230</v>
      </c>
      <c r="E747" s="53" t="s">
        <v>258</v>
      </c>
      <c r="F747" s="53" t="s">
        <v>258</v>
      </c>
      <c r="G747" s="44" t="s">
        <v>258</v>
      </c>
      <c r="H747" s="45">
        <v>42.0</v>
      </c>
      <c r="I747" s="45">
        <v>0.0</v>
      </c>
      <c r="J747" s="45">
        <v>42.0</v>
      </c>
      <c r="K747" s="45">
        <v>0.0</v>
      </c>
      <c r="L747" s="45">
        <v>100.0</v>
      </c>
      <c r="Q747" s="4"/>
    </row>
    <row r="748">
      <c r="A748" s="2"/>
      <c r="B748" s="38">
        <v>740.0</v>
      </c>
      <c r="C748" s="39" t="s">
        <v>32</v>
      </c>
      <c r="D748" s="39" t="s">
        <v>230</v>
      </c>
      <c r="E748" s="39" t="s">
        <v>258</v>
      </c>
      <c r="F748" s="39" t="s">
        <v>258</v>
      </c>
      <c r="G748" s="41" t="s">
        <v>23</v>
      </c>
      <c r="H748" s="42">
        <v>40.0</v>
      </c>
      <c r="I748" s="42">
        <v>0.0</v>
      </c>
      <c r="J748" s="42">
        <v>40.0</v>
      </c>
      <c r="K748" s="42">
        <v>0.0</v>
      </c>
      <c r="L748" s="42">
        <v>100.0</v>
      </c>
      <c r="Q748" s="4"/>
    </row>
    <row r="749">
      <c r="A749" s="2"/>
      <c r="B749" s="38">
        <v>741.0</v>
      </c>
      <c r="C749" s="39" t="s">
        <v>32</v>
      </c>
      <c r="D749" s="39" t="s">
        <v>230</v>
      </c>
      <c r="E749" s="39" t="s">
        <v>258</v>
      </c>
      <c r="F749" s="39" t="s">
        <v>258</v>
      </c>
      <c r="G749" s="41" t="s">
        <v>25</v>
      </c>
      <c r="H749" s="42">
        <v>2.0</v>
      </c>
      <c r="I749" s="42">
        <v>0.0</v>
      </c>
      <c r="J749" s="42">
        <v>2.0</v>
      </c>
      <c r="K749" s="42">
        <v>0.0</v>
      </c>
      <c r="L749" s="42">
        <v>100.0</v>
      </c>
      <c r="Q749" s="4"/>
    </row>
    <row r="750">
      <c r="A750" s="2"/>
      <c r="B750" s="43">
        <v>742.0</v>
      </c>
      <c r="C750" s="44" t="s">
        <v>32</v>
      </c>
      <c r="D750" s="53" t="s">
        <v>230</v>
      </c>
      <c r="E750" s="53" t="s">
        <v>258</v>
      </c>
      <c r="F750" s="53" t="s">
        <v>259</v>
      </c>
      <c r="G750" s="44" t="s">
        <v>259</v>
      </c>
      <c r="H750" s="45">
        <v>1.0</v>
      </c>
      <c r="I750" s="45">
        <v>0.0</v>
      </c>
      <c r="J750" s="45">
        <v>1.0</v>
      </c>
      <c r="K750" s="45">
        <v>0.0</v>
      </c>
      <c r="L750" s="45">
        <v>100.0</v>
      </c>
      <c r="Q750" s="4"/>
    </row>
    <row r="751">
      <c r="A751" s="2"/>
      <c r="B751" s="38">
        <v>743.0</v>
      </c>
      <c r="C751" s="39" t="s">
        <v>32</v>
      </c>
      <c r="D751" s="39" t="s">
        <v>230</v>
      </c>
      <c r="E751" s="39" t="s">
        <v>258</v>
      </c>
      <c r="F751" s="39" t="s">
        <v>259</v>
      </c>
      <c r="G751" s="41" t="s">
        <v>23</v>
      </c>
      <c r="H751" s="46"/>
      <c r="I751" s="46"/>
      <c r="J751" s="46"/>
      <c r="K751" s="46"/>
      <c r="L751" s="46"/>
      <c r="Q751" s="4"/>
    </row>
    <row r="752">
      <c r="A752" s="2"/>
      <c r="B752" s="38">
        <v>744.0</v>
      </c>
      <c r="C752" s="39" t="s">
        <v>32</v>
      </c>
      <c r="D752" s="39" t="s">
        <v>230</v>
      </c>
      <c r="E752" s="39" t="s">
        <v>258</v>
      </c>
      <c r="F752" s="39" t="s">
        <v>259</v>
      </c>
      <c r="G752" s="41" t="s">
        <v>25</v>
      </c>
      <c r="H752" s="42">
        <v>1.0</v>
      </c>
      <c r="I752" s="42">
        <v>0.0</v>
      </c>
      <c r="J752" s="42">
        <v>1.0</v>
      </c>
      <c r="K752" s="42">
        <v>0.0</v>
      </c>
      <c r="L752" s="42">
        <v>100.0</v>
      </c>
      <c r="Q752" s="4"/>
    </row>
    <row r="753">
      <c r="A753" s="2"/>
      <c r="B753" s="43">
        <v>745.0</v>
      </c>
      <c r="C753" s="44" t="s">
        <v>32</v>
      </c>
      <c r="D753" s="53" t="s">
        <v>230</v>
      </c>
      <c r="E753" s="53" t="s">
        <v>258</v>
      </c>
      <c r="F753" s="53" t="s">
        <v>260</v>
      </c>
      <c r="G753" s="44" t="s">
        <v>260</v>
      </c>
      <c r="H753" s="45">
        <v>0.0</v>
      </c>
      <c r="I753" s="45">
        <v>0.0</v>
      </c>
      <c r="J753" s="45">
        <v>0.0</v>
      </c>
      <c r="K753" s="45">
        <v>0.0</v>
      </c>
      <c r="L753" s="45">
        <v>0.0</v>
      </c>
      <c r="Q753" s="4"/>
    </row>
    <row r="754">
      <c r="A754" s="2"/>
      <c r="B754" s="38">
        <v>746.0</v>
      </c>
      <c r="C754" s="39" t="s">
        <v>32</v>
      </c>
      <c r="D754" s="39" t="s">
        <v>230</v>
      </c>
      <c r="E754" s="39" t="s">
        <v>258</v>
      </c>
      <c r="F754" s="39" t="s">
        <v>260</v>
      </c>
      <c r="G754" s="41" t="s">
        <v>23</v>
      </c>
      <c r="H754" s="46"/>
      <c r="I754" s="46"/>
      <c r="J754" s="46"/>
      <c r="K754" s="46"/>
      <c r="L754" s="46"/>
      <c r="Q754" s="4"/>
    </row>
    <row r="755">
      <c r="A755" s="2"/>
      <c r="B755" s="38">
        <v>747.0</v>
      </c>
      <c r="C755" s="39" t="s">
        <v>32</v>
      </c>
      <c r="D755" s="39" t="s">
        <v>230</v>
      </c>
      <c r="E755" s="39" t="s">
        <v>258</v>
      </c>
      <c r="F755" s="39" t="s">
        <v>260</v>
      </c>
      <c r="G755" s="41" t="s">
        <v>25</v>
      </c>
      <c r="H755" s="42">
        <v>0.0</v>
      </c>
      <c r="I755" s="42">
        <v>0.0</v>
      </c>
      <c r="J755" s="42">
        <v>0.0</v>
      </c>
      <c r="K755" s="42">
        <v>0.0</v>
      </c>
      <c r="L755" s="42">
        <v>0.0</v>
      </c>
      <c r="Q755" s="4"/>
    </row>
    <row r="756">
      <c r="A756" s="2"/>
      <c r="B756" s="34">
        <v>748.0</v>
      </c>
      <c r="C756" s="35" t="s">
        <v>30</v>
      </c>
      <c r="D756" s="49" t="s">
        <v>230</v>
      </c>
      <c r="E756" s="49" t="s">
        <v>261</v>
      </c>
      <c r="F756" s="50"/>
      <c r="G756" s="35" t="s">
        <v>261</v>
      </c>
      <c r="H756" s="37">
        <v>23.0</v>
      </c>
      <c r="I756" s="37">
        <v>11.0</v>
      </c>
      <c r="J756" s="37">
        <v>12.0</v>
      </c>
      <c r="K756" s="37">
        <v>47.8</v>
      </c>
      <c r="L756" s="37">
        <v>52.2</v>
      </c>
      <c r="Q756" s="4"/>
    </row>
    <row r="757">
      <c r="A757" s="2"/>
      <c r="B757" s="38">
        <v>749.0</v>
      </c>
      <c r="C757" s="39" t="s">
        <v>30</v>
      </c>
      <c r="D757" s="39" t="s">
        <v>230</v>
      </c>
      <c r="E757" s="39" t="s">
        <v>261</v>
      </c>
      <c r="F757" s="40"/>
      <c r="G757" s="41" t="s">
        <v>23</v>
      </c>
      <c r="H757" s="46"/>
      <c r="I757" s="46"/>
      <c r="J757" s="46"/>
      <c r="K757" s="46"/>
      <c r="L757" s="46"/>
      <c r="Q757" s="4"/>
    </row>
    <row r="758">
      <c r="A758" s="2"/>
      <c r="B758" s="38">
        <v>750.0</v>
      </c>
      <c r="C758" s="39" t="s">
        <v>30</v>
      </c>
      <c r="D758" s="39" t="s">
        <v>230</v>
      </c>
      <c r="E758" s="39" t="s">
        <v>261</v>
      </c>
      <c r="F758" s="40"/>
      <c r="G758" s="41" t="s">
        <v>25</v>
      </c>
      <c r="H758" s="42">
        <v>23.0</v>
      </c>
      <c r="I758" s="42">
        <v>11.0</v>
      </c>
      <c r="J758" s="42">
        <v>12.0</v>
      </c>
      <c r="K758" s="42">
        <v>47.8</v>
      </c>
      <c r="L758" s="42">
        <v>52.2</v>
      </c>
      <c r="Q758" s="4"/>
    </row>
    <row r="759">
      <c r="A759" s="2"/>
      <c r="B759" s="43">
        <v>751.0</v>
      </c>
      <c r="C759" s="44" t="s">
        <v>32</v>
      </c>
      <c r="D759" s="53" t="s">
        <v>230</v>
      </c>
      <c r="E759" s="53" t="s">
        <v>261</v>
      </c>
      <c r="F759" s="53" t="s">
        <v>262</v>
      </c>
      <c r="G759" s="44" t="s">
        <v>262</v>
      </c>
      <c r="H759" s="45">
        <v>23.0</v>
      </c>
      <c r="I759" s="45">
        <v>11.0</v>
      </c>
      <c r="J759" s="45">
        <v>12.0</v>
      </c>
      <c r="K759" s="45">
        <v>47.8</v>
      </c>
      <c r="L759" s="45">
        <v>52.2</v>
      </c>
      <c r="Q759" s="4"/>
    </row>
    <row r="760">
      <c r="A760" s="2"/>
      <c r="B760" s="38">
        <v>752.0</v>
      </c>
      <c r="C760" s="39" t="s">
        <v>32</v>
      </c>
      <c r="D760" s="39" t="s">
        <v>230</v>
      </c>
      <c r="E760" s="39" t="s">
        <v>261</v>
      </c>
      <c r="F760" s="39" t="s">
        <v>262</v>
      </c>
      <c r="G760" s="41" t="s">
        <v>23</v>
      </c>
      <c r="H760" s="46"/>
      <c r="I760" s="46"/>
      <c r="J760" s="46"/>
      <c r="K760" s="46"/>
      <c r="L760" s="46"/>
      <c r="Q760" s="4"/>
    </row>
    <row r="761">
      <c r="A761" s="2"/>
      <c r="B761" s="38">
        <v>753.0</v>
      </c>
      <c r="C761" s="39" t="s">
        <v>32</v>
      </c>
      <c r="D761" s="39" t="s">
        <v>230</v>
      </c>
      <c r="E761" s="39" t="s">
        <v>261</v>
      </c>
      <c r="F761" s="39" t="s">
        <v>262</v>
      </c>
      <c r="G761" s="41" t="s">
        <v>25</v>
      </c>
      <c r="H761" s="42">
        <v>23.0</v>
      </c>
      <c r="I761" s="42">
        <v>11.0</v>
      </c>
      <c r="J761" s="42">
        <v>12.0</v>
      </c>
      <c r="K761" s="42">
        <v>47.8</v>
      </c>
      <c r="L761" s="42">
        <v>52.2</v>
      </c>
      <c r="Q761" s="4"/>
    </row>
    <row r="762">
      <c r="A762" s="2"/>
      <c r="B762" s="34">
        <v>754.0</v>
      </c>
      <c r="C762" s="35" t="s">
        <v>30</v>
      </c>
      <c r="D762" s="49" t="s">
        <v>230</v>
      </c>
      <c r="E762" s="49" t="s">
        <v>263</v>
      </c>
      <c r="F762" s="50"/>
      <c r="G762" s="35" t="s">
        <v>263</v>
      </c>
      <c r="H762" s="37">
        <v>2.0</v>
      </c>
      <c r="I762" s="37">
        <v>2.0</v>
      </c>
      <c r="J762" s="37">
        <v>0.0</v>
      </c>
      <c r="K762" s="37">
        <v>100.0</v>
      </c>
      <c r="L762" s="37">
        <v>0.0</v>
      </c>
      <c r="Q762" s="4"/>
    </row>
    <row r="763">
      <c r="A763" s="2"/>
      <c r="B763" s="38">
        <v>755.0</v>
      </c>
      <c r="C763" s="39" t="s">
        <v>30</v>
      </c>
      <c r="D763" s="39" t="s">
        <v>230</v>
      </c>
      <c r="E763" s="39" t="s">
        <v>263</v>
      </c>
      <c r="F763" s="40"/>
      <c r="G763" s="41" t="s">
        <v>23</v>
      </c>
      <c r="H763" s="42">
        <v>2.0</v>
      </c>
      <c r="I763" s="42">
        <v>2.0</v>
      </c>
      <c r="J763" s="42">
        <v>0.0</v>
      </c>
      <c r="K763" s="42">
        <v>100.0</v>
      </c>
      <c r="L763" s="42">
        <v>0.0</v>
      </c>
      <c r="Q763" s="4"/>
    </row>
    <row r="764">
      <c r="A764" s="2"/>
      <c r="B764" s="38">
        <v>756.0</v>
      </c>
      <c r="C764" s="39" t="s">
        <v>30</v>
      </c>
      <c r="D764" s="39" t="s">
        <v>230</v>
      </c>
      <c r="E764" s="39" t="s">
        <v>263</v>
      </c>
      <c r="F764" s="40"/>
      <c r="G764" s="41" t="s">
        <v>25</v>
      </c>
      <c r="H764" s="42">
        <v>0.0</v>
      </c>
      <c r="I764" s="42">
        <v>0.0</v>
      </c>
      <c r="J764" s="42">
        <v>0.0</v>
      </c>
      <c r="K764" s="42">
        <v>0.0</v>
      </c>
      <c r="L764" s="42">
        <v>0.0</v>
      </c>
      <c r="Q764" s="4"/>
    </row>
    <row r="765">
      <c r="A765" s="2"/>
      <c r="B765" s="43">
        <v>757.0</v>
      </c>
      <c r="C765" s="44" t="s">
        <v>32</v>
      </c>
      <c r="D765" s="53" t="s">
        <v>230</v>
      </c>
      <c r="E765" s="53" t="s">
        <v>263</v>
      </c>
      <c r="F765" s="53" t="s">
        <v>264</v>
      </c>
      <c r="G765" s="44" t="s">
        <v>264</v>
      </c>
      <c r="H765" s="45">
        <v>2.0</v>
      </c>
      <c r="I765" s="45">
        <v>2.0</v>
      </c>
      <c r="J765" s="45">
        <v>0.0</v>
      </c>
      <c r="K765" s="45">
        <v>100.0</v>
      </c>
      <c r="L765" s="45">
        <v>0.0</v>
      </c>
      <c r="Q765" s="4"/>
    </row>
    <row r="766">
      <c r="A766" s="2"/>
      <c r="B766" s="38">
        <v>758.0</v>
      </c>
      <c r="C766" s="39" t="s">
        <v>32</v>
      </c>
      <c r="D766" s="39" t="s">
        <v>230</v>
      </c>
      <c r="E766" s="39" t="s">
        <v>263</v>
      </c>
      <c r="F766" s="39" t="s">
        <v>264</v>
      </c>
      <c r="G766" s="41" t="s">
        <v>23</v>
      </c>
      <c r="H766" s="42">
        <v>2.0</v>
      </c>
      <c r="I766" s="42">
        <v>2.0</v>
      </c>
      <c r="J766" s="42">
        <v>0.0</v>
      </c>
      <c r="K766" s="42">
        <v>100.0</v>
      </c>
      <c r="L766" s="42">
        <v>0.0</v>
      </c>
      <c r="Q766" s="4"/>
    </row>
    <row r="767">
      <c r="A767" s="2"/>
      <c r="B767" s="38">
        <v>759.0</v>
      </c>
      <c r="C767" s="39" t="s">
        <v>32</v>
      </c>
      <c r="D767" s="39" t="s">
        <v>230</v>
      </c>
      <c r="E767" s="39" t="s">
        <v>263</v>
      </c>
      <c r="F767" s="39" t="s">
        <v>264</v>
      </c>
      <c r="G767" s="41" t="s">
        <v>25</v>
      </c>
      <c r="H767" s="42">
        <v>0.0</v>
      </c>
      <c r="I767" s="42">
        <v>0.0</v>
      </c>
      <c r="J767" s="42">
        <v>0.0</v>
      </c>
      <c r="K767" s="42">
        <v>0.0</v>
      </c>
      <c r="L767" s="42">
        <v>0.0</v>
      </c>
      <c r="Q767" s="4"/>
    </row>
    <row r="768">
      <c r="A768" s="2"/>
      <c r="B768" s="34">
        <v>760.0</v>
      </c>
      <c r="C768" s="35" t="s">
        <v>30</v>
      </c>
      <c r="D768" s="49" t="s">
        <v>230</v>
      </c>
      <c r="E768" s="49" t="s">
        <v>265</v>
      </c>
      <c r="F768" s="50"/>
      <c r="G768" s="35" t="s">
        <v>265</v>
      </c>
      <c r="H768" s="37">
        <v>11.0</v>
      </c>
      <c r="I768" s="37">
        <v>7.0</v>
      </c>
      <c r="J768" s="37">
        <v>4.0</v>
      </c>
      <c r="K768" s="37">
        <v>63.6</v>
      </c>
      <c r="L768" s="37">
        <v>36.4</v>
      </c>
      <c r="Q768" s="4"/>
    </row>
    <row r="769">
      <c r="A769" s="2"/>
      <c r="B769" s="38">
        <v>761.0</v>
      </c>
      <c r="C769" s="39" t="s">
        <v>30</v>
      </c>
      <c r="D769" s="39" t="s">
        <v>230</v>
      </c>
      <c r="E769" s="39" t="s">
        <v>265</v>
      </c>
      <c r="F769" s="40"/>
      <c r="G769" s="41" t="s">
        <v>23</v>
      </c>
      <c r="H769" s="46"/>
      <c r="I769" s="46"/>
      <c r="J769" s="46"/>
      <c r="K769" s="46"/>
      <c r="L769" s="46"/>
      <c r="Q769" s="4"/>
    </row>
    <row r="770">
      <c r="A770" s="2"/>
      <c r="B770" s="38">
        <v>762.0</v>
      </c>
      <c r="C770" s="39" t="s">
        <v>30</v>
      </c>
      <c r="D770" s="39" t="s">
        <v>230</v>
      </c>
      <c r="E770" s="39" t="s">
        <v>265</v>
      </c>
      <c r="F770" s="40"/>
      <c r="G770" s="41" t="s">
        <v>25</v>
      </c>
      <c r="H770" s="42">
        <v>11.0</v>
      </c>
      <c r="I770" s="42">
        <v>7.0</v>
      </c>
      <c r="J770" s="42">
        <v>4.0</v>
      </c>
      <c r="K770" s="42">
        <v>63.6</v>
      </c>
      <c r="L770" s="42">
        <v>36.4</v>
      </c>
      <c r="Q770" s="4"/>
    </row>
    <row r="771">
      <c r="A771" s="2"/>
      <c r="B771" s="43">
        <v>763.0</v>
      </c>
      <c r="C771" s="44" t="s">
        <v>32</v>
      </c>
      <c r="D771" s="53" t="s">
        <v>230</v>
      </c>
      <c r="E771" s="53" t="s">
        <v>265</v>
      </c>
      <c r="F771" s="53" t="s">
        <v>266</v>
      </c>
      <c r="G771" s="44" t="s">
        <v>266</v>
      </c>
      <c r="H771" s="45">
        <v>0.0</v>
      </c>
      <c r="I771" s="45">
        <v>0.0</v>
      </c>
      <c r="J771" s="45">
        <v>0.0</v>
      </c>
      <c r="K771" s="45">
        <v>0.0</v>
      </c>
      <c r="L771" s="45">
        <v>0.0</v>
      </c>
      <c r="Q771" s="4"/>
    </row>
    <row r="772">
      <c r="A772" s="2"/>
      <c r="B772" s="38">
        <v>764.0</v>
      </c>
      <c r="C772" s="39" t="s">
        <v>32</v>
      </c>
      <c r="D772" s="39" t="s">
        <v>230</v>
      </c>
      <c r="E772" s="39" t="s">
        <v>265</v>
      </c>
      <c r="F772" s="39" t="s">
        <v>266</v>
      </c>
      <c r="G772" s="41" t="s">
        <v>23</v>
      </c>
      <c r="H772" s="46"/>
      <c r="I772" s="46"/>
      <c r="J772" s="46"/>
      <c r="K772" s="46"/>
      <c r="L772" s="46"/>
      <c r="Q772" s="4"/>
    </row>
    <row r="773">
      <c r="A773" s="2"/>
      <c r="B773" s="38">
        <v>765.0</v>
      </c>
      <c r="C773" s="39" t="s">
        <v>32</v>
      </c>
      <c r="D773" s="39" t="s">
        <v>230</v>
      </c>
      <c r="E773" s="39" t="s">
        <v>265</v>
      </c>
      <c r="F773" s="39" t="s">
        <v>266</v>
      </c>
      <c r="G773" s="41" t="s">
        <v>25</v>
      </c>
      <c r="H773" s="42">
        <v>0.0</v>
      </c>
      <c r="I773" s="42">
        <v>0.0</v>
      </c>
      <c r="J773" s="42">
        <v>0.0</v>
      </c>
      <c r="K773" s="42">
        <v>0.0</v>
      </c>
      <c r="L773" s="42">
        <v>0.0</v>
      </c>
      <c r="Q773" s="4"/>
    </row>
    <row r="774">
      <c r="A774" s="2"/>
      <c r="B774" s="43">
        <v>766.0</v>
      </c>
      <c r="C774" s="44" t="s">
        <v>32</v>
      </c>
      <c r="D774" s="53" t="s">
        <v>230</v>
      </c>
      <c r="E774" s="53" t="s">
        <v>265</v>
      </c>
      <c r="F774" s="53" t="s">
        <v>267</v>
      </c>
      <c r="G774" s="44" t="s">
        <v>267</v>
      </c>
      <c r="H774" s="45">
        <v>11.0</v>
      </c>
      <c r="I774" s="45">
        <v>7.0</v>
      </c>
      <c r="J774" s="45">
        <v>4.0</v>
      </c>
      <c r="K774" s="45">
        <v>63.6</v>
      </c>
      <c r="L774" s="45">
        <v>36.4</v>
      </c>
      <c r="Q774" s="4"/>
    </row>
    <row r="775">
      <c r="A775" s="2"/>
      <c r="B775" s="38">
        <v>767.0</v>
      </c>
      <c r="C775" s="39" t="s">
        <v>32</v>
      </c>
      <c r="D775" s="39" t="s">
        <v>230</v>
      </c>
      <c r="E775" s="39" t="s">
        <v>265</v>
      </c>
      <c r="F775" s="39" t="s">
        <v>267</v>
      </c>
      <c r="G775" s="41" t="s">
        <v>23</v>
      </c>
      <c r="H775" s="46"/>
      <c r="I775" s="46"/>
      <c r="J775" s="46"/>
      <c r="K775" s="46"/>
      <c r="L775" s="46"/>
      <c r="Q775" s="4"/>
    </row>
    <row r="776">
      <c r="A776" s="2"/>
      <c r="B776" s="38">
        <v>768.0</v>
      </c>
      <c r="C776" s="39" t="s">
        <v>32</v>
      </c>
      <c r="D776" s="39" t="s">
        <v>230</v>
      </c>
      <c r="E776" s="39" t="s">
        <v>265</v>
      </c>
      <c r="F776" s="39" t="s">
        <v>267</v>
      </c>
      <c r="G776" s="41" t="s">
        <v>25</v>
      </c>
      <c r="H776" s="42">
        <v>11.0</v>
      </c>
      <c r="I776" s="42">
        <v>7.0</v>
      </c>
      <c r="J776" s="42">
        <v>4.0</v>
      </c>
      <c r="K776" s="42">
        <v>63.6</v>
      </c>
      <c r="L776" s="42">
        <v>36.4</v>
      </c>
      <c r="Q776" s="4"/>
    </row>
    <row r="777">
      <c r="A777" s="2"/>
      <c r="B777" s="34">
        <v>769.0</v>
      </c>
      <c r="C777" s="35" t="s">
        <v>30</v>
      </c>
      <c r="D777" s="49" t="s">
        <v>230</v>
      </c>
      <c r="E777" s="49" t="s">
        <v>268</v>
      </c>
      <c r="F777" s="50"/>
      <c r="G777" s="35" t="s">
        <v>268</v>
      </c>
      <c r="H777" s="37">
        <v>9.0</v>
      </c>
      <c r="I777" s="37">
        <v>0.0</v>
      </c>
      <c r="J777" s="37">
        <v>9.0</v>
      </c>
      <c r="K777" s="37">
        <v>0.0</v>
      </c>
      <c r="L777" s="37">
        <v>100.0</v>
      </c>
      <c r="Q777" s="4"/>
    </row>
    <row r="778">
      <c r="A778" s="2"/>
      <c r="B778" s="38">
        <v>770.0</v>
      </c>
      <c r="C778" s="39" t="s">
        <v>30</v>
      </c>
      <c r="D778" s="39" t="s">
        <v>230</v>
      </c>
      <c r="E778" s="39" t="s">
        <v>268</v>
      </c>
      <c r="F778" s="40"/>
      <c r="G778" s="41" t="s">
        <v>23</v>
      </c>
      <c r="H778" s="46"/>
      <c r="I778" s="46"/>
      <c r="J778" s="46"/>
      <c r="K778" s="46"/>
      <c r="L778" s="46"/>
      <c r="Q778" s="4"/>
    </row>
    <row r="779">
      <c r="A779" s="2"/>
      <c r="B779" s="38">
        <v>771.0</v>
      </c>
      <c r="C779" s="39" t="s">
        <v>30</v>
      </c>
      <c r="D779" s="39" t="s">
        <v>230</v>
      </c>
      <c r="E779" s="39" t="s">
        <v>268</v>
      </c>
      <c r="F779" s="40"/>
      <c r="G779" s="41" t="s">
        <v>25</v>
      </c>
      <c r="H779" s="42">
        <v>9.0</v>
      </c>
      <c r="I779" s="42">
        <v>0.0</v>
      </c>
      <c r="J779" s="42">
        <v>9.0</v>
      </c>
      <c r="K779" s="42">
        <v>0.0</v>
      </c>
      <c r="L779" s="42">
        <v>100.0</v>
      </c>
      <c r="Q779" s="4"/>
    </row>
    <row r="780">
      <c r="A780" s="2"/>
      <c r="B780" s="43">
        <v>772.0</v>
      </c>
      <c r="C780" s="44" t="s">
        <v>32</v>
      </c>
      <c r="D780" s="53" t="s">
        <v>230</v>
      </c>
      <c r="E780" s="53" t="s">
        <v>268</v>
      </c>
      <c r="F780" s="53" t="s">
        <v>212</v>
      </c>
      <c r="G780" s="44" t="s">
        <v>212</v>
      </c>
      <c r="H780" s="45">
        <v>9.0</v>
      </c>
      <c r="I780" s="45">
        <v>0.0</v>
      </c>
      <c r="J780" s="45">
        <v>9.0</v>
      </c>
      <c r="K780" s="45">
        <v>0.0</v>
      </c>
      <c r="L780" s="45">
        <v>100.0</v>
      </c>
      <c r="Q780" s="4"/>
    </row>
    <row r="781">
      <c r="A781" s="2"/>
      <c r="B781" s="38">
        <v>773.0</v>
      </c>
      <c r="C781" s="39" t="s">
        <v>32</v>
      </c>
      <c r="D781" s="39" t="s">
        <v>230</v>
      </c>
      <c r="E781" s="39" t="s">
        <v>268</v>
      </c>
      <c r="F781" s="39" t="s">
        <v>212</v>
      </c>
      <c r="G781" s="41" t="s">
        <v>23</v>
      </c>
      <c r="H781" s="46"/>
      <c r="I781" s="46"/>
      <c r="J781" s="46"/>
      <c r="K781" s="46"/>
      <c r="L781" s="46"/>
      <c r="Q781" s="4"/>
    </row>
    <row r="782">
      <c r="A782" s="2"/>
      <c r="B782" s="38">
        <v>774.0</v>
      </c>
      <c r="C782" s="39" t="s">
        <v>32</v>
      </c>
      <c r="D782" s="39" t="s">
        <v>230</v>
      </c>
      <c r="E782" s="39" t="s">
        <v>268</v>
      </c>
      <c r="F782" s="39" t="s">
        <v>212</v>
      </c>
      <c r="G782" s="41" t="s">
        <v>25</v>
      </c>
      <c r="H782" s="42">
        <v>9.0</v>
      </c>
      <c r="I782" s="42">
        <v>0.0</v>
      </c>
      <c r="J782" s="42">
        <v>9.0</v>
      </c>
      <c r="K782" s="42">
        <v>0.0</v>
      </c>
      <c r="L782" s="42">
        <v>100.0</v>
      </c>
      <c r="Q782" s="4"/>
    </row>
    <row r="783">
      <c r="A783" s="2"/>
      <c r="B783" s="34">
        <v>775.0</v>
      </c>
      <c r="C783" s="35" t="s">
        <v>30</v>
      </c>
      <c r="D783" s="49" t="s">
        <v>230</v>
      </c>
      <c r="E783" s="49" t="s">
        <v>269</v>
      </c>
      <c r="F783" s="50"/>
      <c r="G783" s="35" t="s">
        <v>269</v>
      </c>
      <c r="H783" s="37">
        <v>14.0</v>
      </c>
      <c r="I783" s="37">
        <v>7.0</v>
      </c>
      <c r="J783" s="37">
        <v>7.0</v>
      </c>
      <c r="K783" s="37">
        <v>50.0</v>
      </c>
      <c r="L783" s="37">
        <v>50.0</v>
      </c>
      <c r="Q783" s="4"/>
    </row>
    <row r="784">
      <c r="A784" s="2"/>
      <c r="B784" s="38">
        <v>776.0</v>
      </c>
      <c r="C784" s="39" t="s">
        <v>30</v>
      </c>
      <c r="D784" s="39" t="s">
        <v>230</v>
      </c>
      <c r="E784" s="39" t="s">
        <v>269</v>
      </c>
      <c r="F784" s="40"/>
      <c r="G784" s="41" t="s">
        <v>23</v>
      </c>
      <c r="H784" s="42">
        <v>10.0</v>
      </c>
      <c r="I784" s="42">
        <v>4.0</v>
      </c>
      <c r="J784" s="42">
        <v>6.0</v>
      </c>
      <c r="K784" s="42">
        <v>40.0</v>
      </c>
      <c r="L784" s="42">
        <v>60.0</v>
      </c>
      <c r="Q784" s="4"/>
    </row>
    <row r="785">
      <c r="A785" s="2"/>
      <c r="B785" s="38">
        <v>777.0</v>
      </c>
      <c r="C785" s="39" t="s">
        <v>30</v>
      </c>
      <c r="D785" s="39" t="s">
        <v>230</v>
      </c>
      <c r="E785" s="39" t="s">
        <v>269</v>
      </c>
      <c r="F785" s="40"/>
      <c r="G785" s="41" t="s">
        <v>25</v>
      </c>
      <c r="H785" s="42">
        <v>4.0</v>
      </c>
      <c r="I785" s="42">
        <v>3.0</v>
      </c>
      <c r="J785" s="42">
        <v>1.0</v>
      </c>
      <c r="K785" s="42">
        <v>75.0</v>
      </c>
      <c r="L785" s="42">
        <v>25.0</v>
      </c>
      <c r="Q785" s="4"/>
    </row>
    <row r="786">
      <c r="A786" s="2"/>
      <c r="B786" s="43">
        <v>778.0</v>
      </c>
      <c r="C786" s="44" t="s">
        <v>32</v>
      </c>
      <c r="D786" s="53" t="s">
        <v>230</v>
      </c>
      <c r="E786" s="53" t="s">
        <v>269</v>
      </c>
      <c r="F786" s="53" t="s">
        <v>270</v>
      </c>
      <c r="G786" s="44" t="s">
        <v>270</v>
      </c>
      <c r="H786" s="45">
        <v>14.0</v>
      </c>
      <c r="I786" s="45">
        <v>7.0</v>
      </c>
      <c r="J786" s="45">
        <v>7.0</v>
      </c>
      <c r="K786" s="45">
        <v>50.0</v>
      </c>
      <c r="L786" s="45">
        <v>50.0</v>
      </c>
      <c r="Q786" s="4"/>
    </row>
    <row r="787">
      <c r="A787" s="2"/>
      <c r="B787" s="38">
        <v>779.0</v>
      </c>
      <c r="C787" s="39" t="s">
        <v>32</v>
      </c>
      <c r="D787" s="39" t="s">
        <v>230</v>
      </c>
      <c r="E787" s="39" t="s">
        <v>269</v>
      </c>
      <c r="F787" s="39" t="s">
        <v>270</v>
      </c>
      <c r="G787" s="41" t="s">
        <v>23</v>
      </c>
      <c r="H787" s="42">
        <v>10.0</v>
      </c>
      <c r="I787" s="42">
        <v>4.0</v>
      </c>
      <c r="J787" s="42">
        <v>6.0</v>
      </c>
      <c r="K787" s="42">
        <v>40.0</v>
      </c>
      <c r="L787" s="42">
        <v>60.0</v>
      </c>
      <c r="Q787" s="4"/>
    </row>
    <row r="788">
      <c r="A788" s="2"/>
      <c r="B788" s="38">
        <v>780.0</v>
      </c>
      <c r="C788" s="39" t="s">
        <v>32</v>
      </c>
      <c r="D788" s="39" t="s">
        <v>230</v>
      </c>
      <c r="E788" s="39" t="s">
        <v>269</v>
      </c>
      <c r="F788" s="39" t="s">
        <v>270</v>
      </c>
      <c r="G788" s="41" t="s">
        <v>25</v>
      </c>
      <c r="H788" s="42">
        <v>4.0</v>
      </c>
      <c r="I788" s="42">
        <v>3.0</v>
      </c>
      <c r="J788" s="42">
        <v>1.0</v>
      </c>
      <c r="K788" s="42">
        <v>75.0</v>
      </c>
      <c r="L788" s="42">
        <v>25.0</v>
      </c>
      <c r="Q788" s="4"/>
    </row>
    <row r="789">
      <c r="A789" s="2"/>
      <c r="B789" s="34">
        <v>781.0</v>
      </c>
      <c r="C789" s="35" t="s">
        <v>30</v>
      </c>
      <c r="D789" s="49" t="s">
        <v>230</v>
      </c>
      <c r="E789" s="49" t="s">
        <v>271</v>
      </c>
      <c r="F789" s="50"/>
      <c r="G789" s="35" t="s">
        <v>271</v>
      </c>
      <c r="H789" s="37">
        <v>0.0</v>
      </c>
      <c r="I789" s="37">
        <v>0.0</v>
      </c>
      <c r="J789" s="37">
        <v>0.0</v>
      </c>
      <c r="K789" s="37">
        <v>0.0</v>
      </c>
      <c r="L789" s="37">
        <v>0.0</v>
      </c>
      <c r="Q789" s="4"/>
    </row>
    <row r="790">
      <c r="A790" s="2"/>
      <c r="B790" s="38">
        <v>782.0</v>
      </c>
      <c r="C790" s="39" t="s">
        <v>30</v>
      </c>
      <c r="D790" s="39" t="s">
        <v>230</v>
      </c>
      <c r="E790" s="39" t="s">
        <v>271</v>
      </c>
      <c r="F790" s="40"/>
      <c r="G790" s="41" t="s">
        <v>23</v>
      </c>
      <c r="H790" s="46"/>
      <c r="I790" s="46"/>
      <c r="J790" s="46"/>
      <c r="K790" s="46"/>
      <c r="L790" s="46"/>
      <c r="Q790" s="4"/>
    </row>
    <row r="791">
      <c r="A791" s="2"/>
      <c r="B791" s="38">
        <v>783.0</v>
      </c>
      <c r="C791" s="39" t="s">
        <v>30</v>
      </c>
      <c r="D791" s="39" t="s">
        <v>230</v>
      </c>
      <c r="E791" s="39" t="s">
        <v>271</v>
      </c>
      <c r="F791" s="40"/>
      <c r="G791" s="41" t="s">
        <v>25</v>
      </c>
      <c r="H791" s="42">
        <v>0.0</v>
      </c>
      <c r="I791" s="42">
        <v>0.0</v>
      </c>
      <c r="J791" s="42">
        <v>0.0</v>
      </c>
      <c r="K791" s="42">
        <v>0.0</v>
      </c>
      <c r="L791" s="42">
        <v>0.0</v>
      </c>
      <c r="Q791" s="4"/>
    </row>
    <row r="792">
      <c r="A792" s="2"/>
      <c r="B792" s="43">
        <v>784.0</v>
      </c>
      <c r="C792" s="44" t="s">
        <v>32</v>
      </c>
      <c r="D792" s="53" t="s">
        <v>230</v>
      </c>
      <c r="E792" s="53" t="s">
        <v>271</v>
      </c>
      <c r="F792" s="53" t="s">
        <v>272</v>
      </c>
      <c r="G792" s="44" t="s">
        <v>272</v>
      </c>
      <c r="H792" s="45">
        <v>0.0</v>
      </c>
      <c r="I792" s="45">
        <v>0.0</v>
      </c>
      <c r="J792" s="45">
        <v>0.0</v>
      </c>
      <c r="K792" s="45">
        <v>0.0</v>
      </c>
      <c r="L792" s="45">
        <v>0.0</v>
      </c>
      <c r="Q792" s="4"/>
    </row>
    <row r="793">
      <c r="A793" s="2"/>
      <c r="B793" s="38">
        <v>785.0</v>
      </c>
      <c r="C793" s="39" t="s">
        <v>32</v>
      </c>
      <c r="D793" s="39" t="s">
        <v>230</v>
      </c>
      <c r="E793" s="39" t="s">
        <v>271</v>
      </c>
      <c r="F793" s="39" t="s">
        <v>272</v>
      </c>
      <c r="G793" s="41" t="s">
        <v>23</v>
      </c>
      <c r="H793" s="46"/>
      <c r="I793" s="46"/>
      <c r="J793" s="46"/>
      <c r="K793" s="46"/>
      <c r="L793" s="46"/>
      <c r="Q793" s="4"/>
    </row>
    <row r="794">
      <c r="A794" s="2"/>
      <c r="B794" s="38">
        <v>786.0</v>
      </c>
      <c r="C794" s="39" t="s">
        <v>32</v>
      </c>
      <c r="D794" s="39" t="s">
        <v>230</v>
      </c>
      <c r="E794" s="39" t="s">
        <v>271</v>
      </c>
      <c r="F794" s="39" t="s">
        <v>272</v>
      </c>
      <c r="G794" s="41" t="s">
        <v>25</v>
      </c>
      <c r="H794" s="42">
        <v>0.0</v>
      </c>
      <c r="I794" s="42">
        <v>0.0</v>
      </c>
      <c r="J794" s="42">
        <v>0.0</v>
      </c>
      <c r="K794" s="42">
        <v>0.0</v>
      </c>
      <c r="L794" s="42">
        <v>0.0</v>
      </c>
      <c r="Q794" s="4"/>
    </row>
    <row r="795">
      <c r="A795" s="2"/>
      <c r="B795" s="43">
        <v>787.0</v>
      </c>
      <c r="C795" s="44" t="s">
        <v>32</v>
      </c>
      <c r="D795" s="53" t="s">
        <v>230</v>
      </c>
      <c r="E795" s="53" t="s">
        <v>271</v>
      </c>
      <c r="F795" s="53" t="s">
        <v>273</v>
      </c>
      <c r="G795" s="44" t="s">
        <v>273</v>
      </c>
      <c r="H795" s="45">
        <v>0.0</v>
      </c>
      <c r="I795" s="45">
        <v>0.0</v>
      </c>
      <c r="J795" s="45">
        <v>0.0</v>
      </c>
      <c r="K795" s="45">
        <v>0.0</v>
      </c>
      <c r="L795" s="45">
        <v>0.0</v>
      </c>
      <c r="Q795" s="4"/>
    </row>
    <row r="796">
      <c r="A796" s="2"/>
      <c r="B796" s="38">
        <v>788.0</v>
      </c>
      <c r="C796" s="39" t="s">
        <v>32</v>
      </c>
      <c r="D796" s="39" t="s">
        <v>230</v>
      </c>
      <c r="E796" s="39" t="s">
        <v>271</v>
      </c>
      <c r="F796" s="39" t="s">
        <v>273</v>
      </c>
      <c r="G796" s="41" t="s">
        <v>23</v>
      </c>
      <c r="H796" s="46"/>
      <c r="I796" s="46"/>
      <c r="J796" s="46"/>
      <c r="K796" s="46"/>
      <c r="L796" s="46"/>
      <c r="Q796" s="4"/>
    </row>
    <row r="797">
      <c r="A797" s="2"/>
      <c r="B797" s="38">
        <v>789.0</v>
      </c>
      <c r="C797" s="39" t="s">
        <v>32</v>
      </c>
      <c r="D797" s="39" t="s">
        <v>230</v>
      </c>
      <c r="E797" s="39" t="s">
        <v>271</v>
      </c>
      <c r="F797" s="39" t="s">
        <v>273</v>
      </c>
      <c r="G797" s="41" t="s">
        <v>25</v>
      </c>
      <c r="H797" s="42">
        <v>0.0</v>
      </c>
      <c r="I797" s="42">
        <v>0.0</v>
      </c>
      <c r="J797" s="42">
        <v>0.0</v>
      </c>
      <c r="K797" s="42">
        <v>0.0</v>
      </c>
      <c r="L797" s="42">
        <v>0.0</v>
      </c>
      <c r="Q797" s="4"/>
    </row>
    <row r="798">
      <c r="A798" s="2"/>
      <c r="B798" s="43">
        <v>790.0</v>
      </c>
      <c r="C798" s="44" t="s">
        <v>32</v>
      </c>
      <c r="D798" s="53" t="s">
        <v>230</v>
      </c>
      <c r="E798" s="53" t="s">
        <v>271</v>
      </c>
      <c r="F798" s="53" t="s">
        <v>237</v>
      </c>
      <c r="G798" s="44" t="s">
        <v>237</v>
      </c>
      <c r="H798" s="45">
        <v>0.0</v>
      </c>
      <c r="I798" s="45">
        <v>0.0</v>
      </c>
      <c r="J798" s="45">
        <v>0.0</v>
      </c>
      <c r="K798" s="45">
        <v>0.0</v>
      </c>
      <c r="L798" s="45">
        <v>0.0</v>
      </c>
      <c r="Q798" s="4"/>
    </row>
    <row r="799">
      <c r="A799" s="2"/>
      <c r="B799" s="38">
        <v>791.0</v>
      </c>
      <c r="C799" s="39" t="s">
        <v>32</v>
      </c>
      <c r="D799" s="39" t="s">
        <v>230</v>
      </c>
      <c r="E799" s="39" t="s">
        <v>271</v>
      </c>
      <c r="F799" s="39" t="s">
        <v>237</v>
      </c>
      <c r="G799" s="41" t="s">
        <v>23</v>
      </c>
      <c r="H799" s="46"/>
      <c r="I799" s="46"/>
      <c r="J799" s="46"/>
      <c r="K799" s="46"/>
      <c r="L799" s="46"/>
      <c r="Q799" s="4"/>
    </row>
    <row r="800">
      <c r="A800" s="2"/>
      <c r="B800" s="38">
        <v>792.0</v>
      </c>
      <c r="C800" s="39" t="s">
        <v>32</v>
      </c>
      <c r="D800" s="39" t="s">
        <v>230</v>
      </c>
      <c r="E800" s="39" t="s">
        <v>271</v>
      </c>
      <c r="F800" s="39" t="s">
        <v>237</v>
      </c>
      <c r="G800" s="41" t="s">
        <v>25</v>
      </c>
      <c r="H800" s="42">
        <v>0.0</v>
      </c>
      <c r="I800" s="42">
        <v>0.0</v>
      </c>
      <c r="J800" s="42">
        <v>0.0</v>
      </c>
      <c r="K800" s="42">
        <v>0.0</v>
      </c>
      <c r="L800" s="42">
        <v>0.0</v>
      </c>
      <c r="Q800" s="4"/>
    </row>
    <row r="801">
      <c r="A801" s="2"/>
      <c r="B801" s="34">
        <v>793.0</v>
      </c>
      <c r="C801" s="35" t="s">
        <v>30</v>
      </c>
      <c r="D801" s="49" t="s">
        <v>230</v>
      </c>
      <c r="E801" s="49" t="s">
        <v>274</v>
      </c>
      <c r="F801" s="50"/>
      <c r="G801" s="35" t="s">
        <v>274</v>
      </c>
      <c r="H801" s="37">
        <v>4.0</v>
      </c>
      <c r="I801" s="37">
        <v>0.0</v>
      </c>
      <c r="J801" s="37">
        <v>4.0</v>
      </c>
      <c r="K801" s="37">
        <v>0.0</v>
      </c>
      <c r="L801" s="37">
        <v>100.0</v>
      </c>
      <c r="Q801" s="4"/>
    </row>
    <row r="802">
      <c r="A802" s="2"/>
      <c r="B802" s="38">
        <v>794.0</v>
      </c>
      <c r="C802" s="39" t="s">
        <v>30</v>
      </c>
      <c r="D802" s="39" t="s">
        <v>230</v>
      </c>
      <c r="E802" s="39" t="s">
        <v>274</v>
      </c>
      <c r="F802" s="40"/>
      <c r="G802" s="41" t="s">
        <v>23</v>
      </c>
      <c r="H802" s="46"/>
      <c r="I802" s="46"/>
      <c r="J802" s="46"/>
      <c r="K802" s="46"/>
      <c r="L802" s="46"/>
      <c r="Q802" s="4"/>
    </row>
    <row r="803">
      <c r="A803" s="2"/>
      <c r="B803" s="38">
        <v>795.0</v>
      </c>
      <c r="C803" s="39" t="s">
        <v>30</v>
      </c>
      <c r="D803" s="39" t="s">
        <v>230</v>
      </c>
      <c r="E803" s="39" t="s">
        <v>274</v>
      </c>
      <c r="F803" s="40"/>
      <c r="G803" s="41" t="s">
        <v>25</v>
      </c>
      <c r="H803" s="42">
        <v>4.0</v>
      </c>
      <c r="I803" s="42">
        <v>0.0</v>
      </c>
      <c r="J803" s="42">
        <v>4.0</v>
      </c>
      <c r="K803" s="42">
        <v>0.0</v>
      </c>
      <c r="L803" s="42">
        <v>100.0</v>
      </c>
      <c r="Q803" s="4"/>
    </row>
    <row r="804">
      <c r="A804" s="2"/>
      <c r="B804" s="43">
        <v>796.0</v>
      </c>
      <c r="C804" s="44" t="s">
        <v>32</v>
      </c>
      <c r="D804" s="53" t="s">
        <v>230</v>
      </c>
      <c r="E804" s="53" t="s">
        <v>274</v>
      </c>
      <c r="F804" s="53" t="s">
        <v>275</v>
      </c>
      <c r="G804" s="44" t="s">
        <v>275</v>
      </c>
      <c r="H804" s="45">
        <v>4.0</v>
      </c>
      <c r="I804" s="45">
        <v>0.0</v>
      </c>
      <c r="J804" s="45">
        <v>4.0</v>
      </c>
      <c r="K804" s="45">
        <v>0.0</v>
      </c>
      <c r="L804" s="45">
        <v>100.0</v>
      </c>
      <c r="Q804" s="4"/>
    </row>
    <row r="805">
      <c r="A805" s="2"/>
      <c r="B805" s="38">
        <v>797.0</v>
      </c>
      <c r="C805" s="39" t="s">
        <v>32</v>
      </c>
      <c r="D805" s="39" t="s">
        <v>230</v>
      </c>
      <c r="E805" s="39" t="s">
        <v>274</v>
      </c>
      <c r="F805" s="39" t="s">
        <v>275</v>
      </c>
      <c r="G805" s="41" t="s">
        <v>23</v>
      </c>
      <c r="H805" s="46"/>
      <c r="I805" s="46"/>
      <c r="J805" s="46"/>
      <c r="K805" s="46"/>
      <c r="L805" s="46"/>
      <c r="Q805" s="4"/>
    </row>
    <row r="806">
      <c r="A806" s="2"/>
      <c r="B806" s="38">
        <v>798.0</v>
      </c>
      <c r="C806" s="39" t="s">
        <v>32</v>
      </c>
      <c r="D806" s="39" t="s">
        <v>230</v>
      </c>
      <c r="E806" s="39" t="s">
        <v>274</v>
      </c>
      <c r="F806" s="39" t="s">
        <v>275</v>
      </c>
      <c r="G806" s="41" t="s">
        <v>25</v>
      </c>
      <c r="H806" s="42">
        <v>4.0</v>
      </c>
      <c r="I806" s="42">
        <v>0.0</v>
      </c>
      <c r="J806" s="42">
        <v>4.0</v>
      </c>
      <c r="K806" s="42">
        <v>0.0</v>
      </c>
      <c r="L806" s="42">
        <v>100.0</v>
      </c>
      <c r="Q806" s="4"/>
    </row>
    <row r="807">
      <c r="A807" s="2"/>
      <c r="B807" s="24">
        <v>799.0</v>
      </c>
      <c r="C807" s="25" t="s">
        <v>26</v>
      </c>
      <c r="D807" s="25" t="s">
        <v>276</v>
      </c>
      <c r="E807" s="26"/>
      <c r="F807" s="26"/>
      <c r="G807" s="25" t="s">
        <v>276</v>
      </c>
      <c r="H807" s="27">
        <v>1673.0</v>
      </c>
      <c r="I807" s="28">
        <v>611.0</v>
      </c>
      <c r="J807" s="27">
        <v>1062.0</v>
      </c>
      <c r="K807" s="28">
        <v>36.5</v>
      </c>
      <c r="L807" s="28">
        <v>63.5</v>
      </c>
      <c r="Q807" s="4"/>
    </row>
    <row r="808">
      <c r="A808" s="2"/>
      <c r="B808" s="29">
        <v>800.0</v>
      </c>
      <c r="C808" s="30" t="s">
        <v>26</v>
      </c>
      <c r="D808" s="47" t="s">
        <v>276</v>
      </c>
      <c r="E808" s="48"/>
      <c r="F808" s="48"/>
      <c r="G808" s="30" t="s">
        <v>23</v>
      </c>
      <c r="H808" s="33">
        <v>663.0</v>
      </c>
      <c r="I808" s="33">
        <v>219.0</v>
      </c>
      <c r="J808" s="33">
        <v>444.0</v>
      </c>
      <c r="K808" s="33">
        <v>33.0</v>
      </c>
      <c r="L808" s="33">
        <v>67.0</v>
      </c>
      <c r="Q808" s="4"/>
    </row>
    <row r="809">
      <c r="A809" s="2"/>
      <c r="B809" s="29">
        <v>801.0</v>
      </c>
      <c r="C809" s="30" t="s">
        <v>26</v>
      </c>
      <c r="D809" s="47" t="s">
        <v>276</v>
      </c>
      <c r="E809" s="48"/>
      <c r="F809" s="48"/>
      <c r="G809" s="30" t="s">
        <v>25</v>
      </c>
      <c r="H809" s="32">
        <v>1010.0</v>
      </c>
      <c r="I809" s="33">
        <v>392.0</v>
      </c>
      <c r="J809" s="33">
        <v>618.0</v>
      </c>
      <c r="K809" s="33">
        <v>38.8</v>
      </c>
      <c r="L809" s="33">
        <v>61.2</v>
      </c>
      <c r="Q809" s="4"/>
    </row>
    <row r="810">
      <c r="A810" s="2"/>
      <c r="B810" s="34">
        <v>802.0</v>
      </c>
      <c r="C810" s="35" t="s">
        <v>30</v>
      </c>
      <c r="D810" s="49" t="s">
        <v>276</v>
      </c>
      <c r="E810" s="49" t="s">
        <v>277</v>
      </c>
      <c r="F810" s="50"/>
      <c r="G810" s="35" t="s">
        <v>277</v>
      </c>
      <c r="H810" s="37">
        <v>348.0</v>
      </c>
      <c r="I810" s="37">
        <v>139.0</v>
      </c>
      <c r="J810" s="37">
        <v>209.0</v>
      </c>
      <c r="K810" s="37">
        <v>39.9</v>
      </c>
      <c r="L810" s="37">
        <v>60.1</v>
      </c>
      <c r="Q810" s="4"/>
    </row>
    <row r="811">
      <c r="A811" s="2"/>
      <c r="B811" s="38">
        <v>803.0</v>
      </c>
      <c r="C811" s="39" t="s">
        <v>30</v>
      </c>
      <c r="D811" s="39" t="s">
        <v>276</v>
      </c>
      <c r="E811" s="39" t="s">
        <v>277</v>
      </c>
      <c r="F811" s="40"/>
      <c r="G811" s="41" t="s">
        <v>23</v>
      </c>
      <c r="H811" s="42">
        <v>222.0</v>
      </c>
      <c r="I811" s="42">
        <v>91.0</v>
      </c>
      <c r="J811" s="42">
        <v>131.0</v>
      </c>
      <c r="K811" s="42">
        <v>41.0</v>
      </c>
      <c r="L811" s="42">
        <v>59.0</v>
      </c>
      <c r="Q811" s="4"/>
    </row>
    <row r="812">
      <c r="A812" s="2"/>
      <c r="B812" s="38">
        <v>804.0</v>
      </c>
      <c r="C812" s="39" t="s">
        <v>30</v>
      </c>
      <c r="D812" s="39" t="s">
        <v>276</v>
      </c>
      <c r="E812" s="39" t="s">
        <v>277</v>
      </c>
      <c r="F812" s="40"/>
      <c r="G812" s="41" t="s">
        <v>25</v>
      </c>
      <c r="H812" s="42">
        <v>126.0</v>
      </c>
      <c r="I812" s="42">
        <v>48.0</v>
      </c>
      <c r="J812" s="42">
        <v>78.0</v>
      </c>
      <c r="K812" s="42">
        <v>38.1</v>
      </c>
      <c r="L812" s="42">
        <v>61.9</v>
      </c>
      <c r="Q812" s="4"/>
    </row>
    <row r="813">
      <c r="A813" s="2"/>
      <c r="B813" s="43">
        <v>805.0</v>
      </c>
      <c r="C813" s="44" t="s">
        <v>32</v>
      </c>
      <c r="D813" s="53" t="s">
        <v>276</v>
      </c>
      <c r="E813" s="53" t="s">
        <v>277</v>
      </c>
      <c r="F813" s="53" t="s">
        <v>276</v>
      </c>
      <c r="G813" s="44" t="s">
        <v>276</v>
      </c>
      <c r="H813" s="45">
        <v>299.0</v>
      </c>
      <c r="I813" s="45">
        <v>125.0</v>
      </c>
      <c r="J813" s="45">
        <v>174.0</v>
      </c>
      <c r="K813" s="45">
        <v>41.8</v>
      </c>
      <c r="L813" s="45">
        <v>58.2</v>
      </c>
      <c r="Q813" s="4"/>
    </row>
    <row r="814">
      <c r="A814" s="2"/>
      <c r="B814" s="38">
        <v>806.0</v>
      </c>
      <c r="C814" s="39" t="s">
        <v>32</v>
      </c>
      <c r="D814" s="39" t="s">
        <v>276</v>
      </c>
      <c r="E814" s="39" t="s">
        <v>277</v>
      </c>
      <c r="F814" s="39" t="s">
        <v>276</v>
      </c>
      <c r="G814" s="41" t="s">
        <v>23</v>
      </c>
      <c r="H814" s="42">
        <v>222.0</v>
      </c>
      <c r="I814" s="42">
        <v>91.0</v>
      </c>
      <c r="J814" s="42">
        <v>131.0</v>
      </c>
      <c r="K814" s="42">
        <v>41.0</v>
      </c>
      <c r="L814" s="42">
        <v>59.0</v>
      </c>
      <c r="Q814" s="4"/>
    </row>
    <row r="815">
      <c r="A815" s="2"/>
      <c r="B815" s="38">
        <v>807.0</v>
      </c>
      <c r="C815" s="39" t="s">
        <v>32</v>
      </c>
      <c r="D815" s="39" t="s">
        <v>276</v>
      </c>
      <c r="E815" s="39" t="s">
        <v>277</v>
      </c>
      <c r="F815" s="39" t="s">
        <v>276</v>
      </c>
      <c r="G815" s="41" t="s">
        <v>25</v>
      </c>
      <c r="H815" s="42">
        <v>77.0</v>
      </c>
      <c r="I815" s="42">
        <v>34.0</v>
      </c>
      <c r="J815" s="42">
        <v>43.0</v>
      </c>
      <c r="K815" s="42">
        <v>44.2</v>
      </c>
      <c r="L815" s="42">
        <v>55.8</v>
      </c>
      <c r="Q815" s="4"/>
    </row>
    <row r="816">
      <c r="A816" s="2"/>
      <c r="B816" s="43">
        <v>808.0</v>
      </c>
      <c r="C816" s="44" t="s">
        <v>32</v>
      </c>
      <c r="D816" s="53" t="s">
        <v>276</v>
      </c>
      <c r="E816" s="53" t="s">
        <v>277</v>
      </c>
      <c r="F816" s="53" t="s">
        <v>278</v>
      </c>
      <c r="G816" s="44" t="s">
        <v>278</v>
      </c>
      <c r="H816" s="45">
        <v>19.0</v>
      </c>
      <c r="I816" s="45">
        <v>8.0</v>
      </c>
      <c r="J816" s="45">
        <v>11.0</v>
      </c>
      <c r="K816" s="45">
        <v>42.1</v>
      </c>
      <c r="L816" s="45">
        <v>57.9</v>
      </c>
      <c r="Q816" s="4"/>
    </row>
    <row r="817">
      <c r="A817" s="2"/>
      <c r="B817" s="38">
        <v>809.0</v>
      </c>
      <c r="C817" s="39" t="s">
        <v>32</v>
      </c>
      <c r="D817" s="39" t="s">
        <v>276</v>
      </c>
      <c r="E817" s="39" t="s">
        <v>277</v>
      </c>
      <c r="F817" s="39" t="s">
        <v>278</v>
      </c>
      <c r="G817" s="41" t="s">
        <v>23</v>
      </c>
      <c r="H817" s="46"/>
      <c r="I817" s="46"/>
      <c r="J817" s="46"/>
      <c r="K817" s="46"/>
      <c r="L817" s="46"/>
      <c r="Q817" s="4"/>
    </row>
    <row r="818">
      <c r="A818" s="2"/>
      <c r="B818" s="38">
        <v>810.0</v>
      </c>
      <c r="C818" s="39" t="s">
        <v>32</v>
      </c>
      <c r="D818" s="39" t="s">
        <v>276</v>
      </c>
      <c r="E818" s="39" t="s">
        <v>277</v>
      </c>
      <c r="F818" s="39" t="s">
        <v>278</v>
      </c>
      <c r="G818" s="41" t="s">
        <v>25</v>
      </c>
      <c r="H818" s="42">
        <v>19.0</v>
      </c>
      <c r="I818" s="42">
        <v>8.0</v>
      </c>
      <c r="J818" s="42">
        <v>11.0</v>
      </c>
      <c r="K818" s="42">
        <v>42.1</v>
      </c>
      <c r="L818" s="42">
        <v>57.9</v>
      </c>
      <c r="Q818" s="4"/>
    </row>
    <row r="819">
      <c r="A819" s="2"/>
      <c r="B819" s="43">
        <v>811.0</v>
      </c>
      <c r="C819" s="44" t="s">
        <v>32</v>
      </c>
      <c r="D819" s="53" t="s">
        <v>276</v>
      </c>
      <c r="E819" s="53" t="s">
        <v>277</v>
      </c>
      <c r="F819" s="53" t="s">
        <v>279</v>
      </c>
      <c r="G819" s="44" t="s">
        <v>279</v>
      </c>
      <c r="H819" s="45">
        <v>30.0</v>
      </c>
      <c r="I819" s="45">
        <v>6.0</v>
      </c>
      <c r="J819" s="45">
        <v>24.0</v>
      </c>
      <c r="K819" s="45">
        <v>20.0</v>
      </c>
      <c r="L819" s="45">
        <v>80.0</v>
      </c>
      <c r="Q819" s="4"/>
    </row>
    <row r="820">
      <c r="A820" s="2"/>
      <c r="B820" s="38">
        <v>812.0</v>
      </c>
      <c r="C820" s="39" t="s">
        <v>32</v>
      </c>
      <c r="D820" s="39" t="s">
        <v>276</v>
      </c>
      <c r="E820" s="39" t="s">
        <v>277</v>
      </c>
      <c r="F820" s="39" t="s">
        <v>279</v>
      </c>
      <c r="G820" s="41" t="s">
        <v>23</v>
      </c>
      <c r="H820" s="46"/>
      <c r="I820" s="46"/>
      <c r="J820" s="46"/>
      <c r="K820" s="46"/>
      <c r="L820" s="46"/>
      <c r="Q820" s="4"/>
    </row>
    <row r="821">
      <c r="A821" s="2"/>
      <c r="B821" s="38">
        <v>813.0</v>
      </c>
      <c r="C821" s="39" t="s">
        <v>32</v>
      </c>
      <c r="D821" s="39" t="s">
        <v>276</v>
      </c>
      <c r="E821" s="39" t="s">
        <v>277</v>
      </c>
      <c r="F821" s="39" t="s">
        <v>279</v>
      </c>
      <c r="G821" s="41" t="s">
        <v>25</v>
      </c>
      <c r="H821" s="42">
        <v>30.0</v>
      </c>
      <c r="I821" s="42">
        <v>6.0</v>
      </c>
      <c r="J821" s="42">
        <v>24.0</v>
      </c>
      <c r="K821" s="42">
        <v>20.0</v>
      </c>
      <c r="L821" s="42">
        <v>80.0</v>
      </c>
      <c r="Q821" s="4"/>
    </row>
    <row r="822">
      <c r="A822" s="2"/>
      <c r="B822" s="43">
        <v>814.0</v>
      </c>
      <c r="C822" s="44" t="s">
        <v>32</v>
      </c>
      <c r="D822" s="53" t="s">
        <v>276</v>
      </c>
      <c r="E822" s="53" t="s">
        <v>277</v>
      </c>
      <c r="F822" s="53" t="s">
        <v>280</v>
      </c>
      <c r="G822" s="44" t="s">
        <v>280</v>
      </c>
      <c r="H822" s="45">
        <v>0.0</v>
      </c>
      <c r="I822" s="45">
        <v>0.0</v>
      </c>
      <c r="J822" s="45">
        <v>0.0</v>
      </c>
      <c r="K822" s="45">
        <v>0.0</v>
      </c>
      <c r="L822" s="45">
        <v>0.0</v>
      </c>
      <c r="Q822" s="4"/>
    </row>
    <row r="823">
      <c r="A823" s="2"/>
      <c r="B823" s="38">
        <v>815.0</v>
      </c>
      <c r="C823" s="39" t="s">
        <v>32</v>
      </c>
      <c r="D823" s="39" t="s">
        <v>276</v>
      </c>
      <c r="E823" s="39" t="s">
        <v>277</v>
      </c>
      <c r="F823" s="39" t="s">
        <v>280</v>
      </c>
      <c r="G823" s="41" t="s">
        <v>23</v>
      </c>
      <c r="H823" s="46"/>
      <c r="I823" s="46"/>
      <c r="J823" s="46"/>
      <c r="K823" s="46"/>
      <c r="L823" s="46"/>
      <c r="Q823" s="4"/>
    </row>
    <row r="824">
      <c r="A824" s="2"/>
      <c r="B824" s="38">
        <v>816.0</v>
      </c>
      <c r="C824" s="39" t="s">
        <v>32</v>
      </c>
      <c r="D824" s="39" t="s">
        <v>276</v>
      </c>
      <c r="E824" s="39" t="s">
        <v>277</v>
      </c>
      <c r="F824" s="39" t="s">
        <v>280</v>
      </c>
      <c r="G824" s="41" t="s">
        <v>25</v>
      </c>
      <c r="H824" s="42">
        <v>0.0</v>
      </c>
      <c r="I824" s="42">
        <v>0.0</v>
      </c>
      <c r="J824" s="42">
        <v>0.0</v>
      </c>
      <c r="K824" s="42">
        <v>0.0</v>
      </c>
      <c r="L824" s="42">
        <v>0.0</v>
      </c>
      <c r="Q824" s="4"/>
    </row>
    <row r="825">
      <c r="A825" s="2"/>
      <c r="B825" s="34">
        <v>817.0</v>
      </c>
      <c r="C825" s="35" t="s">
        <v>30</v>
      </c>
      <c r="D825" s="49" t="s">
        <v>276</v>
      </c>
      <c r="E825" s="49" t="s">
        <v>281</v>
      </c>
      <c r="F825" s="50"/>
      <c r="G825" s="35" t="s">
        <v>281</v>
      </c>
      <c r="H825" s="37">
        <v>89.0</v>
      </c>
      <c r="I825" s="37">
        <v>47.0</v>
      </c>
      <c r="J825" s="37">
        <v>42.0</v>
      </c>
      <c r="K825" s="37">
        <v>52.8</v>
      </c>
      <c r="L825" s="37">
        <v>47.2</v>
      </c>
      <c r="Q825" s="4"/>
    </row>
    <row r="826">
      <c r="A826" s="2"/>
      <c r="B826" s="38">
        <v>818.0</v>
      </c>
      <c r="C826" s="39" t="s">
        <v>30</v>
      </c>
      <c r="D826" s="39" t="s">
        <v>276</v>
      </c>
      <c r="E826" s="39" t="s">
        <v>281</v>
      </c>
      <c r="F826" s="40"/>
      <c r="G826" s="41" t="s">
        <v>23</v>
      </c>
      <c r="H826" s="42">
        <v>62.0</v>
      </c>
      <c r="I826" s="42">
        <v>30.0</v>
      </c>
      <c r="J826" s="42">
        <v>32.0</v>
      </c>
      <c r="K826" s="42">
        <v>48.4</v>
      </c>
      <c r="L826" s="42">
        <v>51.6</v>
      </c>
      <c r="Q826" s="4"/>
    </row>
    <row r="827">
      <c r="A827" s="2"/>
      <c r="B827" s="38">
        <v>819.0</v>
      </c>
      <c r="C827" s="39" t="s">
        <v>30</v>
      </c>
      <c r="D827" s="39" t="s">
        <v>276</v>
      </c>
      <c r="E827" s="39" t="s">
        <v>281</v>
      </c>
      <c r="F827" s="40"/>
      <c r="G827" s="41" t="s">
        <v>25</v>
      </c>
      <c r="H827" s="42">
        <v>27.0</v>
      </c>
      <c r="I827" s="42">
        <v>17.0</v>
      </c>
      <c r="J827" s="42">
        <v>10.0</v>
      </c>
      <c r="K827" s="42">
        <v>63.0</v>
      </c>
      <c r="L827" s="42">
        <v>37.0</v>
      </c>
      <c r="Q827" s="4"/>
    </row>
    <row r="828">
      <c r="A828" s="2"/>
      <c r="B828" s="43">
        <v>820.0</v>
      </c>
      <c r="C828" s="44" t="s">
        <v>32</v>
      </c>
      <c r="D828" s="53" t="s">
        <v>276</v>
      </c>
      <c r="E828" s="53" t="s">
        <v>281</v>
      </c>
      <c r="F828" s="53" t="s">
        <v>282</v>
      </c>
      <c r="G828" s="44" t="s">
        <v>282</v>
      </c>
      <c r="H828" s="45">
        <v>35.0</v>
      </c>
      <c r="I828" s="45">
        <v>21.0</v>
      </c>
      <c r="J828" s="45">
        <v>14.0</v>
      </c>
      <c r="K828" s="45">
        <v>60.0</v>
      </c>
      <c r="L828" s="45">
        <v>40.0</v>
      </c>
      <c r="Q828" s="4"/>
    </row>
    <row r="829">
      <c r="A829" s="2"/>
      <c r="B829" s="38">
        <v>821.0</v>
      </c>
      <c r="C829" s="39" t="s">
        <v>32</v>
      </c>
      <c r="D829" s="39" t="s">
        <v>276</v>
      </c>
      <c r="E829" s="39" t="s">
        <v>281</v>
      </c>
      <c r="F829" s="39" t="s">
        <v>282</v>
      </c>
      <c r="G829" s="41" t="s">
        <v>23</v>
      </c>
      <c r="H829" s="42">
        <v>31.0</v>
      </c>
      <c r="I829" s="42">
        <v>17.0</v>
      </c>
      <c r="J829" s="42">
        <v>14.0</v>
      </c>
      <c r="K829" s="42">
        <v>54.8</v>
      </c>
      <c r="L829" s="42">
        <v>45.2</v>
      </c>
      <c r="Q829" s="4"/>
    </row>
    <row r="830">
      <c r="A830" s="2"/>
      <c r="B830" s="38">
        <v>822.0</v>
      </c>
      <c r="C830" s="39" t="s">
        <v>32</v>
      </c>
      <c r="D830" s="39" t="s">
        <v>276</v>
      </c>
      <c r="E830" s="39" t="s">
        <v>281</v>
      </c>
      <c r="F830" s="39" t="s">
        <v>282</v>
      </c>
      <c r="G830" s="41" t="s">
        <v>25</v>
      </c>
      <c r="H830" s="42">
        <v>4.0</v>
      </c>
      <c r="I830" s="42">
        <v>4.0</v>
      </c>
      <c r="J830" s="42">
        <v>0.0</v>
      </c>
      <c r="K830" s="42">
        <v>100.0</v>
      </c>
      <c r="L830" s="42">
        <v>0.0</v>
      </c>
      <c r="Q830" s="4"/>
    </row>
    <row r="831">
      <c r="A831" s="2"/>
      <c r="B831" s="43">
        <v>823.0</v>
      </c>
      <c r="C831" s="44" t="s">
        <v>32</v>
      </c>
      <c r="D831" s="53" t="s">
        <v>276</v>
      </c>
      <c r="E831" s="53" t="s">
        <v>281</v>
      </c>
      <c r="F831" s="53" t="s">
        <v>283</v>
      </c>
      <c r="G831" s="44" t="s">
        <v>283</v>
      </c>
      <c r="H831" s="45">
        <v>15.0</v>
      </c>
      <c r="I831" s="45">
        <v>8.0</v>
      </c>
      <c r="J831" s="45">
        <v>7.0</v>
      </c>
      <c r="K831" s="45">
        <v>53.3</v>
      </c>
      <c r="L831" s="45">
        <v>46.7</v>
      </c>
      <c r="Q831" s="4"/>
    </row>
    <row r="832">
      <c r="A832" s="2"/>
      <c r="B832" s="38">
        <v>824.0</v>
      </c>
      <c r="C832" s="39" t="s">
        <v>32</v>
      </c>
      <c r="D832" s="39" t="s">
        <v>276</v>
      </c>
      <c r="E832" s="39" t="s">
        <v>281</v>
      </c>
      <c r="F832" s="39" t="s">
        <v>283</v>
      </c>
      <c r="G832" s="41" t="s">
        <v>23</v>
      </c>
      <c r="H832" s="42">
        <v>1.0</v>
      </c>
      <c r="I832" s="42">
        <v>1.0</v>
      </c>
      <c r="J832" s="42">
        <v>0.0</v>
      </c>
      <c r="K832" s="42">
        <v>100.0</v>
      </c>
      <c r="L832" s="42">
        <v>0.0</v>
      </c>
      <c r="Q832" s="4"/>
    </row>
    <row r="833">
      <c r="A833" s="2"/>
      <c r="B833" s="38">
        <v>825.0</v>
      </c>
      <c r="C833" s="39" t="s">
        <v>32</v>
      </c>
      <c r="D833" s="39" t="s">
        <v>276</v>
      </c>
      <c r="E833" s="39" t="s">
        <v>281</v>
      </c>
      <c r="F833" s="39" t="s">
        <v>283</v>
      </c>
      <c r="G833" s="41" t="s">
        <v>25</v>
      </c>
      <c r="H833" s="42">
        <v>14.0</v>
      </c>
      <c r="I833" s="42">
        <v>7.0</v>
      </c>
      <c r="J833" s="42">
        <v>7.0</v>
      </c>
      <c r="K833" s="42">
        <v>50.0</v>
      </c>
      <c r="L833" s="42">
        <v>50.0</v>
      </c>
      <c r="Q833" s="4"/>
    </row>
    <row r="834">
      <c r="A834" s="2"/>
      <c r="B834" s="43">
        <v>826.0</v>
      </c>
      <c r="C834" s="44" t="s">
        <v>32</v>
      </c>
      <c r="D834" s="53" t="s">
        <v>276</v>
      </c>
      <c r="E834" s="53" t="s">
        <v>281</v>
      </c>
      <c r="F834" s="53" t="s">
        <v>284</v>
      </c>
      <c r="G834" s="44" t="s">
        <v>284</v>
      </c>
      <c r="H834" s="45">
        <v>32.0</v>
      </c>
      <c r="I834" s="45">
        <v>12.0</v>
      </c>
      <c r="J834" s="45">
        <v>20.0</v>
      </c>
      <c r="K834" s="45">
        <v>37.5</v>
      </c>
      <c r="L834" s="45">
        <v>62.5</v>
      </c>
      <c r="Q834" s="4"/>
    </row>
    <row r="835">
      <c r="A835" s="2"/>
      <c r="B835" s="38">
        <v>827.0</v>
      </c>
      <c r="C835" s="39" t="s">
        <v>32</v>
      </c>
      <c r="D835" s="39" t="s">
        <v>276</v>
      </c>
      <c r="E835" s="39" t="s">
        <v>281</v>
      </c>
      <c r="F835" s="39" t="s">
        <v>284</v>
      </c>
      <c r="G835" s="41" t="s">
        <v>23</v>
      </c>
      <c r="H835" s="42">
        <v>30.0</v>
      </c>
      <c r="I835" s="42">
        <v>12.0</v>
      </c>
      <c r="J835" s="42">
        <v>18.0</v>
      </c>
      <c r="K835" s="42">
        <v>40.0</v>
      </c>
      <c r="L835" s="42">
        <v>60.0</v>
      </c>
      <c r="Q835" s="4"/>
    </row>
    <row r="836">
      <c r="A836" s="2"/>
      <c r="B836" s="38">
        <v>828.0</v>
      </c>
      <c r="C836" s="39" t="s">
        <v>32</v>
      </c>
      <c r="D836" s="39" t="s">
        <v>276</v>
      </c>
      <c r="E836" s="39" t="s">
        <v>281</v>
      </c>
      <c r="F836" s="39" t="s">
        <v>284</v>
      </c>
      <c r="G836" s="41" t="s">
        <v>25</v>
      </c>
      <c r="H836" s="42">
        <v>2.0</v>
      </c>
      <c r="I836" s="42">
        <v>0.0</v>
      </c>
      <c r="J836" s="42">
        <v>2.0</v>
      </c>
      <c r="K836" s="42">
        <v>0.0</v>
      </c>
      <c r="L836" s="42">
        <v>100.0</v>
      </c>
      <c r="Q836" s="4"/>
    </row>
    <row r="837">
      <c r="A837" s="2"/>
      <c r="B837" s="43">
        <v>829.0</v>
      </c>
      <c r="C837" s="44" t="s">
        <v>32</v>
      </c>
      <c r="D837" s="53" t="s">
        <v>276</v>
      </c>
      <c r="E837" s="53" t="s">
        <v>281</v>
      </c>
      <c r="F837" s="53" t="s">
        <v>285</v>
      </c>
      <c r="G837" s="44" t="s">
        <v>285</v>
      </c>
      <c r="H837" s="45">
        <v>7.0</v>
      </c>
      <c r="I837" s="45">
        <v>6.0</v>
      </c>
      <c r="J837" s="45">
        <v>1.0</v>
      </c>
      <c r="K837" s="45">
        <v>85.7</v>
      </c>
      <c r="L837" s="45">
        <v>14.3</v>
      </c>
      <c r="Q837" s="4"/>
    </row>
    <row r="838">
      <c r="A838" s="2"/>
      <c r="B838" s="38">
        <v>830.0</v>
      </c>
      <c r="C838" s="39" t="s">
        <v>32</v>
      </c>
      <c r="D838" s="39" t="s">
        <v>276</v>
      </c>
      <c r="E838" s="39" t="s">
        <v>281</v>
      </c>
      <c r="F838" s="39" t="s">
        <v>285</v>
      </c>
      <c r="G838" s="41" t="s">
        <v>23</v>
      </c>
      <c r="H838" s="42">
        <v>0.0</v>
      </c>
      <c r="I838" s="42">
        <v>0.0</v>
      </c>
      <c r="J838" s="42">
        <v>0.0</v>
      </c>
      <c r="K838" s="42">
        <v>0.0</v>
      </c>
      <c r="L838" s="42">
        <v>0.0</v>
      </c>
      <c r="Q838" s="4"/>
    </row>
    <row r="839">
      <c r="A839" s="2"/>
      <c r="B839" s="38">
        <v>831.0</v>
      </c>
      <c r="C839" s="39" t="s">
        <v>32</v>
      </c>
      <c r="D839" s="39" t="s">
        <v>276</v>
      </c>
      <c r="E839" s="39" t="s">
        <v>281</v>
      </c>
      <c r="F839" s="39" t="s">
        <v>285</v>
      </c>
      <c r="G839" s="41" t="s">
        <v>25</v>
      </c>
      <c r="H839" s="42">
        <v>7.0</v>
      </c>
      <c r="I839" s="42">
        <v>6.0</v>
      </c>
      <c r="J839" s="42">
        <v>1.0</v>
      </c>
      <c r="K839" s="42">
        <v>85.7</v>
      </c>
      <c r="L839" s="42">
        <v>14.3</v>
      </c>
      <c r="Q839" s="4"/>
    </row>
    <row r="840">
      <c r="A840" s="2"/>
      <c r="B840" s="34">
        <v>832.0</v>
      </c>
      <c r="C840" s="35" t="s">
        <v>30</v>
      </c>
      <c r="D840" s="49" t="s">
        <v>276</v>
      </c>
      <c r="E840" s="49" t="s">
        <v>286</v>
      </c>
      <c r="F840" s="50"/>
      <c r="G840" s="35" t="s">
        <v>286</v>
      </c>
      <c r="H840" s="37">
        <v>132.0</v>
      </c>
      <c r="I840" s="37">
        <v>49.0</v>
      </c>
      <c r="J840" s="37">
        <v>83.0</v>
      </c>
      <c r="K840" s="37">
        <v>37.1</v>
      </c>
      <c r="L840" s="37">
        <v>62.9</v>
      </c>
      <c r="Q840" s="4"/>
    </row>
    <row r="841">
      <c r="A841" s="2"/>
      <c r="B841" s="38">
        <v>833.0</v>
      </c>
      <c r="C841" s="39" t="s">
        <v>30</v>
      </c>
      <c r="D841" s="39" t="s">
        <v>276</v>
      </c>
      <c r="E841" s="39" t="s">
        <v>286</v>
      </c>
      <c r="F841" s="40"/>
      <c r="G841" s="41" t="s">
        <v>23</v>
      </c>
      <c r="H841" s="42">
        <v>2.0</v>
      </c>
      <c r="I841" s="42">
        <v>2.0</v>
      </c>
      <c r="J841" s="42">
        <v>0.0</v>
      </c>
      <c r="K841" s="42">
        <v>100.0</v>
      </c>
      <c r="L841" s="42">
        <v>0.0</v>
      </c>
      <c r="Q841" s="4"/>
    </row>
    <row r="842">
      <c r="A842" s="2"/>
      <c r="B842" s="38">
        <v>834.0</v>
      </c>
      <c r="C842" s="39" t="s">
        <v>30</v>
      </c>
      <c r="D842" s="39" t="s">
        <v>276</v>
      </c>
      <c r="E842" s="39" t="s">
        <v>286</v>
      </c>
      <c r="F842" s="40"/>
      <c r="G842" s="41" t="s">
        <v>25</v>
      </c>
      <c r="H842" s="42">
        <v>130.0</v>
      </c>
      <c r="I842" s="42">
        <v>47.0</v>
      </c>
      <c r="J842" s="42">
        <v>83.0</v>
      </c>
      <c r="K842" s="42">
        <v>36.2</v>
      </c>
      <c r="L842" s="42">
        <v>63.8</v>
      </c>
      <c r="Q842" s="4"/>
    </row>
    <row r="843">
      <c r="A843" s="2"/>
      <c r="B843" s="43">
        <v>835.0</v>
      </c>
      <c r="C843" s="44" t="s">
        <v>32</v>
      </c>
      <c r="D843" s="53" t="s">
        <v>276</v>
      </c>
      <c r="E843" s="53" t="s">
        <v>286</v>
      </c>
      <c r="F843" s="53" t="s">
        <v>287</v>
      </c>
      <c r="G843" s="44" t="s">
        <v>287</v>
      </c>
      <c r="H843" s="45">
        <v>49.0</v>
      </c>
      <c r="I843" s="45">
        <v>20.0</v>
      </c>
      <c r="J843" s="45">
        <v>29.0</v>
      </c>
      <c r="K843" s="45">
        <v>40.8</v>
      </c>
      <c r="L843" s="45">
        <v>59.2</v>
      </c>
      <c r="Q843" s="4"/>
    </row>
    <row r="844">
      <c r="A844" s="2"/>
      <c r="B844" s="38">
        <v>836.0</v>
      </c>
      <c r="C844" s="39" t="s">
        <v>32</v>
      </c>
      <c r="D844" s="39" t="s">
        <v>276</v>
      </c>
      <c r="E844" s="39" t="s">
        <v>286</v>
      </c>
      <c r="F844" s="39" t="s">
        <v>287</v>
      </c>
      <c r="G844" s="41" t="s">
        <v>23</v>
      </c>
      <c r="H844" s="42">
        <v>2.0</v>
      </c>
      <c r="I844" s="42">
        <v>2.0</v>
      </c>
      <c r="J844" s="42">
        <v>0.0</v>
      </c>
      <c r="K844" s="42">
        <v>100.0</v>
      </c>
      <c r="L844" s="42">
        <v>0.0</v>
      </c>
      <c r="Q844" s="4"/>
    </row>
    <row r="845">
      <c r="A845" s="2"/>
      <c r="B845" s="38">
        <v>837.0</v>
      </c>
      <c r="C845" s="39" t="s">
        <v>32</v>
      </c>
      <c r="D845" s="39" t="s">
        <v>276</v>
      </c>
      <c r="E845" s="39" t="s">
        <v>286</v>
      </c>
      <c r="F845" s="39" t="s">
        <v>287</v>
      </c>
      <c r="G845" s="41" t="s">
        <v>25</v>
      </c>
      <c r="H845" s="42">
        <v>47.0</v>
      </c>
      <c r="I845" s="42">
        <v>18.0</v>
      </c>
      <c r="J845" s="42">
        <v>29.0</v>
      </c>
      <c r="K845" s="42">
        <v>38.3</v>
      </c>
      <c r="L845" s="42">
        <v>61.7</v>
      </c>
      <c r="Q845" s="4"/>
    </row>
    <row r="846">
      <c r="A846" s="2"/>
      <c r="B846" s="43">
        <v>838.0</v>
      </c>
      <c r="C846" s="44" t="s">
        <v>32</v>
      </c>
      <c r="D846" s="53" t="s">
        <v>276</v>
      </c>
      <c r="E846" s="53" t="s">
        <v>286</v>
      </c>
      <c r="F846" s="53" t="s">
        <v>288</v>
      </c>
      <c r="G846" s="44" t="s">
        <v>288</v>
      </c>
      <c r="H846" s="45">
        <v>49.0</v>
      </c>
      <c r="I846" s="45">
        <v>15.0</v>
      </c>
      <c r="J846" s="45">
        <v>34.0</v>
      </c>
      <c r="K846" s="45">
        <v>30.6</v>
      </c>
      <c r="L846" s="45">
        <v>69.4</v>
      </c>
      <c r="Q846" s="4"/>
    </row>
    <row r="847">
      <c r="A847" s="2"/>
      <c r="B847" s="38">
        <v>839.0</v>
      </c>
      <c r="C847" s="39" t="s">
        <v>32</v>
      </c>
      <c r="D847" s="39" t="s">
        <v>276</v>
      </c>
      <c r="E847" s="39" t="s">
        <v>286</v>
      </c>
      <c r="F847" s="39" t="s">
        <v>288</v>
      </c>
      <c r="G847" s="41" t="s">
        <v>23</v>
      </c>
      <c r="H847" s="46"/>
      <c r="I847" s="46"/>
      <c r="J847" s="46"/>
      <c r="K847" s="46"/>
      <c r="L847" s="46"/>
      <c r="Q847" s="4"/>
    </row>
    <row r="848">
      <c r="A848" s="2"/>
      <c r="B848" s="38">
        <v>840.0</v>
      </c>
      <c r="C848" s="39" t="s">
        <v>32</v>
      </c>
      <c r="D848" s="39" t="s">
        <v>276</v>
      </c>
      <c r="E848" s="39" t="s">
        <v>286</v>
      </c>
      <c r="F848" s="39" t="s">
        <v>288</v>
      </c>
      <c r="G848" s="41" t="s">
        <v>25</v>
      </c>
      <c r="H848" s="42">
        <v>49.0</v>
      </c>
      <c r="I848" s="42">
        <v>15.0</v>
      </c>
      <c r="J848" s="42">
        <v>34.0</v>
      </c>
      <c r="K848" s="42">
        <v>30.6</v>
      </c>
      <c r="L848" s="42">
        <v>69.4</v>
      </c>
      <c r="Q848" s="4"/>
    </row>
    <row r="849">
      <c r="A849" s="2"/>
      <c r="B849" s="43">
        <v>841.0</v>
      </c>
      <c r="C849" s="44" t="s">
        <v>32</v>
      </c>
      <c r="D849" s="53" t="s">
        <v>276</v>
      </c>
      <c r="E849" s="53" t="s">
        <v>286</v>
      </c>
      <c r="F849" s="53" t="s">
        <v>289</v>
      </c>
      <c r="G849" s="44" t="s">
        <v>289</v>
      </c>
      <c r="H849" s="45">
        <v>34.0</v>
      </c>
      <c r="I849" s="45">
        <v>14.0</v>
      </c>
      <c r="J849" s="45">
        <v>20.0</v>
      </c>
      <c r="K849" s="45">
        <v>41.2</v>
      </c>
      <c r="L849" s="45">
        <v>58.8</v>
      </c>
      <c r="Q849" s="4"/>
    </row>
    <row r="850">
      <c r="A850" s="2"/>
      <c r="B850" s="38">
        <v>842.0</v>
      </c>
      <c r="C850" s="39" t="s">
        <v>32</v>
      </c>
      <c r="D850" s="39" t="s">
        <v>276</v>
      </c>
      <c r="E850" s="39" t="s">
        <v>286</v>
      </c>
      <c r="F850" s="39" t="s">
        <v>289</v>
      </c>
      <c r="G850" s="41" t="s">
        <v>23</v>
      </c>
      <c r="H850" s="46"/>
      <c r="I850" s="46"/>
      <c r="J850" s="46"/>
      <c r="K850" s="46"/>
      <c r="L850" s="46"/>
      <c r="Q850" s="4"/>
    </row>
    <row r="851">
      <c r="A851" s="2"/>
      <c r="B851" s="38">
        <v>843.0</v>
      </c>
      <c r="C851" s="39" t="s">
        <v>32</v>
      </c>
      <c r="D851" s="39" t="s">
        <v>276</v>
      </c>
      <c r="E851" s="39" t="s">
        <v>286</v>
      </c>
      <c r="F851" s="39" t="s">
        <v>289</v>
      </c>
      <c r="G851" s="41" t="s">
        <v>25</v>
      </c>
      <c r="H851" s="42">
        <v>34.0</v>
      </c>
      <c r="I851" s="42">
        <v>14.0</v>
      </c>
      <c r="J851" s="42">
        <v>20.0</v>
      </c>
      <c r="K851" s="42">
        <v>41.2</v>
      </c>
      <c r="L851" s="42">
        <v>58.8</v>
      </c>
      <c r="Q851" s="4"/>
    </row>
    <row r="852">
      <c r="A852" s="2"/>
      <c r="B852" s="34">
        <v>844.0</v>
      </c>
      <c r="C852" s="35" t="s">
        <v>30</v>
      </c>
      <c r="D852" s="49" t="s">
        <v>276</v>
      </c>
      <c r="E852" s="49" t="s">
        <v>283</v>
      </c>
      <c r="F852" s="50"/>
      <c r="G852" s="35" t="s">
        <v>283</v>
      </c>
      <c r="H852" s="37">
        <v>204.0</v>
      </c>
      <c r="I852" s="37">
        <v>63.0</v>
      </c>
      <c r="J852" s="37">
        <v>141.0</v>
      </c>
      <c r="K852" s="37">
        <v>30.9</v>
      </c>
      <c r="L852" s="37">
        <v>69.1</v>
      </c>
      <c r="Q852" s="4"/>
    </row>
    <row r="853">
      <c r="A853" s="2"/>
      <c r="B853" s="38">
        <v>845.0</v>
      </c>
      <c r="C853" s="39" t="s">
        <v>30</v>
      </c>
      <c r="D853" s="39" t="s">
        <v>276</v>
      </c>
      <c r="E853" s="39" t="s">
        <v>283</v>
      </c>
      <c r="F853" s="40"/>
      <c r="G853" s="41" t="s">
        <v>23</v>
      </c>
      <c r="H853" s="42">
        <v>105.0</v>
      </c>
      <c r="I853" s="42">
        <v>14.0</v>
      </c>
      <c r="J853" s="42">
        <v>91.0</v>
      </c>
      <c r="K853" s="42">
        <v>13.3</v>
      </c>
      <c r="L853" s="42">
        <v>86.7</v>
      </c>
      <c r="Q853" s="4"/>
    </row>
    <row r="854">
      <c r="A854" s="2"/>
      <c r="B854" s="38">
        <v>846.0</v>
      </c>
      <c r="C854" s="39" t="s">
        <v>30</v>
      </c>
      <c r="D854" s="39" t="s">
        <v>276</v>
      </c>
      <c r="E854" s="39" t="s">
        <v>283</v>
      </c>
      <c r="F854" s="40"/>
      <c r="G854" s="41" t="s">
        <v>25</v>
      </c>
      <c r="H854" s="42">
        <v>99.0</v>
      </c>
      <c r="I854" s="42">
        <v>49.0</v>
      </c>
      <c r="J854" s="42">
        <v>50.0</v>
      </c>
      <c r="K854" s="42">
        <v>49.5</v>
      </c>
      <c r="L854" s="42">
        <v>50.5</v>
      </c>
      <c r="Q854" s="4"/>
    </row>
    <row r="855">
      <c r="A855" s="2"/>
      <c r="B855" s="43">
        <v>847.0</v>
      </c>
      <c r="C855" s="44" t="s">
        <v>32</v>
      </c>
      <c r="D855" s="53" t="s">
        <v>276</v>
      </c>
      <c r="E855" s="53" t="s">
        <v>283</v>
      </c>
      <c r="F855" s="53" t="s">
        <v>290</v>
      </c>
      <c r="G855" s="44" t="s">
        <v>290</v>
      </c>
      <c r="H855" s="45">
        <v>78.0</v>
      </c>
      <c r="I855" s="45">
        <v>7.0</v>
      </c>
      <c r="J855" s="45">
        <v>71.0</v>
      </c>
      <c r="K855" s="45">
        <v>9.0</v>
      </c>
      <c r="L855" s="45">
        <v>91.0</v>
      </c>
      <c r="Q855" s="4"/>
    </row>
    <row r="856">
      <c r="A856" s="2"/>
      <c r="B856" s="38">
        <v>848.0</v>
      </c>
      <c r="C856" s="39" t="s">
        <v>32</v>
      </c>
      <c r="D856" s="39" t="s">
        <v>276</v>
      </c>
      <c r="E856" s="39" t="s">
        <v>283</v>
      </c>
      <c r="F856" s="39" t="s">
        <v>290</v>
      </c>
      <c r="G856" s="41" t="s">
        <v>23</v>
      </c>
      <c r="H856" s="42">
        <v>74.0</v>
      </c>
      <c r="I856" s="42">
        <v>5.0</v>
      </c>
      <c r="J856" s="42">
        <v>69.0</v>
      </c>
      <c r="K856" s="42">
        <v>6.8</v>
      </c>
      <c r="L856" s="42">
        <v>93.2</v>
      </c>
      <c r="Q856" s="4"/>
    </row>
    <row r="857">
      <c r="A857" s="2"/>
      <c r="B857" s="38">
        <v>849.0</v>
      </c>
      <c r="C857" s="39" t="s">
        <v>32</v>
      </c>
      <c r="D857" s="39" t="s">
        <v>276</v>
      </c>
      <c r="E857" s="39" t="s">
        <v>283</v>
      </c>
      <c r="F857" s="39" t="s">
        <v>290</v>
      </c>
      <c r="G857" s="41" t="s">
        <v>25</v>
      </c>
      <c r="H857" s="42">
        <v>4.0</v>
      </c>
      <c r="I857" s="42">
        <v>2.0</v>
      </c>
      <c r="J857" s="42">
        <v>2.0</v>
      </c>
      <c r="K857" s="42">
        <v>50.0</v>
      </c>
      <c r="L857" s="42">
        <v>50.0</v>
      </c>
      <c r="Q857" s="4"/>
    </row>
    <row r="858">
      <c r="A858" s="2"/>
      <c r="B858" s="43">
        <v>850.0</v>
      </c>
      <c r="C858" s="44" t="s">
        <v>32</v>
      </c>
      <c r="D858" s="53" t="s">
        <v>276</v>
      </c>
      <c r="E858" s="53" t="s">
        <v>283</v>
      </c>
      <c r="F858" s="53" t="s">
        <v>291</v>
      </c>
      <c r="G858" s="44" t="s">
        <v>291</v>
      </c>
      <c r="H858" s="45">
        <v>38.0</v>
      </c>
      <c r="I858" s="45">
        <v>20.0</v>
      </c>
      <c r="J858" s="45">
        <v>18.0</v>
      </c>
      <c r="K858" s="45">
        <v>52.6</v>
      </c>
      <c r="L858" s="45">
        <v>47.4</v>
      </c>
      <c r="Q858" s="4"/>
    </row>
    <row r="859">
      <c r="A859" s="2"/>
      <c r="B859" s="38">
        <v>851.0</v>
      </c>
      <c r="C859" s="39" t="s">
        <v>32</v>
      </c>
      <c r="D859" s="39" t="s">
        <v>276</v>
      </c>
      <c r="E859" s="39" t="s">
        <v>283</v>
      </c>
      <c r="F859" s="39" t="s">
        <v>291</v>
      </c>
      <c r="G859" s="41" t="s">
        <v>23</v>
      </c>
      <c r="H859" s="46"/>
      <c r="I859" s="46"/>
      <c r="J859" s="46"/>
      <c r="K859" s="46"/>
      <c r="L859" s="46"/>
      <c r="Q859" s="4"/>
    </row>
    <row r="860">
      <c r="A860" s="2"/>
      <c r="B860" s="38">
        <v>852.0</v>
      </c>
      <c r="C860" s="39" t="s">
        <v>32</v>
      </c>
      <c r="D860" s="39" t="s">
        <v>276</v>
      </c>
      <c r="E860" s="39" t="s">
        <v>283</v>
      </c>
      <c r="F860" s="39" t="s">
        <v>291</v>
      </c>
      <c r="G860" s="41" t="s">
        <v>25</v>
      </c>
      <c r="H860" s="42">
        <v>38.0</v>
      </c>
      <c r="I860" s="42">
        <v>20.0</v>
      </c>
      <c r="J860" s="42">
        <v>18.0</v>
      </c>
      <c r="K860" s="42">
        <v>52.6</v>
      </c>
      <c r="L860" s="42">
        <v>47.4</v>
      </c>
      <c r="Q860" s="4"/>
    </row>
    <row r="861">
      <c r="A861" s="2"/>
      <c r="B861" s="43">
        <v>853.0</v>
      </c>
      <c r="C861" s="44" t="s">
        <v>32</v>
      </c>
      <c r="D861" s="53" t="s">
        <v>276</v>
      </c>
      <c r="E861" s="53" t="s">
        <v>283</v>
      </c>
      <c r="F861" s="53" t="s">
        <v>292</v>
      </c>
      <c r="G861" s="44" t="s">
        <v>292</v>
      </c>
      <c r="H861" s="45">
        <v>63.0</v>
      </c>
      <c r="I861" s="45">
        <v>26.0</v>
      </c>
      <c r="J861" s="45">
        <v>37.0</v>
      </c>
      <c r="K861" s="45">
        <v>41.3</v>
      </c>
      <c r="L861" s="45">
        <v>58.7</v>
      </c>
      <c r="Q861" s="4"/>
    </row>
    <row r="862">
      <c r="A862" s="2"/>
      <c r="B862" s="38">
        <v>854.0</v>
      </c>
      <c r="C862" s="39" t="s">
        <v>32</v>
      </c>
      <c r="D862" s="39" t="s">
        <v>276</v>
      </c>
      <c r="E862" s="39" t="s">
        <v>283</v>
      </c>
      <c r="F862" s="39" t="s">
        <v>292</v>
      </c>
      <c r="G862" s="41" t="s">
        <v>23</v>
      </c>
      <c r="H862" s="42">
        <v>31.0</v>
      </c>
      <c r="I862" s="42">
        <v>9.0</v>
      </c>
      <c r="J862" s="42">
        <v>22.0</v>
      </c>
      <c r="K862" s="42">
        <v>29.0</v>
      </c>
      <c r="L862" s="42">
        <v>71.0</v>
      </c>
      <c r="Q862" s="4"/>
    </row>
    <row r="863">
      <c r="A863" s="2"/>
      <c r="B863" s="38">
        <v>855.0</v>
      </c>
      <c r="C863" s="39" t="s">
        <v>32</v>
      </c>
      <c r="D863" s="39" t="s">
        <v>276</v>
      </c>
      <c r="E863" s="39" t="s">
        <v>283</v>
      </c>
      <c r="F863" s="39" t="s">
        <v>292</v>
      </c>
      <c r="G863" s="41" t="s">
        <v>25</v>
      </c>
      <c r="H863" s="42">
        <v>32.0</v>
      </c>
      <c r="I863" s="42">
        <v>17.0</v>
      </c>
      <c r="J863" s="42">
        <v>15.0</v>
      </c>
      <c r="K863" s="42">
        <v>53.1</v>
      </c>
      <c r="L863" s="42">
        <v>46.9</v>
      </c>
      <c r="Q863" s="4"/>
    </row>
    <row r="864">
      <c r="A864" s="2"/>
      <c r="B864" s="43">
        <v>856.0</v>
      </c>
      <c r="C864" s="44" t="s">
        <v>32</v>
      </c>
      <c r="D864" s="53" t="s">
        <v>276</v>
      </c>
      <c r="E864" s="53" t="s">
        <v>283</v>
      </c>
      <c r="F864" s="53" t="s">
        <v>293</v>
      </c>
      <c r="G864" s="44" t="s">
        <v>293</v>
      </c>
      <c r="H864" s="45">
        <v>13.0</v>
      </c>
      <c r="I864" s="45">
        <v>7.0</v>
      </c>
      <c r="J864" s="45">
        <v>6.0</v>
      </c>
      <c r="K864" s="45">
        <v>53.8</v>
      </c>
      <c r="L864" s="45">
        <v>46.2</v>
      </c>
      <c r="Q864" s="4"/>
    </row>
    <row r="865">
      <c r="A865" s="2"/>
      <c r="B865" s="38">
        <v>857.0</v>
      </c>
      <c r="C865" s="39" t="s">
        <v>32</v>
      </c>
      <c r="D865" s="39" t="s">
        <v>276</v>
      </c>
      <c r="E865" s="39" t="s">
        <v>283</v>
      </c>
      <c r="F865" s="39" t="s">
        <v>293</v>
      </c>
      <c r="G865" s="41" t="s">
        <v>23</v>
      </c>
      <c r="H865" s="46"/>
      <c r="I865" s="46"/>
      <c r="J865" s="46"/>
      <c r="K865" s="46"/>
      <c r="L865" s="46"/>
      <c r="Q865" s="4"/>
    </row>
    <row r="866">
      <c r="A866" s="2"/>
      <c r="B866" s="38">
        <v>858.0</v>
      </c>
      <c r="C866" s="39" t="s">
        <v>32</v>
      </c>
      <c r="D866" s="39" t="s">
        <v>276</v>
      </c>
      <c r="E866" s="39" t="s">
        <v>283</v>
      </c>
      <c r="F866" s="39" t="s">
        <v>293</v>
      </c>
      <c r="G866" s="41" t="s">
        <v>25</v>
      </c>
      <c r="H866" s="42">
        <v>13.0</v>
      </c>
      <c r="I866" s="42">
        <v>7.0</v>
      </c>
      <c r="J866" s="42">
        <v>6.0</v>
      </c>
      <c r="K866" s="42">
        <v>53.8</v>
      </c>
      <c r="L866" s="42">
        <v>46.2</v>
      </c>
      <c r="Q866" s="4"/>
    </row>
    <row r="867">
      <c r="A867" s="2"/>
      <c r="B867" s="43">
        <v>859.0</v>
      </c>
      <c r="C867" s="44" t="s">
        <v>32</v>
      </c>
      <c r="D867" s="53" t="s">
        <v>276</v>
      </c>
      <c r="E867" s="53" t="s">
        <v>283</v>
      </c>
      <c r="F867" s="53" t="s">
        <v>294</v>
      </c>
      <c r="G867" s="44" t="s">
        <v>294</v>
      </c>
      <c r="H867" s="45">
        <v>12.0</v>
      </c>
      <c r="I867" s="45">
        <v>3.0</v>
      </c>
      <c r="J867" s="45">
        <v>9.0</v>
      </c>
      <c r="K867" s="45">
        <v>25.0</v>
      </c>
      <c r="L867" s="45">
        <v>75.0</v>
      </c>
      <c r="Q867" s="4"/>
    </row>
    <row r="868">
      <c r="A868" s="2"/>
      <c r="B868" s="38">
        <v>860.0</v>
      </c>
      <c r="C868" s="39" t="s">
        <v>32</v>
      </c>
      <c r="D868" s="39" t="s">
        <v>276</v>
      </c>
      <c r="E868" s="39" t="s">
        <v>283</v>
      </c>
      <c r="F868" s="39" t="s">
        <v>294</v>
      </c>
      <c r="G868" s="41" t="s">
        <v>23</v>
      </c>
      <c r="H868" s="46"/>
      <c r="I868" s="46"/>
      <c r="J868" s="46"/>
      <c r="K868" s="46"/>
      <c r="L868" s="46"/>
      <c r="Q868" s="4"/>
    </row>
    <row r="869">
      <c r="A869" s="2"/>
      <c r="B869" s="38">
        <v>861.0</v>
      </c>
      <c r="C869" s="39" t="s">
        <v>32</v>
      </c>
      <c r="D869" s="39" t="s">
        <v>276</v>
      </c>
      <c r="E869" s="39" t="s">
        <v>283</v>
      </c>
      <c r="F869" s="39" t="s">
        <v>294</v>
      </c>
      <c r="G869" s="41" t="s">
        <v>25</v>
      </c>
      <c r="H869" s="42">
        <v>12.0</v>
      </c>
      <c r="I869" s="42">
        <v>3.0</v>
      </c>
      <c r="J869" s="42">
        <v>9.0</v>
      </c>
      <c r="K869" s="42">
        <v>25.0</v>
      </c>
      <c r="L869" s="42">
        <v>75.0</v>
      </c>
      <c r="Q869" s="4"/>
    </row>
    <row r="870">
      <c r="A870" s="2"/>
      <c r="B870" s="34">
        <v>862.0</v>
      </c>
      <c r="C870" s="35" t="s">
        <v>30</v>
      </c>
      <c r="D870" s="49" t="s">
        <v>276</v>
      </c>
      <c r="E870" s="49" t="s">
        <v>295</v>
      </c>
      <c r="F870" s="50"/>
      <c r="G870" s="35" t="s">
        <v>295</v>
      </c>
      <c r="H870" s="37">
        <v>58.0</v>
      </c>
      <c r="I870" s="37">
        <v>35.0</v>
      </c>
      <c r="J870" s="37">
        <v>23.0</v>
      </c>
      <c r="K870" s="37">
        <v>60.3</v>
      </c>
      <c r="L870" s="37">
        <v>39.7</v>
      </c>
      <c r="Q870" s="4"/>
    </row>
    <row r="871">
      <c r="A871" s="2"/>
      <c r="B871" s="38">
        <v>863.0</v>
      </c>
      <c r="C871" s="39" t="s">
        <v>30</v>
      </c>
      <c r="D871" s="39" t="s">
        <v>276</v>
      </c>
      <c r="E871" s="39" t="s">
        <v>295</v>
      </c>
      <c r="F871" s="40"/>
      <c r="G871" s="41" t="s">
        <v>23</v>
      </c>
      <c r="H871" s="46"/>
      <c r="I871" s="46"/>
      <c r="J871" s="46"/>
      <c r="K871" s="46"/>
      <c r="L871" s="46"/>
      <c r="Q871" s="4"/>
    </row>
    <row r="872">
      <c r="A872" s="2"/>
      <c r="B872" s="38">
        <v>864.0</v>
      </c>
      <c r="C872" s="39" t="s">
        <v>30</v>
      </c>
      <c r="D872" s="39" t="s">
        <v>276</v>
      </c>
      <c r="E872" s="39" t="s">
        <v>295</v>
      </c>
      <c r="F872" s="40"/>
      <c r="G872" s="41" t="s">
        <v>25</v>
      </c>
      <c r="H872" s="42">
        <v>58.0</v>
      </c>
      <c r="I872" s="42">
        <v>35.0</v>
      </c>
      <c r="J872" s="42">
        <v>23.0</v>
      </c>
      <c r="K872" s="42">
        <v>60.3</v>
      </c>
      <c r="L872" s="42">
        <v>39.7</v>
      </c>
      <c r="Q872" s="4"/>
    </row>
    <row r="873">
      <c r="A873" s="2"/>
      <c r="B873" s="43">
        <v>865.0</v>
      </c>
      <c r="C873" s="44" t="s">
        <v>32</v>
      </c>
      <c r="D873" s="53" t="s">
        <v>276</v>
      </c>
      <c r="E873" s="53" t="s">
        <v>295</v>
      </c>
      <c r="F873" s="53" t="s">
        <v>296</v>
      </c>
      <c r="G873" s="44" t="s">
        <v>296</v>
      </c>
      <c r="H873" s="45">
        <v>24.0</v>
      </c>
      <c r="I873" s="45">
        <v>16.0</v>
      </c>
      <c r="J873" s="45">
        <v>8.0</v>
      </c>
      <c r="K873" s="45">
        <v>66.7</v>
      </c>
      <c r="L873" s="45">
        <v>33.3</v>
      </c>
      <c r="Q873" s="4"/>
    </row>
    <row r="874">
      <c r="A874" s="2"/>
      <c r="B874" s="38">
        <v>866.0</v>
      </c>
      <c r="C874" s="39" t="s">
        <v>32</v>
      </c>
      <c r="D874" s="39" t="s">
        <v>276</v>
      </c>
      <c r="E874" s="39" t="s">
        <v>295</v>
      </c>
      <c r="F874" s="39" t="s">
        <v>296</v>
      </c>
      <c r="G874" s="41" t="s">
        <v>23</v>
      </c>
      <c r="H874" s="46"/>
      <c r="I874" s="46"/>
      <c r="J874" s="46"/>
      <c r="K874" s="46"/>
      <c r="L874" s="46"/>
      <c r="Q874" s="4"/>
    </row>
    <row r="875">
      <c r="A875" s="2"/>
      <c r="B875" s="38">
        <v>867.0</v>
      </c>
      <c r="C875" s="39" t="s">
        <v>32</v>
      </c>
      <c r="D875" s="39" t="s">
        <v>276</v>
      </c>
      <c r="E875" s="39" t="s">
        <v>295</v>
      </c>
      <c r="F875" s="39" t="s">
        <v>296</v>
      </c>
      <c r="G875" s="41" t="s">
        <v>25</v>
      </c>
      <c r="H875" s="42">
        <v>24.0</v>
      </c>
      <c r="I875" s="42">
        <v>16.0</v>
      </c>
      <c r="J875" s="42">
        <v>8.0</v>
      </c>
      <c r="K875" s="42">
        <v>66.7</v>
      </c>
      <c r="L875" s="42">
        <v>33.3</v>
      </c>
      <c r="Q875" s="4"/>
    </row>
    <row r="876">
      <c r="A876" s="2"/>
      <c r="B876" s="43">
        <v>868.0</v>
      </c>
      <c r="C876" s="44" t="s">
        <v>32</v>
      </c>
      <c r="D876" s="53" t="s">
        <v>276</v>
      </c>
      <c r="E876" s="53" t="s">
        <v>295</v>
      </c>
      <c r="F876" s="53" t="s">
        <v>297</v>
      </c>
      <c r="G876" s="44" t="s">
        <v>297</v>
      </c>
      <c r="H876" s="45">
        <v>34.0</v>
      </c>
      <c r="I876" s="45">
        <v>19.0</v>
      </c>
      <c r="J876" s="45">
        <v>15.0</v>
      </c>
      <c r="K876" s="45">
        <v>55.9</v>
      </c>
      <c r="L876" s="45">
        <v>44.1</v>
      </c>
      <c r="Q876" s="4"/>
    </row>
    <row r="877">
      <c r="A877" s="2"/>
      <c r="B877" s="38">
        <v>869.0</v>
      </c>
      <c r="C877" s="39" t="s">
        <v>32</v>
      </c>
      <c r="D877" s="39" t="s">
        <v>276</v>
      </c>
      <c r="E877" s="39" t="s">
        <v>295</v>
      </c>
      <c r="F877" s="39" t="s">
        <v>297</v>
      </c>
      <c r="G877" s="41" t="s">
        <v>23</v>
      </c>
      <c r="H877" s="46"/>
      <c r="I877" s="46"/>
      <c r="J877" s="46"/>
      <c r="K877" s="46"/>
      <c r="L877" s="46"/>
      <c r="Q877" s="4"/>
    </row>
    <row r="878">
      <c r="A878" s="2"/>
      <c r="B878" s="38">
        <v>870.0</v>
      </c>
      <c r="C878" s="39" t="s">
        <v>32</v>
      </c>
      <c r="D878" s="39" t="s">
        <v>276</v>
      </c>
      <c r="E878" s="39" t="s">
        <v>295</v>
      </c>
      <c r="F878" s="39" t="s">
        <v>297</v>
      </c>
      <c r="G878" s="41" t="s">
        <v>25</v>
      </c>
      <c r="H878" s="42">
        <v>34.0</v>
      </c>
      <c r="I878" s="42">
        <v>19.0</v>
      </c>
      <c r="J878" s="42">
        <v>15.0</v>
      </c>
      <c r="K878" s="42">
        <v>55.9</v>
      </c>
      <c r="L878" s="42">
        <v>44.1</v>
      </c>
      <c r="Q878" s="4"/>
    </row>
    <row r="879">
      <c r="A879" s="2"/>
      <c r="B879" s="34">
        <v>871.0</v>
      </c>
      <c r="C879" s="35" t="s">
        <v>30</v>
      </c>
      <c r="D879" s="49" t="s">
        <v>276</v>
      </c>
      <c r="E879" s="49" t="s">
        <v>298</v>
      </c>
      <c r="F879" s="50"/>
      <c r="G879" s="35" t="s">
        <v>298</v>
      </c>
      <c r="H879" s="37">
        <v>118.0</v>
      </c>
      <c r="I879" s="37">
        <v>30.0</v>
      </c>
      <c r="J879" s="37">
        <v>88.0</v>
      </c>
      <c r="K879" s="37">
        <v>25.4</v>
      </c>
      <c r="L879" s="37">
        <v>74.6</v>
      </c>
      <c r="Q879" s="4"/>
    </row>
    <row r="880">
      <c r="A880" s="2"/>
      <c r="B880" s="38">
        <v>872.0</v>
      </c>
      <c r="C880" s="39" t="s">
        <v>30</v>
      </c>
      <c r="D880" s="39" t="s">
        <v>276</v>
      </c>
      <c r="E880" s="39" t="s">
        <v>298</v>
      </c>
      <c r="F880" s="40"/>
      <c r="G880" s="41" t="s">
        <v>23</v>
      </c>
      <c r="H880" s="42">
        <v>2.0</v>
      </c>
      <c r="I880" s="42">
        <v>0.0</v>
      </c>
      <c r="J880" s="42">
        <v>2.0</v>
      </c>
      <c r="K880" s="42">
        <v>0.0</v>
      </c>
      <c r="L880" s="42">
        <v>100.0</v>
      </c>
      <c r="Q880" s="4"/>
    </row>
    <row r="881">
      <c r="A881" s="2"/>
      <c r="B881" s="38">
        <v>873.0</v>
      </c>
      <c r="C881" s="39" t="s">
        <v>30</v>
      </c>
      <c r="D881" s="39" t="s">
        <v>276</v>
      </c>
      <c r="E881" s="39" t="s">
        <v>298</v>
      </c>
      <c r="F881" s="40"/>
      <c r="G881" s="41" t="s">
        <v>25</v>
      </c>
      <c r="H881" s="42">
        <v>116.0</v>
      </c>
      <c r="I881" s="42">
        <v>30.0</v>
      </c>
      <c r="J881" s="42">
        <v>86.0</v>
      </c>
      <c r="K881" s="42">
        <v>25.9</v>
      </c>
      <c r="L881" s="42">
        <v>74.1</v>
      </c>
      <c r="Q881" s="4"/>
    </row>
    <row r="882">
      <c r="A882" s="2"/>
      <c r="B882" s="43">
        <v>874.0</v>
      </c>
      <c r="C882" s="44" t="s">
        <v>32</v>
      </c>
      <c r="D882" s="53" t="s">
        <v>276</v>
      </c>
      <c r="E882" s="53" t="s">
        <v>298</v>
      </c>
      <c r="F882" s="53" t="s">
        <v>299</v>
      </c>
      <c r="G882" s="44" t="s">
        <v>299</v>
      </c>
      <c r="H882" s="45">
        <v>42.0</v>
      </c>
      <c r="I882" s="45">
        <v>26.0</v>
      </c>
      <c r="J882" s="45">
        <v>16.0</v>
      </c>
      <c r="K882" s="45">
        <v>61.9</v>
      </c>
      <c r="L882" s="45">
        <v>38.1</v>
      </c>
      <c r="Q882" s="4"/>
    </row>
    <row r="883">
      <c r="A883" s="2"/>
      <c r="B883" s="38">
        <v>875.0</v>
      </c>
      <c r="C883" s="39" t="s">
        <v>32</v>
      </c>
      <c r="D883" s="39" t="s">
        <v>276</v>
      </c>
      <c r="E883" s="39" t="s">
        <v>298</v>
      </c>
      <c r="F883" s="39" t="s">
        <v>299</v>
      </c>
      <c r="G883" s="41" t="s">
        <v>23</v>
      </c>
      <c r="H883" s="42">
        <v>2.0</v>
      </c>
      <c r="I883" s="42">
        <v>0.0</v>
      </c>
      <c r="J883" s="42">
        <v>2.0</v>
      </c>
      <c r="K883" s="42">
        <v>0.0</v>
      </c>
      <c r="L883" s="42">
        <v>100.0</v>
      </c>
      <c r="Q883" s="4"/>
    </row>
    <row r="884">
      <c r="A884" s="2"/>
      <c r="B884" s="38">
        <v>876.0</v>
      </c>
      <c r="C884" s="39" t="s">
        <v>32</v>
      </c>
      <c r="D884" s="39" t="s">
        <v>276</v>
      </c>
      <c r="E884" s="39" t="s">
        <v>298</v>
      </c>
      <c r="F884" s="39" t="s">
        <v>299</v>
      </c>
      <c r="G884" s="41" t="s">
        <v>25</v>
      </c>
      <c r="H884" s="42">
        <v>40.0</v>
      </c>
      <c r="I884" s="42">
        <v>26.0</v>
      </c>
      <c r="J884" s="42">
        <v>14.0</v>
      </c>
      <c r="K884" s="42">
        <v>65.0</v>
      </c>
      <c r="L884" s="42">
        <v>35.0</v>
      </c>
      <c r="Q884" s="4"/>
    </row>
    <row r="885">
      <c r="A885" s="2"/>
      <c r="B885" s="43">
        <v>877.0</v>
      </c>
      <c r="C885" s="44" t="s">
        <v>32</v>
      </c>
      <c r="D885" s="53" t="s">
        <v>276</v>
      </c>
      <c r="E885" s="53" t="s">
        <v>298</v>
      </c>
      <c r="F885" s="53" t="s">
        <v>300</v>
      </c>
      <c r="G885" s="44" t="s">
        <v>300</v>
      </c>
      <c r="H885" s="45">
        <v>76.0</v>
      </c>
      <c r="I885" s="45">
        <v>4.0</v>
      </c>
      <c r="J885" s="45">
        <v>72.0</v>
      </c>
      <c r="K885" s="45">
        <v>5.3</v>
      </c>
      <c r="L885" s="45">
        <v>94.7</v>
      </c>
      <c r="Q885" s="4"/>
    </row>
    <row r="886">
      <c r="A886" s="2"/>
      <c r="B886" s="38">
        <v>878.0</v>
      </c>
      <c r="C886" s="39" t="s">
        <v>32</v>
      </c>
      <c r="D886" s="39" t="s">
        <v>276</v>
      </c>
      <c r="E886" s="39" t="s">
        <v>298</v>
      </c>
      <c r="F886" s="39" t="s">
        <v>300</v>
      </c>
      <c r="G886" s="41" t="s">
        <v>23</v>
      </c>
      <c r="H886" s="46"/>
      <c r="I886" s="46"/>
      <c r="J886" s="46"/>
      <c r="K886" s="46"/>
      <c r="L886" s="46"/>
      <c r="Q886" s="4"/>
    </row>
    <row r="887">
      <c r="A887" s="2"/>
      <c r="B887" s="38">
        <v>879.0</v>
      </c>
      <c r="C887" s="39" t="s">
        <v>32</v>
      </c>
      <c r="D887" s="39" t="s">
        <v>276</v>
      </c>
      <c r="E887" s="39" t="s">
        <v>298</v>
      </c>
      <c r="F887" s="39" t="s">
        <v>300</v>
      </c>
      <c r="G887" s="41" t="s">
        <v>25</v>
      </c>
      <c r="H887" s="42">
        <v>76.0</v>
      </c>
      <c r="I887" s="42">
        <v>4.0</v>
      </c>
      <c r="J887" s="42">
        <v>72.0</v>
      </c>
      <c r="K887" s="42">
        <v>5.3</v>
      </c>
      <c r="L887" s="42">
        <v>94.7</v>
      </c>
      <c r="Q887" s="4"/>
    </row>
    <row r="888">
      <c r="A888" s="2"/>
      <c r="B888" s="34">
        <v>880.0</v>
      </c>
      <c r="C888" s="35" t="s">
        <v>30</v>
      </c>
      <c r="D888" s="49" t="s">
        <v>276</v>
      </c>
      <c r="E888" s="49" t="s">
        <v>301</v>
      </c>
      <c r="F888" s="50"/>
      <c r="G888" s="35" t="s">
        <v>301</v>
      </c>
      <c r="H888" s="37">
        <v>15.0</v>
      </c>
      <c r="I888" s="37">
        <v>3.0</v>
      </c>
      <c r="J888" s="37">
        <v>12.0</v>
      </c>
      <c r="K888" s="37">
        <v>20.0</v>
      </c>
      <c r="L888" s="37">
        <v>80.0</v>
      </c>
      <c r="Q888" s="4"/>
    </row>
    <row r="889">
      <c r="A889" s="2"/>
      <c r="B889" s="38">
        <v>881.0</v>
      </c>
      <c r="C889" s="39" t="s">
        <v>30</v>
      </c>
      <c r="D889" s="39" t="s">
        <v>276</v>
      </c>
      <c r="E889" s="39" t="s">
        <v>301</v>
      </c>
      <c r="F889" s="40"/>
      <c r="G889" s="41" t="s">
        <v>23</v>
      </c>
      <c r="H889" s="42">
        <v>3.0</v>
      </c>
      <c r="I889" s="42">
        <v>0.0</v>
      </c>
      <c r="J889" s="42">
        <v>3.0</v>
      </c>
      <c r="K889" s="42">
        <v>0.0</v>
      </c>
      <c r="L889" s="42">
        <v>100.0</v>
      </c>
      <c r="Q889" s="4"/>
    </row>
    <row r="890">
      <c r="A890" s="2"/>
      <c r="B890" s="38">
        <v>882.0</v>
      </c>
      <c r="C890" s="39" t="s">
        <v>30</v>
      </c>
      <c r="D890" s="39" t="s">
        <v>276</v>
      </c>
      <c r="E890" s="39" t="s">
        <v>301</v>
      </c>
      <c r="F890" s="40"/>
      <c r="G890" s="41" t="s">
        <v>25</v>
      </c>
      <c r="H890" s="42">
        <v>12.0</v>
      </c>
      <c r="I890" s="42">
        <v>3.0</v>
      </c>
      <c r="J890" s="42">
        <v>9.0</v>
      </c>
      <c r="K890" s="42">
        <v>25.0</v>
      </c>
      <c r="L890" s="42">
        <v>75.0</v>
      </c>
      <c r="Q890" s="4"/>
    </row>
    <row r="891">
      <c r="A891" s="2"/>
      <c r="B891" s="43">
        <v>883.0</v>
      </c>
      <c r="C891" s="44" t="s">
        <v>32</v>
      </c>
      <c r="D891" s="53" t="s">
        <v>276</v>
      </c>
      <c r="E891" s="53" t="s">
        <v>301</v>
      </c>
      <c r="F891" s="53" t="s">
        <v>302</v>
      </c>
      <c r="G891" s="44" t="s">
        <v>302</v>
      </c>
      <c r="H891" s="45">
        <v>10.0</v>
      </c>
      <c r="I891" s="45">
        <v>1.0</v>
      </c>
      <c r="J891" s="45">
        <v>9.0</v>
      </c>
      <c r="K891" s="45">
        <v>10.0</v>
      </c>
      <c r="L891" s="45">
        <v>90.0</v>
      </c>
      <c r="Q891" s="4"/>
    </row>
    <row r="892">
      <c r="A892" s="2"/>
      <c r="B892" s="38">
        <v>884.0</v>
      </c>
      <c r="C892" s="39" t="s">
        <v>32</v>
      </c>
      <c r="D892" s="39" t="s">
        <v>276</v>
      </c>
      <c r="E892" s="39" t="s">
        <v>301</v>
      </c>
      <c r="F892" s="39" t="s">
        <v>302</v>
      </c>
      <c r="G892" s="41" t="s">
        <v>23</v>
      </c>
      <c r="H892" s="42">
        <v>3.0</v>
      </c>
      <c r="I892" s="42">
        <v>0.0</v>
      </c>
      <c r="J892" s="42">
        <v>3.0</v>
      </c>
      <c r="K892" s="42">
        <v>0.0</v>
      </c>
      <c r="L892" s="42">
        <v>100.0</v>
      </c>
      <c r="Q892" s="4"/>
    </row>
    <row r="893">
      <c r="A893" s="2"/>
      <c r="B893" s="38">
        <v>885.0</v>
      </c>
      <c r="C893" s="39" t="s">
        <v>32</v>
      </c>
      <c r="D893" s="39" t="s">
        <v>276</v>
      </c>
      <c r="E893" s="39" t="s">
        <v>301</v>
      </c>
      <c r="F893" s="39" t="s">
        <v>302</v>
      </c>
      <c r="G893" s="41" t="s">
        <v>25</v>
      </c>
      <c r="H893" s="42">
        <v>7.0</v>
      </c>
      <c r="I893" s="42">
        <v>1.0</v>
      </c>
      <c r="J893" s="42">
        <v>6.0</v>
      </c>
      <c r="K893" s="42">
        <v>14.3</v>
      </c>
      <c r="L893" s="42">
        <v>85.7</v>
      </c>
      <c r="Q893" s="4"/>
    </row>
    <row r="894">
      <c r="A894" s="2"/>
      <c r="B894" s="43">
        <v>886.0</v>
      </c>
      <c r="C894" s="44" t="s">
        <v>32</v>
      </c>
      <c r="D894" s="53" t="s">
        <v>276</v>
      </c>
      <c r="E894" s="53" t="s">
        <v>301</v>
      </c>
      <c r="F894" s="53" t="s">
        <v>303</v>
      </c>
      <c r="G894" s="44" t="s">
        <v>303</v>
      </c>
      <c r="H894" s="45">
        <v>5.0</v>
      </c>
      <c r="I894" s="45">
        <v>2.0</v>
      </c>
      <c r="J894" s="45">
        <v>3.0</v>
      </c>
      <c r="K894" s="45">
        <v>40.0</v>
      </c>
      <c r="L894" s="45">
        <v>60.0</v>
      </c>
      <c r="Q894" s="4"/>
    </row>
    <row r="895">
      <c r="A895" s="2"/>
      <c r="B895" s="38">
        <v>887.0</v>
      </c>
      <c r="C895" s="39" t="s">
        <v>32</v>
      </c>
      <c r="D895" s="39" t="s">
        <v>276</v>
      </c>
      <c r="E895" s="39" t="s">
        <v>301</v>
      </c>
      <c r="F895" s="39" t="s">
        <v>303</v>
      </c>
      <c r="G895" s="41" t="s">
        <v>23</v>
      </c>
      <c r="H895" s="46"/>
      <c r="I895" s="46"/>
      <c r="J895" s="46"/>
      <c r="K895" s="46"/>
      <c r="L895" s="46"/>
      <c r="Q895" s="4"/>
    </row>
    <row r="896">
      <c r="A896" s="2"/>
      <c r="B896" s="38">
        <v>888.0</v>
      </c>
      <c r="C896" s="39" t="s">
        <v>32</v>
      </c>
      <c r="D896" s="39" t="s">
        <v>276</v>
      </c>
      <c r="E896" s="39" t="s">
        <v>301</v>
      </c>
      <c r="F896" s="39" t="s">
        <v>303</v>
      </c>
      <c r="G896" s="41" t="s">
        <v>25</v>
      </c>
      <c r="H896" s="42">
        <v>5.0</v>
      </c>
      <c r="I896" s="42">
        <v>2.0</v>
      </c>
      <c r="J896" s="42">
        <v>3.0</v>
      </c>
      <c r="K896" s="42">
        <v>40.0</v>
      </c>
      <c r="L896" s="42">
        <v>60.0</v>
      </c>
      <c r="Q896" s="4"/>
    </row>
    <row r="897">
      <c r="A897" s="2"/>
      <c r="B897" s="34">
        <v>889.0</v>
      </c>
      <c r="C897" s="35" t="s">
        <v>30</v>
      </c>
      <c r="D897" s="49" t="s">
        <v>276</v>
      </c>
      <c r="E897" s="49" t="s">
        <v>304</v>
      </c>
      <c r="F897" s="50"/>
      <c r="G897" s="35" t="s">
        <v>304</v>
      </c>
      <c r="H897" s="37">
        <v>143.0</v>
      </c>
      <c r="I897" s="37">
        <v>64.0</v>
      </c>
      <c r="J897" s="37">
        <v>79.0</v>
      </c>
      <c r="K897" s="37">
        <v>44.8</v>
      </c>
      <c r="L897" s="37">
        <v>55.2</v>
      </c>
      <c r="Q897" s="4"/>
    </row>
    <row r="898">
      <c r="A898" s="2"/>
      <c r="B898" s="38">
        <v>890.0</v>
      </c>
      <c r="C898" s="39" t="s">
        <v>30</v>
      </c>
      <c r="D898" s="39" t="s">
        <v>276</v>
      </c>
      <c r="E898" s="39" t="s">
        <v>304</v>
      </c>
      <c r="F898" s="40"/>
      <c r="G898" s="41" t="s">
        <v>23</v>
      </c>
      <c r="H898" s="42">
        <v>31.0</v>
      </c>
      <c r="I898" s="42">
        <v>4.0</v>
      </c>
      <c r="J898" s="42">
        <v>27.0</v>
      </c>
      <c r="K898" s="42">
        <v>12.9</v>
      </c>
      <c r="L898" s="42">
        <v>87.1</v>
      </c>
      <c r="Q898" s="4"/>
    </row>
    <row r="899">
      <c r="A899" s="2"/>
      <c r="B899" s="38">
        <v>891.0</v>
      </c>
      <c r="C899" s="39" t="s">
        <v>30</v>
      </c>
      <c r="D899" s="39" t="s">
        <v>276</v>
      </c>
      <c r="E899" s="39" t="s">
        <v>304</v>
      </c>
      <c r="F899" s="40"/>
      <c r="G899" s="41" t="s">
        <v>25</v>
      </c>
      <c r="H899" s="42">
        <v>112.0</v>
      </c>
      <c r="I899" s="42">
        <v>60.0</v>
      </c>
      <c r="J899" s="42">
        <v>52.0</v>
      </c>
      <c r="K899" s="42">
        <v>53.6</v>
      </c>
      <c r="L899" s="42">
        <v>46.4</v>
      </c>
      <c r="Q899" s="4"/>
    </row>
    <row r="900">
      <c r="A900" s="2"/>
      <c r="B900" s="43">
        <v>892.0</v>
      </c>
      <c r="C900" s="44" t="s">
        <v>32</v>
      </c>
      <c r="D900" s="53" t="s">
        <v>276</v>
      </c>
      <c r="E900" s="53" t="s">
        <v>304</v>
      </c>
      <c r="F900" s="53" t="s">
        <v>305</v>
      </c>
      <c r="G900" s="44" t="s">
        <v>305</v>
      </c>
      <c r="H900" s="45">
        <v>126.0</v>
      </c>
      <c r="I900" s="45">
        <v>50.0</v>
      </c>
      <c r="J900" s="45">
        <v>76.0</v>
      </c>
      <c r="K900" s="45">
        <v>39.7</v>
      </c>
      <c r="L900" s="45">
        <v>60.3</v>
      </c>
      <c r="Q900" s="4"/>
    </row>
    <row r="901">
      <c r="A901" s="2"/>
      <c r="B901" s="38">
        <v>893.0</v>
      </c>
      <c r="C901" s="39" t="s">
        <v>32</v>
      </c>
      <c r="D901" s="39" t="s">
        <v>276</v>
      </c>
      <c r="E901" s="39" t="s">
        <v>304</v>
      </c>
      <c r="F901" s="39" t="s">
        <v>305</v>
      </c>
      <c r="G901" s="41" t="s">
        <v>23</v>
      </c>
      <c r="H901" s="42">
        <v>31.0</v>
      </c>
      <c r="I901" s="42">
        <v>4.0</v>
      </c>
      <c r="J901" s="42">
        <v>27.0</v>
      </c>
      <c r="K901" s="42">
        <v>12.9</v>
      </c>
      <c r="L901" s="42">
        <v>87.1</v>
      </c>
      <c r="Q901" s="4"/>
    </row>
    <row r="902">
      <c r="A902" s="2"/>
      <c r="B902" s="38">
        <v>894.0</v>
      </c>
      <c r="C902" s="39" t="s">
        <v>32</v>
      </c>
      <c r="D902" s="39" t="s">
        <v>276</v>
      </c>
      <c r="E902" s="39" t="s">
        <v>304</v>
      </c>
      <c r="F902" s="39" t="s">
        <v>305</v>
      </c>
      <c r="G902" s="41" t="s">
        <v>25</v>
      </c>
      <c r="H902" s="42">
        <v>95.0</v>
      </c>
      <c r="I902" s="42">
        <v>46.0</v>
      </c>
      <c r="J902" s="42">
        <v>49.0</v>
      </c>
      <c r="K902" s="42">
        <v>48.4</v>
      </c>
      <c r="L902" s="42">
        <v>51.6</v>
      </c>
      <c r="Q902" s="4"/>
    </row>
    <row r="903">
      <c r="A903" s="2"/>
      <c r="B903" s="43">
        <v>895.0</v>
      </c>
      <c r="C903" s="44" t="s">
        <v>32</v>
      </c>
      <c r="D903" s="53" t="s">
        <v>276</v>
      </c>
      <c r="E903" s="53" t="s">
        <v>304</v>
      </c>
      <c r="F903" s="53" t="s">
        <v>306</v>
      </c>
      <c r="G903" s="44" t="s">
        <v>306</v>
      </c>
      <c r="H903" s="45">
        <v>17.0</v>
      </c>
      <c r="I903" s="45">
        <v>14.0</v>
      </c>
      <c r="J903" s="45">
        <v>3.0</v>
      </c>
      <c r="K903" s="45">
        <v>82.4</v>
      </c>
      <c r="L903" s="45">
        <v>17.6</v>
      </c>
      <c r="Q903" s="4"/>
    </row>
    <row r="904">
      <c r="A904" s="2"/>
      <c r="B904" s="38">
        <v>896.0</v>
      </c>
      <c r="C904" s="39" t="s">
        <v>32</v>
      </c>
      <c r="D904" s="39" t="s">
        <v>276</v>
      </c>
      <c r="E904" s="39" t="s">
        <v>304</v>
      </c>
      <c r="F904" s="39" t="s">
        <v>306</v>
      </c>
      <c r="G904" s="41" t="s">
        <v>23</v>
      </c>
      <c r="H904" s="46"/>
      <c r="I904" s="46"/>
      <c r="J904" s="46"/>
      <c r="K904" s="46"/>
      <c r="L904" s="46"/>
      <c r="Q904" s="4"/>
    </row>
    <row r="905">
      <c r="A905" s="2"/>
      <c r="B905" s="38">
        <v>897.0</v>
      </c>
      <c r="C905" s="39" t="s">
        <v>32</v>
      </c>
      <c r="D905" s="39" t="s">
        <v>276</v>
      </c>
      <c r="E905" s="39" t="s">
        <v>304</v>
      </c>
      <c r="F905" s="39" t="s">
        <v>306</v>
      </c>
      <c r="G905" s="41" t="s">
        <v>25</v>
      </c>
      <c r="H905" s="42">
        <v>17.0</v>
      </c>
      <c r="I905" s="42">
        <v>14.0</v>
      </c>
      <c r="J905" s="42">
        <v>3.0</v>
      </c>
      <c r="K905" s="42">
        <v>82.4</v>
      </c>
      <c r="L905" s="42">
        <v>17.6</v>
      </c>
      <c r="Q905" s="4"/>
    </row>
    <row r="906">
      <c r="A906" s="2"/>
      <c r="B906" s="34">
        <v>898.0</v>
      </c>
      <c r="C906" s="35" t="s">
        <v>30</v>
      </c>
      <c r="D906" s="49" t="s">
        <v>276</v>
      </c>
      <c r="E906" s="49" t="s">
        <v>307</v>
      </c>
      <c r="F906" s="50"/>
      <c r="G906" s="35" t="s">
        <v>307</v>
      </c>
      <c r="H906" s="37">
        <v>30.0</v>
      </c>
      <c r="I906" s="37">
        <v>9.0</v>
      </c>
      <c r="J906" s="37">
        <v>21.0</v>
      </c>
      <c r="K906" s="37">
        <v>30.0</v>
      </c>
      <c r="L906" s="37">
        <v>70.0</v>
      </c>
      <c r="Q906" s="4"/>
    </row>
    <row r="907">
      <c r="A907" s="2"/>
      <c r="B907" s="38">
        <v>899.0</v>
      </c>
      <c r="C907" s="39" t="s">
        <v>30</v>
      </c>
      <c r="D907" s="39" t="s">
        <v>276</v>
      </c>
      <c r="E907" s="39" t="s">
        <v>307</v>
      </c>
      <c r="F907" s="40"/>
      <c r="G907" s="41" t="s">
        <v>23</v>
      </c>
      <c r="H907" s="42">
        <v>1.0</v>
      </c>
      <c r="I907" s="42">
        <v>0.0</v>
      </c>
      <c r="J907" s="42">
        <v>1.0</v>
      </c>
      <c r="K907" s="42">
        <v>0.0</v>
      </c>
      <c r="L907" s="42">
        <v>100.0</v>
      </c>
      <c r="Q907" s="4"/>
    </row>
    <row r="908">
      <c r="A908" s="2"/>
      <c r="B908" s="38">
        <v>900.0</v>
      </c>
      <c r="C908" s="39" t="s">
        <v>30</v>
      </c>
      <c r="D908" s="39" t="s">
        <v>276</v>
      </c>
      <c r="E908" s="39" t="s">
        <v>307</v>
      </c>
      <c r="F908" s="40"/>
      <c r="G908" s="41" t="s">
        <v>25</v>
      </c>
      <c r="H908" s="42">
        <v>29.0</v>
      </c>
      <c r="I908" s="42">
        <v>9.0</v>
      </c>
      <c r="J908" s="42">
        <v>20.0</v>
      </c>
      <c r="K908" s="42">
        <v>31.0</v>
      </c>
      <c r="L908" s="42">
        <v>69.0</v>
      </c>
      <c r="Q908" s="4"/>
    </row>
    <row r="909">
      <c r="A909" s="2"/>
      <c r="B909" s="43">
        <v>901.0</v>
      </c>
      <c r="C909" s="44" t="s">
        <v>32</v>
      </c>
      <c r="D909" s="53" t="s">
        <v>276</v>
      </c>
      <c r="E909" s="53" t="s">
        <v>307</v>
      </c>
      <c r="F909" s="53" t="s">
        <v>308</v>
      </c>
      <c r="G909" s="44" t="s">
        <v>308</v>
      </c>
      <c r="H909" s="45">
        <v>23.0</v>
      </c>
      <c r="I909" s="45">
        <v>9.0</v>
      </c>
      <c r="J909" s="45">
        <v>14.0</v>
      </c>
      <c r="K909" s="45">
        <v>39.1</v>
      </c>
      <c r="L909" s="45">
        <v>60.9</v>
      </c>
      <c r="Q909" s="4"/>
    </row>
    <row r="910">
      <c r="A910" s="2"/>
      <c r="B910" s="38">
        <v>902.0</v>
      </c>
      <c r="C910" s="39" t="s">
        <v>32</v>
      </c>
      <c r="D910" s="39" t="s">
        <v>276</v>
      </c>
      <c r="E910" s="39" t="s">
        <v>307</v>
      </c>
      <c r="F910" s="39" t="s">
        <v>308</v>
      </c>
      <c r="G910" s="41" t="s">
        <v>23</v>
      </c>
      <c r="H910" s="42">
        <v>1.0</v>
      </c>
      <c r="I910" s="42">
        <v>0.0</v>
      </c>
      <c r="J910" s="42">
        <v>1.0</v>
      </c>
      <c r="K910" s="42">
        <v>0.0</v>
      </c>
      <c r="L910" s="42">
        <v>100.0</v>
      </c>
      <c r="Q910" s="4"/>
    </row>
    <row r="911">
      <c r="A911" s="2"/>
      <c r="B911" s="38">
        <v>903.0</v>
      </c>
      <c r="C911" s="39" t="s">
        <v>32</v>
      </c>
      <c r="D911" s="39" t="s">
        <v>276</v>
      </c>
      <c r="E911" s="39" t="s">
        <v>307</v>
      </c>
      <c r="F911" s="39" t="s">
        <v>308</v>
      </c>
      <c r="G911" s="41" t="s">
        <v>25</v>
      </c>
      <c r="H911" s="42">
        <v>22.0</v>
      </c>
      <c r="I911" s="42">
        <v>9.0</v>
      </c>
      <c r="J911" s="42">
        <v>13.0</v>
      </c>
      <c r="K911" s="42">
        <v>40.9</v>
      </c>
      <c r="L911" s="42">
        <v>59.1</v>
      </c>
      <c r="Q911" s="4"/>
    </row>
    <row r="912">
      <c r="A912" s="2"/>
      <c r="B912" s="43">
        <v>904.0</v>
      </c>
      <c r="C912" s="44" t="s">
        <v>32</v>
      </c>
      <c r="D912" s="53" t="s">
        <v>276</v>
      </c>
      <c r="E912" s="53" t="s">
        <v>307</v>
      </c>
      <c r="F912" s="53" t="s">
        <v>309</v>
      </c>
      <c r="G912" s="44" t="s">
        <v>309</v>
      </c>
      <c r="H912" s="45">
        <v>7.0</v>
      </c>
      <c r="I912" s="45">
        <v>0.0</v>
      </c>
      <c r="J912" s="45">
        <v>7.0</v>
      </c>
      <c r="K912" s="45">
        <v>0.0</v>
      </c>
      <c r="L912" s="45">
        <v>100.0</v>
      </c>
      <c r="Q912" s="4"/>
    </row>
    <row r="913">
      <c r="A913" s="2"/>
      <c r="B913" s="38">
        <v>905.0</v>
      </c>
      <c r="C913" s="39" t="s">
        <v>32</v>
      </c>
      <c r="D913" s="39" t="s">
        <v>276</v>
      </c>
      <c r="E913" s="39" t="s">
        <v>307</v>
      </c>
      <c r="F913" s="39" t="s">
        <v>309</v>
      </c>
      <c r="G913" s="41" t="s">
        <v>23</v>
      </c>
      <c r="H913" s="46"/>
      <c r="I913" s="46"/>
      <c r="J913" s="46"/>
      <c r="K913" s="46"/>
      <c r="L913" s="46"/>
      <c r="Q913" s="4"/>
    </row>
    <row r="914">
      <c r="A914" s="2"/>
      <c r="B914" s="38">
        <v>906.0</v>
      </c>
      <c r="C914" s="39" t="s">
        <v>32</v>
      </c>
      <c r="D914" s="39" t="s">
        <v>276</v>
      </c>
      <c r="E914" s="39" t="s">
        <v>307</v>
      </c>
      <c r="F914" s="39" t="s">
        <v>309</v>
      </c>
      <c r="G914" s="41" t="s">
        <v>25</v>
      </c>
      <c r="H914" s="42">
        <v>7.0</v>
      </c>
      <c r="I914" s="42">
        <v>0.0</v>
      </c>
      <c r="J914" s="42">
        <v>7.0</v>
      </c>
      <c r="K914" s="42">
        <v>0.0</v>
      </c>
      <c r="L914" s="42">
        <v>100.0</v>
      </c>
      <c r="Q914" s="4"/>
    </row>
    <row r="915">
      <c r="A915" s="2"/>
      <c r="B915" s="34">
        <v>907.0</v>
      </c>
      <c r="C915" s="35" t="s">
        <v>30</v>
      </c>
      <c r="D915" s="49" t="s">
        <v>276</v>
      </c>
      <c r="E915" s="49" t="s">
        <v>310</v>
      </c>
      <c r="F915" s="50"/>
      <c r="G915" s="35" t="s">
        <v>310</v>
      </c>
      <c r="H915" s="37">
        <v>35.0</v>
      </c>
      <c r="I915" s="37">
        <v>9.0</v>
      </c>
      <c r="J915" s="37">
        <v>26.0</v>
      </c>
      <c r="K915" s="37">
        <v>25.7</v>
      </c>
      <c r="L915" s="37">
        <v>74.3</v>
      </c>
      <c r="Q915" s="4"/>
    </row>
    <row r="916">
      <c r="A916" s="2"/>
      <c r="B916" s="38">
        <v>908.0</v>
      </c>
      <c r="C916" s="39" t="s">
        <v>30</v>
      </c>
      <c r="D916" s="39" t="s">
        <v>276</v>
      </c>
      <c r="E916" s="39" t="s">
        <v>310</v>
      </c>
      <c r="F916" s="40"/>
      <c r="G916" s="41" t="s">
        <v>23</v>
      </c>
      <c r="H916" s="46"/>
      <c r="I916" s="46"/>
      <c r="J916" s="46"/>
      <c r="K916" s="46"/>
      <c r="L916" s="46"/>
      <c r="Q916" s="4"/>
    </row>
    <row r="917">
      <c r="A917" s="2"/>
      <c r="B917" s="38">
        <v>909.0</v>
      </c>
      <c r="C917" s="39" t="s">
        <v>30</v>
      </c>
      <c r="D917" s="39" t="s">
        <v>276</v>
      </c>
      <c r="E917" s="39" t="s">
        <v>310</v>
      </c>
      <c r="F917" s="40"/>
      <c r="G917" s="41" t="s">
        <v>25</v>
      </c>
      <c r="H917" s="42">
        <v>35.0</v>
      </c>
      <c r="I917" s="42">
        <v>9.0</v>
      </c>
      <c r="J917" s="42">
        <v>26.0</v>
      </c>
      <c r="K917" s="42">
        <v>25.7</v>
      </c>
      <c r="L917" s="42">
        <v>74.3</v>
      </c>
      <c r="Q917" s="4"/>
    </row>
    <row r="918">
      <c r="A918" s="2"/>
      <c r="B918" s="43">
        <v>910.0</v>
      </c>
      <c r="C918" s="44" t="s">
        <v>32</v>
      </c>
      <c r="D918" s="53" t="s">
        <v>276</v>
      </c>
      <c r="E918" s="53" t="s">
        <v>310</v>
      </c>
      <c r="F918" s="53" t="s">
        <v>311</v>
      </c>
      <c r="G918" s="44" t="s">
        <v>311</v>
      </c>
      <c r="H918" s="45">
        <v>11.0</v>
      </c>
      <c r="I918" s="45">
        <v>2.0</v>
      </c>
      <c r="J918" s="45">
        <v>9.0</v>
      </c>
      <c r="K918" s="45">
        <v>18.2</v>
      </c>
      <c r="L918" s="45">
        <v>81.8</v>
      </c>
      <c r="Q918" s="4"/>
    </row>
    <row r="919">
      <c r="A919" s="2"/>
      <c r="B919" s="38">
        <v>911.0</v>
      </c>
      <c r="C919" s="39" t="s">
        <v>32</v>
      </c>
      <c r="D919" s="39" t="s">
        <v>276</v>
      </c>
      <c r="E919" s="39" t="s">
        <v>310</v>
      </c>
      <c r="F919" s="39" t="s">
        <v>311</v>
      </c>
      <c r="G919" s="41" t="s">
        <v>23</v>
      </c>
      <c r="H919" s="46"/>
      <c r="I919" s="46"/>
      <c r="J919" s="46"/>
      <c r="K919" s="46"/>
      <c r="L919" s="46"/>
      <c r="Q919" s="4"/>
    </row>
    <row r="920">
      <c r="A920" s="2"/>
      <c r="B920" s="38">
        <v>912.0</v>
      </c>
      <c r="C920" s="39" t="s">
        <v>32</v>
      </c>
      <c r="D920" s="39" t="s">
        <v>276</v>
      </c>
      <c r="E920" s="39" t="s">
        <v>310</v>
      </c>
      <c r="F920" s="39" t="s">
        <v>311</v>
      </c>
      <c r="G920" s="41" t="s">
        <v>25</v>
      </c>
      <c r="H920" s="42">
        <v>11.0</v>
      </c>
      <c r="I920" s="42">
        <v>2.0</v>
      </c>
      <c r="J920" s="42">
        <v>9.0</v>
      </c>
      <c r="K920" s="42">
        <v>18.2</v>
      </c>
      <c r="L920" s="42">
        <v>81.8</v>
      </c>
      <c r="Q920" s="4"/>
    </row>
    <row r="921">
      <c r="A921" s="2"/>
      <c r="B921" s="43">
        <v>913.0</v>
      </c>
      <c r="C921" s="44" t="s">
        <v>32</v>
      </c>
      <c r="D921" s="53" t="s">
        <v>276</v>
      </c>
      <c r="E921" s="53" t="s">
        <v>310</v>
      </c>
      <c r="F921" s="53" t="s">
        <v>312</v>
      </c>
      <c r="G921" s="44" t="s">
        <v>312</v>
      </c>
      <c r="H921" s="45">
        <v>19.0</v>
      </c>
      <c r="I921" s="45">
        <v>7.0</v>
      </c>
      <c r="J921" s="45">
        <v>12.0</v>
      </c>
      <c r="K921" s="45">
        <v>36.8</v>
      </c>
      <c r="L921" s="45">
        <v>63.2</v>
      </c>
      <c r="Q921" s="4"/>
    </row>
    <row r="922">
      <c r="A922" s="2"/>
      <c r="B922" s="38">
        <v>914.0</v>
      </c>
      <c r="C922" s="39" t="s">
        <v>32</v>
      </c>
      <c r="D922" s="39" t="s">
        <v>276</v>
      </c>
      <c r="E922" s="39" t="s">
        <v>310</v>
      </c>
      <c r="F922" s="39" t="s">
        <v>312</v>
      </c>
      <c r="G922" s="41" t="s">
        <v>23</v>
      </c>
      <c r="H922" s="46"/>
      <c r="I922" s="46"/>
      <c r="J922" s="46"/>
      <c r="K922" s="46"/>
      <c r="L922" s="46"/>
      <c r="Q922" s="4"/>
    </row>
    <row r="923">
      <c r="A923" s="2"/>
      <c r="B923" s="38">
        <v>915.0</v>
      </c>
      <c r="C923" s="39" t="s">
        <v>32</v>
      </c>
      <c r="D923" s="39" t="s">
        <v>276</v>
      </c>
      <c r="E923" s="39" t="s">
        <v>310</v>
      </c>
      <c r="F923" s="39" t="s">
        <v>312</v>
      </c>
      <c r="G923" s="41" t="s">
        <v>25</v>
      </c>
      <c r="H923" s="42">
        <v>19.0</v>
      </c>
      <c r="I923" s="42">
        <v>7.0</v>
      </c>
      <c r="J923" s="42">
        <v>12.0</v>
      </c>
      <c r="K923" s="42">
        <v>36.8</v>
      </c>
      <c r="L923" s="42">
        <v>63.2</v>
      </c>
      <c r="Q923" s="4"/>
    </row>
    <row r="924">
      <c r="A924" s="2"/>
      <c r="B924" s="43">
        <v>916.0</v>
      </c>
      <c r="C924" s="44" t="s">
        <v>32</v>
      </c>
      <c r="D924" s="53" t="s">
        <v>276</v>
      </c>
      <c r="E924" s="53" t="s">
        <v>310</v>
      </c>
      <c r="F924" s="53" t="s">
        <v>313</v>
      </c>
      <c r="G924" s="44" t="s">
        <v>313</v>
      </c>
      <c r="H924" s="45">
        <v>5.0</v>
      </c>
      <c r="I924" s="45">
        <v>0.0</v>
      </c>
      <c r="J924" s="45">
        <v>5.0</v>
      </c>
      <c r="K924" s="45">
        <v>0.0</v>
      </c>
      <c r="L924" s="45">
        <v>100.0</v>
      </c>
      <c r="Q924" s="4"/>
    </row>
    <row r="925">
      <c r="A925" s="2"/>
      <c r="B925" s="38">
        <v>917.0</v>
      </c>
      <c r="C925" s="39" t="s">
        <v>32</v>
      </c>
      <c r="D925" s="39" t="s">
        <v>276</v>
      </c>
      <c r="E925" s="39" t="s">
        <v>310</v>
      </c>
      <c r="F925" s="39" t="s">
        <v>313</v>
      </c>
      <c r="G925" s="41" t="s">
        <v>23</v>
      </c>
      <c r="H925" s="46"/>
      <c r="I925" s="46"/>
      <c r="J925" s="46"/>
      <c r="K925" s="46"/>
      <c r="L925" s="46"/>
      <c r="Q925" s="4"/>
    </row>
    <row r="926">
      <c r="A926" s="2"/>
      <c r="B926" s="38">
        <v>918.0</v>
      </c>
      <c r="C926" s="39" t="s">
        <v>32</v>
      </c>
      <c r="D926" s="39" t="s">
        <v>276</v>
      </c>
      <c r="E926" s="39" t="s">
        <v>310</v>
      </c>
      <c r="F926" s="39" t="s">
        <v>313</v>
      </c>
      <c r="G926" s="41" t="s">
        <v>25</v>
      </c>
      <c r="H926" s="42">
        <v>5.0</v>
      </c>
      <c r="I926" s="42">
        <v>0.0</v>
      </c>
      <c r="J926" s="42">
        <v>5.0</v>
      </c>
      <c r="K926" s="42">
        <v>0.0</v>
      </c>
      <c r="L926" s="42">
        <v>100.0</v>
      </c>
      <c r="Q926" s="4"/>
    </row>
    <row r="927">
      <c r="A927" s="2"/>
      <c r="B927" s="34">
        <v>919.0</v>
      </c>
      <c r="C927" s="35" t="s">
        <v>30</v>
      </c>
      <c r="D927" s="49" t="s">
        <v>276</v>
      </c>
      <c r="E927" s="49" t="s">
        <v>314</v>
      </c>
      <c r="F927" s="50"/>
      <c r="G927" s="35" t="s">
        <v>314</v>
      </c>
      <c r="H927" s="37">
        <v>109.0</v>
      </c>
      <c r="I927" s="37">
        <v>40.0</v>
      </c>
      <c r="J927" s="37">
        <v>69.0</v>
      </c>
      <c r="K927" s="37">
        <v>36.7</v>
      </c>
      <c r="L927" s="37">
        <v>63.3</v>
      </c>
      <c r="Q927" s="4"/>
    </row>
    <row r="928">
      <c r="A928" s="2"/>
      <c r="B928" s="38">
        <v>920.0</v>
      </c>
      <c r="C928" s="39" t="s">
        <v>30</v>
      </c>
      <c r="D928" s="39" t="s">
        <v>276</v>
      </c>
      <c r="E928" s="39" t="s">
        <v>314</v>
      </c>
      <c r="F928" s="40"/>
      <c r="G928" s="41" t="s">
        <v>23</v>
      </c>
      <c r="H928" s="42">
        <v>8.0</v>
      </c>
      <c r="I928" s="42">
        <v>4.0</v>
      </c>
      <c r="J928" s="42">
        <v>4.0</v>
      </c>
      <c r="K928" s="42">
        <v>50.0</v>
      </c>
      <c r="L928" s="42">
        <v>50.0</v>
      </c>
      <c r="Q928" s="4"/>
    </row>
    <row r="929">
      <c r="A929" s="2"/>
      <c r="B929" s="38">
        <v>921.0</v>
      </c>
      <c r="C929" s="39" t="s">
        <v>30</v>
      </c>
      <c r="D929" s="39" t="s">
        <v>276</v>
      </c>
      <c r="E929" s="39" t="s">
        <v>314</v>
      </c>
      <c r="F929" s="40"/>
      <c r="G929" s="41" t="s">
        <v>25</v>
      </c>
      <c r="H929" s="42">
        <v>101.0</v>
      </c>
      <c r="I929" s="42">
        <v>36.0</v>
      </c>
      <c r="J929" s="42">
        <v>65.0</v>
      </c>
      <c r="K929" s="42">
        <v>35.6</v>
      </c>
      <c r="L929" s="42">
        <v>64.4</v>
      </c>
      <c r="Q929" s="4"/>
    </row>
    <row r="930">
      <c r="A930" s="2"/>
      <c r="B930" s="43">
        <v>922.0</v>
      </c>
      <c r="C930" s="44" t="s">
        <v>32</v>
      </c>
      <c r="D930" s="53" t="s">
        <v>276</v>
      </c>
      <c r="E930" s="53" t="s">
        <v>314</v>
      </c>
      <c r="F930" s="53" t="s">
        <v>315</v>
      </c>
      <c r="G930" s="44" t="s">
        <v>315</v>
      </c>
      <c r="H930" s="45">
        <v>66.0</v>
      </c>
      <c r="I930" s="45">
        <v>24.0</v>
      </c>
      <c r="J930" s="45">
        <v>42.0</v>
      </c>
      <c r="K930" s="45">
        <v>36.4</v>
      </c>
      <c r="L930" s="45">
        <v>63.6</v>
      </c>
      <c r="Q930" s="4"/>
    </row>
    <row r="931">
      <c r="A931" s="2"/>
      <c r="B931" s="38">
        <v>923.0</v>
      </c>
      <c r="C931" s="39" t="s">
        <v>32</v>
      </c>
      <c r="D931" s="39" t="s">
        <v>276</v>
      </c>
      <c r="E931" s="39" t="s">
        <v>314</v>
      </c>
      <c r="F931" s="39" t="s">
        <v>315</v>
      </c>
      <c r="G931" s="41" t="s">
        <v>23</v>
      </c>
      <c r="H931" s="46"/>
      <c r="I931" s="46"/>
      <c r="J931" s="46"/>
      <c r="K931" s="46"/>
      <c r="L931" s="46"/>
      <c r="Q931" s="4"/>
    </row>
    <row r="932">
      <c r="A932" s="2"/>
      <c r="B932" s="38">
        <v>924.0</v>
      </c>
      <c r="C932" s="39" t="s">
        <v>32</v>
      </c>
      <c r="D932" s="39" t="s">
        <v>276</v>
      </c>
      <c r="E932" s="39" t="s">
        <v>314</v>
      </c>
      <c r="F932" s="39" t="s">
        <v>315</v>
      </c>
      <c r="G932" s="41" t="s">
        <v>25</v>
      </c>
      <c r="H932" s="42">
        <v>66.0</v>
      </c>
      <c r="I932" s="42">
        <v>24.0</v>
      </c>
      <c r="J932" s="42">
        <v>42.0</v>
      </c>
      <c r="K932" s="42">
        <v>36.4</v>
      </c>
      <c r="L932" s="42">
        <v>63.6</v>
      </c>
      <c r="Q932" s="4"/>
    </row>
    <row r="933">
      <c r="A933" s="2"/>
      <c r="B933" s="43">
        <v>925.0</v>
      </c>
      <c r="C933" s="44" t="s">
        <v>32</v>
      </c>
      <c r="D933" s="53" t="s">
        <v>276</v>
      </c>
      <c r="E933" s="53" t="s">
        <v>314</v>
      </c>
      <c r="F933" s="53" t="s">
        <v>316</v>
      </c>
      <c r="G933" s="44" t="s">
        <v>316</v>
      </c>
      <c r="H933" s="45">
        <v>40.0</v>
      </c>
      <c r="I933" s="45">
        <v>14.0</v>
      </c>
      <c r="J933" s="45">
        <v>26.0</v>
      </c>
      <c r="K933" s="45">
        <v>35.0</v>
      </c>
      <c r="L933" s="45">
        <v>65.0</v>
      </c>
      <c r="Q933" s="4"/>
    </row>
    <row r="934">
      <c r="A934" s="2"/>
      <c r="B934" s="38">
        <v>926.0</v>
      </c>
      <c r="C934" s="39" t="s">
        <v>32</v>
      </c>
      <c r="D934" s="39" t="s">
        <v>276</v>
      </c>
      <c r="E934" s="39" t="s">
        <v>314</v>
      </c>
      <c r="F934" s="39" t="s">
        <v>316</v>
      </c>
      <c r="G934" s="41" t="s">
        <v>23</v>
      </c>
      <c r="H934" s="42">
        <v>8.0</v>
      </c>
      <c r="I934" s="42">
        <v>4.0</v>
      </c>
      <c r="J934" s="42">
        <v>4.0</v>
      </c>
      <c r="K934" s="42">
        <v>50.0</v>
      </c>
      <c r="L934" s="42">
        <v>50.0</v>
      </c>
      <c r="Q934" s="4"/>
    </row>
    <row r="935">
      <c r="A935" s="2"/>
      <c r="B935" s="38">
        <v>927.0</v>
      </c>
      <c r="C935" s="39" t="s">
        <v>32</v>
      </c>
      <c r="D935" s="39" t="s">
        <v>276</v>
      </c>
      <c r="E935" s="39" t="s">
        <v>314</v>
      </c>
      <c r="F935" s="39" t="s">
        <v>316</v>
      </c>
      <c r="G935" s="41" t="s">
        <v>25</v>
      </c>
      <c r="H935" s="42">
        <v>32.0</v>
      </c>
      <c r="I935" s="42">
        <v>10.0</v>
      </c>
      <c r="J935" s="42">
        <v>22.0</v>
      </c>
      <c r="K935" s="42">
        <v>31.3</v>
      </c>
      <c r="L935" s="42">
        <v>68.8</v>
      </c>
      <c r="Q935" s="4"/>
    </row>
    <row r="936">
      <c r="A936" s="2"/>
      <c r="B936" s="43">
        <v>928.0</v>
      </c>
      <c r="C936" s="44" t="s">
        <v>32</v>
      </c>
      <c r="D936" s="53" t="s">
        <v>276</v>
      </c>
      <c r="E936" s="53" t="s">
        <v>314</v>
      </c>
      <c r="F936" s="53" t="s">
        <v>317</v>
      </c>
      <c r="G936" s="44" t="s">
        <v>317</v>
      </c>
      <c r="H936" s="45">
        <v>3.0</v>
      </c>
      <c r="I936" s="45">
        <v>2.0</v>
      </c>
      <c r="J936" s="45">
        <v>1.0</v>
      </c>
      <c r="K936" s="45">
        <v>66.7</v>
      </c>
      <c r="L936" s="45">
        <v>33.3</v>
      </c>
      <c r="Q936" s="4"/>
    </row>
    <row r="937">
      <c r="A937" s="2"/>
      <c r="B937" s="38">
        <v>929.0</v>
      </c>
      <c r="C937" s="39" t="s">
        <v>32</v>
      </c>
      <c r="D937" s="39" t="s">
        <v>276</v>
      </c>
      <c r="E937" s="39" t="s">
        <v>314</v>
      </c>
      <c r="F937" s="39" t="s">
        <v>317</v>
      </c>
      <c r="G937" s="41" t="s">
        <v>23</v>
      </c>
      <c r="H937" s="46"/>
      <c r="I937" s="46"/>
      <c r="J937" s="46"/>
      <c r="K937" s="46"/>
      <c r="L937" s="46"/>
      <c r="Q937" s="4"/>
    </row>
    <row r="938">
      <c r="A938" s="2"/>
      <c r="B938" s="38">
        <v>930.0</v>
      </c>
      <c r="C938" s="39" t="s">
        <v>32</v>
      </c>
      <c r="D938" s="39" t="s">
        <v>276</v>
      </c>
      <c r="E938" s="39" t="s">
        <v>314</v>
      </c>
      <c r="F938" s="39" t="s">
        <v>317</v>
      </c>
      <c r="G938" s="41" t="s">
        <v>25</v>
      </c>
      <c r="H938" s="42">
        <v>3.0</v>
      </c>
      <c r="I938" s="42">
        <v>2.0</v>
      </c>
      <c r="J938" s="42">
        <v>1.0</v>
      </c>
      <c r="K938" s="42">
        <v>66.7</v>
      </c>
      <c r="L938" s="42">
        <v>33.3</v>
      </c>
      <c r="Q938" s="4"/>
    </row>
    <row r="939">
      <c r="A939" s="2"/>
      <c r="B939" s="34">
        <v>931.0</v>
      </c>
      <c r="C939" s="35" t="s">
        <v>30</v>
      </c>
      <c r="D939" s="49" t="s">
        <v>276</v>
      </c>
      <c r="E939" s="49" t="s">
        <v>318</v>
      </c>
      <c r="F939" s="50"/>
      <c r="G939" s="35" t="s">
        <v>318</v>
      </c>
      <c r="H939" s="37">
        <v>226.0</v>
      </c>
      <c r="I939" s="37">
        <v>97.0</v>
      </c>
      <c r="J939" s="37">
        <v>129.0</v>
      </c>
      <c r="K939" s="37">
        <v>42.9</v>
      </c>
      <c r="L939" s="37">
        <v>57.1</v>
      </c>
      <c r="Q939" s="4"/>
    </row>
    <row r="940">
      <c r="A940" s="2"/>
      <c r="B940" s="38">
        <v>932.0</v>
      </c>
      <c r="C940" s="39" t="s">
        <v>30</v>
      </c>
      <c r="D940" s="39" t="s">
        <v>276</v>
      </c>
      <c r="E940" s="39" t="s">
        <v>318</v>
      </c>
      <c r="F940" s="40"/>
      <c r="G940" s="41" t="s">
        <v>23</v>
      </c>
      <c r="H940" s="42">
        <v>140.0</v>
      </c>
      <c r="I940" s="42">
        <v>69.0</v>
      </c>
      <c r="J940" s="42">
        <v>71.0</v>
      </c>
      <c r="K940" s="42">
        <v>49.3</v>
      </c>
      <c r="L940" s="42">
        <v>50.7</v>
      </c>
      <c r="Q940" s="4"/>
    </row>
    <row r="941">
      <c r="A941" s="2"/>
      <c r="B941" s="38">
        <v>933.0</v>
      </c>
      <c r="C941" s="39" t="s">
        <v>30</v>
      </c>
      <c r="D941" s="39" t="s">
        <v>276</v>
      </c>
      <c r="E941" s="39" t="s">
        <v>318</v>
      </c>
      <c r="F941" s="40"/>
      <c r="G941" s="41" t="s">
        <v>25</v>
      </c>
      <c r="H941" s="42">
        <v>86.0</v>
      </c>
      <c r="I941" s="42">
        <v>28.0</v>
      </c>
      <c r="J941" s="42">
        <v>58.0</v>
      </c>
      <c r="K941" s="42">
        <v>32.6</v>
      </c>
      <c r="L941" s="42">
        <v>67.4</v>
      </c>
      <c r="Q941" s="4"/>
    </row>
    <row r="942">
      <c r="A942" s="2"/>
      <c r="B942" s="43">
        <v>934.0</v>
      </c>
      <c r="C942" s="44" t="s">
        <v>32</v>
      </c>
      <c r="D942" s="53" t="s">
        <v>276</v>
      </c>
      <c r="E942" s="53" t="s">
        <v>318</v>
      </c>
      <c r="F942" s="53" t="s">
        <v>319</v>
      </c>
      <c r="G942" s="44" t="s">
        <v>319</v>
      </c>
      <c r="H942" s="45">
        <v>169.0</v>
      </c>
      <c r="I942" s="45">
        <v>82.0</v>
      </c>
      <c r="J942" s="45">
        <v>87.0</v>
      </c>
      <c r="K942" s="45">
        <v>48.5</v>
      </c>
      <c r="L942" s="45">
        <v>51.5</v>
      </c>
      <c r="Q942" s="4"/>
    </row>
    <row r="943">
      <c r="A943" s="2"/>
      <c r="B943" s="38">
        <v>935.0</v>
      </c>
      <c r="C943" s="39" t="s">
        <v>32</v>
      </c>
      <c r="D943" s="39" t="s">
        <v>276</v>
      </c>
      <c r="E943" s="39" t="s">
        <v>318</v>
      </c>
      <c r="F943" s="39" t="s">
        <v>319</v>
      </c>
      <c r="G943" s="41" t="s">
        <v>23</v>
      </c>
      <c r="H943" s="42">
        <v>120.0</v>
      </c>
      <c r="I943" s="42">
        <v>67.0</v>
      </c>
      <c r="J943" s="42">
        <v>53.0</v>
      </c>
      <c r="K943" s="42">
        <v>55.8</v>
      </c>
      <c r="L943" s="42">
        <v>44.2</v>
      </c>
      <c r="Q943" s="4"/>
    </row>
    <row r="944">
      <c r="A944" s="2"/>
      <c r="B944" s="38">
        <v>936.0</v>
      </c>
      <c r="C944" s="39" t="s">
        <v>32</v>
      </c>
      <c r="D944" s="39" t="s">
        <v>276</v>
      </c>
      <c r="E944" s="39" t="s">
        <v>318</v>
      </c>
      <c r="F944" s="39" t="s">
        <v>319</v>
      </c>
      <c r="G944" s="41" t="s">
        <v>25</v>
      </c>
      <c r="H944" s="42">
        <v>49.0</v>
      </c>
      <c r="I944" s="42">
        <v>15.0</v>
      </c>
      <c r="J944" s="42">
        <v>34.0</v>
      </c>
      <c r="K944" s="42">
        <v>30.6</v>
      </c>
      <c r="L944" s="42">
        <v>69.4</v>
      </c>
      <c r="Q944" s="4"/>
    </row>
    <row r="945">
      <c r="A945" s="2"/>
      <c r="B945" s="43">
        <v>937.0</v>
      </c>
      <c r="C945" s="44" t="s">
        <v>32</v>
      </c>
      <c r="D945" s="53" t="s">
        <v>276</v>
      </c>
      <c r="E945" s="53" t="s">
        <v>318</v>
      </c>
      <c r="F945" s="53" t="s">
        <v>320</v>
      </c>
      <c r="G945" s="44" t="s">
        <v>320</v>
      </c>
      <c r="H945" s="45">
        <v>24.0</v>
      </c>
      <c r="I945" s="45">
        <v>8.0</v>
      </c>
      <c r="J945" s="45">
        <v>16.0</v>
      </c>
      <c r="K945" s="45">
        <v>33.3</v>
      </c>
      <c r="L945" s="45">
        <v>66.7</v>
      </c>
      <c r="Q945" s="4"/>
    </row>
    <row r="946">
      <c r="A946" s="2"/>
      <c r="B946" s="38">
        <v>938.0</v>
      </c>
      <c r="C946" s="39" t="s">
        <v>32</v>
      </c>
      <c r="D946" s="39" t="s">
        <v>276</v>
      </c>
      <c r="E946" s="39" t="s">
        <v>318</v>
      </c>
      <c r="F946" s="39" t="s">
        <v>320</v>
      </c>
      <c r="G946" s="41" t="s">
        <v>23</v>
      </c>
      <c r="H946" s="46"/>
      <c r="I946" s="46"/>
      <c r="J946" s="46"/>
      <c r="K946" s="46"/>
      <c r="L946" s="46"/>
      <c r="Q946" s="4"/>
    </row>
    <row r="947">
      <c r="A947" s="2"/>
      <c r="B947" s="38">
        <v>939.0</v>
      </c>
      <c r="C947" s="39" t="s">
        <v>32</v>
      </c>
      <c r="D947" s="39" t="s">
        <v>276</v>
      </c>
      <c r="E947" s="39" t="s">
        <v>318</v>
      </c>
      <c r="F947" s="39" t="s">
        <v>320</v>
      </c>
      <c r="G947" s="41" t="s">
        <v>25</v>
      </c>
      <c r="H947" s="42">
        <v>24.0</v>
      </c>
      <c r="I947" s="42">
        <v>8.0</v>
      </c>
      <c r="J947" s="42">
        <v>16.0</v>
      </c>
      <c r="K947" s="42">
        <v>33.3</v>
      </c>
      <c r="L947" s="42">
        <v>66.7</v>
      </c>
      <c r="Q947" s="4"/>
    </row>
    <row r="948">
      <c r="A948" s="2"/>
      <c r="B948" s="43">
        <v>940.0</v>
      </c>
      <c r="C948" s="44" t="s">
        <v>32</v>
      </c>
      <c r="D948" s="53" t="s">
        <v>276</v>
      </c>
      <c r="E948" s="53" t="s">
        <v>318</v>
      </c>
      <c r="F948" s="53" t="s">
        <v>321</v>
      </c>
      <c r="G948" s="44" t="s">
        <v>321</v>
      </c>
      <c r="H948" s="45">
        <v>25.0</v>
      </c>
      <c r="I948" s="45">
        <v>2.0</v>
      </c>
      <c r="J948" s="45">
        <v>23.0</v>
      </c>
      <c r="K948" s="45">
        <v>8.0</v>
      </c>
      <c r="L948" s="45">
        <v>92.0</v>
      </c>
      <c r="Q948" s="4"/>
    </row>
    <row r="949">
      <c r="A949" s="2"/>
      <c r="B949" s="38">
        <v>941.0</v>
      </c>
      <c r="C949" s="39" t="s">
        <v>32</v>
      </c>
      <c r="D949" s="39" t="s">
        <v>276</v>
      </c>
      <c r="E949" s="39" t="s">
        <v>318</v>
      </c>
      <c r="F949" s="39" t="s">
        <v>321</v>
      </c>
      <c r="G949" s="41" t="s">
        <v>23</v>
      </c>
      <c r="H949" s="42">
        <v>20.0</v>
      </c>
      <c r="I949" s="42">
        <v>2.0</v>
      </c>
      <c r="J949" s="42">
        <v>18.0</v>
      </c>
      <c r="K949" s="42">
        <v>10.0</v>
      </c>
      <c r="L949" s="42">
        <v>90.0</v>
      </c>
      <c r="Q949" s="4"/>
    </row>
    <row r="950">
      <c r="A950" s="2"/>
      <c r="B950" s="38">
        <v>942.0</v>
      </c>
      <c r="C950" s="39" t="s">
        <v>32</v>
      </c>
      <c r="D950" s="39" t="s">
        <v>276</v>
      </c>
      <c r="E950" s="39" t="s">
        <v>318</v>
      </c>
      <c r="F950" s="39" t="s">
        <v>321</v>
      </c>
      <c r="G950" s="41" t="s">
        <v>25</v>
      </c>
      <c r="H950" s="42">
        <v>5.0</v>
      </c>
      <c r="I950" s="42">
        <v>0.0</v>
      </c>
      <c r="J950" s="42">
        <v>5.0</v>
      </c>
      <c r="K950" s="42">
        <v>0.0</v>
      </c>
      <c r="L950" s="42">
        <v>100.0</v>
      </c>
      <c r="Q950" s="4"/>
    </row>
    <row r="951">
      <c r="A951" s="2"/>
      <c r="B951" s="43">
        <v>943.0</v>
      </c>
      <c r="C951" s="44" t="s">
        <v>32</v>
      </c>
      <c r="D951" s="53" t="s">
        <v>276</v>
      </c>
      <c r="E951" s="53" t="s">
        <v>318</v>
      </c>
      <c r="F951" s="53" t="s">
        <v>322</v>
      </c>
      <c r="G951" s="44" t="s">
        <v>322</v>
      </c>
      <c r="H951" s="45">
        <v>8.0</v>
      </c>
      <c r="I951" s="45">
        <v>5.0</v>
      </c>
      <c r="J951" s="45">
        <v>3.0</v>
      </c>
      <c r="K951" s="45">
        <v>62.5</v>
      </c>
      <c r="L951" s="45">
        <v>37.5</v>
      </c>
      <c r="Q951" s="4"/>
    </row>
    <row r="952">
      <c r="A952" s="2"/>
      <c r="B952" s="38">
        <v>944.0</v>
      </c>
      <c r="C952" s="39" t="s">
        <v>32</v>
      </c>
      <c r="D952" s="39" t="s">
        <v>276</v>
      </c>
      <c r="E952" s="39" t="s">
        <v>318</v>
      </c>
      <c r="F952" s="39" t="s">
        <v>322</v>
      </c>
      <c r="G952" s="41" t="s">
        <v>23</v>
      </c>
      <c r="H952" s="46"/>
      <c r="I952" s="46"/>
      <c r="J952" s="46"/>
      <c r="K952" s="46"/>
      <c r="L952" s="46"/>
      <c r="Q952" s="4"/>
    </row>
    <row r="953">
      <c r="A953" s="2"/>
      <c r="B953" s="38">
        <v>945.0</v>
      </c>
      <c r="C953" s="39" t="s">
        <v>32</v>
      </c>
      <c r="D953" s="39" t="s">
        <v>276</v>
      </c>
      <c r="E953" s="39" t="s">
        <v>318</v>
      </c>
      <c r="F953" s="39" t="s">
        <v>322</v>
      </c>
      <c r="G953" s="41" t="s">
        <v>25</v>
      </c>
      <c r="H953" s="42">
        <v>8.0</v>
      </c>
      <c r="I953" s="42">
        <v>5.0</v>
      </c>
      <c r="J953" s="42">
        <v>3.0</v>
      </c>
      <c r="K953" s="42">
        <v>62.5</v>
      </c>
      <c r="L953" s="42">
        <v>37.5</v>
      </c>
      <c r="Q953" s="4"/>
    </row>
    <row r="954">
      <c r="A954" s="2"/>
      <c r="B954" s="34">
        <v>946.0</v>
      </c>
      <c r="C954" s="35" t="s">
        <v>30</v>
      </c>
      <c r="D954" s="49" t="s">
        <v>276</v>
      </c>
      <c r="E954" s="49" t="s">
        <v>323</v>
      </c>
      <c r="F954" s="50"/>
      <c r="G954" s="35" t="s">
        <v>323</v>
      </c>
      <c r="H954" s="37">
        <v>22.0</v>
      </c>
      <c r="I954" s="37">
        <v>8.0</v>
      </c>
      <c r="J954" s="37">
        <v>14.0</v>
      </c>
      <c r="K954" s="37">
        <v>36.4</v>
      </c>
      <c r="L954" s="37">
        <v>63.6</v>
      </c>
      <c r="Q954" s="4"/>
    </row>
    <row r="955">
      <c r="A955" s="2"/>
      <c r="B955" s="38">
        <v>947.0</v>
      </c>
      <c r="C955" s="39" t="s">
        <v>30</v>
      </c>
      <c r="D955" s="39" t="s">
        <v>276</v>
      </c>
      <c r="E955" s="39" t="s">
        <v>323</v>
      </c>
      <c r="F955" s="40"/>
      <c r="G955" s="41" t="s">
        <v>23</v>
      </c>
      <c r="H955" s="46"/>
      <c r="I955" s="46"/>
      <c r="J955" s="46"/>
      <c r="K955" s="46"/>
      <c r="L955" s="46"/>
      <c r="Q955" s="4"/>
    </row>
    <row r="956">
      <c r="A956" s="2"/>
      <c r="B956" s="38">
        <v>948.0</v>
      </c>
      <c r="C956" s="39" t="s">
        <v>30</v>
      </c>
      <c r="D956" s="39" t="s">
        <v>276</v>
      </c>
      <c r="E956" s="39" t="s">
        <v>323</v>
      </c>
      <c r="F956" s="40"/>
      <c r="G956" s="41" t="s">
        <v>25</v>
      </c>
      <c r="H956" s="42">
        <v>22.0</v>
      </c>
      <c r="I956" s="42">
        <v>8.0</v>
      </c>
      <c r="J956" s="42">
        <v>14.0</v>
      </c>
      <c r="K956" s="42">
        <v>36.4</v>
      </c>
      <c r="L956" s="42">
        <v>63.6</v>
      </c>
      <c r="Q956" s="4"/>
    </row>
    <row r="957">
      <c r="A957" s="2"/>
      <c r="B957" s="43">
        <v>949.0</v>
      </c>
      <c r="C957" s="44" t="s">
        <v>32</v>
      </c>
      <c r="D957" s="53" t="s">
        <v>276</v>
      </c>
      <c r="E957" s="53" t="s">
        <v>323</v>
      </c>
      <c r="F957" s="53" t="s">
        <v>324</v>
      </c>
      <c r="G957" s="44" t="s">
        <v>324</v>
      </c>
      <c r="H957" s="45">
        <v>3.0</v>
      </c>
      <c r="I957" s="45">
        <v>1.0</v>
      </c>
      <c r="J957" s="45">
        <v>2.0</v>
      </c>
      <c r="K957" s="45">
        <v>33.3</v>
      </c>
      <c r="L957" s="45">
        <v>66.7</v>
      </c>
      <c r="Q957" s="4"/>
    </row>
    <row r="958">
      <c r="A958" s="2"/>
      <c r="B958" s="38">
        <v>950.0</v>
      </c>
      <c r="C958" s="39" t="s">
        <v>32</v>
      </c>
      <c r="D958" s="39" t="s">
        <v>276</v>
      </c>
      <c r="E958" s="39" t="s">
        <v>323</v>
      </c>
      <c r="F958" s="39" t="s">
        <v>324</v>
      </c>
      <c r="G958" s="41" t="s">
        <v>23</v>
      </c>
      <c r="H958" s="46"/>
      <c r="I958" s="46"/>
      <c r="J958" s="46"/>
      <c r="K958" s="46"/>
      <c r="L958" s="46"/>
      <c r="Q958" s="4"/>
    </row>
    <row r="959">
      <c r="A959" s="2"/>
      <c r="B959" s="38">
        <v>951.0</v>
      </c>
      <c r="C959" s="39" t="s">
        <v>32</v>
      </c>
      <c r="D959" s="39" t="s">
        <v>276</v>
      </c>
      <c r="E959" s="39" t="s">
        <v>323</v>
      </c>
      <c r="F959" s="39" t="s">
        <v>324</v>
      </c>
      <c r="G959" s="41" t="s">
        <v>25</v>
      </c>
      <c r="H959" s="42">
        <v>3.0</v>
      </c>
      <c r="I959" s="42">
        <v>1.0</v>
      </c>
      <c r="J959" s="42">
        <v>2.0</v>
      </c>
      <c r="K959" s="42">
        <v>33.3</v>
      </c>
      <c r="L959" s="42">
        <v>66.7</v>
      </c>
      <c r="Q959" s="4"/>
    </row>
    <row r="960">
      <c r="A960" s="2"/>
      <c r="B960" s="43">
        <v>952.0</v>
      </c>
      <c r="C960" s="44" t="s">
        <v>32</v>
      </c>
      <c r="D960" s="53" t="s">
        <v>276</v>
      </c>
      <c r="E960" s="53" t="s">
        <v>323</v>
      </c>
      <c r="F960" s="53" t="s">
        <v>325</v>
      </c>
      <c r="G960" s="44" t="s">
        <v>325</v>
      </c>
      <c r="H960" s="45">
        <v>19.0</v>
      </c>
      <c r="I960" s="45">
        <v>7.0</v>
      </c>
      <c r="J960" s="45">
        <v>12.0</v>
      </c>
      <c r="K960" s="45">
        <v>36.8</v>
      </c>
      <c r="L960" s="45">
        <v>63.2</v>
      </c>
      <c r="Q960" s="4"/>
    </row>
    <row r="961">
      <c r="A961" s="2"/>
      <c r="B961" s="38">
        <v>953.0</v>
      </c>
      <c r="C961" s="39" t="s">
        <v>32</v>
      </c>
      <c r="D961" s="39" t="s">
        <v>276</v>
      </c>
      <c r="E961" s="39" t="s">
        <v>323</v>
      </c>
      <c r="F961" s="39" t="s">
        <v>325</v>
      </c>
      <c r="G961" s="41" t="s">
        <v>23</v>
      </c>
      <c r="H961" s="46"/>
      <c r="I961" s="46"/>
      <c r="J961" s="46"/>
      <c r="K961" s="46"/>
      <c r="L961" s="46"/>
      <c r="Q961" s="4"/>
    </row>
    <row r="962">
      <c r="A962" s="2"/>
      <c r="B962" s="38">
        <v>954.0</v>
      </c>
      <c r="C962" s="39" t="s">
        <v>32</v>
      </c>
      <c r="D962" s="39" t="s">
        <v>276</v>
      </c>
      <c r="E962" s="39" t="s">
        <v>323</v>
      </c>
      <c r="F962" s="39" t="s">
        <v>325</v>
      </c>
      <c r="G962" s="41" t="s">
        <v>25</v>
      </c>
      <c r="H962" s="42">
        <v>19.0</v>
      </c>
      <c r="I962" s="42">
        <v>7.0</v>
      </c>
      <c r="J962" s="42">
        <v>12.0</v>
      </c>
      <c r="K962" s="42">
        <v>36.8</v>
      </c>
      <c r="L962" s="42">
        <v>63.2</v>
      </c>
      <c r="Q962" s="4"/>
    </row>
    <row r="963">
      <c r="A963" s="2"/>
      <c r="B963" s="34">
        <v>955.0</v>
      </c>
      <c r="C963" s="35" t="s">
        <v>30</v>
      </c>
      <c r="D963" s="49" t="s">
        <v>276</v>
      </c>
      <c r="E963" s="49" t="s">
        <v>326</v>
      </c>
      <c r="F963" s="50"/>
      <c r="G963" s="35" t="s">
        <v>326</v>
      </c>
      <c r="H963" s="37">
        <v>7.0</v>
      </c>
      <c r="I963" s="37">
        <v>1.0</v>
      </c>
      <c r="J963" s="37">
        <v>6.0</v>
      </c>
      <c r="K963" s="37">
        <v>14.3</v>
      </c>
      <c r="L963" s="37">
        <v>85.7</v>
      </c>
      <c r="Q963" s="4"/>
    </row>
    <row r="964">
      <c r="A964" s="2"/>
      <c r="B964" s="38">
        <v>956.0</v>
      </c>
      <c r="C964" s="39" t="s">
        <v>30</v>
      </c>
      <c r="D964" s="39" t="s">
        <v>276</v>
      </c>
      <c r="E964" s="39" t="s">
        <v>326</v>
      </c>
      <c r="F964" s="40"/>
      <c r="G964" s="41" t="s">
        <v>23</v>
      </c>
      <c r="H964" s="46"/>
      <c r="I964" s="46"/>
      <c r="J964" s="46"/>
      <c r="K964" s="46"/>
      <c r="L964" s="46"/>
      <c r="Q964" s="4"/>
    </row>
    <row r="965">
      <c r="A965" s="2"/>
      <c r="B965" s="38">
        <v>957.0</v>
      </c>
      <c r="C965" s="39" t="s">
        <v>30</v>
      </c>
      <c r="D965" s="39" t="s">
        <v>276</v>
      </c>
      <c r="E965" s="39" t="s">
        <v>326</v>
      </c>
      <c r="F965" s="40"/>
      <c r="G965" s="41" t="s">
        <v>25</v>
      </c>
      <c r="H965" s="42">
        <v>7.0</v>
      </c>
      <c r="I965" s="42">
        <v>1.0</v>
      </c>
      <c r="J965" s="42">
        <v>6.0</v>
      </c>
      <c r="K965" s="42">
        <v>14.3</v>
      </c>
      <c r="L965" s="42">
        <v>85.7</v>
      </c>
      <c r="Q965" s="4"/>
    </row>
    <row r="966">
      <c r="A966" s="2"/>
      <c r="B966" s="43">
        <v>958.0</v>
      </c>
      <c r="C966" s="44" t="s">
        <v>32</v>
      </c>
      <c r="D966" s="53" t="s">
        <v>276</v>
      </c>
      <c r="E966" s="53" t="s">
        <v>326</v>
      </c>
      <c r="F966" s="53" t="s">
        <v>327</v>
      </c>
      <c r="G966" s="44" t="s">
        <v>327</v>
      </c>
      <c r="H966" s="45">
        <v>6.0</v>
      </c>
      <c r="I966" s="45">
        <v>0.0</v>
      </c>
      <c r="J966" s="45">
        <v>6.0</v>
      </c>
      <c r="K966" s="45">
        <v>0.0</v>
      </c>
      <c r="L966" s="45">
        <v>100.0</v>
      </c>
      <c r="Q966" s="4"/>
    </row>
    <row r="967">
      <c r="A967" s="2"/>
      <c r="B967" s="38">
        <v>959.0</v>
      </c>
      <c r="C967" s="39" t="s">
        <v>32</v>
      </c>
      <c r="D967" s="39" t="s">
        <v>276</v>
      </c>
      <c r="E967" s="39" t="s">
        <v>326</v>
      </c>
      <c r="F967" s="39" t="s">
        <v>327</v>
      </c>
      <c r="G967" s="41" t="s">
        <v>23</v>
      </c>
      <c r="H967" s="46"/>
      <c r="I967" s="46"/>
      <c r="J967" s="46"/>
      <c r="K967" s="46"/>
      <c r="L967" s="46"/>
      <c r="Q967" s="4"/>
    </row>
    <row r="968">
      <c r="A968" s="2"/>
      <c r="B968" s="38">
        <v>960.0</v>
      </c>
      <c r="C968" s="39" t="s">
        <v>32</v>
      </c>
      <c r="D968" s="39" t="s">
        <v>276</v>
      </c>
      <c r="E968" s="39" t="s">
        <v>326</v>
      </c>
      <c r="F968" s="39" t="s">
        <v>327</v>
      </c>
      <c r="G968" s="41" t="s">
        <v>25</v>
      </c>
      <c r="H968" s="42">
        <v>6.0</v>
      </c>
      <c r="I968" s="42">
        <v>0.0</v>
      </c>
      <c r="J968" s="42">
        <v>6.0</v>
      </c>
      <c r="K968" s="42">
        <v>0.0</v>
      </c>
      <c r="L968" s="42">
        <v>100.0</v>
      </c>
      <c r="Q968" s="4"/>
    </row>
    <row r="969">
      <c r="A969" s="2"/>
      <c r="B969" s="43">
        <v>961.0</v>
      </c>
      <c r="C969" s="44" t="s">
        <v>32</v>
      </c>
      <c r="D969" s="53" t="s">
        <v>276</v>
      </c>
      <c r="E969" s="53" t="s">
        <v>326</v>
      </c>
      <c r="F969" s="53" t="s">
        <v>328</v>
      </c>
      <c r="G969" s="44" t="s">
        <v>328</v>
      </c>
      <c r="H969" s="45">
        <v>1.0</v>
      </c>
      <c r="I969" s="45">
        <v>1.0</v>
      </c>
      <c r="J969" s="45">
        <v>0.0</v>
      </c>
      <c r="K969" s="45">
        <v>100.0</v>
      </c>
      <c r="L969" s="45">
        <v>0.0</v>
      </c>
      <c r="Q969" s="4"/>
    </row>
    <row r="970">
      <c r="A970" s="2"/>
      <c r="B970" s="38">
        <v>962.0</v>
      </c>
      <c r="C970" s="39" t="s">
        <v>32</v>
      </c>
      <c r="D970" s="39" t="s">
        <v>276</v>
      </c>
      <c r="E970" s="39" t="s">
        <v>326</v>
      </c>
      <c r="F970" s="39" t="s">
        <v>328</v>
      </c>
      <c r="G970" s="41" t="s">
        <v>23</v>
      </c>
      <c r="H970" s="46"/>
      <c r="I970" s="46"/>
      <c r="J970" s="46"/>
      <c r="K970" s="46"/>
      <c r="L970" s="46"/>
      <c r="Q970" s="4"/>
    </row>
    <row r="971">
      <c r="A971" s="2"/>
      <c r="B971" s="38">
        <v>963.0</v>
      </c>
      <c r="C971" s="39" t="s">
        <v>32</v>
      </c>
      <c r="D971" s="39" t="s">
        <v>276</v>
      </c>
      <c r="E971" s="39" t="s">
        <v>326</v>
      </c>
      <c r="F971" s="39" t="s">
        <v>328</v>
      </c>
      <c r="G971" s="41" t="s">
        <v>25</v>
      </c>
      <c r="H971" s="42">
        <v>1.0</v>
      </c>
      <c r="I971" s="42">
        <v>1.0</v>
      </c>
      <c r="J971" s="42">
        <v>0.0</v>
      </c>
      <c r="K971" s="42">
        <v>100.0</v>
      </c>
      <c r="L971" s="42">
        <v>0.0</v>
      </c>
      <c r="Q971" s="4"/>
    </row>
    <row r="972">
      <c r="A972" s="2"/>
      <c r="B972" s="34">
        <v>964.0</v>
      </c>
      <c r="C972" s="35" t="s">
        <v>30</v>
      </c>
      <c r="D972" s="49" t="s">
        <v>276</v>
      </c>
      <c r="E972" s="49" t="s">
        <v>329</v>
      </c>
      <c r="F972" s="50"/>
      <c r="G972" s="35" t="s">
        <v>329</v>
      </c>
      <c r="H972" s="37">
        <v>124.0</v>
      </c>
      <c r="I972" s="37">
        <v>17.0</v>
      </c>
      <c r="J972" s="37">
        <v>107.0</v>
      </c>
      <c r="K972" s="37">
        <v>13.7</v>
      </c>
      <c r="L972" s="37">
        <v>86.3</v>
      </c>
      <c r="Q972" s="4"/>
    </row>
    <row r="973">
      <c r="A973" s="2"/>
      <c r="B973" s="38">
        <v>965.0</v>
      </c>
      <c r="C973" s="39" t="s">
        <v>30</v>
      </c>
      <c r="D973" s="39" t="s">
        <v>276</v>
      </c>
      <c r="E973" s="39" t="s">
        <v>329</v>
      </c>
      <c r="F973" s="40"/>
      <c r="G973" s="41" t="s">
        <v>23</v>
      </c>
      <c r="H973" s="42">
        <v>87.0</v>
      </c>
      <c r="I973" s="42">
        <v>5.0</v>
      </c>
      <c r="J973" s="42">
        <v>82.0</v>
      </c>
      <c r="K973" s="42">
        <v>5.7</v>
      </c>
      <c r="L973" s="42">
        <v>94.3</v>
      </c>
      <c r="Q973" s="4"/>
    </row>
    <row r="974">
      <c r="A974" s="2"/>
      <c r="B974" s="38">
        <v>966.0</v>
      </c>
      <c r="C974" s="39" t="s">
        <v>30</v>
      </c>
      <c r="D974" s="39" t="s">
        <v>276</v>
      </c>
      <c r="E974" s="39" t="s">
        <v>329</v>
      </c>
      <c r="F974" s="40"/>
      <c r="G974" s="41" t="s">
        <v>25</v>
      </c>
      <c r="H974" s="42">
        <v>37.0</v>
      </c>
      <c r="I974" s="42">
        <v>12.0</v>
      </c>
      <c r="J974" s="42">
        <v>25.0</v>
      </c>
      <c r="K974" s="42">
        <v>32.4</v>
      </c>
      <c r="L974" s="42">
        <v>67.6</v>
      </c>
      <c r="Q974" s="4"/>
    </row>
    <row r="975">
      <c r="A975" s="2"/>
      <c r="B975" s="43">
        <v>967.0</v>
      </c>
      <c r="C975" s="44" t="s">
        <v>32</v>
      </c>
      <c r="D975" s="53" t="s">
        <v>276</v>
      </c>
      <c r="E975" s="53" t="s">
        <v>329</v>
      </c>
      <c r="F975" s="53" t="s">
        <v>330</v>
      </c>
      <c r="G975" s="44" t="s">
        <v>330</v>
      </c>
      <c r="H975" s="45">
        <v>124.0</v>
      </c>
      <c r="I975" s="45">
        <v>17.0</v>
      </c>
      <c r="J975" s="45">
        <v>107.0</v>
      </c>
      <c r="K975" s="45">
        <v>13.7</v>
      </c>
      <c r="L975" s="45">
        <v>86.3</v>
      </c>
      <c r="Q975" s="4"/>
    </row>
    <row r="976">
      <c r="A976" s="2"/>
      <c r="B976" s="38">
        <v>968.0</v>
      </c>
      <c r="C976" s="39" t="s">
        <v>32</v>
      </c>
      <c r="D976" s="39" t="s">
        <v>276</v>
      </c>
      <c r="E976" s="39" t="s">
        <v>329</v>
      </c>
      <c r="F976" s="39" t="s">
        <v>330</v>
      </c>
      <c r="G976" s="41" t="s">
        <v>23</v>
      </c>
      <c r="H976" s="42">
        <v>87.0</v>
      </c>
      <c r="I976" s="42">
        <v>5.0</v>
      </c>
      <c r="J976" s="42">
        <v>82.0</v>
      </c>
      <c r="K976" s="42">
        <v>5.7</v>
      </c>
      <c r="L976" s="42">
        <v>94.3</v>
      </c>
      <c r="Q976" s="4"/>
    </row>
    <row r="977">
      <c r="A977" s="2"/>
      <c r="B977" s="38">
        <v>969.0</v>
      </c>
      <c r="C977" s="39" t="s">
        <v>32</v>
      </c>
      <c r="D977" s="39" t="s">
        <v>276</v>
      </c>
      <c r="E977" s="39" t="s">
        <v>329</v>
      </c>
      <c r="F977" s="39" t="s">
        <v>330</v>
      </c>
      <c r="G977" s="41" t="s">
        <v>25</v>
      </c>
      <c r="H977" s="42">
        <v>37.0</v>
      </c>
      <c r="I977" s="42">
        <v>12.0</v>
      </c>
      <c r="J977" s="42">
        <v>25.0</v>
      </c>
      <c r="K977" s="42">
        <v>32.4</v>
      </c>
      <c r="L977" s="42">
        <v>67.6</v>
      </c>
      <c r="Q977" s="4"/>
    </row>
    <row r="978">
      <c r="A978" s="2"/>
      <c r="B978" s="34">
        <v>970.0</v>
      </c>
      <c r="C978" s="35" t="s">
        <v>30</v>
      </c>
      <c r="D978" s="49" t="s">
        <v>276</v>
      </c>
      <c r="E978" s="49" t="s">
        <v>331</v>
      </c>
      <c r="F978" s="50"/>
      <c r="G978" s="35" t="s">
        <v>331</v>
      </c>
      <c r="H978" s="37">
        <v>13.0</v>
      </c>
      <c r="I978" s="37">
        <v>0.0</v>
      </c>
      <c r="J978" s="37">
        <v>13.0</v>
      </c>
      <c r="K978" s="37">
        <v>0.0</v>
      </c>
      <c r="L978" s="37">
        <v>100.0</v>
      </c>
      <c r="Q978" s="4"/>
    </row>
    <row r="979">
      <c r="A979" s="2"/>
      <c r="B979" s="38">
        <v>971.0</v>
      </c>
      <c r="C979" s="39" t="s">
        <v>30</v>
      </c>
      <c r="D979" s="39" t="s">
        <v>276</v>
      </c>
      <c r="E979" s="39" t="s">
        <v>331</v>
      </c>
      <c r="F979" s="40"/>
      <c r="G979" s="41" t="s">
        <v>23</v>
      </c>
      <c r="H979" s="46"/>
      <c r="I979" s="46"/>
      <c r="J979" s="46"/>
      <c r="K979" s="46"/>
      <c r="L979" s="46"/>
      <c r="Q979" s="4"/>
    </row>
    <row r="980">
      <c r="A980" s="2"/>
      <c r="B980" s="38">
        <v>972.0</v>
      </c>
      <c r="C980" s="39" t="s">
        <v>30</v>
      </c>
      <c r="D980" s="39" t="s">
        <v>276</v>
      </c>
      <c r="E980" s="39" t="s">
        <v>331</v>
      </c>
      <c r="F980" s="40"/>
      <c r="G980" s="41" t="s">
        <v>25</v>
      </c>
      <c r="H980" s="42">
        <v>13.0</v>
      </c>
      <c r="I980" s="42">
        <v>0.0</v>
      </c>
      <c r="J980" s="42">
        <v>13.0</v>
      </c>
      <c r="K980" s="42">
        <v>0.0</v>
      </c>
      <c r="L980" s="42">
        <v>100.0</v>
      </c>
      <c r="Q980" s="4"/>
    </row>
    <row r="981">
      <c r="A981" s="2"/>
      <c r="B981" s="43">
        <v>973.0</v>
      </c>
      <c r="C981" s="44" t="s">
        <v>32</v>
      </c>
      <c r="D981" s="53" t="s">
        <v>276</v>
      </c>
      <c r="E981" s="53" t="s">
        <v>331</v>
      </c>
      <c r="F981" s="53" t="s">
        <v>332</v>
      </c>
      <c r="G981" s="44" t="s">
        <v>332</v>
      </c>
      <c r="H981" s="45">
        <v>13.0</v>
      </c>
      <c r="I981" s="45">
        <v>0.0</v>
      </c>
      <c r="J981" s="45">
        <v>13.0</v>
      </c>
      <c r="K981" s="45">
        <v>0.0</v>
      </c>
      <c r="L981" s="45">
        <v>100.0</v>
      </c>
      <c r="Q981" s="4"/>
    </row>
    <row r="982">
      <c r="A982" s="2"/>
      <c r="B982" s="38">
        <v>974.0</v>
      </c>
      <c r="C982" s="39" t="s">
        <v>32</v>
      </c>
      <c r="D982" s="39" t="s">
        <v>276</v>
      </c>
      <c r="E982" s="39" t="s">
        <v>331</v>
      </c>
      <c r="F982" s="39" t="s">
        <v>332</v>
      </c>
      <c r="G982" s="41" t="s">
        <v>23</v>
      </c>
      <c r="H982" s="46"/>
      <c r="I982" s="46"/>
      <c r="J982" s="46"/>
      <c r="K982" s="46"/>
      <c r="L982" s="46"/>
      <c r="Q982" s="4"/>
    </row>
    <row r="983">
      <c r="A983" s="2"/>
      <c r="B983" s="38">
        <v>975.0</v>
      </c>
      <c r="C983" s="39" t="s">
        <v>32</v>
      </c>
      <c r="D983" s="39" t="s">
        <v>276</v>
      </c>
      <c r="E983" s="39" t="s">
        <v>331</v>
      </c>
      <c r="F983" s="39" t="s">
        <v>332</v>
      </c>
      <c r="G983" s="41" t="s">
        <v>25</v>
      </c>
      <c r="H983" s="42">
        <v>13.0</v>
      </c>
      <c r="I983" s="42">
        <v>0.0</v>
      </c>
      <c r="J983" s="42">
        <v>13.0</v>
      </c>
      <c r="K983" s="42">
        <v>0.0</v>
      </c>
      <c r="L983" s="42">
        <v>100.0</v>
      </c>
      <c r="Q983" s="4"/>
    </row>
    <row r="984">
      <c r="A984" s="2"/>
      <c r="B984" s="24">
        <v>976.0</v>
      </c>
      <c r="C984" s="25" t="s">
        <v>26</v>
      </c>
      <c r="D984" s="25" t="s">
        <v>333</v>
      </c>
      <c r="E984" s="26"/>
      <c r="F984" s="26"/>
      <c r="G984" s="25" t="s">
        <v>333</v>
      </c>
      <c r="H984" s="28">
        <v>647.0</v>
      </c>
      <c r="I984" s="28">
        <v>122.0</v>
      </c>
      <c r="J984" s="28">
        <v>525.0</v>
      </c>
      <c r="K984" s="28">
        <v>18.9</v>
      </c>
      <c r="L984" s="28">
        <v>81.1</v>
      </c>
      <c r="Q984" s="4"/>
    </row>
    <row r="985">
      <c r="A985" s="2"/>
      <c r="B985" s="29">
        <v>977.0</v>
      </c>
      <c r="C985" s="30" t="s">
        <v>26</v>
      </c>
      <c r="D985" s="47" t="s">
        <v>333</v>
      </c>
      <c r="E985" s="48"/>
      <c r="F985" s="48"/>
      <c r="G985" s="30" t="s">
        <v>23</v>
      </c>
      <c r="H985" s="33">
        <v>454.0</v>
      </c>
      <c r="I985" s="33">
        <v>83.0</v>
      </c>
      <c r="J985" s="33">
        <v>371.0</v>
      </c>
      <c r="K985" s="33">
        <v>18.3</v>
      </c>
      <c r="L985" s="33">
        <v>81.7</v>
      </c>
      <c r="Q985" s="4"/>
    </row>
    <row r="986">
      <c r="A986" s="2"/>
      <c r="B986" s="29">
        <v>978.0</v>
      </c>
      <c r="C986" s="30" t="s">
        <v>26</v>
      </c>
      <c r="D986" s="47" t="s">
        <v>333</v>
      </c>
      <c r="E986" s="48"/>
      <c r="F986" s="48"/>
      <c r="G986" s="30" t="s">
        <v>25</v>
      </c>
      <c r="H986" s="33">
        <v>193.0</v>
      </c>
      <c r="I986" s="33">
        <v>39.0</v>
      </c>
      <c r="J986" s="33">
        <v>154.0</v>
      </c>
      <c r="K986" s="33">
        <v>20.2</v>
      </c>
      <c r="L986" s="33">
        <v>79.8</v>
      </c>
      <c r="Q986" s="4"/>
    </row>
    <row r="987">
      <c r="A987" s="2"/>
      <c r="B987" s="34">
        <v>979.0</v>
      </c>
      <c r="C987" s="35" t="s">
        <v>30</v>
      </c>
      <c r="D987" s="49" t="s">
        <v>333</v>
      </c>
      <c r="E987" s="49" t="s">
        <v>177</v>
      </c>
      <c r="F987" s="50"/>
      <c r="G987" s="35" t="s">
        <v>177</v>
      </c>
      <c r="H987" s="37">
        <v>269.0</v>
      </c>
      <c r="I987" s="37">
        <v>63.0</v>
      </c>
      <c r="J987" s="37">
        <v>206.0</v>
      </c>
      <c r="K987" s="37">
        <v>23.4</v>
      </c>
      <c r="L987" s="37">
        <v>76.6</v>
      </c>
      <c r="Q987" s="4"/>
    </row>
    <row r="988">
      <c r="A988" s="2"/>
      <c r="B988" s="38">
        <v>980.0</v>
      </c>
      <c r="C988" s="39" t="s">
        <v>30</v>
      </c>
      <c r="D988" s="39" t="s">
        <v>333</v>
      </c>
      <c r="E988" s="39" t="s">
        <v>177</v>
      </c>
      <c r="F988" s="40"/>
      <c r="G988" s="41" t="s">
        <v>23</v>
      </c>
      <c r="H988" s="42">
        <v>221.0</v>
      </c>
      <c r="I988" s="42">
        <v>56.0</v>
      </c>
      <c r="J988" s="42">
        <v>165.0</v>
      </c>
      <c r="K988" s="42">
        <v>25.3</v>
      </c>
      <c r="L988" s="42">
        <v>74.7</v>
      </c>
      <c r="Q988" s="4"/>
    </row>
    <row r="989">
      <c r="A989" s="2"/>
      <c r="B989" s="38">
        <v>981.0</v>
      </c>
      <c r="C989" s="39" t="s">
        <v>30</v>
      </c>
      <c r="D989" s="39" t="s">
        <v>333</v>
      </c>
      <c r="E989" s="39" t="s">
        <v>177</v>
      </c>
      <c r="F989" s="40"/>
      <c r="G989" s="41" t="s">
        <v>25</v>
      </c>
      <c r="H989" s="42">
        <v>48.0</v>
      </c>
      <c r="I989" s="42">
        <v>7.0</v>
      </c>
      <c r="J989" s="42">
        <v>41.0</v>
      </c>
      <c r="K989" s="42">
        <v>14.6</v>
      </c>
      <c r="L989" s="42">
        <v>85.4</v>
      </c>
      <c r="Q989" s="4"/>
    </row>
    <row r="990">
      <c r="A990" s="2"/>
      <c r="B990" s="43">
        <v>982.0</v>
      </c>
      <c r="C990" s="44" t="s">
        <v>32</v>
      </c>
      <c r="D990" s="53" t="s">
        <v>333</v>
      </c>
      <c r="E990" s="53" t="s">
        <v>177</v>
      </c>
      <c r="F990" s="53" t="s">
        <v>333</v>
      </c>
      <c r="G990" s="44" t="s">
        <v>333</v>
      </c>
      <c r="H990" s="45">
        <v>269.0</v>
      </c>
      <c r="I990" s="45">
        <v>63.0</v>
      </c>
      <c r="J990" s="45">
        <v>206.0</v>
      </c>
      <c r="K990" s="45">
        <v>23.4</v>
      </c>
      <c r="L990" s="45">
        <v>76.6</v>
      </c>
      <c r="Q990" s="4"/>
    </row>
    <row r="991">
      <c r="A991" s="2"/>
      <c r="B991" s="38">
        <v>983.0</v>
      </c>
      <c r="C991" s="39" t="s">
        <v>32</v>
      </c>
      <c r="D991" s="39" t="s">
        <v>333</v>
      </c>
      <c r="E991" s="39" t="s">
        <v>177</v>
      </c>
      <c r="F991" s="39" t="s">
        <v>333</v>
      </c>
      <c r="G991" s="41" t="s">
        <v>23</v>
      </c>
      <c r="H991" s="42">
        <v>221.0</v>
      </c>
      <c r="I991" s="42">
        <v>56.0</v>
      </c>
      <c r="J991" s="42">
        <v>165.0</v>
      </c>
      <c r="K991" s="42">
        <v>25.3</v>
      </c>
      <c r="L991" s="42">
        <v>74.7</v>
      </c>
      <c r="Q991" s="4"/>
    </row>
    <row r="992">
      <c r="A992" s="2"/>
      <c r="B992" s="38">
        <v>984.0</v>
      </c>
      <c r="C992" s="39" t="s">
        <v>32</v>
      </c>
      <c r="D992" s="39" t="s">
        <v>333</v>
      </c>
      <c r="E992" s="39" t="s">
        <v>177</v>
      </c>
      <c r="F992" s="39" t="s">
        <v>333</v>
      </c>
      <c r="G992" s="41" t="s">
        <v>25</v>
      </c>
      <c r="H992" s="42">
        <v>48.0</v>
      </c>
      <c r="I992" s="42">
        <v>7.0</v>
      </c>
      <c r="J992" s="42">
        <v>41.0</v>
      </c>
      <c r="K992" s="42">
        <v>14.6</v>
      </c>
      <c r="L992" s="42">
        <v>85.4</v>
      </c>
      <c r="Q992" s="4"/>
    </row>
    <row r="993">
      <c r="A993" s="2"/>
      <c r="B993" s="34">
        <v>985.0</v>
      </c>
      <c r="C993" s="35" t="s">
        <v>30</v>
      </c>
      <c r="D993" s="49" t="s">
        <v>333</v>
      </c>
      <c r="E993" s="49" t="s">
        <v>334</v>
      </c>
      <c r="F993" s="50"/>
      <c r="G993" s="35" t="s">
        <v>334</v>
      </c>
      <c r="H993" s="37">
        <v>45.0</v>
      </c>
      <c r="I993" s="37">
        <v>13.0</v>
      </c>
      <c r="J993" s="37">
        <v>32.0</v>
      </c>
      <c r="K993" s="37">
        <v>28.9</v>
      </c>
      <c r="L993" s="37">
        <v>71.1</v>
      </c>
      <c r="Q993" s="4"/>
    </row>
    <row r="994">
      <c r="A994" s="2"/>
      <c r="B994" s="38">
        <v>986.0</v>
      </c>
      <c r="C994" s="39" t="s">
        <v>30</v>
      </c>
      <c r="D994" s="39" t="s">
        <v>333</v>
      </c>
      <c r="E994" s="39" t="s">
        <v>334</v>
      </c>
      <c r="F994" s="40"/>
      <c r="G994" s="41" t="s">
        <v>23</v>
      </c>
      <c r="H994" s="42">
        <v>33.0</v>
      </c>
      <c r="I994" s="42">
        <v>8.0</v>
      </c>
      <c r="J994" s="42">
        <v>25.0</v>
      </c>
      <c r="K994" s="42">
        <v>24.2</v>
      </c>
      <c r="L994" s="42">
        <v>75.8</v>
      </c>
      <c r="Q994" s="4"/>
    </row>
    <row r="995">
      <c r="A995" s="2"/>
      <c r="B995" s="38">
        <v>987.0</v>
      </c>
      <c r="C995" s="39" t="s">
        <v>30</v>
      </c>
      <c r="D995" s="39" t="s">
        <v>333</v>
      </c>
      <c r="E995" s="39" t="s">
        <v>334</v>
      </c>
      <c r="F995" s="40"/>
      <c r="G995" s="41" t="s">
        <v>25</v>
      </c>
      <c r="H995" s="42">
        <v>12.0</v>
      </c>
      <c r="I995" s="42">
        <v>5.0</v>
      </c>
      <c r="J995" s="42">
        <v>7.0</v>
      </c>
      <c r="K995" s="42">
        <v>41.7</v>
      </c>
      <c r="L995" s="42">
        <v>58.3</v>
      </c>
      <c r="Q995" s="4"/>
    </row>
    <row r="996">
      <c r="A996" s="2"/>
      <c r="B996" s="43">
        <v>988.0</v>
      </c>
      <c r="C996" s="44" t="s">
        <v>32</v>
      </c>
      <c r="D996" s="53" t="s">
        <v>333</v>
      </c>
      <c r="E996" s="53" t="s">
        <v>334</v>
      </c>
      <c r="F996" s="53" t="s">
        <v>335</v>
      </c>
      <c r="G996" s="44" t="s">
        <v>335</v>
      </c>
      <c r="H996" s="45">
        <v>11.0</v>
      </c>
      <c r="I996" s="45">
        <v>5.0</v>
      </c>
      <c r="J996" s="45">
        <v>6.0</v>
      </c>
      <c r="K996" s="45">
        <v>45.5</v>
      </c>
      <c r="L996" s="45">
        <v>54.5</v>
      </c>
      <c r="Q996" s="4"/>
    </row>
    <row r="997">
      <c r="A997" s="2"/>
      <c r="B997" s="38">
        <v>989.0</v>
      </c>
      <c r="C997" s="39" t="s">
        <v>32</v>
      </c>
      <c r="D997" s="39" t="s">
        <v>333</v>
      </c>
      <c r="E997" s="39" t="s">
        <v>334</v>
      </c>
      <c r="F997" s="39" t="s">
        <v>335</v>
      </c>
      <c r="G997" s="41" t="s">
        <v>23</v>
      </c>
      <c r="H997" s="46"/>
      <c r="I997" s="46"/>
      <c r="J997" s="46"/>
      <c r="K997" s="46"/>
      <c r="L997" s="46"/>
      <c r="Q997" s="4"/>
    </row>
    <row r="998">
      <c r="A998" s="2"/>
      <c r="B998" s="38">
        <v>990.0</v>
      </c>
      <c r="C998" s="39" t="s">
        <v>32</v>
      </c>
      <c r="D998" s="39" t="s">
        <v>333</v>
      </c>
      <c r="E998" s="39" t="s">
        <v>334</v>
      </c>
      <c r="F998" s="39" t="s">
        <v>335</v>
      </c>
      <c r="G998" s="41" t="s">
        <v>25</v>
      </c>
      <c r="H998" s="42">
        <v>11.0</v>
      </c>
      <c r="I998" s="42">
        <v>5.0</v>
      </c>
      <c r="J998" s="42">
        <v>6.0</v>
      </c>
      <c r="K998" s="42">
        <v>45.5</v>
      </c>
      <c r="L998" s="42">
        <v>54.5</v>
      </c>
      <c r="Q998" s="4"/>
    </row>
    <row r="999">
      <c r="A999" s="2"/>
      <c r="B999" s="43">
        <v>991.0</v>
      </c>
      <c r="C999" s="44" t="s">
        <v>32</v>
      </c>
      <c r="D999" s="53" t="s">
        <v>333</v>
      </c>
      <c r="E999" s="53" t="s">
        <v>334</v>
      </c>
      <c r="F999" s="53" t="s">
        <v>336</v>
      </c>
      <c r="G999" s="44" t="s">
        <v>336</v>
      </c>
      <c r="H999" s="45">
        <v>34.0</v>
      </c>
      <c r="I999" s="45">
        <v>8.0</v>
      </c>
      <c r="J999" s="45">
        <v>26.0</v>
      </c>
      <c r="K999" s="45">
        <v>23.5</v>
      </c>
      <c r="L999" s="45">
        <v>76.5</v>
      </c>
      <c r="Q999" s="4"/>
    </row>
    <row r="1000">
      <c r="A1000" s="2"/>
      <c r="B1000" s="38">
        <v>992.0</v>
      </c>
      <c r="C1000" s="39" t="s">
        <v>32</v>
      </c>
      <c r="D1000" s="39" t="s">
        <v>333</v>
      </c>
      <c r="E1000" s="39" t="s">
        <v>334</v>
      </c>
      <c r="F1000" s="39" t="s">
        <v>336</v>
      </c>
      <c r="G1000" s="41" t="s">
        <v>23</v>
      </c>
      <c r="H1000" s="42">
        <v>33.0</v>
      </c>
      <c r="I1000" s="42">
        <v>8.0</v>
      </c>
      <c r="J1000" s="42">
        <v>25.0</v>
      </c>
      <c r="K1000" s="42">
        <v>24.2</v>
      </c>
      <c r="L1000" s="42">
        <v>75.8</v>
      </c>
      <c r="Q1000" s="4"/>
    </row>
    <row r="1001">
      <c r="A1001" s="2"/>
      <c r="B1001" s="38">
        <v>993.0</v>
      </c>
      <c r="C1001" s="39" t="s">
        <v>32</v>
      </c>
      <c r="D1001" s="39" t="s">
        <v>333</v>
      </c>
      <c r="E1001" s="39" t="s">
        <v>334</v>
      </c>
      <c r="F1001" s="39" t="s">
        <v>336</v>
      </c>
      <c r="G1001" s="41" t="s">
        <v>25</v>
      </c>
      <c r="H1001" s="42">
        <v>1.0</v>
      </c>
      <c r="I1001" s="42">
        <v>0.0</v>
      </c>
      <c r="J1001" s="42">
        <v>1.0</v>
      </c>
      <c r="K1001" s="42">
        <v>0.0</v>
      </c>
      <c r="L1001" s="42">
        <v>100.0</v>
      </c>
      <c r="Q1001" s="4"/>
    </row>
    <row r="1002">
      <c r="A1002" s="2"/>
      <c r="B1002" s="34">
        <v>994.0</v>
      </c>
      <c r="C1002" s="35" t="s">
        <v>30</v>
      </c>
      <c r="D1002" s="49" t="s">
        <v>333</v>
      </c>
      <c r="E1002" s="49" t="s">
        <v>337</v>
      </c>
      <c r="F1002" s="50"/>
      <c r="G1002" s="35" t="s">
        <v>337</v>
      </c>
      <c r="H1002" s="37">
        <v>260.0</v>
      </c>
      <c r="I1002" s="37">
        <v>24.0</v>
      </c>
      <c r="J1002" s="37">
        <v>236.0</v>
      </c>
      <c r="K1002" s="37">
        <v>9.2</v>
      </c>
      <c r="L1002" s="37">
        <v>90.8</v>
      </c>
      <c r="Q1002" s="4"/>
    </row>
    <row r="1003">
      <c r="A1003" s="2"/>
      <c r="B1003" s="38">
        <v>995.0</v>
      </c>
      <c r="C1003" s="39" t="s">
        <v>30</v>
      </c>
      <c r="D1003" s="39" t="s">
        <v>333</v>
      </c>
      <c r="E1003" s="39" t="s">
        <v>337</v>
      </c>
      <c r="F1003" s="40"/>
      <c r="G1003" s="41" t="s">
        <v>23</v>
      </c>
      <c r="H1003" s="42">
        <v>191.0</v>
      </c>
      <c r="I1003" s="42">
        <v>17.0</v>
      </c>
      <c r="J1003" s="42">
        <v>174.0</v>
      </c>
      <c r="K1003" s="42">
        <v>8.9</v>
      </c>
      <c r="L1003" s="42">
        <v>91.1</v>
      </c>
      <c r="Q1003" s="4"/>
    </row>
    <row r="1004">
      <c r="A1004" s="2"/>
      <c r="B1004" s="38">
        <v>996.0</v>
      </c>
      <c r="C1004" s="39" t="s">
        <v>30</v>
      </c>
      <c r="D1004" s="39" t="s">
        <v>333</v>
      </c>
      <c r="E1004" s="39" t="s">
        <v>337</v>
      </c>
      <c r="F1004" s="40"/>
      <c r="G1004" s="41" t="s">
        <v>25</v>
      </c>
      <c r="H1004" s="42">
        <v>69.0</v>
      </c>
      <c r="I1004" s="42">
        <v>7.0</v>
      </c>
      <c r="J1004" s="42">
        <v>62.0</v>
      </c>
      <c r="K1004" s="42">
        <v>10.1</v>
      </c>
      <c r="L1004" s="42">
        <v>89.9</v>
      </c>
      <c r="Q1004" s="4"/>
    </row>
    <row r="1005">
      <c r="A1005" s="2"/>
      <c r="B1005" s="43">
        <v>997.0</v>
      </c>
      <c r="C1005" s="44" t="s">
        <v>32</v>
      </c>
      <c r="D1005" s="53" t="s">
        <v>333</v>
      </c>
      <c r="E1005" s="53" t="s">
        <v>337</v>
      </c>
      <c r="F1005" s="53" t="s">
        <v>338</v>
      </c>
      <c r="G1005" s="44" t="s">
        <v>338</v>
      </c>
      <c r="H1005" s="45">
        <v>188.0</v>
      </c>
      <c r="I1005" s="45">
        <v>15.0</v>
      </c>
      <c r="J1005" s="45">
        <v>173.0</v>
      </c>
      <c r="K1005" s="45">
        <v>8.0</v>
      </c>
      <c r="L1005" s="45">
        <v>92.0</v>
      </c>
      <c r="Q1005" s="4"/>
    </row>
    <row r="1006">
      <c r="A1006" s="2"/>
      <c r="B1006" s="38">
        <v>998.0</v>
      </c>
      <c r="C1006" s="39" t="s">
        <v>32</v>
      </c>
      <c r="D1006" s="39" t="s">
        <v>333</v>
      </c>
      <c r="E1006" s="39" t="s">
        <v>337</v>
      </c>
      <c r="F1006" s="39" t="s">
        <v>338</v>
      </c>
      <c r="G1006" s="41" t="s">
        <v>23</v>
      </c>
      <c r="H1006" s="42">
        <v>152.0</v>
      </c>
      <c r="I1006" s="42">
        <v>12.0</v>
      </c>
      <c r="J1006" s="42">
        <v>140.0</v>
      </c>
      <c r="K1006" s="42">
        <v>7.9</v>
      </c>
      <c r="L1006" s="42">
        <v>92.1</v>
      </c>
      <c r="Q1006" s="4"/>
    </row>
    <row r="1007">
      <c r="A1007" s="2"/>
      <c r="B1007" s="38">
        <v>999.0</v>
      </c>
      <c r="C1007" s="39" t="s">
        <v>32</v>
      </c>
      <c r="D1007" s="39" t="s">
        <v>333</v>
      </c>
      <c r="E1007" s="39" t="s">
        <v>337</v>
      </c>
      <c r="F1007" s="39" t="s">
        <v>338</v>
      </c>
      <c r="G1007" s="41" t="s">
        <v>25</v>
      </c>
      <c r="H1007" s="42">
        <v>36.0</v>
      </c>
      <c r="I1007" s="42">
        <v>3.0</v>
      </c>
      <c r="J1007" s="42">
        <v>33.0</v>
      </c>
      <c r="K1007" s="42">
        <v>8.3</v>
      </c>
      <c r="L1007" s="42">
        <v>91.7</v>
      </c>
      <c r="Q1007" s="4"/>
    </row>
    <row r="1008">
      <c r="A1008" s="2"/>
      <c r="B1008" s="43">
        <v>1000.0</v>
      </c>
      <c r="C1008" s="44" t="s">
        <v>32</v>
      </c>
      <c r="D1008" s="53" t="s">
        <v>333</v>
      </c>
      <c r="E1008" s="53" t="s">
        <v>337</v>
      </c>
      <c r="F1008" s="53" t="s">
        <v>339</v>
      </c>
      <c r="G1008" s="44" t="s">
        <v>339</v>
      </c>
      <c r="H1008" s="45">
        <v>13.0</v>
      </c>
      <c r="I1008" s="45">
        <v>3.0</v>
      </c>
      <c r="J1008" s="45">
        <v>10.0</v>
      </c>
      <c r="K1008" s="45">
        <v>23.1</v>
      </c>
      <c r="L1008" s="45">
        <v>76.9</v>
      </c>
      <c r="Q1008" s="4"/>
    </row>
    <row r="1009">
      <c r="A1009" s="2"/>
      <c r="B1009" s="38">
        <v>1001.0</v>
      </c>
      <c r="C1009" s="39" t="s">
        <v>32</v>
      </c>
      <c r="D1009" s="39" t="s">
        <v>333</v>
      </c>
      <c r="E1009" s="39" t="s">
        <v>337</v>
      </c>
      <c r="F1009" s="39" t="s">
        <v>339</v>
      </c>
      <c r="G1009" s="41" t="s">
        <v>23</v>
      </c>
      <c r="H1009" s="42">
        <v>4.0</v>
      </c>
      <c r="I1009" s="42">
        <v>0.0</v>
      </c>
      <c r="J1009" s="42">
        <v>4.0</v>
      </c>
      <c r="K1009" s="42">
        <v>0.0</v>
      </c>
      <c r="L1009" s="42">
        <v>100.0</v>
      </c>
      <c r="Q1009" s="4"/>
    </row>
    <row r="1010">
      <c r="A1010" s="2"/>
      <c r="B1010" s="38">
        <v>1002.0</v>
      </c>
      <c r="C1010" s="39" t="s">
        <v>32</v>
      </c>
      <c r="D1010" s="39" t="s">
        <v>333</v>
      </c>
      <c r="E1010" s="39" t="s">
        <v>337</v>
      </c>
      <c r="F1010" s="39" t="s">
        <v>339</v>
      </c>
      <c r="G1010" s="41" t="s">
        <v>25</v>
      </c>
      <c r="H1010" s="42">
        <v>9.0</v>
      </c>
      <c r="I1010" s="42">
        <v>3.0</v>
      </c>
      <c r="J1010" s="42">
        <v>6.0</v>
      </c>
      <c r="K1010" s="42">
        <v>33.3</v>
      </c>
      <c r="L1010" s="42">
        <v>66.7</v>
      </c>
      <c r="Q1010" s="4"/>
    </row>
    <row r="1011">
      <c r="A1011" s="2"/>
      <c r="B1011" s="43">
        <v>1003.0</v>
      </c>
      <c r="C1011" s="44" t="s">
        <v>32</v>
      </c>
      <c r="D1011" s="53" t="s">
        <v>333</v>
      </c>
      <c r="E1011" s="53" t="s">
        <v>337</v>
      </c>
      <c r="F1011" s="53" t="s">
        <v>340</v>
      </c>
      <c r="G1011" s="44" t="s">
        <v>340</v>
      </c>
      <c r="H1011" s="45">
        <v>59.0</v>
      </c>
      <c r="I1011" s="45">
        <v>6.0</v>
      </c>
      <c r="J1011" s="45">
        <v>53.0</v>
      </c>
      <c r="K1011" s="45">
        <v>10.2</v>
      </c>
      <c r="L1011" s="45">
        <v>89.8</v>
      </c>
      <c r="Q1011" s="4"/>
    </row>
    <row r="1012">
      <c r="A1012" s="2"/>
      <c r="B1012" s="38">
        <v>1004.0</v>
      </c>
      <c r="C1012" s="39" t="s">
        <v>32</v>
      </c>
      <c r="D1012" s="39" t="s">
        <v>333</v>
      </c>
      <c r="E1012" s="39" t="s">
        <v>337</v>
      </c>
      <c r="F1012" s="39" t="s">
        <v>340</v>
      </c>
      <c r="G1012" s="41" t="s">
        <v>23</v>
      </c>
      <c r="H1012" s="42">
        <v>35.0</v>
      </c>
      <c r="I1012" s="42">
        <v>5.0</v>
      </c>
      <c r="J1012" s="42">
        <v>30.0</v>
      </c>
      <c r="K1012" s="42">
        <v>14.3</v>
      </c>
      <c r="L1012" s="42">
        <v>85.7</v>
      </c>
      <c r="Q1012" s="4"/>
    </row>
    <row r="1013">
      <c r="A1013" s="2"/>
      <c r="B1013" s="38">
        <v>1005.0</v>
      </c>
      <c r="C1013" s="39" t="s">
        <v>32</v>
      </c>
      <c r="D1013" s="39" t="s">
        <v>333</v>
      </c>
      <c r="E1013" s="39" t="s">
        <v>337</v>
      </c>
      <c r="F1013" s="39" t="s">
        <v>340</v>
      </c>
      <c r="G1013" s="41" t="s">
        <v>25</v>
      </c>
      <c r="H1013" s="42">
        <v>24.0</v>
      </c>
      <c r="I1013" s="42">
        <v>1.0</v>
      </c>
      <c r="J1013" s="42">
        <v>23.0</v>
      </c>
      <c r="K1013" s="42">
        <v>4.2</v>
      </c>
      <c r="L1013" s="42">
        <v>95.8</v>
      </c>
      <c r="Q1013" s="4"/>
    </row>
    <row r="1014">
      <c r="A1014" s="2"/>
      <c r="B1014" s="34">
        <v>1006.0</v>
      </c>
      <c r="C1014" s="35" t="s">
        <v>30</v>
      </c>
      <c r="D1014" s="49" t="s">
        <v>333</v>
      </c>
      <c r="E1014" s="49" t="s">
        <v>341</v>
      </c>
      <c r="F1014" s="50"/>
      <c r="G1014" s="35" t="s">
        <v>341</v>
      </c>
      <c r="H1014" s="37">
        <v>17.0</v>
      </c>
      <c r="I1014" s="37">
        <v>3.0</v>
      </c>
      <c r="J1014" s="37">
        <v>14.0</v>
      </c>
      <c r="K1014" s="37">
        <v>17.6</v>
      </c>
      <c r="L1014" s="37">
        <v>82.4</v>
      </c>
      <c r="Q1014" s="4"/>
    </row>
    <row r="1015">
      <c r="A1015" s="2"/>
      <c r="B1015" s="38">
        <v>1007.0</v>
      </c>
      <c r="C1015" s="39" t="s">
        <v>30</v>
      </c>
      <c r="D1015" s="39" t="s">
        <v>333</v>
      </c>
      <c r="E1015" s="39" t="s">
        <v>341</v>
      </c>
      <c r="F1015" s="40"/>
      <c r="G1015" s="41" t="s">
        <v>23</v>
      </c>
      <c r="H1015" s="42">
        <v>2.0</v>
      </c>
      <c r="I1015" s="42">
        <v>2.0</v>
      </c>
      <c r="J1015" s="42">
        <v>0.0</v>
      </c>
      <c r="K1015" s="42">
        <v>100.0</v>
      </c>
      <c r="L1015" s="42">
        <v>0.0</v>
      </c>
      <c r="Q1015" s="4"/>
    </row>
    <row r="1016">
      <c r="A1016" s="2"/>
      <c r="B1016" s="38">
        <v>1008.0</v>
      </c>
      <c r="C1016" s="39" t="s">
        <v>30</v>
      </c>
      <c r="D1016" s="39" t="s">
        <v>333</v>
      </c>
      <c r="E1016" s="39" t="s">
        <v>341</v>
      </c>
      <c r="F1016" s="40"/>
      <c r="G1016" s="41" t="s">
        <v>25</v>
      </c>
      <c r="H1016" s="42">
        <v>15.0</v>
      </c>
      <c r="I1016" s="42">
        <v>1.0</v>
      </c>
      <c r="J1016" s="42">
        <v>14.0</v>
      </c>
      <c r="K1016" s="42">
        <v>6.7</v>
      </c>
      <c r="L1016" s="42">
        <v>93.3</v>
      </c>
      <c r="Q1016" s="4"/>
    </row>
    <row r="1017">
      <c r="A1017" s="2"/>
      <c r="B1017" s="43">
        <v>1009.0</v>
      </c>
      <c r="C1017" s="44" t="s">
        <v>32</v>
      </c>
      <c r="D1017" s="53" t="s">
        <v>333</v>
      </c>
      <c r="E1017" s="53" t="s">
        <v>341</v>
      </c>
      <c r="F1017" s="53" t="s">
        <v>342</v>
      </c>
      <c r="G1017" s="44" t="s">
        <v>342</v>
      </c>
      <c r="H1017" s="45">
        <v>10.0</v>
      </c>
      <c r="I1017" s="45">
        <v>3.0</v>
      </c>
      <c r="J1017" s="45">
        <v>7.0</v>
      </c>
      <c r="K1017" s="45">
        <v>30.0</v>
      </c>
      <c r="L1017" s="45">
        <v>70.0</v>
      </c>
      <c r="Q1017" s="4"/>
    </row>
    <row r="1018">
      <c r="A1018" s="2"/>
      <c r="B1018" s="38">
        <v>1010.0</v>
      </c>
      <c r="C1018" s="39" t="s">
        <v>32</v>
      </c>
      <c r="D1018" s="39" t="s">
        <v>333</v>
      </c>
      <c r="E1018" s="39" t="s">
        <v>341</v>
      </c>
      <c r="F1018" s="39" t="s">
        <v>342</v>
      </c>
      <c r="G1018" s="41" t="s">
        <v>23</v>
      </c>
      <c r="H1018" s="42">
        <v>2.0</v>
      </c>
      <c r="I1018" s="42">
        <v>2.0</v>
      </c>
      <c r="J1018" s="42">
        <v>0.0</v>
      </c>
      <c r="K1018" s="42">
        <v>100.0</v>
      </c>
      <c r="L1018" s="42">
        <v>0.0</v>
      </c>
      <c r="Q1018" s="4"/>
    </row>
    <row r="1019">
      <c r="A1019" s="2"/>
      <c r="B1019" s="38">
        <v>1011.0</v>
      </c>
      <c r="C1019" s="39" t="s">
        <v>32</v>
      </c>
      <c r="D1019" s="39" t="s">
        <v>333</v>
      </c>
      <c r="E1019" s="39" t="s">
        <v>341</v>
      </c>
      <c r="F1019" s="39" t="s">
        <v>342</v>
      </c>
      <c r="G1019" s="41" t="s">
        <v>25</v>
      </c>
      <c r="H1019" s="42">
        <v>8.0</v>
      </c>
      <c r="I1019" s="42">
        <v>1.0</v>
      </c>
      <c r="J1019" s="42">
        <v>7.0</v>
      </c>
      <c r="K1019" s="42">
        <v>12.5</v>
      </c>
      <c r="L1019" s="42">
        <v>87.5</v>
      </c>
      <c r="Q1019" s="4"/>
    </row>
    <row r="1020">
      <c r="A1020" s="2"/>
      <c r="B1020" s="43">
        <v>1012.0</v>
      </c>
      <c r="C1020" s="44" t="s">
        <v>32</v>
      </c>
      <c r="D1020" s="53" t="s">
        <v>333</v>
      </c>
      <c r="E1020" s="53" t="s">
        <v>341</v>
      </c>
      <c r="F1020" s="53" t="s">
        <v>343</v>
      </c>
      <c r="G1020" s="44" t="s">
        <v>343</v>
      </c>
      <c r="H1020" s="45">
        <v>7.0</v>
      </c>
      <c r="I1020" s="45">
        <v>0.0</v>
      </c>
      <c r="J1020" s="45">
        <v>7.0</v>
      </c>
      <c r="K1020" s="45">
        <v>0.0</v>
      </c>
      <c r="L1020" s="45">
        <v>100.0</v>
      </c>
      <c r="Q1020" s="4"/>
    </row>
    <row r="1021">
      <c r="A1021" s="2"/>
      <c r="B1021" s="38">
        <v>1013.0</v>
      </c>
      <c r="C1021" s="39" t="s">
        <v>32</v>
      </c>
      <c r="D1021" s="39" t="s">
        <v>333</v>
      </c>
      <c r="E1021" s="39" t="s">
        <v>341</v>
      </c>
      <c r="F1021" s="39" t="s">
        <v>343</v>
      </c>
      <c r="G1021" s="41" t="s">
        <v>23</v>
      </c>
      <c r="H1021" s="46"/>
      <c r="I1021" s="46"/>
      <c r="J1021" s="46"/>
      <c r="K1021" s="46"/>
      <c r="L1021" s="46"/>
      <c r="Q1021" s="4"/>
    </row>
    <row r="1022">
      <c r="A1022" s="2"/>
      <c r="B1022" s="38">
        <v>1014.0</v>
      </c>
      <c r="C1022" s="39" t="s">
        <v>32</v>
      </c>
      <c r="D1022" s="39" t="s">
        <v>333</v>
      </c>
      <c r="E1022" s="39" t="s">
        <v>341</v>
      </c>
      <c r="F1022" s="39" t="s">
        <v>343</v>
      </c>
      <c r="G1022" s="41" t="s">
        <v>25</v>
      </c>
      <c r="H1022" s="42">
        <v>7.0</v>
      </c>
      <c r="I1022" s="42">
        <v>0.0</v>
      </c>
      <c r="J1022" s="42">
        <v>7.0</v>
      </c>
      <c r="K1022" s="42">
        <v>0.0</v>
      </c>
      <c r="L1022" s="42">
        <v>100.0</v>
      </c>
      <c r="Q1022" s="4"/>
    </row>
    <row r="1023">
      <c r="A1023" s="2"/>
      <c r="B1023" s="34">
        <v>1015.0</v>
      </c>
      <c r="C1023" s="35" t="s">
        <v>30</v>
      </c>
      <c r="D1023" s="49" t="s">
        <v>333</v>
      </c>
      <c r="E1023" s="49" t="s">
        <v>344</v>
      </c>
      <c r="F1023" s="50"/>
      <c r="G1023" s="35" t="s">
        <v>344</v>
      </c>
      <c r="H1023" s="37">
        <v>19.0</v>
      </c>
      <c r="I1023" s="37">
        <v>10.0</v>
      </c>
      <c r="J1023" s="37">
        <v>9.0</v>
      </c>
      <c r="K1023" s="37">
        <v>52.6</v>
      </c>
      <c r="L1023" s="37">
        <v>47.4</v>
      </c>
      <c r="Q1023" s="4"/>
    </row>
    <row r="1024">
      <c r="A1024" s="2"/>
      <c r="B1024" s="38">
        <v>1016.0</v>
      </c>
      <c r="C1024" s="39" t="s">
        <v>30</v>
      </c>
      <c r="D1024" s="39" t="s">
        <v>333</v>
      </c>
      <c r="E1024" s="39" t="s">
        <v>344</v>
      </c>
      <c r="F1024" s="40"/>
      <c r="G1024" s="41" t="s">
        <v>23</v>
      </c>
      <c r="H1024" s="42">
        <v>0.0</v>
      </c>
      <c r="I1024" s="42">
        <v>0.0</v>
      </c>
      <c r="J1024" s="42">
        <v>0.0</v>
      </c>
      <c r="K1024" s="42">
        <v>0.0</v>
      </c>
      <c r="L1024" s="42">
        <v>0.0</v>
      </c>
      <c r="Q1024" s="4"/>
    </row>
    <row r="1025">
      <c r="A1025" s="2"/>
      <c r="B1025" s="38">
        <v>1017.0</v>
      </c>
      <c r="C1025" s="39" t="s">
        <v>30</v>
      </c>
      <c r="D1025" s="39" t="s">
        <v>333</v>
      </c>
      <c r="E1025" s="39" t="s">
        <v>344</v>
      </c>
      <c r="F1025" s="40"/>
      <c r="G1025" s="41" t="s">
        <v>25</v>
      </c>
      <c r="H1025" s="42">
        <v>19.0</v>
      </c>
      <c r="I1025" s="42">
        <v>10.0</v>
      </c>
      <c r="J1025" s="42">
        <v>9.0</v>
      </c>
      <c r="K1025" s="42">
        <v>52.6</v>
      </c>
      <c r="L1025" s="42">
        <v>47.4</v>
      </c>
      <c r="Q1025" s="4"/>
    </row>
    <row r="1026">
      <c r="A1026" s="2"/>
      <c r="B1026" s="43">
        <v>1018.0</v>
      </c>
      <c r="C1026" s="44" t="s">
        <v>32</v>
      </c>
      <c r="D1026" s="53" t="s">
        <v>333</v>
      </c>
      <c r="E1026" s="53" t="s">
        <v>344</v>
      </c>
      <c r="F1026" s="53" t="s">
        <v>345</v>
      </c>
      <c r="G1026" s="44" t="s">
        <v>345</v>
      </c>
      <c r="H1026" s="45">
        <v>11.0</v>
      </c>
      <c r="I1026" s="45">
        <v>8.0</v>
      </c>
      <c r="J1026" s="45">
        <v>3.0</v>
      </c>
      <c r="K1026" s="45">
        <v>72.7</v>
      </c>
      <c r="L1026" s="45">
        <v>27.3</v>
      </c>
      <c r="Q1026" s="4"/>
    </row>
    <row r="1027">
      <c r="A1027" s="2"/>
      <c r="B1027" s="38">
        <v>1019.0</v>
      </c>
      <c r="C1027" s="39" t="s">
        <v>32</v>
      </c>
      <c r="D1027" s="39" t="s">
        <v>333</v>
      </c>
      <c r="E1027" s="39" t="s">
        <v>344</v>
      </c>
      <c r="F1027" s="39" t="s">
        <v>345</v>
      </c>
      <c r="G1027" s="41" t="s">
        <v>23</v>
      </c>
      <c r="H1027" s="42">
        <v>0.0</v>
      </c>
      <c r="I1027" s="42">
        <v>0.0</v>
      </c>
      <c r="J1027" s="42">
        <v>0.0</v>
      </c>
      <c r="K1027" s="42">
        <v>0.0</v>
      </c>
      <c r="L1027" s="42">
        <v>0.0</v>
      </c>
      <c r="Q1027" s="4"/>
    </row>
    <row r="1028">
      <c r="A1028" s="2"/>
      <c r="B1028" s="38">
        <v>1020.0</v>
      </c>
      <c r="C1028" s="39" t="s">
        <v>32</v>
      </c>
      <c r="D1028" s="39" t="s">
        <v>333</v>
      </c>
      <c r="E1028" s="39" t="s">
        <v>344</v>
      </c>
      <c r="F1028" s="39" t="s">
        <v>345</v>
      </c>
      <c r="G1028" s="41" t="s">
        <v>25</v>
      </c>
      <c r="H1028" s="42">
        <v>11.0</v>
      </c>
      <c r="I1028" s="42">
        <v>8.0</v>
      </c>
      <c r="J1028" s="42">
        <v>3.0</v>
      </c>
      <c r="K1028" s="42">
        <v>72.7</v>
      </c>
      <c r="L1028" s="42">
        <v>27.3</v>
      </c>
      <c r="Q1028" s="4"/>
    </row>
    <row r="1029">
      <c r="A1029" s="2"/>
      <c r="B1029" s="43">
        <v>1021.0</v>
      </c>
      <c r="C1029" s="44" t="s">
        <v>32</v>
      </c>
      <c r="D1029" s="53" t="s">
        <v>333</v>
      </c>
      <c r="E1029" s="53" t="s">
        <v>344</v>
      </c>
      <c r="F1029" s="53" t="s">
        <v>346</v>
      </c>
      <c r="G1029" s="44" t="s">
        <v>346</v>
      </c>
      <c r="H1029" s="45">
        <v>8.0</v>
      </c>
      <c r="I1029" s="45">
        <v>2.0</v>
      </c>
      <c r="J1029" s="45">
        <v>6.0</v>
      </c>
      <c r="K1029" s="45">
        <v>25.0</v>
      </c>
      <c r="L1029" s="45">
        <v>75.0</v>
      </c>
      <c r="Q1029" s="4"/>
    </row>
    <row r="1030">
      <c r="A1030" s="2"/>
      <c r="B1030" s="38">
        <v>1022.0</v>
      </c>
      <c r="C1030" s="39" t="s">
        <v>32</v>
      </c>
      <c r="D1030" s="39" t="s">
        <v>333</v>
      </c>
      <c r="E1030" s="39" t="s">
        <v>344</v>
      </c>
      <c r="F1030" s="39" t="s">
        <v>346</v>
      </c>
      <c r="G1030" s="41" t="s">
        <v>23</v>
      </c>
      <c r="H1030" s="46"/>
      <c r="I1030" s="46"/>
      <c r="J1030" s="46"/>
      <c r="K1030" s="46"/>
      <c r="L1030" s="46"/>
      <c r="Q1030" s="4"/>
    </row>
    <row r="1031">
      <c r="A1031" s="2"/>
      <c r="B1031" s="38">
        <v>1023.0</v>
      </c>
      <c r="C1031" s="39" t="s">
        <v>32</v>
      </c>
      <c r="D1031" s="39" t="s">
        <v>333</v>
      </c>
      <c r="E1031" s="39" t="s">
        <v>344</v>
      </c>
      <c r="F1031" s="39" t="s">
        <v>346</v>
      </c>
      <c r="G1031" s="41" t="s">
        <v>25</v>
      </c>
      <c r="H1031" s="42">
        <v>8.0</v>
      </c>
      <c r="I1031" s="42">
        <v>2.0</v>
      </c>
      <c r="J1031" s="42">
        <v>6.0</v>
      </c>
      <c r="K1031" s="42">
        <v>25.0</v>
      </c>
      <c r="L1031" s="42">
        <v>75.0</v>
      </c>
      <c r="Q1031" s="4"/>
    </row>
    <row r="1032">
      <c r="A1032" s="2"/>
      <c r="B1032" s="34">
        <v>1024.0</v>
      </c>
      <c r="C1032" s="35" t="s">
        <v>30</v>
      </c>
      <c r="D1032" s="49" t="s">
        <v>333</v>
      </c>
      <c r="E1032" s="49" t="s">
        <v>347</v>
      </c>
      <c r="F1032" s="50"/>
      <c r="G1032" s="35" t="s">
        <v>347</v>
      </c>
      <c r="H1032" s="37">
        <v>37.0</v>
      </c>
      <c r="I1032" s="37">
        <v>9.0</v>
      </c>
      <c r="J1032" s="37">
        <v>28.0</v>
      </c>
      <c r="K1032" s="37">
        <v>24.3</v>
      </c>
      <c r="L1032" s="37">
        <v>75.7</v>
      </c>
      <c r="Q1032" s="4"/>
    </row>
    <row r="1033">
      <c r="A1033" s="2"/>
      <c r="B1033" s="38">
        <v>1025.0</v>
      </c>
      <c r="C1033" s="39" t="s">
        <v>30</v>
      </c>
      <c r="D1033" s="39" t="s">
        <v>333</v>
      </c>
      <c r="E1033" s="39" t="s">
        <v>347</v>
      </c>
      <c r="F1033" s="40"/>
      <c r="G1033" s="41" t="s">
        <v>23</v>
      </c>
      <c r="H1033" s="42">
        <v>7.0</v>
      </c>
      <c r="I1033" s="42">
        <v>0.0</v>
      </c>
      <c r="J1033" s="42">
        <v>7.0</v>
      </c>
      <c r="K1033" s="42">
        <v>0.0</v>
      </c>
      <c r="L1033" s="42">
        <v>100.0</v>
      </c>
      <c r="Q1033" s="4"/>
    </row>
    <row r="1034">
      <c r="A1034" s="2"/>
      <c r="B1034" s="38">
        <v>1026.0</v>
      </c>
      <c r="C1034" s="39" t="s">
        <v>30</v>
      </c>
      <c r="D1034" s="39" t="s">
        <v>333</v>
      </c>
      <c r="E1034" s="39" t="s">
        <v>347</v>
      </c>
      <c r="F1034" s="40"/>
      <c r="G1034" s="41" t="s">
        <v>25</v>
      </c>
      <c r="H1034" s="42">
        <v>30.0</v>
      </c>
      <c r="I1034" s="42">
        <v>9.0</v>
      </c>
      <c r="J1034" s="42">
        <v>21.0</v>
      </c>
      <c r="K1034" s="42">
        <v>30.0</v>
      </c>
      <c r="L1034" s="42">
        <v>70.0</v>
      </c>
      <c r="Q1034" s="4"/>
    </row>
    <row r="1035">
      <c r="A1035" s="2"/>
      <c r="B1035" s="43">
        <v>1027.0</v>
      </c>
      <c r="C1035" s="44" t="s">
        <v>32</v>
      </c>
      <c r="D1035" s="53" t="s">
        <v>333</v>
      </c>
      <c r="E1035" s="53" t="s">
        <v>347</v>
      </c>
      <c r="F1035" s="53" t="s">
        <v>217</v>
      </c>
      <c r="G1035" s="44" t="s">
        <v>217</v>
      </c>
      <c r="H1035" s="45">
        <v>37.0</v>
      </c>
      <c r="I1035" s="45">
        <v>9.0</v>
      </c>
      <c r="J1035" s="45">
        <v>28.0</v>
      </c>
      <c r="K1035" s="45">
        <v>24.3</v>
      </c>
      <c r="L1035" s="45">
        <v>75.7</v>
      </c>
      <c r="Q1035" s="4"/>
    </row>
    <row r="1036">
      <c r="A1036" s="2"/>
      <c r="B1036" s="38">
        <v>1028.0</v>
      </c>
      <c r="C1036" s="39" t="s">
        <v>32</v>
      </c>
      <c r="D1036" s="39" t="s">
        <v>333</v>
      </c>
      <c r="E1036" s="39" t="s">
        <v>347</v>
      </c>
      <c r="F1036" s="39" t="s">
        <v>217</v>
      </c>
      <c r="G1036" s="41" t="s">
        <v>23</v>
      </c>
      <c r="H1036" s="42">
        <v>7.0</v>
      </c>
      <c r="I1036" s="42">
        <v>0.0</v>
      </c>
      <c r="J1036" s="42">
        <v>7.0</v>
      </c>
      <c r="K1036" s="42">
        <v>0.0</v>
      </c>
      <c r="L1036" s="42">
        <v>100.0</v>
      </c>
      <c r="Q1036" s="4"/>
    </row>
    <row r="1037">
      <c r="A1037" s="2"/>
      <c r="B1037" s="38">
        <v>1029.0</v>
      </c>
      <c r="C1037" s="39" t="s">
        <v>32</v>
      </c>
      <c r="D1037" s="39" t="s">
        <v>333</v>
      </c>
      <c r="E1037" s="39" t="s">
        <v>347</v>
      </c>
      <c r="F1037" s="39" t="s">
        <v>217</v>
      </c>
      <c r="G1037" s="41" t="s">
        <v>25</v>
      </c>
      <c r="H1037" s="42">
        <v>30.0</v>
      </c>
      <c r="I1037" s="42">
        <v>9.0</v>
      </c>
      <c r="J1037" s="42">
        <v>21.0</v>
      </c>
      <c r="K1037" s="42">
        <v>30.0</v>
      </c>
      <c r="L1037" s="42">
        <v>70.0</v>
      </c>
      <c r="Q1037" s="4"/>
    </row>
    <row r="1038">
      <c r="A1038" s="2"/>
      <c r="B1038" s="24">
        <v>1030.0</v>
      </c>
      <c r="C1038" s="25" t="s">
        <v>26</v>
      </c>
      <c r="D1038" s="25" t="s">
        <v>348</v>
      </c>
      <c r="E1038" s="26"/>
      <c r="F1038" s="26"/>
      <c r="G1038" s="25" t="s">
        <v>348</v>
      </c>
      <c r="H1038" s="27">
        <v>5029.0</v>
      </c>
      <c r="I1038" s="27">
        <v>1060.0</v>
      </c>
      <c r="J1038" s="27">
        <v>3969.0</v>
      </c>
      <c r="K1038" s="28">
        <v>21.1</v>
      </c>
      <c r="L1038" s="28">
        <v>78.9</v>
      </c>
      <c r="Q1038" s="4"/>
    </row>
    <row r="1039">
      <c r="A1039" s="2"/>
      <c r="B1039" s="29">
        <v>1031.0</v>
      </c>
      <c r="C1039" s="30" t="s">
        <v>26</v>
      </c>
      <c r="D1039" s="47" t="s">
        <v>348</v>
      </c>
      <c r="E1039" s="48"/>
      <c r="F1039" s="48"/>
      <c r="G1039" s="30" t="s">
        <v>23</v>
      </c>
      <c r="H1039" s="32">
        <v>3274.0</v>
      </c>
      <c r="I1039" s="33">
        <v>891.0</v>
      </c>
      <c r="J1039" s="32">
        <v>2383.0</v>
      </c>
      <c r="K1039" s="33">
        <v>27.2</v>
      </c>
      <c r="L1039" s="33">
        <v>72.8</v>
      </c>
      <c r="Q1039" s="4"/>
    </row>
    <row r="1040">
      <c r="A1040" s="2"/>
      <c r="B1040" s="29">
        <v>1032.0</v>
      </c>
      <c r="C1040" s="30" t="s">
        <v>26</v>
      </c>
      <c r="D1040" s="47" t="s">
        <v>348</v>
      </c>
      <c r="E1040" s="48"/>
      <c r="F1040" s="48"/>
      <c r="G1040" s="30" t="s">
        <v>25</v>
      </c>
      <c r="H1040" s="32">
        <v>1755.0</v>
      </c>
      <c r="I1040" s="33">
        <v>169.0</v>
      </c>
      <c r="J1040" s="32">
        <v>1586.0</v>
      </c>
      <c r="K1040" s="33">
        <v>9.6</v>
      </c>
      <c r="L1040" s="33">
        <v>90.4</v>
      </c>
      <c r="Q1040" s="4"/>
    </row>
    <row r="1041">
      <c r="A1041" s="2"/>
      <c r="B1041" s="34">
        <v>1033.0</v>
      </c>
      <c r="C1041" s="35" t="s">
        <v>30</v>
      </c>
      <c r="D1041" s="49" t="s">
        <v>348</v>
      </c>
      <c r="E1041" s="49" t="s">
        <v>349</v>
      </c>
      <c r="F1041" s="50"/>
      <c r="G1041" s="35" t="s">
        <v>349</v>
      </c>
      <c r="H1041" s="51">
        <v>2224.0</v>
      </c>
      <c r="I1041" s="37">
        <v>678.0</v>
      </c>
      <c r="J1041" s="51">
        <v>1546.0</v>
      </c>
      <c r="K1041" s="37">
        <v>30.5</v>
      </c>
      <c r="L1041" s="37">
        <v>69.5</v>
      </c>
      <c r="Q1041" s="4"/>
    </row>
    <row r="1042">
      <c r="A1042" s="2"/>
      <c r="B1042" s="38">
        <v>1034.0</v>
      </c>
      <c r="C1042" s="39" t="s">
        <v>30</v>
      </c>
      <c r="D1042" s="39" t="s">
        <v>348</v>
      </c>
      <c r="E1042" s="39" t="s">
        <v>349</v>
      </c>
      <c r="F1042" s="40"/>
      <c r="G1042" s="41" t="s">
        <v>23</v>
      </c>
      <c r="H1042" s="52">
        <v>2147.0</v>
      </c>
      <c r="I1042" s="42">
        <v>670.0</v>
      </c>
      <c r="J1042" s="52">
        <v>1477.0</v>
      </c>
      <c r="K1042" s="42">
        <v>31.2</v>
      </c>
      <c r="L1042" s="42">
        <v>68.8</v>
      </c>
      <c r="Q1042" s="4"/>
    </row>
    <row r="1043">
      <c r="A1043" s="2"/>
      <c r="B1043" s="38">
        <v>1035.0</v>
      </c>
      <c r="C1043" s="39" t="s">
        <v>30</v>
      </c>
      <c r="D1043" s="39" t="s">
        <v>348</v>
      </c>
      <c r="E1043" s="39" t="s">
        <v>349</v>
      </c>
      <c r="F1043" s="40"/>
      <c r="G1043" s="41" t="s">
        <v>25</v>
      </c>
      <c r="H1043" s="42">
        <v>77.0</v>
      </c>
      <c r="I1043" s="42">
        <v>8.0</v>
      </c>
      <c r="J1043" s="42">
        <v>69.0</v>
      </c>
      <c r="K1043" s="42">
        <v>10.4</v>
      </c>
      <c r="L1043" s="42">
        <v>89.6</v>
      </c>
      <c r="Q1043" s="4"/>
    </row>
    <row r="1044">
      <c r="A1044" s="2"/>
      <c r="B1044" s="43">
        <v>1036.0</v>
      </c>
      <c r="C1044" s="44" t="s">
        <v>32</v>
      </c>
      <c r="D1044" s="53" t="s">
        <v>348</v>
      </c>
      <c r="E1044" s="53" t="s">
        <v>349</v>
      </c>
      <c r="F1044" s="53" t="s">
        <v>350</v>
      </c>
      <c r="G1044" s="44" t="s">
        <v>350</v>
      </c>
      <c r="H1044" s="54">
        <v>1927.0</v>
      </c>
      <c r="I1044" s="45">
        <v>614.0</v>
      </c>
      <c r="J1044" s="54">
        <v>1313.0</v>
      </c>
      <c r="K1044" s="45">
        <v>31.9</v>
      </c>
      <c r="L1044" s="45">
        <v>68.1</v>
      </c>
      <c r="Q1044" s="4"/>
    </row>
    <row r="1045">
      <c r="A1045" s="2"/>
      <c r="B1045" s="38">
        <v>1037.0</v>
      </c>
      <c r="C1045" s="39" t="s">
        <v>32</v>
      </c>
      <c r="D1045" s="39" t="s">
        <v>348</v>
      </c>
      <c r="E1045" s="39" t="s">
        <v>349</v>
      </c>
      <c r="F1045" s="39" t="s">
        <v>350</v>
      </c>
      <c r="G1045" s="41" t="s">
        <v>23</v>
      </c>
      <c r="H1045" s="52">
        <v>1927.0</v>
      </c>
      <c r="I1045" s="42">
        <v>614.0</v>
      </c>
      <c r="J1045" s="52">
        <v>1313.0</v>
      </c>
      <c r="K1045" s="42">
        <v>31.9</v>
      </c>
      <c r="L1045" s="42">
        <v>68.1</v>
      </c>
      <c r="Q1045" s="4"/>
    </row>
    <row r="1046">
      <c r="A1046" s="2"/>
      <c r="B1046" s="38">
        <v>1038.0</v>
      </c>
      <c r="C1046" s="39" t="s">
        <v>32</v>
      </c>
      <c r="D1046" s="39" t="s">
        <v>348</v>
      </c>
      <c r="E1046" s="39" t="s">
        <v>349</v>
      </c>
      <c r="F1046" s="39" t="s">
        <v>350</v>
      </c>
      <c r="G1046" s="41" t="s">
        <v>25</v>
      </c>
      <c r="H1046" s="42">
        <v>0.0</v>
      </c>
      <c r="I1046" s="42">
        <v>0.0</v>
      </c>
      <c r="J1046" s="42">
        <v>0.0</v>
      </c>
      <c r="K1046" s="42">
        <v>0.0</v>
      </c>
      <c r="L1046" s="42">
        <v>0.0</v>
      </c>
      <c r="Q1046" s="4"/>
    </row>
    <row r="1047">
      <c r="A1047" s="2"/>
      <c r="B1047" s="43">
        <v>1039.0</v>
      </c>
      <c r="C1047" s="44" t="s">
        <v>32</v>
      </c>
      <c r="D1047" s="53" t="s">
        <v>348</v>
      </c>
      <c r="E1047" s="53" t="s">
        <v>349</v>
      </c>
      <c r="F1047" s="53" t="s">
        <v>351</v>
      </c>
      <c r="G1047" s="44" t="s">
        <v>351</v>
      </c>
      <c r="H1047" s="45">
        <v>78.0</v>
      </c>
      <c r="I1047" s="45">
        <v>17.0</v>
      </c>
      <c r="J1047" s="45">
        <v>61.0</v>
      </c>
      <c r="K1047" s="45">
        <v>21.8</v>
      </c>
      <c r="L1047" s="45">
        <v>78.2</v>
      </c>
      <c r="Q1047" s="4"/>
    </row>
    <row r="1048">
      <c r="A1048" s="2"/>
      <c r="B1048" s="38">
        <v>1040.0</v>
      </c>
      <c r="C1048" s="39" t="s">
        <v>32</v>
      </c>
      <c r="D1048" s="39" t="s">
        <v>348</v>
      </c>
      <c r="E1048" s="39" t="s">
        <v>349</v>
      </c>
      <c r="F1048" s="39" t="s">
        <v>351</v>
      </c>
      <c r="G1048" s="41" t="s">
        <v>23</v>
      </c>
      <c r="H1048" s="42">
        <v>61.0</v>
      </c>
      <c r="I1048" s="42">
        <v>17.0</v>
      </c>
      <c r="J1048" s="42">
        <v>44.0</v>
      </c>
      <c r="K1048" s="42">
        <v>27.9</v>
      </c>
      <c r="L1048" s="42">
        <v>72.1</v>
      </c>
      <c r="Q1048" s="4"/>
    </row>
    <row r="1049">
      <c r="A1049" s="2"/>
      <c r="B1049" s="38">
        <v>1041.0</v>
      </c>
      <c r="C1049" s="39" t="s">
        <v>32</v>
      </c>
      <c r="D1049" s="39" t="s">
        <v>348</v>
      </c>
      <c r="E1049" s="39" t="s">
        <v>349</v>
      </c>
      <c r="F1049" s="39" t="s">
        <v>351</v>
      </c>
      <c r="G1049" s="41" t="s">
        <v>25</v>
      </c>
      <c r="H1049" s="42">
        <v>17.0</v>
      </c>
      <c r="I1049" s="42">
        <v>0.0</v>
      </c>
      <c r="J1049" s="42">
        <v>17.0</v>
      </c>
      <c r="K1049" s="42">
        <v>0.0</v>
      </c>
      <c r="L1049" s="42">
        <v>100.0</v>
      </c>
      <c r="Q1049" s="4"/>
    </row>
    <row r="1050">
      <c r="A1050" s="2"/>
      <c r="B1050" s="43">
        <v>1042.0</v>
      </c>
      <c r="C1050" s="44" t="s">
        <v>32</v>
      </c>
      <c r="D1050" s="53" t="s">
        <v>348</v>
      </c>
      <c r="E1050" s="53" t="s">
        <v>349</v>
      </c>
      <c r="F1050" s="53" t="s">
        <v>352</v>
      </c>
      <c r="G1050" s="44" t="s">
        <v>352</v>
      </c>
      <c r="H1050" s="45">
        <v>30.0</v>
      </c>
      <c r="I1050" s="45">
        <v>4.0</v>
      </c>
      <c r="J1050" s="45">
        <v>26.0</v>
      </c>
      <c r="K1050" s="45">
        <v>13.3</v>
      </c>
      <c r="L1050" s="45">
        <v>86.7</v>
      </c>
      <c r="Q1050" s="4"/>
    </row>
    <row r="1051">
      <c r="A1051" s="2"/>
      <c r="B1051" s="38">
        <v>1043.0</v>
      </c>
      <c r="C1051" s="39" t="s">
        <v>32</v>
      </c>
      <c r="D1051" s="39" t="s">
        <v>348</v>
      </c>
      <c r="E1051" s="39" t="s">
        <v>349</v>
      </c>
      <c r="F1051" s="39" t="s">
        <v>352</v>
      </c>
      <c r="G1051" s="41" t="s">
        <v>23</v>
      </c>
      <c r="H1051" s="42">
        <v>13.0</v>
      </c>
      <c r="I1051" s="42">
        <v>0.0</v>
      </c>
      <c r="J1051" s="42">
        <v>13.0</v>
      </c>
      <c r="K1051" s="42">
        <v>0.0</v>
      </c>
      <c r="L1051" s="42">
        <v>100.0</v>
      </c>
      <c r="Q1051" s="4"/>
    </row>
    <row r="1052">
      <c r="A1052" s="2"/>
      <c r="B1052" s="38">
        <v>1044.0</v>
      </c>
      <c r="C1052" s="39" t="s">
        <v>32</v>
      </c>
      <c r="D1052" s="39" t="s">
        <v>348</v>
      </c>
      <c r="E1052" s="39" t="s">
        <v>349</v>
      </c>
      <c r="F1052" s="39" t="s">
        <v>352</v>
      </c>
      <c r="G1052" s="41" t="s">
        <v>25</v>
      </c>
      <c r="H1052" s="42">
        <v>17.0</v>
      </c>
      <c r="I1052" s="42">
        <v>4.0</v>
      </c>
      <c r="J1052" s="42">
        <v>13.0</v>
      </c>
      <c r="K1052" s="42">
        <v>23.5</v>
      </c>
      <c r="L1052" s="42">
        <v>76.5</v>
      </c>
      <c r="Q1052" s="4"/>
    </row>
    <row r="1053">
      <c r="A1053" s="2"/>
      <c r="B1053" s="43">
        <v>1045.0</v>
      </c>
      <c r="C1053" s="44" t="s">
        <v>32</v>
      </c>
      <c r="D1053" s="53" t="s">
        <v>348</v>
      </c>
      <c r="E1053" s="53" t="s">
        <v>349</v>
      </c>
      <c r="F1053" s="53" t="s">
        <v>353</v>
      </c>
      <c r="G1053" s="44" t="s">
        <v>353</v>
      </c>
      <c r="H1053" s="45">
        <v>126.0</v>
      </c>
      <c r="I1053" s="45">
        <v>30.0</v>
      </c>
      <c r="J1053" s="45">
        <v>96.0</v>
      </c>
      <c r="K1053" s="45">
        <v>23.8</v>
      </c>
      <c r="L1053" s="45">
        <v>76.2</v>
      </c>
      <c r="Q1053" s="4"/>
    </row>
    <row r="1054">
      <c r="A1054" s="2"/>
      <c r="B1054" s="38">
        <v>1046.0</v>
      </c>
      <c r="C1054" s="39" t="s">
        <v>32</v>
      </c>
      <c r="D1054" s="39" t="s">
        <v>348</v>
      </c>
      <c r="E1054" s="39" t="s">
        <v>349</v>
      </c>
      <c r="F1054" s="39" t="s">
        <v>353</v>
      </c>
      <c r="G1054" s="41" t="s">
        <v>23</v>
      </c>
      <c r="H1054" s="42">
        <v>119.0</v>
      </c>
      <c r="I1054" s="42">
        <v>30.0</v>
      </c>
      <c r="J1054" s="42">
        <v>89.0</v>
      </c>
      <c r="K1054" s="42">
        <v>25.2</v>
      </c>
      <c r="L1054" s="42">
        <v>74.8</v>
      </c>
      <c r="Q1054" s="4"/>
    </row>
    <row r="1055">
      <c r="A1055" s="2"/>
      <c r="B1055" s="38">
        <v>1047.0</v>
      </c>
      <c r="C1055" s="39" t="s">
        <v>32</v>
      </c>
      <c r="D1055" s="39" t="s">
        <v>348</v>
      </c>
      <c r="E1055" s="39" t="s">
        <v>349</v>
      </c>
      <c r="F1055" s="39" t="s">
        <v>353</v>
      </c>
      <c r="G1055" s="41" t="s">
        <v>25</v>
      </c>
      <c r="H1055" s="42">
        <v>7.0</v>
      </c>
      <c r="I1055" s="42">
        <v>0.0</v>
      </c>
      <c r="J1055" s="42">
        <v>7.0</v>
      </c>
      <c r="K1055" s="42">
        <v>0.0</v>
      </c>
      <c r="L1055" s="42">
        <v>100.0</v>
      </c>
      <c r="Q1055" s="4"/>
    </row>
    <row r="1056">
      <c r="A1056" s="2"/>
      <c r="B1056" s="43">
        <v>1048.0</v>
      </c>
      <c r="C1056" s="44" t="s">
        <v>32</v>
      </c>
      <c r="D1056" s="53" t="s">
        <v>348</v>
      </c>
      <c r="E1056" s="53" t="s">
        <v>349</v>
      </c>
      <c r="F1056" s="53" t="s">
        <v>354</v>
      </c>
      <c r="G1056" s="44" t="s">
        <v>354</v>
      </c>
      <c r="H1056" s="45">
        <v>63.0</v>
      </c>
      <c r="I1056" s="45">
        <v>13.0</v>
      </c>
      <c r="J1056" s="45">
        <v>50.0</v>
      </c>
      <c r="K1056" s="45">
        <v>20.6</v>
      </c>
      <c r="L1056" s="45">
        <v>79.4</v>
      </c>
      <c r="Q1056" s="4"/>
    </row>
    <row r="1057">
      <c r="A1057" s="2"/>
      <c r="B1057" s="38">
        <v>1049.0</v>
      </c>
      <c r="C1057" s="39" t="s">
        <v>32</v>
      </c>
      <c r="D1057" s="39" t="s">
        <v>348</v>
      </c>
      <c r="E1057" s="39" t="s">
        <v>349</v>
      </c>
      <c r="F1057" s="39" t="s">
        <v>354</v>
      </c>
      <c r="G1057" s="41" t="s">
        <v>23</v>
      </c>
      <c r="H1057" s="42">
        <v>27.0</v>
      </c>
      <c r="I1057" s="42">
        <v>9.0</v>
      </c>
      <c r="J1057" s="42">
        <v>18.0</v>
      </c>
      <c r="K1057" s="42">
        <v>33.3</v>
      </c>
      <c r="L1057" s="42">
        <v>66.7</v>
      </c>
      <c r="Q1057" s="4"/>
    </row>
    <row r="1058">
      <c r="A1058" s="2"/>
      <c r="B1058" s="38">
        <v>1050.0</v>
      </c>
      <c r="C1058" s="39" t="s">
        <v>32</v>
      </c>
      <c r="D1058" s="39" t="s">
        <v>348</v>
      </c>
      <c r="E1058" s="39" t="s">
        <v>349</v>
      </c>
      <c r="F1058" s="39" t="s">
        <v>354</v>
      </c>
      <c r="G1058" s="41" t="s">
        <v>25</v>
      </c>
      <c r="H1058" s="42">
        <v>36.0</v>
      </c>
      <c r="I1058" s="42">
        <v>4.0</v>
      </c>
      <c r="J1058" s="42">
        <v>32.0</v>
      </c>
      <c r="K1058" s="42">
        <v>11.1</v>
      </c>
      <c r="L1058" s="42">
        <v>88.9</v>
      </c>
      <c r="Q1058" s="4"/>
    </row>
    <row r="1059">
      <c r="A1059" s="2"/>
      <c r="B1059" s="34">
        <v>1051.0</v>
      </c>
      <c r="C1059" s="35" t="s">
        <v>30</v>
      </c>
      <c r="D1059" s="49" t="s">
        <v>348</v>
      </c>
      <c r="E1059" s="49" t="s">
        <v>355</v>
      </c>
      <c r="F1059" s="50"/>
      <c r="G1059" s="35" t="s">
        <v>355</v>
      </c>
      <c r="H1059" s="37">
        <v>137.0</v>
      </c>
      <c r="I1059" s="37">
        <v>32.0</v>
      </c>
      <c r="J1059" s="37">
        <v>105.0</v>
      </c>
      <c r="K1059" s="37">
        <v>23.4</v>
      </c>
      <c r="L1059" s="37">
        <v>76.6</v>
      </c>
      <c r="Q1059" s="4"/>
    </row>
    <row r="1060">
      <c r="A1060" s="2"/>
      <c r="B1060" s="38">
        <v>1052.0</v>
      </c>
      <c r="C1060" s="39" t="s">
        <v>30</v>
      </c>
      <c r="D1060" s="39" t="s">
        <v>348</v>
      </c>
      <c r="E1060" s="39" t="s">
        <v>355</v>
      </c>
      <c r="F1060" s="40"/>
      <c r="G1060" s="41" t="s">
        <v>23</v>
      </c>
      <c r="H1060" s="42">
        <v>114.0</v>
      </c>
      <c r="I1060" s="42">
        <v>31.0</v>
      </c>
      <c r="J1060" s="42">
        <v>83.0</v>
      </c>
      <c r="K1060" s="42">
        <v>27.2</v>
      </c>
      <c r="L1060" s="42">
        <v>72.8</v>
      </c>
      <c r="Q1060" s="4"/>
    </row>
    <row r="1061">
      <c r="A1061" s="2"/>
      <c r="B1061" s="38">
        <v>1053.0</v>
      </c>
      <c r="C1061" s="39" t="s">
        <v>30</v>
      </c>
      <c r="D1061" s="39" t="s">
        <v>348</v>
      </c>
      <c r="E1061" s="39" t="s">
        <v>355</v>
      </c>
      <c r="F1061" s="40"/>
      <c r="G1061" s="41" t="s">
        <v>25</v>
      </c>
      <c r="H1061" s="42">
        <v>23.0</v>
      </c>
      <c r="I1061" s="42">
        <v>1.0</v>
      </c>
      <c r="J1061" s="42">
        <v>22.0</v>
      </c>
      <c r="K1061" s="42">
        <v>4.3</v>
      </c>
      <c r="L1061" s="42">
        <v>95.7</v>
      </c>
      <c r="Q1061" s="4"/>
    </row>
    <row r="1062">
      <c r="A1062" s="2"/>
      <c r="B1062" s="43">
        <v>1054.0</v>
      </c>
      <c r="C1062" s="44" t="s">
        <v>32</v>
      </c>
      <c r="D1062" s="53" t="s">
        <v>348</v>
      </c>
      <c r="E1062" s="53" t="s">
        <v>355</v>
      </c>
      <c r="F1062" s="53" t="s">
        <v>355</v>
      </c>
      <c r="G1062" s="44" t="s">
        <v>355</v>
      </c>
      <c r="H1062" s="45">
        <v>128.0</v>
      </c>
      <c r="I1062" s="45">
        <v>31.0</v>
      </c>
      <c r="J1062" s="45">
        <v>97.0</v>
      </c>
      <c r="K1062" s="45">
        <v>24.2</v>
      </c>
      <c r="L1062" s="45">
        <v>75.8</v>
      </c>
      <c r="Q1062" s="4"/>
    </row>
    <row r="1063">
      <c r="A1063" s="2"/>
      <c r="B1063" s="38">
        <v>1055.0</v>
      </c>
      <c r="C1063" s="39" t="s">
        <v>32</v>
      </c>
      <c r="D1063" s="39" t="s">
        <v>348</v>
      </c>
      <c r="E1063" s="39" t="s">
        <v>355</v>
      </c>
      <c r="F1063" s="39" t="s">
        <v>355</v>
      </c>
      <c r="G1063" s="41" t="s">
        <v>23</v>
      </c>
      <c r="H1063" s="42">
        <v>111.0</v>
      </c>
      <c r="I1063" s="42">
        <v>31.0</v>
      </c>
      <c r="J1063" s="42">
        <v>80.0</v>
      </c>
      <c r="K1063" s="42">
        <v>27.9</v>
      </c>
      <c r="L1063" s="42">
        <v>72.1</v>
      </c>
      <c r="Q1063" s="4"/>
    </row>
    <row r="1064">
      <c r="A1064" s="2"/>
      <c r="B1064" s="38">
        <v>1056.0</v>
      </c>
      <c r="C1064" s="39" t="s">
        <v>32</v>
      </c>
      <c r="D1064" s="39" t="s">
        <v>348</v>
      </c>
      <c r="E1064" s="39" t="s">
        <v>355</v>
      </c>
      <c r="F1064" s="39" t="s">
        <v>355</v>
      </c>
      <c r="G1064" s="41" t="s">
        <v>25</v>
      </c>
      <c r="H1064" s="42">
        <v>17.0</v>
      </c>
      <c r="I1064" s="42">
        <v>0.0</v>
      </c>
      <c r="J1064" s="42">
        <v>17.0</v>
      </c>
      <c r="K1064" s="42">
        <v>0.0</v>
      </c>
      <c r="L1064" s="42">
        <v>100.0</v>
      </c>
      <c r="Q1064" s="4"/>
    </row>
    <row r="1065">
      <c r="A1065" s="2"/>
      <c r="B1065" s="43">
        <v>1057.0</v>
      </c>
      <c r="C1065" s="44" t="s">
        <v>32</v>
      </c>
      <c r="D1065" s="53" t="s">
        <v>348</v>
      </c>
      <c r="E1065" s="53" t="s">
        <v>355</v>
      </c>
      <c r="F1065" s="53" t="s">
        <v>356</v>
      </c>
      <c r="G1065" s="44" t="s">
        <v>356</v>
      </c>
      <c r="H1065" s="45">
        <v>9.0</v>
      </c>
      <c r="I1065" s="45">
        <v>1.0</v>
      </c>
      <c r="J1065" s="45">
        <v>8.0</v>
      </c>
      <c r="K1065" s="45">
        <v>11.1</v>
      </c>
      <c r="L1065" s="45">
        <v>88.9</v>
      </c>
      <c r="Q1065" s="4"/>
    </row>
    <row r="1066">
      <c r="A1066" s="2"/>
      <c r="B1066" s="38">
        <v>1058.0</v>
      </c>
      <c r="C1066" s="39" t="s">
        <v>32</v>
      </c>
      <c r="D1066" s="39" t="s">
        <v>348</v>
      </c>
      <c r="E1066" s="39" t="s">
        <v>355</v>
      </c>
      <c r="F1066" s="39" t="s">
        <v>356</v>
      </c>
      <c r="G1066" s="41" t="s">
        <v>23</v>
      </c>
      <c r="H1066" s="42">
        <v>3.0</v>
      </c>
      <c r="I1066" s="42">
        <v>0.0</v>
      </c>
      <c r="J1066" s="42">
        <v>3.0</v>
      </c>
      <c r="K1066" s="42">
        <v>0.0</v>
      </c>
      <c r="L1066" s="42">
        <v>100.0</v>
      </c>
      <c r="Q1066" s="4"/>
    </row>
    <row r="1067">
      <c r="A1067" s="2"/>
      <c r="B1067" s="38">
        <v>1059.0</v>
      </c>
      <c r="C1067" s="39" t="s">
        <v>32</v>
      </c>
      <c r="D1067" s="39" t="s">
        <v>348</v>
      </c>
      <c r="E1067" s="39" t="s">
        <v>355</v>
      </c>
      <c r="F1067" s="39" t="s">
        <v>356</v>
      </c>
      <c r="G1067" s="41" t="s">
        <v>25</v>
      </c>
      <c r="H1067" s="42">
        <v>6.0</v>
      </c>
      <c r="I1067" s="42">
        <v>1.0</v>
      </c>
      <c r="J1067" s="42">
        <v>5.0</v>
      </c>
      <c r="K1067" s="42">
        <v>16.7</v>
      </c>
      <c r="L1067" s="42">
        <v>83.3</v>
      </c>
      <c r="Q1067" s="4"/>
    </row>
    <row r="1068">
      <c r="A1068" s="2"/>
      <c r="B1068" s="34">
        <v>1060.0</v>
      </c>
      <c r="C1068" s="35" t="s">
        <v>30</v>
      </c>
      <c r="D1068" s="49" t="s">
        <v>348</v>
      </c>
      <c r="E1068" s="49" t="s">
        <v>357</v>
      </c>
      <c r="F1068" s="50"/>
      <c r="G1068" s="35" t="s">
        <v>357</v>
      </c>
      <c r="H1068" s="37">
        <v>211.0</v>
      </c>
      <c r="I1068" s="37">
        <v>35.0</v>
      </c>
      <c r="J1068" s="37">
        <v>176.0</v>
      </c>
      <c r="K1068" s="37">
        <v>16.6</v>
      </c>
      <c r="L1068" s="37">
        <v>83.4</v>
      </c>
      <c r="Q1068" s="4"/>
    </row>
    <row r="1069">
      <c r="A1069" s="2"/>
      <c r="B1069" s="38">
        <v>1061.0</v>
      </c>
      <c r="C1069" s="39" t="s">
        <v>30</v>
      </c>
      <c r="D1069" s="39" t="s">
        <v>348</v>
      </c>
      <c r="E1069" s="39" t="s">
        <v>357</v>
      </c>
      <c r="F1069" s="40"/>
      <c r="G1069" s="41" t="s">
        <v>23</v>
      </c>
      <c r="H1069" s="42">
        <v>141.0</v>
      </c>
      <c r="I1069" s="42">
        <v>16.0</v>
      </c>
      <c r="J1069" s="42">
        <v>125.0</v>
      </c>
      <c r="K1069" s="42">
        <v>11.3</v>
      </c>
      <c r="L1069" s="42">
        <v>88.7</v>
      </c>
      <c r="Q1069" s="4"/>
    </row>
    <row r="1070">
      <c r="A1070" s="2"/>
      <c r="B1070" s="38">
        <v>1062.0</v>
      </c>
      <c r="C1070" s="39" t="s">
        <v>30</v>
      </c>
      <c r="D1070" s="39" t="s">
        <v>348</v>
      </c>
      <c r="E1070" s="39" t="s">
        <v>357</v>
      </c>
      <c r="F1070" s="40"/>
      <c r="G1070" s="41" t="s">
        <v>25</v>
      </c>
      <c r="H1070" s="42">
        <v>70.0</v>
      </c>
      <c r="I1070" s="42">
        <v>19.0</v>
      </c>
      <c r="J1070" s="42">
        <v>51.0</v>
      </c>
      <c r="K1070" s="42">
        <v>27.1</v>
      </c>
      <c r="L1070" s="42">
        <v>72.9</v>
      </c>
      <c r="Q1070" s="4"/>
    </row>
    <row r="1071">
      <c r="A1071" s="2"/>
      <c r="B1071" s="43">
        <v>1063.0</v>
      </c>
      <c r="C1071" s="44" t="s">
        <v>32</v>
      </c>
      <c r="D1071" s="53" t="s">
        <v>348</v>
      </c>
      <c r="E1071" s="53" t="s">
        <v>357</v>
      </c>
      <c r="F1071" s="53" t="s">
        <v>358</v>
      </c>
      <c r="G1071" s="44" t="s">
        <v>358</v>
      </c>
      <c r="H1071" s="45">
        <v>143.0</v>
      </c>
      <c r="I1071" s="45">
        <v>15.0</v>
      </c>
      <c r="J1071" s="45">
        <v>128.0</v>
      </c>
      <c r="K1071" s="45">
        <v>10.5</v>
      </c>
      <c r="L1071" s="45">
        <v>89.5</v>
      </c>
      <c r="Q1071" s="4"/>
    </row>
    <row r="1072">
      <c r="A1072" s="2"/>
      <c r="B1072" s="38">
        <v>1064.0</v>
      </c>
      <c r="C1072" s="39" t="s">
        <v>32</v>
      </c>
      <c r="D1072" s="39" t="s">
        <v>348</v>
      </c>
      <c r="E1072" s="39" t="s">
        <v>357</v>
      </c>
      <c r="F1072" s="39" t="s">
        <v>358</v>
      </c>
      <c r="G1072" s="41" t="s">
        <v>23</v>
      </c>
      <c r="H1072" s="42">
        <v>104.0</v>
      </c>
      <c r="I1072" s="42">
        <v>10.0</v>
      </c>
      <c r="J1072" s="42">
        <v>94.0</v>
      </c>
      <c r="K1072" s="42">
        <v>9.6</v>
      </c>
      <c r="L1072" s="42">
        <v>90.4</v>
      </c>
      <c r="Q1072" s="4"/>
    </row>
    <row r="1073">
      <c r="A1073" s="2"/>
      <c r="B1073" s="38">
        <v>1065.0</v>
      </c>
      <c r="C1073" s="39" t="s">
        <v>32</v>
      </c>
      <c r="D1073" s="39" t="s">
        <v>348</v>
      </c>
      <c r="E1073" s="39" t="s">
        <v>357</v>
      </c>
      <c r="F1073" s="39" t="s">
        <v>358</v>
      </c>
      <c r="G1073" s="41" t="s">
        <v>25</v>
      </c>
      <c r="H1073" s="42">
        <v>39.0</v>
      </c>
      <c r="I1073" s="42">
        <v>5.0</v>
      </c>
      <c r="J1073" s="42">
        <v>34.0</v>
      </c>
      <c r="K1073" s="42">
        <v>12.8</v>
      </c>
      <c r="L1073" s="42">
        <v>87.2</v>
      </c>
      <c r="Q1073" s="4"/>
    </row>
    <row r="1074">
      <c r="A1074" s="2"/>
      <c r="B1074" s="43">
        <v>1066.0</v>
      </c>
      <c r="C1074" s="44" t="s">
        <v>32</v>
      </c>
      <c r="D1074" s="53" t="s">
        <v>348</v>
      </c>
      <c r="E1074" s="53" t="s">
        <v>357</v>
      </c>
      <c r="F1074" s="53" t="s">
        <v>359</v>
      </c>
      <c r="G1074" s="44" t="s">
        <v>359</v>
      </c>
      <c r="H1074" s="45">
        <v>43.0</v>
      </c>
      <c r="I1074" s="45">
        <v>15.0</v>
      </c>
      <c r="J1074" s="45">
        <v>28.0</v>
      </c>
      <c r="K1074" s="45">
        <v>34.9</v>
      </c>
      <c r="L1074" s="45">
        <v>65.1</v>
      </c>
      <c r="Q1074" s="4"/>
    </row>
    <row r="1075">
      <c r="A1075" s="2"/>
      <c r="B1075" s="38">
        <v>1067.0</v>
      </c>
      <c r="C1075" s="39" t="s">
        <v>32</v>
      </c>
      <c r="D1075" s="39" t="s">
        <v>348</v>
      </c>
      <c r="E1075" s="39" t="s">
        <v>357</v>
      </c>
      <c r="F1075" s="39" t="s">
        <v>359</v>
      </c>
      <c r="G1075" s="41" t="s">
        <v>23</v>
      </c>
      <c r="H1075" s="42">
        <v>27.0</v>
      </c>
      <c r="I1075" s="42">
        <v>1.0</v>
      </c>
      <c r="J1075" s="42">
        <v>26.0</v>
      </c>
      <c r="K1075" s="42">
        <v>3.7</v>
      </c>
      <c r="L1075" s="42">
        <v>96.3</v>
      </c>
      <c r="Q1075" s="4"/>
    </row>
    <row r="1076">
      <c r="A1076" s="2"/>
      <c r="B1076" s="38">
        <v>1068.0</v>
      </c>
      <c r="C1076" s="39" t="s">
        <v>32</v>
      </c>
      <c r="D1076" s="39" t="s">
        <v>348</v>
      </c>
      <c r="E1076" s="39" t="s">
        <v>357</v>
      </c>
      <c r="F1076" s="39" t="s">
        <v>359</v>
      </c>
      <c r="G1076" s="41" t="s">
        <v>25</v>
      </c>
      <c r="H1076" s="42">
        <v>16.0</v>
      </c>
      <c r="I1076" s="42">
        <v>14.0</v>
      </c>
      <c r="J1076" s="42">
        <v>2.0</v>
      </c>
      <c r="K1076" s="42">
        <v>87.5</v>
      </c>
      <c r="L1076" s="42">
        <v>12.5</v>
      </c>
      <c r="Q1076" s="4"/>
    </row>
    <row r="1077">
      <c r="A1077" s="2"/>
      <c r="B1077" s="43">
        <v>1069.0</v>
      </c>
      <c r="C1077" s="44" t="s">
        <v>32</v>
      </c>
      <c r="D1077" s="53" t="s">
        <v>348</v>
      </c>
      <c r="E1077" s="53" t="s">
        <v>357</v>
      </c>
      <c r="F1077" s="53" t="s">
        <v>360</v>
      </c>
      <c r="G1077" s="44" t="s">
        <v>360</v>
      </c>
      <c r="H1077" s="45">
        <v>25.0</v>
      </c>
      <c r="I1077" s="45">
        <v>5.0</v>
      </c>
      <c r="J1077" s="45">
        <v>20.0</v>
      </c>
      <c r="K1077" s="45">
        <v>20.0</v>
      </c>
      <c r="L1077" s="45">
        <v>80.0</v>
      </c>
      <c r="Q1077" s="4"/>
    </row>
    <row r="1078">
      <c r="A1078" s="2"/>
      <c r="B1078" s="38">
        <v>1070.0</v>
      </c>
      <c r="C1078" s="39" t="s">
        <v>32</v>
      </c>
      <c r="D1078" s="39" t="s">
        <v>348</v>
      </c>
      <c r="E1078" s="39" t="s">
        <v>357</v>
      </c>
      <c r="F1078" s="39" t="s">
        <v>360</v>
      </c>
      <c r="G1078" s="41" t="s">
        <v>23</v>
      </c>
      <c r="H1078" s="42">
        <v>10.0</v>
      </c>
      <c r="I1078" s="42">
        <v>5.0</v>
      </c>
      <c r="J1078" s="42">
        <v>5.0</v>
      </c>
      <c r="K1078" s="42">
        <v>50.0</v>
      </c>
      <c r="L1078" s="42">
        <v>50.0</v>
      </c>
      <c r="Q1078" s="4"/>
    </row>
    <row r="1079">
      <c r="A1079" s="2"/>
      <c r="B1079" s="38">
        <v>1071.0</v>
      </c>
      <c r="C1079" s="39" t="s">
        <v>32</v>
      </c>
      <c r="D1079" s="39" t="s">
        <v>348</v>
      </c>
      <c r="E1079" s="39" t="s">
        <v>357</v>
      </c>
      <c r="F1079" s="39" t="s">
        <v>360</v>
      </c>
      <c r="G1079" s="41" t="s">
        <v>25</v>
      </c>
      <c r="H1079" s="42">
        <v>15.0</v>
      </c>
      <c r="I1079" s="42">
        <v>0.0</v>
      </c>
      <c r="J1079" s="42">
        <v>15.0</v>
      </c>
      <c r="K1079" s="42">
        <v>0.0</v>
      </c>
      <c r="L1079" s="42">
        <v>100.0</v>
      </c>
      <c r="Q1079" s="4"/>
    </row>
    <row r="1080">
      <c r="A1080" s="2"/>
      <c r="B1080" s="34">
        <v>1072.0</v>
      </c>
      <c r="C1080" s="35" t="s">
        <v>30</v>
      </c>
      <c r="D1080" s="49" t="s">
        <v>348</v>
      </c>
      <c r="E1080" s="49" t="s">
        <v>361</v>
      </c>
      <c r="F1080" s="50"/>
      <c r="G1080" s="35" t="s">
        <v>361</v>
      </c>
      <c r="H1080" s="37">
        <v>157.0</v>
      </c>
      <c r="I1080" s="37">
        <v>22.0</v>
      </c>
      <c r="J1080" s="37">
        <v>135.0</v>
      </c>
      <c r="K1080" s="37">
        <v>14.0</v>
      </c>
      <c r="L1080" s="37">
        <v>86.0</v>
      </c>
      <c r="Q1080" s="4"/>
    </row>
    <row r="1081">
      <c r="A1081" s="2"/>
      <c r="B1081" s="38">
        <v>1073.0</v>
      </c>
      <c r="C1081" s="39" t="s">
        <v>30</v>
      </c>
      <c r="D1081" s="39" t="s">
        <v>348</v>
      </c>
      <c r="E1081" s="39" t="s">
        <v>361</v>
      </c>
      <c r="F1081" s="40"/>
      <c r="G1081" s="41" t="s">
        <v>23</v>
      </c>
      <c r="H1081" s="42">
        <v>55.0</v>
      </c>
      <c r="I1081" s="42">
        <v>15.0</v>
      </c>
      <c r="J1081" s="42">
        <v>40.0</v>
      </c>
      <c r="K1081" s="42">
        <v>27.3</v>
      </c>
      <c r="L1081" s="42">
        <v>72.7</v>
      </c>
      <c r="Q1081" s="4"/>
    </row>
    <row r="1082">
      <c r="A1082" s="2"/>
      <c r="B1082" s="38">
        <v>1074.0</v>
      </c>
      <c r="C1082" s="39" t="s">
        <v>30</v>
      </c>
      <c r="D1082" s="39" t="s">
        <v>348</v>
      </c>
      <c r="E1082" s="39" t="s">
        <v>361</v>
      </c>
      <c r="F1082" s="40"/>
      <c r="G1082" s="41" t="s">
        <v>25</v>
      </c>
      <c r="H1082" s="42">
        <v>102.0</v>
      </c>
      <c r="I1082" s="42">
        <v>7.0</v>
      </c>
      <c r="J1082" s="42">
        <v>95.0</v>
      </c>
      <c r="K1082" s="42">
        <v>6.9</v>
      </c>
      <c r="L1082" s="42">
        <v>93.1</v>
      </c>
      <c r="Q1082" s="4"/>
    </row>
    <row r="1083">
      <c r="A1083" s="2"/>
      <c r="B1083" s="43">
        <v>1075.0</v>
      </c>
      <c r="C1083" s="44" t="s">
        <v>32</v>
      </c>
      <c r="D1083" s="53" t="s">
        <v>348</v>
      </c>
      <c r="E1083" s="53" t="s">
        <v>361</v>
      </c>
      <c r="F1083" s="53" t="s">
        <v>362</v>
      </c>
      <c r="G1083" s="44" t="s">
        <v>362</v>
      </c>
      <c r="H1083" s="45">
        <v>3.0</v>
      </c>
      <c r="I1083" s="45">
        <v>1.0</v>
      </c>
      <c r="J1083" s="45">
        <v>2.0</v>
      </c>
      <c r="K1083" s="45">
        <v>33.3</v>
      </c>
      <c r="L1083" s="45">
        <v>66.7</v>
      </c>
      <c r="Q1083" s="4"/>
    </row>
    <row r="1084">
      <c r="A1084" s="2"/>
      <c r="B1084" s="38">
        <v>1076.0</v>
      </c>
      <c r="C1084" s="39" t="s">
        <v>32</v>
      </c>
      <c r="D1084" s="39" t="s">
        <v>348</v>
      </c>
      <c r="E1084" s="39" t="s">
        <v>361</v>
      </c>
      <c r="F1084" s="39" t="s">
        <v>362</v>
      </c>
      <c r="G1084" s="41" t="s">
        <v>23</v>
      </c>
      <c r="H1084" s="42">
        <v>3.0</v>
      </c>
      <c r="I1084" s="42">
        <v>1.0</v>
      </c>
      <c r="J1084" s="42">
        <v>2.0</v>
      </c>
      <c r="K1084" s="42">
        <v>33.3</v>
      </c>
      <c r="L1084" s="42">
        <v>66.7</v>
      </c>
      <c r="Q1084" s="4"/>
    </row>
    <row r="1085">
      <c r="A1085" s="2"/>
      <c r="B1085" s="38">
        <v>1077.0</v>
      </c>
      <c r="C1085" s="39" t="s">
        <v>32</v>
      </c>
      <c r="D1085" s="39" t="s">
        <v>348</v>
      </c>
      <c r="E1085" s="39" t="s">
        <v>361</v>
      </c>
      <c r="F1085" s="39" t="s">
        <v>362</v>
      </c>
      <c r="G1085" s="41" t="s">
        <v>25</v>
      </c>
      <c r="H1085" s="42">
        <v>0.0</v>
      </c>
      <c r="I1085" s="42">
        <v>0.0</v>
      </c>
      <c r="J1085" s="42">
        <v>0.0</v>
      </c>
      <c r="K1085" s="42">
        <v>0.0</v>
      </c>
      <c r="L1085" s="42">
        <v>0.0</v>
      </c>
      <c r="Q1085" s="4"/>
    </row>
    <row r="1086">
      <c r="A1086" s="2"/>
      <c r="B1086" s="43">
        <v>1078.0</v>
      </c>
      <c r="C1086" s="44" t="s">
        <v>32</v>
      </c>
      <c r="D1086" s="53" t="s">
        <v>348</v>
      </c>
      <c r="E1086" s="53" t="s">
        <v>361</v>
      </c>
      <c r="F1086" s="53" t="s">
        <v>363</v>
      </c>
      <c r="G1086" s="44" t="s">
        <v>363</v>
      </c>
      <c r="H1086" s="45">
        <v>13.0</v>
      </c>
      <c r="I1086" s="45">
        <v>9.0</v>
      </c>
      <c r="J1086" s="45">
        <v>4.0</v>
      </c>
      <c r="K1086" s="45">
        <v>69.2</v>
      </c>
      <c r="L1086" s="45">
        <v>30.8</v>
      </c>
      <c r="Q1086" s="4"/>
    </row>
    <row r="1087">
      <c r="A1087" s="2"/>
      <c r="B1087" s="38">
        <v>1079.0</v>
      </c>
      <c r="C1087" s="39" t="s">
        <v>32</v>
      </c>
      <c r="D1087" s="39" t="s">
        <v>348</v>
      </c>
      <c r="E1087" s="39" t="s">
        <v>361</v>
      </c>
      <c r="F1087" s="39" t="s">
        <v>363</v>
      </c>
      <c r="G1087" s="41" t="s">
        <v>23</v>
      </c>
      <c r="H1087" s="42">
        <v>12.0</v>
      </c>
      <c r="I1087" s="42">
        <v>8.0</v>
      </c>
      <c r="J1087" s="42">
        <v>4.0</v>
      </c>
      <c r="K1087" s="42">
        <v>66.7</v>
      </c>
      <c r="L1087" s="42">
        <v>33.3</v>
      </c>
      <c r="Q1087" s="4"/>
    </row>
    <row r="1088">
      <c r="A1088" s="2"/>
      <c r="B1088" s="38">
        <v>1080.0</v>
      </c>
      <c r="C1088" s="39" t="s">
        <v>32</v>
      </c>
      <c r="D1088" s="39" t="s">
        <v>348</v>
      </c>
      <c r="E1088" s="39" t="s">
        <v>361</v>
      </c>
      <c r="F1088" s="39" t="s">
        <v>363</v>
      </c>
      <c r="G1088" s="41" t="s">
        <v>25</v>
      </c>
      <c r="H1088" s="42">
        <v>1.0</v>
      </c>
      <c r="I1088" s="42">
        <v>1.0</v>
      </c>
      <c r="J1088" s="42">
        <v>0.0</v>
      </c>
      <c r="K1088" s="42">
        <v>100.0</v>
      </c>
      <c r="L1088" s="42">
        <v>0.0</v>
      </c>
      <c r="Q1088" s="4"/>
    </row>
    <row r="1089">
      <c r="A1089" s="2"/>
      <c r="B1089" s="43">
        <v>1081.0</v>
      </c>
      <c r="C1089" s="44" t="s">
        <v>32</v>
      </c>
      <c r="D1089" s="53" t="s">
        <v>348</v>
      </c>
      <c r="E1089" s="53" t="s">
        <v>361</v>
      </c>
      <c r="F1089" s="53" t="s">
        <v>364</v>
      </c>
      <c r="G1089" s="44" t="s">
        <v>364</v>
      </c>
      <c r="H1089" s="45">
        <v>130.0</v>
      </c>
      <c r="I1089" s="45">
        <v>12.0</v>
      </c>
      <c r="J1089" s="45">
        <v>118.0</v>
      </c>
      <c r="K1089" s="45">
        <v>9.2</v>
      </c>
      <c r="L1089" s="45">
        <v>90.8</v>
      </c>
      <c r="Q1089" s="4"/>
    </row>
    <row r="1090">
      <c r="A1090" s="2"/>
      <c r="B1090" s="38">
        <v>1082.0</v>
      </c>
      <c r="C1090" s="39" t="s">
        <v>32</v>
      </c>
      <c r="D1090" s="39" t="s">
        <v>348</v>
      </c>
      <c r="E1090" s="39" t="s">
        <v>361</v>
      </c>
      <c r="F1090" s="39" t="s">
        <v>364</v>
      </c>
      <c r="G1090" s="41" t="s">
        <v>23</v>
      </c>
      <c r="H1090" s="42">
        <v>40.0</v>
      </c>
      <c r="I1090" s="42">
        <v>6.0</v>
      </c>
      <c r="J1090" s="42">
        <v>34.0</v>
      </c>
      <c r="K1090" s="42">
        <v>15.0</v>
      </c>
      <c r="L1090" s="42">
        <v>85.0</v>
      </c>
      <c r="Q1090" s="4"/>
    </row>
    <row r="1091">
      <c r="A1091" s="2"/>
      <c r="B1091" s="38">
        <v>1083.0</v>
      </c>
      <c r="C1091" s="39" t="s">
        <v>32</v>
      </c>
      <c r="D1091" s="39" t="s">
        <v>348</v>
      </c>
      <c r="E1091" s="39" t="s">
        <v>361</v>
      </c>
      <c r="F1091" s="39" t="s">
        <v>364</v>
      </c>
      <c r="G1091" s="41" t="s">
        <v>25</v>
      </c>
      <c r="H1091" s="42">
        <v>90.0</v>
      </c>
      <c r="I1091" s="42">
        <v>6.0</v>
      </c>
      <c r="J1091" s="42">
        <v>84.0</v>
      </c>
      <c r="K1091" s="42">
        <v>6.7</v>
      </c>
      <c r="L1091" s="42">
        <v>93.3</v>
      </c>
      <c r="Q1091" s="4"/>
    </row>
    <row r="1092">
      <c r="A1092" s="2"/>
      <c r="B1092" s="43">
        <v>1084.0</v>
      </c>
      <c r="C1092" s="44" t="s">
        <v>32</v>
      </c>
      <c r="D1092" s="53" t="s">
        <v>348</v>
      </c>
      <c r="E1092" s="53" t="s">
        <v>361</v>
      </c>
      <c r="F1092" s="53" t="s">
        <v>365</v>
      </c>
      <c r="G1092" s="44" t="s">
        <v>365</v>
      </c>
      <c r="H1092" s="45">
        <v>11.0</v>
      </c>
      <c r="I1092" s="45">
        <v>0.0</v>
      </c>
      <c r="J1092" s="45">
        <v>11.0</v>
      </c>
      <c r="K1092" s="45">
        <v>0.0</v>
      </c>
      <c r="L1092" s="45">
        <v>100.0</v>
      </c>
      <c r="Q1092" s="4"/>
    </row>
    <row r="1093">
      <c r="A1093" s="2"/>
      <c r="B1093" s="38">
        <v>1085.0</v>
      </c>
      <c r="C1093" s="39" t="s">
        <v>32</v>
      </c>
      <c r="D1093" s="39" t="s">
        <v>348</v>
      </c>
      <c r="E1093" s="39" t="s">
        <v>361</v>
      </c>
      <c r="F1093" s="39" t="s">
        <v>365</v>
      </c>
      <c r="G1093" s="41" t="s">
        <v>23</v>
      </c>
      <c r="H1093" s="42">
        <v>0.0</v>
      </c>
      <c r="I1093" s="42">
        <v>0.0</v>
      </c>
      <c r="J1093" s="42">
        <v>0.0</v>
      </c>
      <c r="K1093" s="42">
        <v>0.0</v>
      </c>
      <c r="L1093" s="42">
        <v>0.0</v>
      </c>
      <c r="Q1093" s="4"/>
    </row>
    <row r="1094">
      <c r="A1094" s="2"/>
      <c r="B1094" s="38">
        <v>1086.0</v>
      </c>
      <c r="C1094" s="39" t="s">
        <v>32</v>
      </c>
      <c r="D1094" s="39" t="s">
        <v>348</v>
      </c>
      <c r="E1094" s="39" t="s">
        <v>361</v>
      </c>
      <c r="F1094" s="39" t="s">
        <v>365</v>
      </c>
      <c r="G1094" s="41" t="s">
        <v>25</v>
      </c>
      <c r="H1094" s="42">
        <v>11.0</v>
      </c>
      <c r="I1094" s="42">
        <v>0.0</v>
      </c>
      <c r="J1094" s="42">
        <v>11.0</v>
      </c>
      <c r="K1094" s="42">
        <v>0.0</v>
      </c>
      <c r="L1094" s="42">
        <v>100.0</v>
      </c>
      <c r="Q1094" s="4"/>
    </row>
    <row r="1095">
      <c r="A1095" s="2"/>
      <c r="B1095" s="34">
        <v>1087.0</v>
      </c>
      <c r="C1095" s="35" t="s">
        <v>30</v>
      </c>
      <c r="D1095" s="49" t="s">
        <v>348</v>
      </c>
      <c r="E1095" s="49" t="s">
        <v>366</v>
      </c>
      <c r="F1095" s="50"/>
      <c r="G1095" s="35" t="s">
        <v>366</v>
      </c>
      <c r="H1095" s="37">
        <v>234.0</v>
      </c>
      <c r="I1095" s="37">
        <v>48.0</v>
      </c>
      <c r="J1095" s="37">
        <v>186.0</v>
      </c>
      <c r="K1095" s="37">
        <v>20.5</v>
      </c>
      <c r="L1095" s="37">
        <v>79.5</v>
      </c>
      <c r="Q1095" s="4"/>
    </row>
    <row r="1096">
      <c r="A1096" s="2"/>
      <c r="B1096" s="38">
        <v>1088.0</v>
      </c>
      <c r="C1096" s="39" t="s">
        <v>30</v>
      </c>
      <c r="D1096" s="39" t="s">
        <v>348</v>
      </c>
      <c r="E1096" s="39" t="s">
        <v>366</v>
      </c>
      <c r="F1096" s="40"/>
      <c r="G1096" s="41" t="s">
        <v>23</v>
      </c>
      <c r="H1096" s="42">
        <v>94.0</v>
      </c>
      <c r="I1096" s="42">
        <v>22.0</v>
      </c>
      <c r="J1096" s="42">
        <v>72.0</v>
      </c>
      <c r="K1096" s="42">
        <v>23.4</v>
      </c>
      <c r="L1096" s="42">
        <v>76.6</v>
      </c>
      <c r="Q1096" s="4"/>
    </row>
    <row r="1097">
      <c r="A1097" s="2"/>
      <c r="B1097" s="38">
        <v>1089.0</v>
      </c>
      <c r="C1097" s="39" t="s">
        <v>30</v>
      </c>
      <c r="D1097" s="39" t="s">
        <v>348</v>
      </c>
      <c r="E1097" s="39" t="s">
        <v>366</v>
      </c>
      <c r="F1097" s="40"/>
      <c r="G1097" s="41" t="s">
        <v>25</v>
      </c>
      <c r="H1097" s="42">
        <v>140.0</v>
      </c>
      <c r="I1097" s="42">
        <v>26.0</v>
      </c>
      <c r="J1097" s="42">
        <v>114.0</v>
      </c>
      <c r="K1097" s="42">
        <v>18.6</v>
      </c>
      <c r="L1097" s="42">
        <v>81.4</v>
      </c>
      <c r="Q1097" s="4"/>
    </row>
    <row r="1098">
      <c r="A1098" s="2"/>
      <c r="B1098" s="43">
        <v>1090.0</v>
      </c>
      <c r="C1098" s="44" t="s">
        <v>32</v>
      </c>
      <c r="D1098" s="53" t="s">
        <v>348</v>
      </c>
      <c r="E1098" s="53" t="s">
        <v>366</v>
      </c>
      <c r="F1098" s="53" t="s">
        <v>367</v>
      </c>
      <c r="G1098" s="44" t="s">
        <v>367</v>
      </c>
      <c r="H1098" s="45">
        <v>109.0</v>
      </c>
      <c r="I1098" s="45">
        <v>9.0</v>
      </c>
      <c r="J1098" s="45">
        <v>100.0</v>
      </c>
      <c r="K1098" s="45">
        <v>8.3</v>
      </c>
      <c r="L1098" s="45">
        <v>91.7</v>
      </c>
      <c r="Q1098" s="4"/>
    </row>
    <row r="1099">
      <c r="A1099" s="2"/>
      <c r="B1099" s="38">
        <v>1091.0</v>
      </c>
      <c r="C1099" s="39" t="s">
        <v>32</v>
      </c>
      <c r="D1099" s="39" t="s">
        <v>348</v>
      </c>
      <c r="E1099" s="39" t="s">
        <v>366</v>
      </c>
      <c r="F1099" s="39" t="s">
        <v>367</v>
      </c>
      <c r="G1099" s="41" t="s">
        <v>23</v>
      </c>
      <c r="H1099" s="42">
        <v>23.0</v>
      </c>
      <c r="I1099" s="42">
        <v>9.0</v>
      </c>
      <c r="J1099" s="42">
        <v>14.0</v>
      </c>
      <c r="K1099" s="42">
        <v>39.1</v>
      </c>
      <c r="L1099" s="42">
        <v>60.9</v>
      </c>
      <c r="Q1099" s="4"/>
    </row>
    <row r="1100">
      <c r="A1100" s="2"/>
      <c r="B1100" s="38">
        <v>1092.0</v>
      </c>
      <c r="C1100" s="39" t="s">
        <v>32</v>
      </c>
      <c r="D1100" s="39" t="s">
        <v>348</v>
      </c>
      <c r="E1100" s="39" t="s">
        <v>366</v>
      </c>
      <c r="F1100" s="39" t="s">
        <v>367</v>
      </c>
      <c r="G1100" s="41" t="s">
        <v>25</v>
      </c>
      <c r="H1100" s="42">
        <v>86.0</v>
      </c>
      <c r="I1100" s="42">
        <v>0.0</v>
      </c>
      <c r="J1100" s="42">
        <v>86.0</v>
      </c>
      <c r="K1100" s="42">
        <v>0.0</v>
      </c>
      <c r="L1100" s="42">
        <v>100.0</v>
      </c>
      <c r="Q1100" s="4"/>
    </row>
    <row r="1101">
      <c r="A1101" s="2"/>
      <c r="B1101" s="43">
        <v>1093.0</v>
      </c>
      <c r="C1101" s="44" t="s">
        <v>32</v>
      </c>
      <c r="D1101" s="53" t="s">
        <v>348</v>
      </c>
      <c r="E1101" s="53" t="s">
        <v>366</v>
      </c>
      <c r="F1101" s="53" t="s">
        <v>368</v>
      </c>
      <c r="G1101" s="44" t="s">
        <v>368</v>
      </c>
      <c r="H1101" s="45">
        <v>101.0</v>
      </c>
      <c r="I1101" s="45">
        <v>35.0</v>
      </c>
      <c r="J1101" s="45">
        <v>66.0</v>
      </c>
      <c r="K1101" s="45">
        <v>34.7</v>
      </c>
      <c r="L1101" s="45">
        <v>65.3</v>
      </c>
      <c r="Q1101" s="4"/>
    </row>
    <row r="1102">
      <c r="A1102" s="2"/>
      <c r="B1102" s="38">
        <v>1094.0</v>
      </c>
      <c r="C1102" s="39" t="s">
        <v>32</v>
      </c>
      <c r="D1102" s="39" t="s">
        <v>348</v>
      </c>
      <c r="E1102" s="39" t="s">
        <v>366</v>
      </c>
      <c r="F1102" s="39" t="s">
        <v>368</v>
      </c>
      <c r="G1102" s="41" t="s">
        <v>23</v>
      </c>
      <c r="H1102" s="42">
        <v>51.0</v>
      </c>
      <c r="I1102" s="42">
        <v>9.0</v>
      </c>
      <c r="J1102" s="42">
        <v>42.0</v>
      </c>
      <c r="K1102" s="42">
        <v>17.6</v>
      </c>
      <c r="L1102" s="42">
        <v>82.4</v>
      </c>
      <c r="Q1102" s="4"/>
    </row>
    <row r="1103">
      <c r="A1103" s="2"/>
      <c r="B1103" s="38">
        <v>1095.0</v>
      </c>
      <c r="C1103" s="39" t="s">
        <v>32</v>
      </c>
      <c r="D1103" s="39" t="s">
        <v>348</v>
      </c>
      <c r="E1103" s="39" t="s">
        <v>366</v>
      </c>
      <c r="F1103" s="39" t="s">
        <v>368</v>
      </c>
      <c r="G1103" s="41" t="s">
        <v>25</v>
      </c>
      <c r="H1103" s="42">
        <v>50.0</v>
      </c>
      <c r="I1103" s="42">
        <v>26.0</v>
      </c>
      <c r="J1103" s="42">
        <v>24.0</v>
      </c>
      <c r="K1103" s="42">
        <v>52.0</v>
      </c>
      <c r="L1103" s="42">
        <v>48.0</v>
      </c>
      <c r="Q1103" s="4"/>
    </row>
    <row r="1104">
      <c r="A1104" s="2"/>
      <c r="B1104" s="43">
        <v>1096.0</v>
      </c>
      <c r="C1104" s="44" t="s">
        <v>32</v>
      </c>
      <c r="D1104" s="53" t="s">
        <v>348</v>
      </c>
      <c r="E1104" s="53" t="s">
        <v>366</v>
      </c>
      <c r="F1104" s="53" t="s">
        <v>369</v>
      </c>
      <c r="G1104" s="44" t="s">
        <v>369</v>
      </c>
      <c r="H1104" s="45">
        <v>24.0</v>
      </c>
      <c r="I1104" s="45">
        <v>4.0</v>
      </c>
      <c r="J1104" s="45">
        <v>20.0</v>
      </c>
      <c r="K1104" s="45">
        <v>16.7</v>
      </c>
      <c r="L1104" s="45">
        <v>83.3</v>
      </c>
      <c r="Q1104" s="4"/>
    </row>
    <row r="1105">
      <c r="A1105" s="2"/>
      <c r="B1105" s="38">
        <v>1097.0</v>
      </c>
      <c r="C1105" s="39" t="s">
        <v>32</v>
      </c>
      <c r="D1105" s="39" t="s">
        <v>348</v>
      </c>
      <c r="E1105" s="39" t="s">
        <v>366</v>
      </c>
      <c r="F1105" s="39" t="s">
        <v>369</v>
      </c>
      <c r="G1105" s="41" t="s">
        <v>23</v>
      </c>
      <c r="H1105" s="42">
        <v>20.0</v>
      </c>
      <c r="I1105" s="42">
        <v>4.0</v>
      </c>
      <c r="J1105" s="42">
        <v>16.0</v>
      </c>
      <c r="K1105" s="42">
        <v>20.0</v>
      </c>
      <c r="L1105" s="42">
        <v>80.0</v>
      </c>
      <c r="Q1105" s="4"/>
    </row>
    <row r="1106">
      <c r="A1106" s="2"/>
      <c r="B1106" s="38">
        <v>1098.0</v>
      </c>
      <c r="C1106" s="39" t="s">
        <v>32</v>
      </c>
      <c r="D1106" s="39" t="s">
        <v>348</v>
      </c>
      <c r="E1106" s="39" t="s">
        <v>366</v>
      </c>
      <c r="F1106" s="39" t="s">
        <v>369</v>
      </c>
      <c r="G1106" s="41" t="s">
        <v>25</v>
      </c>
      <c r="H1106" s="42">
        <v>4.0</v>
      </c>
      <c r="I1106" s="42">
        <v>0.0</v>
      </c>
      <c r="J1106" s="42">
        <v>4.0</v>
      </c>
      <c r="K1106" s="42">
        <v>0.0</v>
      </c>
      <c r="L1106" s="42">
        <v>100.0</v>
      </c>
      <c r="Q1106" s="4"/>
    </row>
    <row r="1107">
      <c r="A1107" s="2"/>
      <c r="B1107" s="34">
        <v>1099.0</v>
      </c>
      <c r="C1107" s="35" t="s">
        <v>30</v>
      </c>
      <c r="D1107" s="49" t="s">
        <v>348</v>
      </c>
      <c r="E1107" s="49" t="s">
        <v>370</v>
      </c>
      <c r="F1107" s="50"/>
      <c r="G1107" s="35" t="s">
        <v>370</v>
      </c>
      <c r="H1107" s="37">
        <v>57.0</v>
      </c>
      <c r="I1107" s="37">
        <v>13.0</v>
      </c>
      <c r="J1107" s="37">
        <v>44.0</v>
      </c>
      <c r="K1107" s="37">
        <v>22.8</v>
      </c>
      <c r="L1107" s="37">
        <v>77.2</v>
      </c>
      <c r="Q1107" s="4"/>
    </row>
    <row r="1108">
      <c r="A1108" s="2"/>
      <c r="B1108" s="38">
        <v>1100.0</v>
      </c>
      <c r="C1108" s="39" t="s">
        <v>30</v>
      </c>
      <c r="D1108" s="39" t="s">
        <v>348</v>
      </c>
      <c r="E1108" s="39" t="s">
        <v>370</v>
      </c>
      <c r="F1108" s="40"/>
      <c r="G1108" s="41" t="s">
        <v>23</v>
      </c>
      <c r="H1108" s="42">
        <v>21.0</v>
      </c>
      <c r="I1108" s="42">
        <v>2.0</v>
      </c>
      <c r="J1108" s="42">
        <v>19.0</v>
      </c>
      <c r="K1108" s="42">
        <v>9.5</v>
      </c>
      <c r="L1108" s="42">
        <v>90.5</v>
      </c>
      <c r="Q1108" s="4"/>
    </row>
    <row r="1109">
      <c r="A1109" s="2"/>
      <c r="B1109" s="38">
        <v>1101.0</v>
      </c>
      <c r="C1109" s="39" t="s">
        <v>30</v>
      </c>
      <c r="D1109" s="39" t="s">
        <v>348</v>
      </c>
      <c r="E1109" s="39" t="s">
        <v>370</v>
      </c>
      <c r="F1109" s="40"/>
      <c r="G1109" s="41" t="s">
        <v>25</v>
      </c>
      <c r="H1109" s="42">
        <v>36.0</v>
      </c>
      <c r="I1109" s="42">
        <v>11.0</v>
      </c>
      <c r="J1109" s="42">
        <v>25.0</v>
      </c>
      <c r="K1109" s="42">
        <v>30.6</v>
      </c>
      <c r="L1109" s="42">
        <v>69.4</v>
      </c>
      <c r="Q1109" s="4"/>
    </row>
    <row r="1110">
      <c r="A1110" s="2"/>
      <c r="B1110" s="43">
        <v>1102.0</v>
      </c>
      <c r="C1110" s="44" t="s">
        <v>32</v>
      </c>
      <c r="D1110" s="53" t="s">
        <v>348</v>
      </c>
      <c r="E1110" s="53" t="s">
        <v>370</v>
      </c>
      <c r="F1110" s="53" t="s">
        <v>371</v>
      </c>
      <c r="G1110" s="44" t="s">
        <v>371</v>
      </c>
      <c r="H1110" s="45">
        <v>26.0</v>
      </c>
      <c r="I1110" s="45">
        <v>2.0</v>
      </c>
      <c r="J1110" s="45">
        <v>24.0</v>
      </c>
      <c r="K1110" s="45">
        <v>7.7</v>
      </c>
      <c r="L1110" s="45">
        <v>92.3</v>
      </c>
      <c r="Q1110" s="4"/>
    </row>
    <row r="1111">
      <c r="A1111" s="2"/>
      <c r="B1111" s="38">
        <v>1103.0</v>
      </c>
      <c r="C1111" s="39" t="s">
        <v>32</v>
      </c>
      <c r="D1111" s="39" t="s">
        <v>348</v>
      </c>
      <c r="E1111" s="39" t="s">
        <v>370</v>
      </c>
      <c r="F1111" s="39" t="s">
        <v>371</v>
      </c>
      <c r="G1111" s="41" t="s">
        <v>23</v>
      </c>
      <c r="H1111" s="42">
        <v>19.0</v>
      </c>
      <c r="I1111" s="42">
        <v>1.0</v>
      </c>
      <c r="J1111" s="42">
        <v>18.0</v>
      </c>
      <c r="K1111" s="42">
        <v>5.3</v>
      </c>
      <c r="L1111" s="42">
        <v>94.7</v>
      </c>
      <c r="Q1111" s="4"/>
    </row>
    <row r="1112">
      <c r="A1112" s="2"/>
      <c r="B1112" s="38">
        <v>1104.0</v>
      </c>
      <c r="C1112" s="39" t="s">
        <v>32</v>
      </c>
      <c r="D1112" s="39" t="s">
        <v>348</v>
      </c>
      <c r="E1112" s="39" t="s">
        <v>370</v>
      </c>
      <c r="F1112" s="39" t="s">
        <v>371</v>
      </c>
      <c r="G1112" s="41" t="s">
        <v>25</v>
      </c>
      <c r="H1112" s="42">
        <v>7.0</v>
      </c>
      <c r="I1112" s="42">
        <v>1.0</v>
      </c>
      <c r="J1112" s="42">
        <v>6.0</v>
      </c>
      <c r="K1112" s="42">
        <v>14.3</v>
      </c>
      <c r="L1112" s="42">
        <v>85.7</v>
      </c>
      <c r="Q1112" s="4"/>
    </row>
    <row r="1113">
      <c r="A1113" s="2"/>
      <c r="B1113" s="43">
        <v>1105.0</v>
      </c>
      <c r="C1113" s="44" t="s">
        <v>32</v>
      </c>
      <c r="D1113" s="53" t="s">
        <v>348</v>
      </c>
      <c r="E1113" s="53" t="s">
        <v>370</v>
      </c>
      <c r="F1113" s="53" t="s">
        <v>372</v>
      </c>
      <c r="G1113" s="44" t="s">
        <v>372</v>
      </c>
      <c r="H1113" s="45">
        <v>29.0</v>
      </c>
      <c r="I1113" s="45">
        <v>10.0</v>
      </c>
      <c r="J1113" s="45">
        <v>19.0</v>
      </c>
      <c r="K1113" s="45">
        <v>34.5</v>
      </c>
      <c r="L1113" s="45">
        <v>65.5</v>
      </c>
      <c r="Q1113" s="4"/>
    </row>
    <row r="1114">
      <c r="A1114" s="2"/>
      <c r="B1114" s="38">
        <v>1106.0</v>
      </c>
      <c r="C1114" s="39" t="s">
        <v>32</v>
      </c>
      <c r="D1114" s="39" t="s">
        <v>348</v>
      </c>
      <c r="E1114" s="39" t="s">
        <v>370</v>
      </c>
      <c r="F1114" s="39" t="s">
        <v>372</v>
      </c>
      <c r="G1114" s="41" t="s">
        <v>23</v>
      </c>
      <c r="H1114" s="42">
        <v>0.0</v>
      </c>
      <c r="I1114" s="42">
        <v>0.0</v>
      </c>
      <c r="J1114" s="42">
        <v>0.0</v>
      </c>
      <c r="K1114" s="42">
        <v>0.0</v>
      </c>
      <c r="L1114" s="42">
        <v>0.0</v>
      </c>
      <c r="Q1114" s="4"/>
    </row>
    <row r="1115">
      <c r="A1115" s="2"/>
      <c r="B1115" s="38">
        <v>1107.0</v>
      </c>
      <c r="C1115" s="39" t="s">
        <v>32</v>
      </c>
      <c r="D1115" s="39" t="s">
        <v>348</v>
      </c>
      <c r="E1115" s="39" t="s">
        <v>370</v>
      </c>
      <c r="F1115" s="39" t="s">
        <v>372</v>
      </c>
      <c r="G1115" s="41" t="s">
        <v>25</v>
      </c>
      <c r="H1115" s="42">
        <v>29.0</v>
      </c>
      <c r="I1115" s="42">
        <v>10.0</v>
      </c>
      <c r="J1115" s="42">
        <v>19.0</v>
      </c>
      <c r="K1115" s="42">
        <v>34.5</v>
      </c>
      <c r="L1115" s="42">
        <v>65.5</v>
      </c>
      <c r="Q1115" s="4"/>
    </row>
    <row r="1116">
      <c r="A1116" s="2"/>
      <c r="B1116" s="43">
        <v>1108.0</v>
      </c>
      <c r="C1116" s="44" t="s">
        <v>32</v>
      </c>
      <c r="D1116" s="53" t="s">
        <v>348</v>
      </c>
      <c r="E1116" s="53" t="s">
        <v>370</v>
      </c>
      <c r="F1116" s="53" t="s">
        <v>373</v>
      </c>
      <c r="G1116" s="44" t="s">
        <v>373</v>
      </c>
      <c r="H1116" s="45">
        <v>2.0</v>
      </c>
      <c r="I1116" s="45">
        <v>1.0</v>
      </c>
      <c r="J1116" s="45">
        <v>1.0</v>
      </c>
      <c r="K1116" s="45">
        <v>50.0</v>
      </c>
      <c r="L1116" s="45">
        <v>50.0</v>
      </c>
      <c r="Q1116" s="4"/>
    </row>
    <row r="1117">
      <c r="A1117" s="2"/>
      <c r="B1117" s="38">
        <v>1109.0</v>
      </c>
      <c r="C1117" s="39" t="s">
        <v>32</v>
      </c>
      <c r="D1117" s="39" t="s">
        <v>348</v>
      </c>
      <c r="E1117" s="39" t="s">
        <v>370</v>
      </c>
      <c r="F1117" s="39" t="s">
        <v>373</v>
      </c>
      <c r="G1117" s="41" t="s">
        <v>23</v>
      </c>
      <c r="H1117" s="42">
        <v>2.0</v>
      </c>
      <c r="I1117" s="42">
        <v>1.0</v>
      </c>
      <c r="J1117" s="42">
        <v>1.0</v>
      </c>
      <c r="K1117" s="42">
        <v>50.0</v>
      </c>
      <c r="L1117" s="42">
        <v>50.0</v>
      </c>
      <c r="Q1117" s="4"/>
    </row>
    <row r="1118">
      <c r="A1118" s="2"/>
      <c r="B1118" s="38">
        <v>1110.0</v>
      </c>
      <c r="C1118" s="39" t="s">
        <v>32</v>
      </c>
      <c r="D1118" s="39" t="s">
        <v>348</v>
      </c>
      <c r="E1118" s="39" t="s">
        <v>370</v>
      </c>
      <c r="F1118" s="39" t="s">
        <v>373</v>
      </c>
      <c r="G1118" s="41" t="s">
        <v>25</v>
      </c>
      <c r="H1118" s="42">
        <v>0.0</v>
      </c>
      <c r="I1118" s="42">
        <v>0.0</v>
      </c>
      <c r="J1118" s="42">
        <v>0.0</v>
      </c>
      <c r="K1118" s="42">
        <v>0.0</v>
      </c>
      <c r="L1118" s="42">
        <v>0.0</v>
      </c>
      <c r="Q1118" s="4"/>
    </row>
    <row r="1119">
      <c r="A1119" s="2"/>
      <c r="B1119" s="34">
        <v>1111.0</v>
      </c>
      <c r="C1119" s="35" t="s">
        <v>30</v>
      </c>
      <c r="D1119" s="49" t="s">
        <v>348</v>
      </c>
      <c r="E1119" s="49" t="s">
        <v>374</v>
      </c>
      <c r="F1119" s="50"/>
      <c r="G1119" s="35" t="s">
        <v>374</v>
      </c>
      <c r="H1119" s="37">
        <v>179.0</v>
      </c>
      <c r="I1119" s="37">
        <v>35.0</v>
      </c>
      <c r="J1119" s="37">
        <v>144.0</v>
      </c>
      <c r="K1119" s="37">
        <v>19.6</v>
      </c>
      <c r="L1119" s="37">
        <v>80.4</v>
      </c>
      <c r="Q1119" s="4"/>
    </row>
    <row r="1120">
      <c r="A1120" s="2"/>
      <c r="B1120" s="38">
        <v>1112.0</v>
      </c>
      <c r="C1120" s="39" t="s">
        <v>30</v>
      </c>
      <c r="D1120" s="39" t="s">
        <v>348</v>
      </c>
      <c r="E1120" s="39" t="s">
        <v>374</v>
      </c>
      <c r="F1120" s="40"/>
      <c r="G1120" s="41" t="s">
        <v>23</v>
      </c>
      <c r="H1120" s="42">
        <v>88.0</v>
      </c>
      <c r="I1120" s="42">
        <v>22.0</v>
      </c>
      <c r="J1120" s="42">
        <v>66.0</v>
      </c>
      <c r="K1120" s="42">
        <v>25.0</v>
      </c>
      <c r="L1120" s="42">
        <v>75.0</v>
      </c>
      <c r="Q1120" s="4"/>
    </row>
    <row r="1121">
      <c r="A1121" s="2"/>
      <c r="B1121" s="38">
        <v>1113.0</v>
      </c>
      <c r="C1121" s="39" t="s">
        <v>30</v>
      </c>
      <c r="D1121" s="39" t="s">
        <v>348</v>
      </c>
      <c r="E1121" s="39" t="s">
        <v>374</v>
      </c>
      <c r="F1121" s="40"/>
      <c r="G1121" s="41" t="s">
        <v>25</v>
      </c>
      <c r="H1121" s="42">
        <v>91.0</v>
      </c>
      <c r="I1121" s="42">
        <v>13.0</v>
      </c>
      <c r="J1121" s="42">
        <v>78.0</v>
      </c>
      <c r="K1121" s="42">
        <v>14.3</v>
      </c>
      <c r="L1121" s="42">
        <v>85.7</v>
      </c>
      <c r="Q1121" s="4"/>
    </row>
    <row r="1122">
      <c r="A1122" s="2"/>
      <c r="B1122" s="43">
        <v>1114.0</v>
      </c>
      <c r="C1122" s="44" t="s">
        <v>32</v>
      </c>
      <c r="D1122" s="53" t="s">
        <v>348</v>
      </c>
      <c r="E1122" s="53" t="s">
        <v>374</v>
      </c>
      <c r="F1122" s="53" t="s">
        <v>375</v>
      </c>
      <c r="G1122" s="44" t="s">
        <v>375</v>
      </c>
      <c r="H1122" s="45">
        <v>24.0</v>
      </c>
      <c r="I1122" s="45">
        <v>1.0</v>
      </c>
      <c r="J1122" s="45">
        <v>23.0</v>
      </c>
      <c r="K1122" s="45">
        <v>4.2</v>
      </c>
      <c r="L1122" s="45">
        <v>95.8</v>
      </c>
      <c r="Q1122" s="4"/>
    </row>
    <row r="1123">
      <c r="A1123" s="2"/>
      <c r="B1123" s="38">
        <v>1115.0</v>
      </c>
      <c r="C1123" s="39" t="s">
        <v>32</v>
      </c>
      <c r="D1123" s="39" t="s">
        <v>348</v>
      </c>
      <c r="E1123" s="39" t="s">
        <v>374</v>
      </c>
      <c r="F1123" s="39" t="s">
        <v>375</v>
      </c>
      <c r="G1123" s="41" t="s">
        <v>23</v>
      </c>
      <c r="H1123" s="46"/>
      <c r="I1123" s="46"/>
      <c r="J1123" s="46"/>
      <c r="K1123" s="46"/>
      <c r="L1123" s="46"/>
      <c r="Q1123" s="4"/>
    </row>
    <row r="1124">
      <c r="A1124" s="2"/>
      <c r="B1124" s="38">
        <v>1116.0</v>
      </c>
      <c r="C1124" s="39" t="s">
        <v>32</v>
      </c>
      <c r="D1124" s="39" t="s">
        <v>348</v>
      </c>
      <c r="E1124" s="39" t="s">
        <v>374</v>
      </c>
      <c r="F1124" s="39" t="s">
        <v>375</v>
      </c>
      <c r="G1124" s="41" t="s">
        <v>25</v>
      </c>
      <c r="H1124" s="42">
        <v>24.0</v>
      </c>
      <c r="I1124" s="42">
        <v>1.0</v>
      </c>
      <c r="J1124" s="42">
        <v>23.0</v>
      </c>
      <c r="K1124" s="42">
        <v>4.2</v>
      </c>
      <c r="L1124" s="42">
        <v>95.8</v>
      </c>
      <c r="Q1124" s="4"/>
    </row>
    <row r="1125">
      <c r="A1125" s="2"/>
      <c r="B1125" s="43">
        <v>1117.0</v>
      </c>
      <c r="C1125" s="44" t="s">
        <v>32</v>
      </c>
      <c r="D1125" s="53" t="s">
        <v>348</v>
      </c>
      <c r="E1125" s="53" t="s">
        <v>374</v>
      </c>
      <c r="F1125" s="53" t="s">
        <v>376</v>
      </c>
      <c r="G1125" s="44" t="s">
        <v>376</v>
      </c>
      <c r="H1125" s="45">
        <v>59.0</v>
      </c>
      <c r="I1125" s="45">
        <v>14.0</v>
      </c>
      <c r="J1125" s="45">
        <v>45.0</v>
      </c>
      <c r="K1125" s="45">
        <v>23.7</v>
      </c>
      <c r="L1125" s="45">
        <v>76.3</v>
      </c>
      <c r="Q1125" s="4"/>
    </row>
    <row r="1126">
      <c r="A1126" s="2"/>
      <c r="B1126" s="38">
        <v>1118.0</v>
      </c>
      <c r="C1126" s="39" t="s">
        <v>32</v>
      </c>
      <c r="D1126" s="39" t="s">
        <v>348</v>
      </c>
      <c r="E1126" s="39" t="s">
        <v>374</v>
      </c>
      <c r="F1126" s="39" t="s">
        <v>376</v>
      </c>
      <c r="G1126" s="41" t="s">
        <v>23</v>
      </c>
      <c r="H1126" s="42">
        <v>24.0</v>
      </c>
      <c r="I1126" s="42">
        <v>6.0</v>
      </c>
      <c r="J1126" s="42">
        <v>18.0</v>
      </c>
      <c r="K1126" s="42">
        <v>25.0</v>
      </c>
      <c r="L1126" s="42">
        <v>75.0</v>
      </c>
      <c r="Q1126" s="4"/>
    </row>
    <row r="1127">
      <c r="A1127" s="2"/>
      <c r="B1127" s="38">
        <v>1119.0</v>
      </c>
      <c r="C1127" s="39" t="s">
        <v>32</v>
      </c>
      <c r="D1127" s="39" t="s">
        <v>348</v>
      </c>
      <c r="E1127" s="39" t="s">
        <v>374</v>
      </c>
      <c r="F1127" s="39" t="s">
        <v>376</v>
      </c>
      <c r="G1127" s="41" t="s">
        <v>25</v>
      </c>
      <c r="H1127" s="42">
        <v>35.0</v>
      </c>
      <c r="I1127" s="42">
        <v>8.0</v>
      </c>
      <c r="J1127" s="42">
        <v>27.0</v>
      </c>
      <c r="K1127" s="42">
        <v>22.9</v>
      </c>
      <c r="L1127" s="42">
        <v>77.1</v>
      </c>
      <c r="Q1127" s="4"/>
    </row>
    <row r="1128">
      <c r="A1128" s="2"/>
      <c r="B1128" s="43">
        <v>1120.0</v>
      </c>
      <c r="C1128" s="44" t="s">
        <v>32</v>
      </c>
      <c r="D1128" s="53" t="s">
        <v>348</v>
      </c>
      <c r="E1128" s="53" t="s">
        <v>374</v>
      </c>
      <c r="F1128" s="53" t="s">
        <v>377</v>
      </c>
      <c r="G1128" s="44" t="s">
        <v>377</v>
      </c>
      <c r="H1128" s="45">
        <v>29.0</v>
      </c>
      <c r="I1128" s="45">
        <v>2.0</v>
      </c>
      <c r="J1128" s="45">
        <v>27.0</v>
      </c>
      <c r="K1128" s="45">
        <v>6.9</v>
      </c>
      <c r="L1128" s="45">
        <v>93.1</v>
      </c>
      <c r="Q1128" s="4"/>
    </row>
    <row r="1129">
      <c r="A1129" s="2"/>
      <c r="B1129" s="38">
        <v>1121.0</v>
      </c>
      <c r="C1129" s="39" t="s">
        <v>32</v>
      </c>
      <c r="D1129" s="39" t="s">
        <v>348</v>
      </c>
      <c r="E1129" s="39" t="s">
        <v>374</v>
      </c>
      <c r="F1129" s="39" t="s">
        <v>377</v>
      </c>
      <c r="G1129" s="41" t="s">
        <v>23</v>
      </c>
      <c r="H1129" s="42">
        <v>13.0</v>
      </c>
      <c r="I1129" s="42">
        <v>2.0</v>
      </c>
      <c r="J1129" s="42">
        <v>11.0</v>
      </c>
      <c r="K1129" s="42">
        <v>15.4</v>
      </c>
      <c r="L1129" s="42">
        <v>84.6</v>
      </c>
      <c r="Q1129" s="4"/>
    </row>
    <row r="1130">
      <c r="A1130" s="2"/>
      <c r="B1130" s="38">
        <v>1122.0</v>
      </c>
      <c r="C1130" s="39" t="s">
        <v>32</v>
      </c>
      <c r="D1130" s="39" t="s">
        <v>348</v>
      </c>
      <c r="E1130" s="39" t="s">
        <v>374</v>
      </c>
      <c r="F1130" s="39" t="s">
        <v>377</v>
      </c>
      <c r="G1130" s="41" t="s">
        <v>25</v>
      </c>
      <c r="H1130" s="42">
        <v>16.0</v>
      </c>
      <c r="I1130" s="42">
        <v>0.0</v>
      </c>
      <c r="J1130" s="42">
        <v>16.0</v>
      </c>
      <c r="K1130" s="42">
        <v>0.0</v>
      </c>
      <c r="L1130" s="42">
        <v>100.0</v>
      </c>
      <c r="Q1130" s="4"/>
    </row>
    <row r="1131">
      <c r="A1131" s="2"/>
      <c r="B1131" s="43">
        <v>1123.0</v>
      </c>
      <c r="C1131" s="44" t="s">
        <v>32</v>
      </c>
      <c r="D1131" s="53" t="s">
        <v>348</v>
      </c>
      <c r="E1131" s="53" t="s">
        <v>374</v>
      </c>
      <c r="F1131" s="53" t="s">
        <v>378</v>
      </c>
      <c r="G1131" s="44" t="s">
        <v>378</v>
      </c>
      <c r="H1131" s="45">
        <v>3.0</v>
      </c>
      <c r="I1131" s="45">
        <v>2.0</v>
      </c>
      <c r="J1131" s="45">
        <v>1.0</v>
      </c>
      <c r="K1131" s="45">
        <v>66.7</v>
      </c>
      <c r="L1131" s="45">
        <v>33.3</v>
      </c>
      <c r="Q1131" s="4"/>
    </row>
    <row r="1132">
      <c r="A1132" s="2"/>
      <c r="B1132" s="38">
        <v>1124.0</v>
      </c>
      <c r="C1132" s="39" t="s">
        <v>32</v>
      </c>
      <c r="D1132" s="39" t="s">
        <v>348</v>
      </c>
      <c r="E1132" s="39" t="s">
        <v>374</v>
      </c>
      <c r="F1132" s="39" t="s">
        <v>378</v>
      </c>
      <c r="G1132" s="41" t="s">
        <v>23</v>
      </c>
      <c r="H1132" s="42">
        <v>2.0</v>
      </c>
      <c r="I1132" s="42">
        <v>1.0</v>
      </c>
      <c r="J1132" s="42">
        <v>1.0</v>
      </c>
      <c r="K1132" s="42">
        <v>50.0</v>
      </c>
      <c r="L1132" s="42">
        <v>50.0</v>
      </c>
      <c r="Q1132" s="4"/>
    </row>
    <row r="1133">
      <c r="A1133" s="2"/>
      <c r="B1133" s="38">
        <v>1125.0</v>
      </c>
      <c r="C1133" s="39" t="s">
        <v>32</v>
      </c>
      <c r="D1133" s="39" t="s">
        <v>348</v>
      </c>
      <c r="E1133" s="39" t="s">
        <v>374</v>
      </c>
      <c r="F1133" s="39" t="s">
        <v>378</v>
      </c>
      <c r="G1133" s="41" t="s">
        <v>25</v>
      </c>
      <c r="H1133" s="42">
        <v>1.0</v>
      </c>
      <c r="I1133" s="42">
        <v>1.0</v>
      </c>
      <c r="J1133" s="42">
        <v>0.0</v>
      </c>
      <c r="K1133" s="42">
        <v>100.0</v>
      </c>
      <c r="L1133" s="42">
        <v>0.0</v>
      </c>
      <c r="Q1133" s="4"/>
    </row>
    <row r="1134">
      <c r="A1134" s="2"/>
      <c r="B1134" s="43">
        <v>1126.0</v>
      </c>
      <c r="C1134" s="44" t="s">
        <v>32</v>
      </c>
      <c r="D1134" s="53" t="s">
        <v>348</v>
      </c>
      <c r="E1134" s="53" t="s">
        <v>374</v>
      </c>
      <c r="F1134" s="53" t="s">
        <v>379</v>
      </c>
      <c r="G1134" s="44" t="s">
        <v>379</v>
      </c>
      <c r="H1134" s="45">
        <v>6.0</v>
      </c>
      <c r="I1134" s="45">
        <v>0.0</v>
      </c>
      <c r="J1134" s="45">
        <v>6.0</v>
      </c>
      <c r="K1134" s="45">
        <v>0.0</v>
      </c>
      <c r="L1134" s="45">
        <v>100.0</v>
      </c>
      <c r="Q1134" s="4"/>
    </row>
    <row r="1135">
      <c r="A1135" s="2"/>
      <c r="B1135" s="38">
        <v>1127.0</v>
      </c>
      <c r="C1135" s="39" t="s">
        <v>32</v>
      </c>
      <c r="D1135" s="39" t="s">
        <v>348</v>
      </c>
      <c r="E1135" s="39" t="s">
        <v>374</v>
      </c>
      <c r="F1135" s="39" t="s">
        <v>379</v>
      </c>
      <c r="G1135" s="41" t="s">
        <v>23</v>
      </c>
      <c r="H1135" s="46"/>
      <c r="I1135" s="46"/>
      <c r="J1135" s="46"/>
      <c r="K1135" s="46"/>
      <c r="L1135" s="46"/>
      <c r="Q1135" s="4"/>
    </row>
    <row r="1136">
      <c r="A1136" s="2"/>
      <c r="B1136" s="38">
        <v>1128.0</v>
      </c>
      <c r="C1136" s="39" t="s">
        <v>32</v>
      </c>
      <c r="D1136" s="39" t="s">
        <v>348</v>
      </c>
      <c r="E1136" s="39" t="s">
        <v>374</v>
      </c>
      <c r="F1136" s="39" t="s">
        <v>379</v>
      </c>
      <c r="G1136" s="41" t="s">
        <v>25</v>
      </c>
      <c r="H1136" s="42">
        <v>6.0</v>
      </c>
      <c r="I1136" s="42">
        <v>0.0</v>
      </c>
      <c r="J1136" s="42">
        <v>6.0</v>
      </c>
      <c r="K1136" s="42">
        <v>0.0</v>
      </c>
      <c r="L1136" s="42">
        <v>100.0</v>
      </c>
      <c r="Q1136" s="4"/>
    </row>
    <row r="1137">
      <c r="A1137" s="2"/>
      <c r="B1137" s="43">
        <v>1129.0</v>
      </c>
      <c r="C1137" s="44" t="s">
        <v>32</v>
      </c>
      <c r="D1137" s="53" t="s">
        <v>348</v>
      </c>
      <c r="E1137" s="53" t="s">
        <v>374</v>
      </c>
      <c r="F1137" s="53" t="s">
        <v>380</v>
      </c>
      <c r="G1137" s="44" t="s">
        <v>380</v>
      </c>
      <c r="H1137" s="45">
        <v>38.0</v>
      </c>
      <c r="I1137" s="45">
        <v>10.0</v>
      </c>
      <c r="J1137" s="45">
        <v>28.0</v>
      </c>
      <c r="K1137" s="45">
        <v>26.3</v>
      </c>
      <c r="L1137" s="45">
        <v>73.7</v>
      </c>
      <c r="Q1137" s="4"/>
    </row>
    <row r="1138">
      <c r="A1138" s="2"/>
      <c r="B1138" s="38">
        <v>1130.0</v>
      </c>
      <c r="C1138" s="39" t="s">
        <v>32</v>
      </c>
      <c r="D1138" s="39" t="s">
        <v>348</v>
      </c>
      <c r="E1138" s="39" t="s">
        <v>374</v>
      </c>
      <c r="F1138" s="39" t="s">
        <v>380</v>
      </c>
      <c r="G1138" s="41" t="s">
        <v>23</v>
      </c>
      <c r="H1138" s="42">
        <v>34.0</v>
      </c>
      <c r="I1138" s="42">
        <v>7.0</v>
      </c>
      <c r="J1138" s="42">
        <v>27.0</v>
      </c>
      <c r="K1138" s="42">
        <v>20.6</v>
      </c>
      <c r="L1138" s="42">
        <v>79.4</v>
      </c>
      <c r="Q1138" s="4"/>
    </row>
    <row r="1139">
      <c r="A1139" s="2"/>
      <c r="B1139" s="38">
        <v>1131.0</v>
      </c>
      <c r="C1139" s="39" t="s">
        <v>32</v>
      </c>
      <c r="D1139" s="39" t="s">
        <v>348</v>
      </c>
      <c r="E1139" s="39" t="s">
        <v>374</v>
      </c>
      <c r="F1139" s="39" t="s">
        <v>380</v>
      </c>
      <c r="G1139" s="41" t="s">
        <v>25</v>
      </c>
      <c r="H1139" s="42">
        <v>4.0</v>
      </c>
      <c r="I1139" s="42">
        <v>3.0</v>
      </c>
      <c r="J1139" s="42">
        <v>1.0</v>
      </c>
      <c r="K1139" s="42">
        <v>75.0</v>
      </c>
      <c r="L1139" s="42">
        <v>25.0</v>
      </c>
      <c r="Q1139" s="4"/>
    </row>
    <row r="1140">
      <c r="A1140" s="2"/>
      <c r="B1140" s="43">
        <v>1132.0</v>
      </c>
      <c r="C1140" s="44" t="s">
        <v>32</v>
      </c>
      <c r="D1140" s="53" t="s">
        <v>348</v>
      </c>
      <c r="E1140" s="53" t="s">
        <v>374</v>
      </c>
      <c r="F1140" s="53" t="s">
        <v>381</v>
      </c>
      <c r="G1140" s="44" t="s">
        <v>381</v>
      </c>
      <c r="H1140" s="45">
        <v>20.0</v>
      </c>
      <c r="I1140" s="45">
        <v>6.0</v>
      </c>
      <c r="J1140" s="45">
        <v>14.0</v>
      </c>
      <c r="K1140" s="45">
        <v>30.0</v>
      </c>
      <c r="L1140" s="45">
        <v>70.0</v>
      </c>
      <c r="Q1140" s="4"/>
    </row>
    <row r="1141">
      <c r="A1141" s="2"/>
      <c r="B1141" s="38">
        <v>1133.0</v>
      </c>
      <c r="C1141" s="39" t="s">
        <v>32</v>
      </c>
      <c r="D1141" s="39" t="s">
        <v>348</v>
      </c>
      <c r="E1141" s="39" t="s">
        <v>374</v>
      </c>
      <c r="F1141" s="39" t="s">
        <v>381</v>
      </c>
      <c r="G1141" s="41" t="s">
        <v>23</v>
      </c>
      <c r="H1141" s="42">
        <v>15.0</v>
      </c>
      <c r="I1141" s="42">
        <v>6.0</v>
      </c>
      <c r="J1141" s="42">
        <v>9.0</v>
      </c>
      <c r="K1141" s="42">
        <v>40.0</v>
      </c>
      <c r="L1141" s="42">
        <v>60.0</v>
      </c>
      <c r="Q1141" s="4"/>
    </row>
    <row r="1142">
      <c r="A1142" s="2"/>
      <c r="B1142" s="38">
        <v>1134.0</v>
      </c>
      <c r="C1142" s="39" t="s">
        <v>32</v>
      </c>
      <c r="D1142" s="39" t="s">
        <v>348</v>
      </c>
      <c r="E1142" s="39" t="s">
        <v>374</v>
      </c>
      <c r="F1142" s="39" t="s">
        <v>381</v>
      </c>
      <c r="G1142" s="41" t="s">
        <v>25</v>
      </c>
      <c r="H1142" s="42">
        <v>5.0</v>
      </c>
      <c r="I1142" s="42">
        <v>0.0</v>
      </c>
      <c r="J1142" s="42">
        <v>5.0</v>
      </c>
      <c r="K1142" s="42">
        <v>0.0</v>
      </c>
      <c r="L1142" s="42">
        <v>100.0</v>
      </c>
      <c r="Q1142" s="4"/>
    </row>
    <row r="1143">
      <c r="A1143" s="2"/>
      <c r="B1143" s="34">
        <v>1135.0</v>
      </c>
      <c r="C1143" s="35" t="s">
        <v>30</v>
      </c>
      <c r="D1143" s="49" t="s">
        <v>348</v>
      </c>
      <c r="E1143" s="49" t="s">
        <v>382</v>
      </c>
      <c r="F1143" s="50"/>
      <c r="G1143" s="35" t="s">
        <v>382</v>
      </c>
      <c r="H1143" s="37">
        <v>31.0</v>
      </c>
      <c r="I1143" s="37">
        <v>3.0</v>
      </c>
      <c r="J1143" s="37">
        <v>28.0</v>
      </c>
      <c r="K1143" s="37">
        <v>9.7</v>
      </c>
      <c r="L1143" s="37">
        <v>90.3</v>
      </c>
      <c r="Q1143" s="4"/>
    </row>
    <row r="1144">
      <c r="A1144" s="2"/>
      <c r="B1144" s="38">
        <v>1136.0</v>
      </c>
      <c r="C1144" s="39" t="s">
        <v>30</v>
      </c>
      <c r="D1144" s="39" t="s">
        <v>348</v>
      </c>
      <c r="E1144" s="39" t="s">
        <v>382</v>
      </c>
      <c r="F1144" s="40"/>
      <c r="G1144" s="41" t="s">
        <v>23</v>
      </c>
      <c r="H1144" s="42">
        <v>11.0</v>
      </c>
      <c r="I1144" s="42">
        <v>1.0</v>
      </c>
      <c r="J1144" s="42">
        <v>10.0</v>
      </c>
      <c r="K1144" s="42">
        <v>9.1</v>
      </c>
      <c r="L1144" s="42">
        <v>90.9</v>
      </c>
      <c r="Q1144" s="4"/>
    </row>
    <row r="1145">
      <c r="A1145" s="2"/>
      <c r="B1145" s="38">
        <v>1137.0</v>
      </c>
      <c r="C1145" s="39" t="s">
        <v>30</v>
      </c>
      <c r="D1145" s="39" t="s">
        <v>348</v>
      </c>
      <c r="E1145" s="39" t="s">
        <v>382</v>
      </c>
      <c r="F1145" s="40"/>
      <c r="G1145" s="41" t="s">
        <v>25</v>
      </c>
      <c r="H1145" s="42">
        <v>20.0</v>
      </c>
      <c r="I1145" s="42">
        <v>2.0</v>
      </c>
      <c r="J1145" s="42">
        <v>18.0</v>
      </c>
      <c r="K1145" s="42">
        <v>10.0</v>
      </c>
      <c r="L1145" s="42">
        <v>90.0</v>
      </c>
      <c r="Q1145" s="4"/>
    </row>
    <row r="1146">
      <c r="A1146" s="2"/>
      <c r="B1146" s="43">
        <v>1138.0</v>
      </c>
      <c r="C1146" s="44" t="s">
        <v>32</v>
      </c>
      <c r="D1146" s="53" t="s">
        <v>348</v>
      </c>
      <c r="E1146" s="53" t="s">
        <v>382</v>
      </c>
      <c r="F1146" s="53" t="s">
        <v>383</v>
      </c>
      <c r="G1146" s="44" t="s">
        <v>383</v>
      </c>
      <c r="H1146" s="45">
        <v>14.0</v>
      </c>
      <c r="I1146" s="45">
        <v>2.0</v>
      </c>
      <c r="J1146" s="45">
        <v>12.0</v>
      </c>
      <c r="K1146" s="45">
        <v>14.3</v>
      </c>
      <c r="L1146" s="45">
        <v>85.7</v>
      </c>
      <c r="Q1146" s="4"/>
    </row>
    <row r="1147">
      <c r="A1147" s="2"/>
      <c r="B1147" s="38">
        <v>1139.0</v>
      </c>
      <c r="C1147" s="39" t="s">
        <v>32</v>
      </c>
      <c r="D1147" s="39" t="s">
        <v>348</v>
      </c>
      <c r="E1147" s="39" t="s">
        <v>382</v>
      </c>
      <c r="F1147" s="39" t="s">
        <v>383</v>
      </c>
      <c r="G1147" s="41" t="s">
        <v>23</v>
      </c>
      <c r="H1147" s="42">
        <v>11.0</v>
      </c>
      <c r="I1147" s="42">
        <v>1.0</v>
      </c>
      <c r="J1147" s="42">
        <v>10.0</v>
      </c>
      <c r="K1147" s="42">
        <v>9.1</v>
      </c>
      <c r="L1147" s="42">
        <v>90.9</v>
      </c>
      <c r="Q1147" s="4"/>
    </row>
    <row r="1148">
      <c r="A1148" s="2"/>
      <c r="B1148" s="38">
        <v>1140.0</v>
      </c>
      <c r="C1148" s="39" t="s">
        <v>32</v>
      </c>
      <c r="D1148" s="39" t="s">
        <v>348</v>
      </c>
      <c r="E1148" s="39" t="s">
        <v>382</v>
      </c>
      <c r="F1148" s="39" t="s">
        <v>383</v>
      </c>
      <c r="G1148" s="41" t="s">
        <v>25</v>
      </c>
      <c r="H1148" s="42">
        <v>3.0</v>
      </c>
      <c r="I1148" s="42">
        <v>1.0</v>
      </c>
      <c r="J1148" s="42">
        <v>2.0</v>
      </c>
      <c r="K1148" s="42">
        <v>33.3</v>
      </c>
      <c r="L1148" s="42">
        <v>66.7</v>
      </c>
      <c r="Q1148" s="4"/>
    </row>
    <row r="1149">
      <c r="A1149" s="2"/>
      <c r="B1149" s="43">
        <v>1141.0</v>
      </c>
      <c r="C1149" s="44" t="s">
        <v>32</v>
      </c>
      <c r="D1149" s="53" t="s">
        <v>348</v>
      </c>
      <c r="E1149" s="53" t="s">
        <v>382</v>
      </c>
      <c r="F1149" s="53" t="s">
        <v>384</v>
      </c>
      <c r="G1149" s="44" t="s">
        <v>384</v>
      </c>
      <c r="H1149" s="45">
        <v>1.0</v>
      </c>
      <c r="I1149" s="45">
        <v>0.0</v>
      </c>
      <c r="J1149" s="45">
        <v>1.0</v>
      </c>
      <c r="K1149" s="45">
        <v>0.0</v>
      </c>
      <c r="L1149" s="45">
        <v>100.0</v>
      </c>
      <c r="Q1149" s="4"/>
    </row>
    <row r="1150">
      <c r="A1150" s="2"/>
      <c r="B1150" s="38">
        <v>1142.0</v>
      </c>
      <c r="C1150" s="39" t="s">
        <v>32</v>
      </c>
      <c r="D1150" s="39" t="s">
        <v>348</v>
      </c>
      <c r="E1150" s="39" t="s">
        <v>382</v>
      </c>
      <c r="F1150" s="39" t="s">
        <v>384</v>
      </c>
      <c r="G1150" s="41" t="s">
        <v>23</v>
      </c>
      <c r="H1150" s="46"/>
      <c r="I1150" s="46"/>
      <c r="J1150" s="46"/>
      <c r="K1150" s="46"/>
      <c r="L1150" s="46"/>
      <c r="Q1150" s="4"/>
    </row>
    <row r="1151">
      <c r="A1151" s="2"/>
      <c r="B1151" s="38">
        <v>1143.0</v>
      </c>
      <c r="C1151" s="39" t="s">
        <v>32</v>
      </c>
      <c r="D1151" s="39" t="s">
        <v>348</v>
      </c>
      <c r="E1151" s="39" t="s">
        <v>382</v>
      </c>
      <c r="F1151" s="39" t="s">
        <v>384</v>
      </c>
      <c r="G1151" s="41" t="s">
        <v>25</v>
      </c>
      <c r="H1151" s="42">
        <v>1.0</v>
      </c>
      <c r="I1151" s="42">
        <v>0.0</v>
      </c>
      <c r="J1151" s="42">
        <v>1.0</v>
      </c>
      <c r="K1151" s="42">
        <v>0.0</v>
      </c>
      <c r="L1151" s="42">
        <v>100.0</v>
      </c>
      <c r="Q1151" s="4"/>
    </row>
    <row r="1152">
      <c r="A1152" s="2"/>
      <c r="B1152" s="43">
        <v>1144.0</v>
      </c>
      <c r="C1152" s="44" t="s">
        <v>32</v>
      </c>
      <c r="D1152" s="53" t="s">
        <v>348</v>
      </c>
      <c r="E1152" s="53" t="s">
        <v>382</v>
      </c>
      <c r="F1152" s="53" t="s">
        <v>385</v>
      </c>
      <c r="G1152" s="44" t="s">
        <v>385</v>
      </c>
      <c r="H1152" s="45">
        <v>11.0</v>
      </c>
      <c r="I1152" s="45">
        <v>1.0</v>
      </c>
      <c r="J1152" s="45">
        <v>10.0</v>
      </c>
      <c r="K1152" s="45">
        <v>9.1</v>
      </c>
      <c r="L1152" s="45">
        <v>90.9</v>
      </c>
      <c r="Q1152" s="4"/>
    </row>
    <row r="1153">
      <c r="A1153" s="2"/>
      <c r="B1153" s="38">
        <v>1145.0</v>
      </c>
      <c r="C1153" s="39" t="s">
        <v>32</v>
      </c>
      <c r="D1153" s="39" t="s">
        <v>348</v>
      </c>
      <c r="E1153" s="39" t="s">
        <v>382</v>
      </c>
      <c r="F1153" s="39" t="s">
        <v>385</v>
      </c>
      <c r="G1153" s="41" t="s">
        <v>23</v>
      </c>
      <c r="H1153" s="46"/>
      <c r="I1153" s="46"/>
      <c r="J1153" s="46"/>
      <c r="K1153" s="46"/>
      <c r="L1153" s="46"/>
      <c r="Q1153" s="4"/>
    </row>
    <row r="1154">
      <c r="A1154" s="2"/>
      <c r="B1154" s="38">
        <v>1146.0</v>
      </c>
      <c r="C1154" s="39" t="s">
        <v>32</v>
      </c>
      <c r="D1154" s="39" t="s">
        <v>348</v>
      </c>
      <c r="E1154" s="39" t="s">
        <v>382</v>
      </c>
      <c r="F1154" s="39" t="s">
        <v>385</v>
      </c>
      <c r="G1154" s="41" t="s">
        <v>25</v>
      </c>
      <c r="H1154" s="42">
        <v>11.0</v>
      </c>
      <c r="I1154" s="42">
        <v>1.0</v>
      </c>
      <c r="J1154" s="42">
        <v>10.0</v>
      </c>
      <c r="K1154" s="42">
        <v>9.1</v>
      </c>
      <c r="L1154" s="42">
        <v>90.9</v>
      </c>
      <c r="Q1154" s="4"/>
    </row>
    <row r="1155">
      <c r="A1155" s="2"/>
      <c r="B1155" s="43">
        <v>1147.0</v>
      </c>
      <c r="C1155" s="44" t="s">
        <v>32</v>
      </c>
      <c r="D1155" s="53" t="s">
        <v>348</v>
      </c>
      <c r="E1155" s="53" t="s">
        <v>382</v>
      </c>
      <c r="F1155" s="53" t="s">
        <v>386</v>
      </c>
      <c r="G1155" s="44" t="s">
        <v>386</v>
      </c>
      <c r="H1155" s="45">
        <v>5.0</v>
      </c>
      <c r="I1155" s="45">
        <v>0.0</v>
      </c>
      <c r="J1155" s="45">
        <v>5.0</v>
      </c>
      <c r="K1155" s="45">
        <v>0.0</v>
      </c>
      <c r="L1155" s="45">
        <v>100.0</v>
      </c>
      <c r="Q1155" s="4"/>
    </row>
    <row r="1156">
      <c r="A1156" s="2"/>
      <c r="B1156" s="38">
        <v>1148.0</v>
      </c>
      <c r="C1156" s="39" t="s">
        <v>32</v>
      </c>
      <c r="D1156" s="39" t="s">
        <v>348</v>
      </c>
      <c r="E1156" s="39" t="s">
        <v>382</v>
      </c>
      <c r="F1156" s="39" t="s">
        <v>386</v>
      </c>
      <c r="G1156" s="41" t="s">
        <v>23</v>
      </c>
      <c r="H1156" s="46"/>
      <c r="I1156" s="46"/>
      <c r="J1156" s="46"/>
      <c r="K1156" s="46"/>
      <c r="L1156" s="46"/>
      <c r="Q1156" s="4"/>
    </row>
    <row r="1157">
      <c r="A1157" s="2"/>
      <c r="B1157" s="38">
        <v>1149.0</v>
      </c>
      <c r="C1157" s="39" t="s">
        <v>32</v>
      </c>
      <c r="D1157" s="39" t="s">
        <v>348</v>
      </c>
      <c r="E1157" s="39" t="s">
        <v>382</v>
      </c>
      <c r="F1157" s="39" t="s">
        <v>386</v>
      </c>
      <c r="G1157" s="41" t="s">
        <v>25</v>
      </c>
      <c r="H1157" s="42">
        <v>5.0</v>
      </c>
      <c r="I1157" s="42">
        <v>0.0</v>
      </c>
      <c r="J1157" s="42">
        <v>5.0</v>
      </c>
      <c r="K1157" s="42">
        <v>0.0</v>
      </c>
      <c r="L1157" s="42">
        <v>100.0</v>
      </c>
      <c r="Q1157" s="4"/>
    </row>
    <row r="1158">
      <c r="A1158" s="2"/>
      <c r="B1158" s="43">
        <v>1150.0</v>
      </c>
      <c r="C1158" s="44" t="s">
        <v>32</v>
      </c>
      <c r="D1158" s="53" t="s">
        <v>348</v>
      </c>
      <c r="E1158" s="53" t="s">
        <v>382</v>
      </c>
      <c r="F1158" s="53" t="s">
        <v>387</v>
      </c>
      <c r="G1158" s="44" t="s">
        <v>387</v>
      </c>
      <c r="H1158" s="45">
        <v>0.0</v>
      </c>
      <c r="I1158" s="45">
        <v>0.0</v>
      </c>
      <c r="J1158" s="45">
        <v>0.0</v>
      </c>
      <c r="K1158" s="45">
        <v>0.0</v>
      </c>
      <c r="L1158" s="45">
        <v>0.0</v>
      </c>
      <c r="Q1158" s="4"/>
    </row>
    <row r="1159">
      <c r="A1159" s="2"/>
      <c r="B1159" s="38">
        <v>1151.0</v>
      </c>
      <c r="C1159" s="39" t="s">
        <v>32</v>
      </c>
      <c r="D1159" s="39" t="s">
        <v>348</v>
      </c>
      <c r="E1159" s="39" t="s">
        <v>382</v>
      </c>
      <c r="F1159" s="39" t="s">
        <v>387</v>
      </c>
      <c r="G1159" s="41" t="s">
        <v>23</v>
      </c>
      <c r="H1159" s="46"/>
      <c r="I1159" s="46"/>
      <c r="J1159" s="46"/>
      <c r="K1159" s="46"/>
      <c r="L1159" s="46"/>
      <c r="Q1159" s="4"/>
    </row>
    <row r="1160">
      <c r="A1160" s="2"/>
      <c r="B1160" s="38">
        <v>1152.0</v>
      </c>
      <c r="C1160" s="39" t="s">
        <v>32</v>
      </c>
      <c r="D1160" s="39" t="s">
        <v>348</v>
      </c>
      <c r="E1160" s="39" t="s">
        <v>382</v>
      </c>
      <c r="F1160" s="39" t="s">
        <v>387</v>
      </c>
      <c r="G1160" s="41" t="s">
        <v>25</v>
      </c>
      <c r="H1160" s="42">
        <v>0.0</v>
      </c>
      <c r="I1160" s="42">
        <v>0.0</v>
      </c>
      <c r="J1160" s="42">
        <v>0.0</v>
      </c>
      <c r="K1160" s="42">
        <v>0.0</v>
      </c>
      <c r="L1160" s="42">
        <v>0.0</v>
      </c>
      <c r="Q1160" s="4"/>
    </row>
    <row r="1161">
      <c r="A1161" s="2"/>
      <c r="B1161" s="34">
        <v>1153.0</v>
      </c>
      <c r="C1161" s="35" t="s">
        <v>30</v>
      </c>
      <c r="D1161" s="49" t="s">
        <v>348</v>
      </c>
      <c r="E1161" s="49" t="s">
        <v>388</v>
      </c>
      <c r="F1161" s="50"/>
      <c r="G1161" s="35" t="s">
        <v>388</v>
      </c>
      <c r="H1161" s="37">
        <v>95.0</v>
      </c>
      <c r="I1161" s="37">
        <v>18.0</v>
      </c>
      <c r="J1161" s="37">
        <v>77.0</v>
      </c>
      <c r="K1161" s="37">
        <v>18.9</v>
      </c>
      <c r="L1161" s="37">
        <v>81.1</v>
      </c>
      <c r="Q1161" s="4"/>
    </row>
    <row r="1162">
      <c r="A1162" s="2"/>
      <c r="B1162" s="38">
        <v>1154.0</v>
      </c>
      <c r="C1162" s="39" t="s">
        <v>30</v>
      </c>
      <c r="D1162" s="39" t="s">
        <v>348</v>
      </c>
      <c r="E1162" s="39" t="s">
        <v>388</v>
      </c>
      <c r="F1162" s="40"/>
      <c r="G1162" s="41" t="s">
        <v>23</v>
      </c>
      <c r="H1162" s="42">
        <v>55.0</v>
      </c>
      <c r="I1162" s="42">
        <v>9.0</v>
      </c>
      <c r="J1162" s="42">
        <v>46.0</v>
      </c>
      <c r="K1162" s="42">
        <v>16.4</v>
      </c>
      <c r="L1162" s="42">
        <v>83.6</v>
      </c>
      <c r="Q1162" s="4"/>
    </row>
    <row r="1163">
      <c r="A1163" s="2"/>
      <c r="B1163" s="38">
        <v>1155.0</v>
      </c>
      <c r="C1163" s="39" t="s">
        <v>30</v>
      </c>
      <c r="D1163" s="39" t="s">
        <v>348</v>
      </c>
      <c r="E1163" s="39" t="s">
        <v>388</v>
      </c>
      <c r="F1163" s="40"/>
      <c r="G1163" s="41" t="s">
        <v>25</v>
      </c>
      <c r="H1163" s="42">
        <v>40.0</v>
      </c>
      <c r="I1163" s="42">
        <v>9.0</v>
      </c>
      <c r="J1163" s="42">
        <v>31.0</v>
      </c>
      <c r="K1163" s="42">
        <v>22.5</v>
      </c>
      <c r="L1163" s="42">
        <v>77.5</v>
      </c>
      <c r="Q1163" s="4"/>
    </row>
    <row r="1164">
      <c r="A1164" s="2"/>
      <c r="B1164" s="43">
        <v>1156.0</v>
      </c>
      <c r="C1164" s="44" t="s">
        <v>32</v>
      </c>
      <c r="D1164" s="53" t="s">
        <v>348</v>
      </c>
      <c r="E1164" s="53" t="s">
        <v>388</v>
      </c>
      <c r="F1164" s="53" t="s">
        <v>389</v>
      </c>
      <c r="G1164" s="44" t="s">
        <v>389</v>
      </c>
      <c r="H1164" s="45">
        <v>21.0</v>
      </c>
      <c r="I1164" s="45">
        <v>4.0</v>
      </c>
      <c r="J1164" s="45">
        <v>17.0</v>
      </c>
      <c r="K1164" s="45">
        <v>19.0</v>
      </c>
      <c r="L1164" s="45">
        <v>81.0</v>
      </c>
      <c r="Q1164" s="4"/>
    </row>
    <row r="1165">
      <c r="A1165" s="2"/>
      <c r="B1165" s="38">
        <v>1157.0</v>
      </c>
      <c r="C1165" s="39" t="s">
        <v>32</v>
      </c>
      <c r="D1165" s="39" t="s">
        <v>348</v>
      </c>
      <c r="E1165" s="39" t="s">
        <v>388</v>
      </c>
      <c r="F1165" s="39" t="s">
        <v>389</v>
      </c>
      <c r="G1165" s="41" t="s">
        <v>23</v>
      </c>
      <c r="H1165" s="42">
        <v>8.0</v>
      </c>
      <c r="I1165" s="42">
        <v>4.0</v>
      </c>
      <c r="J1165" s="42">
        <v>4.0</v>
      </c>
      <c r="K1165" s="42">
        <v>50.0</v>
      </c>
      <c r="L1165" s="42">
        <v>50.0</v>
      </c>
      <c r="Q1165" s="4"/>
    </row>
    <row r="1166">
      <c r="A1166" s="2"/>
      <c r="B1166" s="38">
        <v>1158.0</v>
      </c>
      <c r="C1166" s="39" t="s">
        <v>32</v>
      </c>
      <c r="D1166" s="39" t="s">
        <v>348</v>
      </c>
      <c r="E1166" s="39" t="s">
        <v>388</v>
      </c>
      <c r="F1166" s="39" t="s">
        <v>389</v>
      </c>
      <c r="G1166" s="41" t="s">
        <v>25</v>
      </c>
      <c r="H1166" s="42">
        <v>13.0</v>
      </c>
      <c r="I1166" s="42">
        <v>0.0</v>
      </c>
      <c r="J1166" s="42">
        <v>13.0</v>
      </c>
      <c r="K1166" s="42">
        <v>0.0</v>
      </c>
      <c r="L1166" s="42">
        <v>100.0</v>
      </c>
      <c r="Q1166" s="4"/>
    </row>
    <row r="1167">
      <c r="A1167" s="2"/>
      <c r="B1167" s="43">
        <v>1159.0</v>
      </c>
      <c r="C1167" s="44" t="s">
        <v>32</v>
      </c>
      <c r="D1167" s="53" t="s">
        <v>348</v>
      </c>
      <c r="E1167" s="53" t="s">
        <v>388</v>
      </c>
      <c r="F1167" s="53" t="s">
        <v>390</v>
      </c>
      <c r="G1167" s="44" t="s">
        <v>390</v>
      </c>
      <c r="H1167" s="45">
        <v>51.0</v>
      </c>
      <c r="I1167" s="45">
        <v>2.0</v>
      </c>
      <c r="J1167" s="45">
        <v>49.0</v>
      </c>
      <c r="K1167" s="45">
        <v>3.9</v>
      </c>
      <c r="L1167" s="45">
        <v>96.1</v>
      </c>
      <c r="Q1167" s="4"/>
    </row>
    <row r="1168">
      <c r="A1168" s="2"/>
      <c r="B1168" s="38">
        <v>1160.0</v>
      </c>
      <c r="C1168" s="39" t="s">
        <v>32</v>
      </c>
      <c r="D1168" s="39" t="s">
        <v>348</v>
      </c>
      <c r="E1168" s="39" t="s">
        <v>388</v>
      </c>
      <c r="F1168" s="39" t="s">
        <v>390</v>
      </c>
      <c r="G1168" s="41" t="s">
        <v>23</v>
      </c>
      <c r="H1168" s="42">
        <v>35.0</v>
      </c>
      <c r="I1168" s="42">
        <v>2.0</v>
      </c>
      <c r="J1168" s="42">
        <v>33.0</v>
      </c>
      <c r="K1168" s="42">
        <v>5.7</v>
      </c>
      <c r="L1168" s="42">
        <v>94.3</v>
      </c>
      <c r="Q1168" s="4"/>
    </row>
    <row r="1169">
      <c r="A1169" s="2"/>
      <c r="B1169" s="38">
        <v>1161.0</v>
      </c>
      <c r="C1169" s="39" t="s">
        <v>32</v>
      </c>
      <c r="D1169" s="39" t="s">
        <v>348</v>
      </c>
      <c r="E1169" s="39" t="s">
        <v>388</v>
      </c>
      <c r="F1169" s="39" t="s">
        <v>390</v>
      </c>
      <c r="G1169" s="41" t="s">
        <v>25</v>
      </c>
      <c r="H1169" s="42">
        <v>16.0</v>
      </c>
      <c r="I1169" s="42">
        <v>0.0</v>
      </c>
      <c r="J1169" s="42">
        <v>16.0</v>
      </c>
      <c r="K1169" s="42">
        <v>0.0</v>
      </c>
      <c r="L1169" s="42">
        <v>100.0</v>
      </c>
      <c r="Q1169" s="4"/>
    </row>
    <row r="1170">
      <c r="A1170" s="2"/>
      <c r="B1170" s="43">
        <v>1162.0</v>
      </c>
      <c r="C1170" s="44" t="s">
        <v>32</v>
      </c>
      <c r="D1170" s="53" t="s">
        <v>348</v>
      </c>
      <c r="E1170" s="53" t="s">
        <v>388</v>
      </c>
      <c r="F1170" s="53" t="s">
        <v>391</v>
      </c>
      <c r="G1170" s="44" t="s">
        <v>391</v>
      </c>
      <c r="H1170" s="45">
        <v>23.0</v>
      </c>
      <c r="I1170" s="45">
        <v>12.0</v>
      </c>
      <c r="J1170" s="45">
        <v>11.0</v>
      </c>
      <c r="K1170" s="45">
        <v>52.2</v>
      </c>
      <c r="L1170" s="45">
        <v>47.8</v>
      </c>
      <c r="Q1170" s="4"/>
    </row>
    <row r="1171">
      <c r="A1171" s="2"/>
      <c r="B1171" s="38">
        <v>1163.0</v>
      </c>
      <c r="C1171" s="39" t="s">
        <v>32</v>
      </c>
      <c r="D1171" s="39" t="s">
        <v>348</v>
      </c>
      <c r="E1171" s="39" t="s">
        <v>388</v>
      </c>
      <c r="F1171" s="39" t="s">
        <v>391</v>
      </c>
      <c r="G1171" s="41" t="s">
        <v>23</v>
      </c>
      <c r="H1171" s="42">
        <v>12.0</v>
      </c>
      <c r="I1171" s="42">
        <v>3.0</v>
      </c>
      <c r="J1171" s="42">
        <v>9.0</v>
      </c>
      <c r="K1171" s="42">
        <v>25.0</v>
      </c>
      <c r="L1171" s="42">
        <v>75.0</v>
      </c>
      <c r="Q1171" s="4"/>
    </row>
    <row r="1172">
      <c r="A1172" s="2"/>
      <c r="B1172" s="38">
        <v>1164.0</v>
      </c>
      <c r="C1172" s="39" t="s">
        <v>32</v>
      </c>
      <c r="D1172" s="39" t="s">
        <v>348</v>
      </c>
      <c r="E1172" s="39" t="s">
        <v>388</v>
      </c>
      <c r="F1172" s="39" t="s">
        <v>391</v>
      </c>
      <c r="G1172" s="41" t="s">
        <v>25</v>
      </c>
      <c r="H1172" s="42">
        <v>11.0</v>
      </c>
      <c r="I1172" s="42">
        <v>9.0</v>
      </c>
      <c r="J1172" s="42">
        <v>2.0</v>
      </c>
      <c r="K1172" s="42">
        <v>81.8</v>
      </c>
      <c r="L1172" s="42">
        <v>18.2</v>
      </c>
      <c r="Q1172" s="4"/>
    </row>
    <row r="1173">
      <c r="A1173" s="2"/>
      <c r="B1173" s="43">
        <v>1165.0</v>
      </c>
      <c r="C1173" s="44" t="s">
        <v>32</v>
      </c>
      <c r="D1173" s="53" t="s">
        <v>348</v>
      </c>
      <c r="E1173" s="53" t="s">
        <v>388</v>
      </c>
      <c r="F1173" s="53" t="s">
        <v>392</v>
      </c>
      <c r="G1173" s="44" t="s">
        <v>392</v>
      </c>
      <c r="H1173" s="45">
        <v>0.0</v>
      </c>
      <c r="I1173" s="45">
        <v>0.0</v>
      </c>
      <c r="J1173" s="45">
        <v>0.0</v>
      </c>
      <c r="K1173" s="45">
        <v>0.0</v>
      </c>
      <c r="L1173" s="45">
        <v>0.0</v>
      </c>
      <c r="Q1173" s="4"/>
    </row>
    <row r="1174">
      <c r="A1174" s="2"/>
      <c r="B1174" s="38">
        <v>1166.0</v>
      </c>
      <c r="C1174" s="39" t="s">
        <v>32</v>
      </c>
      <c r="D1174" s="39" t="s">
        <v>348</v>
      </c>
      <c r="E1174" s="39" t="s">
        <v>388</v>
      </c>
      <c r="F1174" s="39" t="s">
        <v>392</v>
      </c>
      <c r="G1174" s="41" t="s">
        <v>23</v>
      </c>
      <c r="H1174" s="46"/>
      <c r="I1174" s="46"/>
      <c r="J1174" s="46"/>
      <c r="K1174" s="46"/>
      <c r="L1174" s="46"/>
      <c r="Q1174" s="4"/>
    </row>
    <row r="1175">
      <c r="A1175" s="2"/>
      <c r="B1175" s="38">
        <v>1167.0</v>
      </c>
      <c r="C1175" s="39" t="s">
        <v>32</v>
      </c>
      <c r="D1175" s="39" t="s">
        <v>348</v>
      </c>
      <c r="E1175" s="39" t="s">
        <v>388</v>
      </c>
      <c r="F1175" s="39" t="s">
        <v>392</v>
      </c>
      <c r="G1175" s="41" t="s">
        <v>25</v>
      </c>
      <c r="H1175" s="42">
        <v>0.0</v>
      </c>
      <c r="I1175" s="42">
        <v>0.0</v>
      </c>
      <c r="J1175" s="42">
        <v>0.0</v>
      </c>
      <c r="K1175" s="42">
        <v>0.0</v>
      </c>
      <c r="L1175" s="42">
        <v>0.0</v>
      </c>
      <c r="Q1175" s="4"/>
    </row>
    <row r="1176">
      <c r="A1176" s="2"/>
      <c r="B1176" s="34">
        <v>1168.0</v>
      </c>
      <c r="C1176" s="35" t="s">
        <v>30</v>
      </c>
      <c r="D1176" s="49" t="s">
        <v>348</v>
      </c>
      <c r="E1176" s="49" t="s">
        <v>393</v>
      </c>
      <c r="F1176" s="50"/>
      <c r="G1176" s="35" t="s">
        <v>393</v>
      </c>
      <c r="H1176" s="37">
        <v>137.0</v>
      </c>
      <c r="I1176" s="37">
        <v>41.0</v>
      </c>
      <c r="J1176" s="37">
        <v>96.0</v>
      </c>
      <c r="K1176" s="37">
        <v>29.9</v>
      </c>
      <c r="L1176" s="37">
        <v>70.1</v>
      </c>
      <c r="Q1176" s="4"/>
    </row>
    <row r="1177">
      <c r="A1177" s="2"/>
      <c r="B1177" s="38">
        <v>1169.0</v>
      </c>
      <c r="C1177" s="39" t="s">
        <v>30</v>
      </c>
      <c r="D1177" s="39" t="s">
        <v>348</v>
      </c>
      <c r="E1177" s="39" t="s">
        <v>393</v>
      </c>
      <c r="F1177" s="40"/>
      <c r="G1177" s="41" t="s">
        <v>23</v>
      </c>
      <c r="H1177" s="42">
        <v>115.0</v>
      </c>
      <c r="I1177" s="42">
        <v>40.0</v>
      </c>
      <c r="J1177" s="42">
        <v>75.0</v>
      </c>
      <c r="K1177" s="42">
        <v>34.8</v>
      </c>
      <c r="L1177" s="42">
        <v>65.2</v>
      </c>
      <c r="Q1177" s="4"/>
    </row>
    <row r="1178">
      <c r="A1178" s="2"/>
      <c r="B1178" s="38">
        <v>1170.0</v>
      </c>
      <c r="C1178" s="39" t="s">
        <v>30</v>
      </c>
      <c r="D1178" s="39" t="s">
        <v>348</v>
      </c>
      <c r="E1178" s="39" t="s">
        <v>393</v>
      </c>
      <c r="F1178" s="40"/>
      <c r="G1178" s="41" t="s">
        <v>25</v>
      </c>
      <c r="H1178" s="42">
        <v>22.0</v>
      </c>
      <c r="I1178" s="42">
        <v>1.0</v>
      </c>
      <c r="J1178" s="42">
        <v>21.0</v>
      </c>
      <c r="K1178" s="42">
        <v>4.5</v>
      </c>
      <c r="L1178" s="42">
        <v>95.5</v>
      </c>
      <c r="Q1178" s="4"/>
    </row>
    <row r="1179">
      <c r="A1179" s="2"/>
      <c r="B1179" s="43">
        <v>1171.0</v>
      </c>
      <c r="C1179" s="44" t="s">
        <v>32</v>
      </c>
      <c r="D1179" s="53" t="s">
        <v>348</v>
      </c>
      <c r="E1179" s="53" t="s">
        <v>393</v>
      </c>
      <c r="F1179" s="53" t="s">
        <v>394</v>
      </c>
      <c r="G1179" s="44" t="s">
        <v>394</v>
      </c>
      <c r="H1179" s="45">
        <v>91.0</v>
      </c>
      <c r="I1179" s="45">
        <v>28.0</v>
      </c>
      <c r="J1179" s="45">
        <v>63.0</v>
      </c>
      <c r="K1179" s="45">
        <v>30.8</v>
      </c>
      <c r="L1179" s="45">
        <v>69.2</v>
      </c>
      <c r="Q1179" s="4"/>
    </row>
    <row r="1180">
      <c r="A1180" s="2"/>
      <c r="B1180" s="38">
        <v>1172.0</v>
      </c>
      <c r="C1180" s="39" t="s">
        <v>32</v>
      </c>
      <c r="D1180" s="39" t="s">
        <v>348</v>
      </c>
      <c r="E1180" s="39" t="s">
        <v>393</v>
      </c>
      <c r="F1180" s="39" t="s">
        <v>394</v>
      </c>
      <c r="G1180" s="41" t="s">
        <v>23</v>
      </c>
      <c r="H1180" s="42">
        <v>91.0</v>
      </c>
      <c r="I1180" s="42">
        <v>28.0</v>
      </c>
      <c r="J1180" s="42">
        <v>63.0</v>
      </c>
      <c r="K1180" s="42">
        <v>30.8</v>
      </c>
      <c r="L1180" s="42">
        <v>69.2</v>
      </c>
      <c r="Q1180" s="4"/>
    </row>
    <row r="1181">
      <c r="A1181" s="2"/>
      <c r="B1181" s="38">
        <v>1173.0</v>
      </c>
      <c r="C1181" s="39" t="s">
        <v>32</v>
      </c>
      <c r="D1181" s="39" t="s">
        <v>348</v>
      </c>
      <c r="E1181" s="39" t="s">
        <v>393</v>
      </c>
      <c r="F1181" s="39" t="s">
        <v>394</v>
      </c>
      <c r="G1181" s="41" t="s">
        <v>25</v>
      </c>
      <c r="H1181" s="42">
        <v>0.0</v>
      </c>
      <c r="I1181" s="42">
        <v>0.0</v>
      </c>
      <c r="J1181" s="42">
        <v>0.0</v>
      </c>
      <c r="K1181" s="42">
        <v>0.0</v>
      </c>
      <c r="L1181" s="42">
        <v>0.0</v>
      </c>
      <c r="Q1181" s="4"/>
    </row>
    <row r="1182">
      <c r="A1182" s="2"/>
      <c r="B1182" s="43">
        <v>1174.0</v>
      </c>
      <c r="C1182" s="44" t="s">
        <v>32</v>
      </c>
      <c r="D1182" s="53" t="s">
        <v>348</v>
      </c>
      <c r="E1182" s="53" t="s">
        <v>393</v>
      </c>
      <c r="F1182" s="53" t="s">
        <v>395</v>
      </c>
      <c r="G1182" s="44" t="s">
        <v>395</v>
      </c>
      <c r="H1182" s="45">
        <v>8.0</v>
      </c>
      <c r="I1182" s="45">
        <v>3.0</v>
      </c>
      <c r="J1182" s="45">
        <v>5.0</v>
      </c>
      <c r="K1182" s="45">
        <v>37.5</v>
      </c>
      <c r="L1182" s="45">
        <v>62.5</v>
      </c>
      <c r="Q1182" s="4"/>
    </row>
    <row r="1183">
      <c r="A1183" s="2"/>
      <c r="B1183" s="38">
        <v>1175.0</v>
      </c>
      <c r="C1183" s="39" t="s">
        <v>32</v>
      </c>
      <c r="D1183" s="39" t="s">
        <v>348</v>
      </c>
      <c r="E1183" s="39" t="s">
        <v>393</v>
      </c>
      <c r="F1183" s="39" t="s">
        <v>395</v>
      </c>
      <c r="G1183" s="41" t="s">
        <v>23</v>
      </c>
      <c r="H1183" s="42">
        <v>3.0</v>
      </c>
      <c r="I1183" s="42">
        <v>2.0</v>
      </c>
      <c r="J1183" s="42">
        <v>1.0</v>
      </c>
      <c r="K1183" s="42">
        <v>66.7</v>
      </c>
      <c r="L1183" s="42">
        <v>33.3</v>
      </c>
      <c r="Q1183" s="4"/>
    </row>
    <row r="1184">
      <c r="A1184" s="2"/>
      <c r="B1184" s="38">
        <v>1176.0</v>
      </c>
      <c r="C1184" s="39" t="s">
        <v>32</v>
      </c>
      <c r="D1184" s="39" t="s">
        <v>348</v>
      </c>
      <c r="E1184" s="39" t="s">
        <v>393</v>
      </c>
      <c r="F1184" s="39" t="s">
        <v>395</v>
      </c>
      <c r="G1184" s="41" t="s">
        <v>25</v>
      </c>
      <c r="H1184" s="42">
        <v>5.0</v>
      </c>
      <c r="I1184" s="42">
        <v>1.0</v>
      </c>
      <c r="J1184" s="42">
        <v>4.0</v>
      </c>
      <c r="K1184" s="42">
        <v>20.0</v>
      </c>
      <c r="L1184" s="42">
        <v>80.0</v>
      </c>
      <c r="Q1184" s="4"/>
    </row>
    <row r="1185">
      <c r="A1185" s="2"/>
      <c r="B1185" s="43">
        <v>1177.0</v>
      </c>
      <c r="C1185" s="44" t="s">
        <v>32</v>
      </c>
      <c r="D1185" s="53" t="s">
        <v>348</v>
      </c>
      <c r="E1185" s="53" t="s">
        <v>393</v>
      </c>
      <c r="F1185" s="53" t="s">
        <v>396</v>
      </c>
      <c r="G1185" s="44" t="s">
        <v>396</v>
      </c>
      <c r="H1185" s="45">
        <v>10.0</v>
      </c>
      <c r="I1185" s="45">
        <v>9.0</v>
      </c>
      <c r="J1185" s="45">
        <v>1.0</v>
      </c>
      <c r="K1185" s="45">
        <v>90.0</v>
      </c>
      <c r="L1185" s="45">
        <v>10.0</v>
      </c>
      <c r="Q1185" s="4"/>
    </row>
    <row r="1186">
      <c r="A1186" s="2"/>
      <c r="B1186" s="38">
        <v>1178.0</v>
      </c>
      <c r="C1186" s="39" t="s">
        <v>32</v>
      </c>
      <c r="D1186" s="39" t="s">
        <v>348</v>
      </c>
      <c r="E1186" s="39" t="s">
        <v>393</v>
      </c>
      <c r="F1186" s="39" t="s">
        <v>396</v>
      </c>
      <c r="G1186" s="41" t="s">
        <v>23</v>
      </c>
      <c r="H1186" s="42">
        <v>10.0</v>
      </c>
      <c r="I1186" s="42">
        <v>9.0</v>
      </c>
      <c r="J1186" s="42">
        <v>1.0</v>
      </c>
      <c r="K1186" s="42">
        <v>90.0</v>
      </c>
      <c r="L1186" s="42">
        <v>10.0</v>
      </c>
      <c r="Q1186" s="4"/>
    </row>
    <row r="1187">
      <c r="A1187" s="2"/>
      <c r="B1187" s="38">
        <v>1179.0</v>
      </c>
      <c r="C1187" s="39" t="s">
        <v>32</v>
      </c>
      <c r="D1187" s="39" t="s">
        <v>348</v>
      </c>
      <c r="E1187" s="39" t="s">
        <v>393</v>
      </c>
      <c r="F1187" s="39" t="s">
        <v>396</v>
      </c>
      <c r="G1187" s="41" t="s">
        <v>25</v>
      </c>
      <c r="H1187" s="42">
        <v>0.0</v>
      </c>
      <c r="I1187" s="42">
        <v>0.0</v>
      </c>
      <c r="J1187" s="42">
        <v>0.0</v>
      </c>
      <c r="K1187" s="42">
        <v>0.0</v>
      </c>
      <c r="L1187" s="42">
        <v>0.0</v>
      </c>
      <c r="Q1187" s="4"/>
    </row>
    <row r="1188">
      <c r="A1188" s="2"/>
      <c r="B1188" s="43">
        <v>1180.0</v>
      </c>
      <c r="C1188" s="44" t="s">
        <v>32</v>
      </c>
      <c r="D1188" s="53" t="s">
        <v>348</v>
      </c>
      <c r="E1188" s="53" t="s">
        <v>393</v>
      </c>
      <c r="F1188" s="53" t="s">
        <v>397</v>
      </c>
      <c r="G1188" s="44" t="s">
        <v>397</v>
      </c>
      <c r="H1188" s="45">
        <v>10.0</v>
      </c>
      <c r="I1188" s="45">
        <v>0.0</v>
      </c>
      <c r="J1188" s="45">
        <v>10.0</v>
      </c>
      <c r="K1188" s="45">
        <v>0.0</v>
      </c>
      <c r="L1188" s="45">
        <v>100.0</v>
      </c>
      <c r="Q1188" s="4"/>
    </row>
    <row r="1189">
      <c r="A1189" s="2"/>
      <c r="B1189" s="38">
        <v>1181.0</v>
      </c>
      <c r="C1189" s="39" t="s">
        <v>32</v>
      </c>
      <c r="D1189" s="39" t="s">
        <v>348</v>
      </c>
      <c r="E1189" s="39" t="s">
        <v>393</v>
      </c>
      <c r="F1189" s="39" t="s">
        <v>397</v>
      </c>
      <c r="G1189" s="41" t="s">
        <v>23</v>
      </c>
      <c r="H1189" s="42">
        <v>1.0</v>
      </c>
      <c r="I1189" s="42">
        <v>0.0</v>
      </c>
      <c r="J1189" s="42">
        <v>1.0</v>
      </c>
      <c r="K1189" s="42">
        <v>0.0</v>
      </c>
      <c r="L1189" s="42">
        <v>100.0</v>
      </c>
      <c r="Q1189" s="4"/>
    </row>
    <row r="1190">
      <c r="A1190" s="2"/>
      <c r="B1190" s="38">
        <v>1182.0</v>
      </c>
      <c r="C1190" s="39" t="s">
        <v>32</v>
      </c>
      <c r="D1190" s="39" t="s">
        <v>348</v>
      </c>
      <c r="E1190" s="39" t="s">
        <v>393</v>
      </c>
      <c r="F1190" s="39" t="s">
        <v>397</v>
      </c>
      <c r="G1190" s="41" t="s">
        <v>25</v>
      </c>
      <c r="H1190" s="42">
        <v>9.0</v>
      </c>
      <c r="I1190" s="42">
        <v>0.0</v>
      </c>
      <c r="J1190" s="42">
        <v>9.0</v>
      </c>
      <c r="K1190" s="42">
        <v>0.0</v>
      </c>
      <c r="L1190" s="42">
        <v>100.0</v>
      </c>
      <c r="Q1190" s="4"/>
    </row>
    <row r="1191">
      <c r="A1191" s="2"/>
      <c r="B1191" s="43">
        <v>1183.0</v>
      </c>
      <c r="C1191" s="44" t="s">
        <v>32</v>
      </c>
      <c r="D1191" s="53" t="s">
        <v>348</v>
      </c>
      <c r="E1191" s="53" t="s">
        <v>393</v>
      </c>
      <c r="F1191" s="53" t="s">
        <v>296</v>
      </c>
      <c r="G1191" s="44" t="s">
        <v>296</v>
      </c>
      <c r="H1191" s="45">
        <v>18.0</v>
      </c>
      <c r="I1191" s="45">
        <v>1.0</v>
      </c>
      <c r="J1191" s="45">
        <v>17.0</v>
      </c>
      <c r="K1191" s="45">
        <v>5.6</v>
      </c>
      <c r="L1191" s="45">
        <v>94.4</v>
      </c>
      <c r="Q1191" s="4"/>
    </row>
    <row r="1192">
      <c r="A1192" s="2"/>
      <c r="B1192" s="38">
        <v>1184.0</v>
      </c>
      <c r="C1192" s="39" t="s">
        <v>32</v>
      </c>
      <c r="D1192" s="39" t="s">
        <v>348</v>
      </c>
      <c r="E1192" s="39" t="s">
        <v>393</v>
      </c>
      <c r="F1192" s="39" t="s">
        <v>296</v>
      </c>
      <c r="G1192" s="41" t="s">
        <v>23</v>
      </c>
      <c r="H1192" s="42">
        <v>10.0</v>
      </c>
      <c r="I1192" s="42">
        <v>1.0</v>
      </c>
      <c r="J1192" s="42">
        <v>9.0</v>
      </c>
      <c r="K1192" s="42">
        <v>10.0</v>
      </c>
      <c r="L1192" s="42">
        <v>90.0</v>
      </c>
      <c r="Q1192" s="4"/>
    </row>
    <row r="1193">
      <c r="A1193" s="2"/>
      <c r="B1193" s="38">
        <v>1185.0</v>
      </c>
      <c r="C1193" s="39" t="s">
        <v>32</v>
      </c>
      <c r="D1193" s="39" t="s">
        <v>348</v>
      </c>
      <c r="E1193" s="39" t="s">
        <v>393</v>
      </c>
      <c r="F1193" s="39" t="s">
        <v>296</v>
      </c>
      <c r="G1193" s="41" t="s">
        <v>25</v>
      </c>
      <c r="H1193" s="42">
        <v>8.0</v>
      </c>
      <c r="I1193" s="42">
        <v>0.0</v>
      </c>
      <c r="J1193" s="42">
        <v>8.0</v>
      </c>
      <c r="K1193" s="42">
        <v>0.0</v>
      </c>
      <c r="L1193" s="42">
        <v>100.0</v>
      </c>
      <c r="Q1193" s="4"/>
    </row>
    <row r="1194">
      <c r="A1194" s="2"/>
      <c r="B1194" s="34">
        <v>1186.0</v>
      </c>
      <c r="C1194" s="35" t="s">
        <v>30</v>
      </c>
      <c r="D1194" s="49" t="s">
        <v>348</v>
      </c>
      <c r="E1194" s="49" t="s">
        <v>398</v>
      </c>
      <c r="F1194" s="50"/>
      <c r="G1194" s="35" t="s">
        <v>398</v>
      </c>
      <c r="H1194" s="37">
        <v>980.0</v>
      </c>
      <c r="I1194" s="37">
        <v>69.0</v>
      </c>
      <c r="J1194" s="37">
        <v>911.0</v>
      </c>
      <c r="K1194" s="37">
        <v>7.0</v>
      </c>
      <c r="L1194" s="37">
        <v>93.0</v>
      </c>
      <c r="Q1194" s="4"/>
    </row>
    <row r="1195">
      <c r="A1195" s="2"/>
      <c r="B1195" s="38">
        <v>1187.0</v>
      </c>
      <c r="C1195" s="39" t="s">
        <v>30</v>
      </c>
      <c r="D1195" s="39" t="s">
        <v>348</v>
      </c>
      <c r="E1195" s="39" t="s">
        <v>398</v>
      </c>
      <c r="F1195" s="40"/>
      <c r="G1195" s="41" t="s">
        <v>23</v>
      </c>
      <c r="H1195" s="42">
        <v>159.0</v>
      </c>
      <c r="I1195" s="42">
        <v>37.0</v>
      </c>
      <c r="J1195" s="42">
        <v>122.0</v>
      </c>
      <c r="K1195" s="42">
        <v>23.3</v>
      </c>
      <c r="L1195" s="42">
        <v>76.7</v>
      </c>
      <c r="Q1195" s="4"/>
    </row>
    <row r="1196">
      <c r="A1196" s="2"/>
      <c r="B1196" s="38">
        <v>1188.0</v>
      </c>
      <c r="C1196" s="39" t="s">
        <v>30</v>
      </c>
      <c r="D1196" s="39" t="s">
        <v>348</v>
      </c>
      <c r="E1196" s="39" t="s">
        <v>398</v>
      </c>
      <c r="F1196" s="40"/>
      <c r="G1196" s="41" t="s">
        <v>25</v>
      </c>
      <c r="H1196" s="42">
        <v>821.0</v>
      </c>
      <c r="I1196" s="42">
        <v>32.0</v>
      </c>
      <c r="J1196" s="42">
        <v>789.0</v>
      </c>
      <c r="K1196" s="42">
        <v>3.9</v>
      </c>
      <c r="L1196" s="42">
        <v>96.1</v>
      </c>
      <c r="Q1196" s="4"/>
    </row>
    <row r="1197">
      <c r="A1197" s="2"/>
      <c r="B1197" s="43">
        <v>1189.0</v>
      </c>
      <c r="C1197" s="44" t="s">
        <v>32</v>
      </c>
      <c r="D1197" s="53" t="s">
        <v>348</v>
      </c>
      <c r="E1197" s="53" t="s">
        <v>398</v>
      </c>
      <c r="F1197" s="53" t="s">
        <v>399</v>
      </c>
      <c r="G1197" s="44" t="s">
        <v>399</v>
      </c>
      <c r="H1197" s="45">
        <v>97.0</v>
      </c>
      <c r="I1197" s="45">
        <v>5.0</v>
      </c>
      <c r="J1197" s="45">
        <v>92.0</v>
      </c>
      <c r="K1197" s="45">
        <v>5.2</v>
      </c>
      <c r="L1197" s="45">
        <v>94.8</v>
      </c>
      <c r="Q1197" s="4"/>
    </row>
    <row r="1198">
      <c r="A1198" s="2"/>
      <c r="B1198" s="38">
        <v>1190.0</v>
      </c>
      <c r="C1198" s="39" t="s">
        <v>32</v>
      </c>
      <c r="D1198" s="39" t="s">
        <v>348</v>
      </c>
      <c r="E1198" s="39" t="s">
        <v>398</v>
      </c>
      <c r="F1198" s="39" t="s">
        <v>399</v>
      </c>
      <c r="G1198" s="41" t="s">
        <v>23</v>
      </c>
      <c r="H1198" s="42">
        <v>37.0</v>
      </c>
      <c r="I1198" s="42">
        <v>5.0</v>
      </c>
      <c r="J1198" s="42">
        <v>32.0</v>
      </c>
      <c r="K1198" s="42">
        <v>13.5</v>
      </c>
      <c r="L1198" s="42">
        <v>86.5</v>
      </c>
      <c r="Q1198" s="4"/>
    </row>
    <row r="1199">
      <c r="A1199" s="2"/>
      <c r="B1199" s="38">
        <v>1191.0</v>
      </c>
      <c r="C1199" s="39" t="s">
        <v>32</v>
      </c>
      <c r="D1199" s="39" t="s">
        <v>348</v>
      </c>
      <c r="E1199" s="39" t="s">
        <v>398</v>
      </c>
      <c r="F1199" s="39" t="s">
        <v>399</v>
      </c>
      <c r="G1199" s="41" t="s">
        <v>25</v>
      </c>
      <c r="H1199" s="42">
        <v>60.0</v>
      </c>
      <c r="I1199" s="42">
        <v>0.0</v>
      </c>
      <c r="J1199" s="42">
        <v>60.0</v>
      </c>
      <c r="K1199" s="42">
        <v>0.0</v>
      </c>
      <c r="L1199" s="42">
        <v>100.0</v>
      </c>
      <c r="Q1199" s="4"/>
    </row>
    <row r="1200">
      <c r="A1200" s="2"/>
      <c r="B1200" s="43">
        <v>1192.0</v>
      </c>
      <c r="C1200" s="44" t="s">
        <v>32</v>
      </c>
      <c r="D1200" s="53" t="s">
        <v>348</v>
      </c>
      <c r="E1200" s="53" t="s">
        <v>398</v>
      </c>
      <c r="F1200" s="53" t="s">
        <v>400</v>
      </c>
      <c r="G1200" s="44" t="s">
        <v>400</v>
      </c>
      <c r="H1200" s="45">
        <v>226.0</v>
      </c>
      <c r="I1200" s="45">
        <v>11.0</v>
      </c>
      <c r="J1200" s="45">
        <v>215.0</v>
      </c>
      <c r="K1200" s="45">
        <v>4.9</v>
      </c>
      <c r="L1200" s="45">
        <v>95.1</v>
      </c>
      <c r="Q1200" s="4"/>
    </row>
    <row r="1201">
      <c r="A1201" s="2"/>
      <c r="B1201" s="38">
        <v>1193.0</v>
      </c>
      <c r="C1201" s="39" t="s">
        <v>32</v>
      </c>
      <c r="D1201" s="39" t="s">
        <v>348</v>
      </c>
      <c r="E1201" s="39" t="s">
        <v>398</v>
      </c>
      <c r="F1201" s="39" t="s">
        <v>400</v>
      </c>
      <c r="G1201" s="41" t="s">
        <v>23</v>
      </c>
      <c r="H1201" s="42">
        <v>9.0</v>
      </c>
      <c r="I1201" s="42">
        <v>6.0</v>
      </c>
      <c r="J1201" s="42">
        <v>3.0</v>
      </c>
      <c r="K1201" s="42">
        <v>66.7</v>
      </c>
      <c r="L1201" s="42">
        <v>33.3</v>
      </c>
      <c r="Q1201" s="4"/>
    </row>
    <row r="1202">
      <c r="A1202" s="2"/>
      <c r="B1202" s="38">
        <v>1194.0</v>
      </c>
      <c r="C1202" s="39" t="s">
        <v>32</v>
      </c>
      <c r="D1202" s="39" t="s">
        <v>348</v>
      </c>
      <c r="E1202" s="39" t="s">
        <v>398</v>
      </c>
      <c r="F1202" s="39" t="s">
        <v>400</v>
      </c>
      <c r="G1202" s="41" t="s">
        <v>25</v>
      </c>
      <c r="H1202" s="42">
        <v>217.0</v>
      </c>
      <c r="I1202" s="42">
        <v>5.0</v>
      </c>
      <c r="J1202" s="42">
        <v>212.0</v>
      </c>
      <c r="K1202" s="42">
        <v>2.3</v>
      </c>
      <c r="L1202" s="42">
        <v>97.7</v>
      </c>
      <c r="Q1202" s="4"/>
    </row>
    <row r="1203">
      <c r="A1203" s="2"/>
      <c r="B1203" s="43">
        <v>1195.0</v>
      </c>
      <c r="C1203" s="44" t="s">
        <v>32</v>
      </c>
      <c r="D1203" s="53" t="s">
        <v>348</v>
      </c>
      <c r="E1203" s="53" t="s">
        <v>398</v>
      </c>
      <c r="F1203" s="53" t="s">
        <v>401</v>
      </c>
      <c r="G1203" s="44" t="s">
        <v>401</v>
      </c>
      <c r="H1203" s="45">
        <v>533.0</v>
      </c>
      <c r="I1203" s="45">
        <v>32.0</v>
      </c>
      <c r="J1203" s="45">
        <v>501.0</v>
      </c>
      <c r="K1203" s="45">
        <v>6.0</v>
      </c>
      <c r="L1203" s="45">
        <v>94.0</v>
      </c>
      <c r="Q1203" s="4"/>
    </row>
    <row r="1204">
      <c r="A1204" s="2"/>
      <c r="B1204" s="38">
        <v>1196.0</v>
      </c>
      <c r="C1204" s="39" t="s">
        <v>32</v>
      </c>
      <c r="D1204" s="39" t="s">
        <v>348</v>
      </c>
      <c r="E1204" s="39" t="s">
        <v>398</v>
      </c>
      <c r="F1204" s="39" t="s">
        <v>401</v>
      </c>
      <c r="G1204" s="41" t="s">
        <v>23</v>
      </c>
      <c r="H1204" s="42">
        <v>74.0</v>
      </c>
      <c r="I1204" s="42">
        <v>22.0</v>
      </c>
      <c r="J1204" s="42">
        <v>52.0</v>
      </c>
      <c r="K1204" s="42">
        <v>29.7</v>
      </c>
      <c r="L1204" s="42">
        <v>70.3</v>
      </c>
      <c r="Q1204" s="4"/>
    </row>
    <row r="1205">
      <c r="A1205" s="2"/>
      <c r="B1205" s="38">
        <v>1197.0</v>
      </c>
      <c r="C1205" s="39" t="s">
        <v>32</v>
      </c>
      <c r="D1205" s="39" t="s">
        <v>348</v>
      </c>
      <c r="E1205" s="39" t="s">
        <v>398</v>
      </c>
      <c r="F1205" s="39" t="s">
        <v>401</v>
      </c>
      <c r="G1205" s="41" t="s">
        <v>25</v>
      </c>
      <c r="H1205" s="42">
        <v>459.0</v>
      </c>
      <c r="I1205" s="42">
        <v>10.0</v>
      </c>
      <c r="J1205" s="42">
        <v>449.0</v>
      </c>
      <c r="K1205" s="42">
        <v>2.2</v>
      </c>
      <c r="L1205" s="42">
        <v>97.8</v>
      </c>
      <c r="Q1205" s="4"/>
    </row>
    <row r="1206">
      <c r="A1206" s="2"/>
      <c r="B1206" s="43">
        <v>1198.0</v>
      </c>
      <c r="C1206" s="44" t="s">
        <v>32</v>
      </c>
      <c r="D1206" s="53" t="s">
        <v>348</v>
      </c>
      <c r="E1206" s="53" t="s">
        <v>398</v>
      </c>
      <c r="F1206" s="53" t="s">
        <v>402</v>
      </c>
      <c r="G1206" s="44" t="s">
        <v>402</v>
      </c>
      <c r="H1206" s="45">
        <v>37.0</v>
      </c>
      <c r="I1206" s="45">
        <v>17.0</v>
      </c>
      <c r="J1206" s="45">
        <v>20.0</v>
      </c>
      <c r="K1206" s="45">
        <v>45.9</v>
      </c>
      <c r="L1206" s="45">
        <v>54.1</v>
      </c>
      <c r="Q1206" s="4"/>
    </row>
    <row r="1207">
      <c r="A1207" s="2"/>
      <c r="B1207" s="38">
        <v>1199.0</v>
      </c>
      <c r="C1207" s="39" t="s">
        <v>32</v>
      </c>
      <c r="D1207" s="39" t="s">
        <v>348</v>
      </c>
      <c r="E1207" s="39" t="s">
        <v>398</v>
      </c>
      <c r="F1207" s="39" t="s">
        <v>402</v>
      </c>
      <c r="G1207" s="41" t="s">
        <v>23</v>
      </c>
      <c r="H1207" s="46"/>
      <c r="I1207" s="46"/>
      <c r="J1207" s="46"/>
      <c r="K1207" s="46"/>
      <c r="L1207" s="46"/>
      <c r="Q1207" s="4"/>
    </row>
    <row r="1208">
      <c r="A1208" s="2"/>
      <c r="B1208" s="38">
        <v>1200.0</v>
      </c>
      <c r="C1208" s="39" t="s">
        <v>32</v>
      </c>
      <c r="D1208" s="39" t="s">
        <v>348</v>
      </c>
      <c r="E1208" s="39" t="s">
        <v>398</v>
      </c>
      <c r="F1208" s="39" t="s">
        <v>402</v>
      </c>
      <c r="G1208" s="41" t="s">
        <v>25</v>
      </c>
      <c r="H1208" s="42">
        <v>37.0</v>
      </c>
      <c r="I1208" s="42">
        <v>17.0</v>
      </c>
      <c r="J1208" s="42">
        <v>20.0</v>
      </c>
      <c r="K1208" s="42">
        <v>45.9</v>
      </c>
      <c r="L1208" s="42">
        <v>54.1</v>
      </c>
      <c r="Q1208" s="4"/>
    </row>
    <row r="1209">
      <c r="A1209" s="2"/>
      <c r="B1209" s="43">
        <v>1201.0</v>
      </c>
      <c r="C1209" s="44" t="s">
        <v>32</v>
      </c>
      <c r="D1209" s="53" t="s">
        <v>348</v>
      </c>
      <c r="E1209" s="53" t="s">
        <v>398</v>
      </c>
      <c r="F1209" s="53" t="s">
        <v>403</v>
      </c>
      <c r="G1209" s="44" t="s">
        <v>403</v>
      </c>
      <c r="H1209" s="45">
        <v>37.0</v>
      </c>
      <c r="I1209" s="45">
        <v>1.0</v>
      </c>
      <c r="J1209" s="45">
        <v>36.0</v>
      </c>
      <c r="K1209" s="45">
        <v>2.7</v>
      </c>
      <c r="L1209" s="45">
        <v>97.3</v>
      </c>
      <c r="Q1209" s="4"/>
    </row>
    <row r="1210">
      <c r="A1210" s="2"/>
      <c r="B1210" s="38">
        <v>1202.0</v>
      </c>
      <c r="C1210" s="39" t="s">
        <v>32</v>
      </c>
      <c r="D1210" s="39" t="s">
        <v>348</v>
      </c>
      <c r="E1210" s="39" t="s">
        <v>398</v>
      </c>
      <c r="F1210" s="39" t="s">
        <v>403</v>
      </c>
      <c r="G1210" s="41" t="s">
        <v>23</v>
      </c>
      <c r="H1210" s="42">
        <v>33.0</v>
      </c>
      <c r="I1210" s="42">
        <v>1.0</v>
      </c>
      <c r="J1210" s="42">
        <v>32.0</v>
      </c>
      <c r="K1210" s="42">
        <v>3.0</v>
      </c>
      <c r="L1210" s="42">
        <v>97.0</v>
      </c>
      <c r="Q1210" s="4"/>
    </row>
    <row r="1211">
      <c r="A1211" s="2"/>
      <c r="B1211" s="38">
        <v>1203.0</v>
      </c>
      <c r="C1211" s="39" t="s">
        <v>32</v>
      </c>
      <c r="D1211" s="39" t="s">
        <v>348</v>
      </c>
      <c r="E1211" s="39" t="s">
        <v>398</v>
      </c>
      <c r="F1211" s="39" t="s">
        <v>403</v>
      </c>
      <c r="G1211" s="41" t="s">
        <v>25</v>
      </c>
      <c r="H1211" s="42">
        <v>4.0</v>
      </c>
      <c r="I1211" s="42">
        <v>0.0</v>
      </c>
      <c r="J1211" s="42">
        <v>4.0</v>
      </c>
      <c r="K1211" s="42">
        <v>0.0</v>
      </c>
      <c r="L1211" s="42">
        <v>100.0</v>
      </c>
      <c r="Q1211" s="4"/>
    </row>
    <row r="1212">
      <c r="A1212" s="2"/>
      <c r="B1212" s="43">
        <v>1204.0</v>
      </c>
      <c r="C1212" s="44" t="s">
        <v>32</v>
      </c>
      <c r="D1212" s="53" t="s">
        <v>348</v>
      </c>
      <c r="E1212" s="53" t="s">
        <v>398</v>
      </c>
      <c r="F1212" s="53" t="s">
        <v>404</v>
      </c>
      <c r="G1212" s="44" t="s">
        <v>404</v>
      </c>
      <c r="H1212" s="45">
        <v>50.0</v>
      </c>
      <c r="I1212" s="45">
        <v>3.0</v>
      </c>
      <c r="J1212" s="45">
        <v>47.0</v>
      </c>
      <c r="K1212" s="45">
        <v>6.0</v>
      </c>
      <c r="L1212" s="45">
        <v>94.0</v>
      </c>
      <c r="Q1212" s="4"/>
    </row>
    <row r="1213">
      <c r="A1213" s="2"/>
      <c r="B1213" s="38">
        <v>1205.0</v>
      </c>
      <c r="C1213" s="39" t="s">
        <v>32</v>
      </c>
      <c r="D1213" s="39" t="s">
        <v>348</v>
      </c>
      <c r="E1213" s="39" t="s">
        <v>398</v>
      </c>
      <c r="F1213" s="39" t="s">
        <v>404</v>
      </c>
      <c r="G1213" s="41" t="s">
        <v>23</v>
      </c>
      <c r="H1213" s="42">
        <v>6.0</v>
      </c>
      <c r="I1213" s="42">
        <v>3.0</v>
      </c>
      <c r="J1213" s="42">
        <v>3.0</v>
      </c>
      <c r="K1213" s="42">
        <v>50.0</v>
      </c>
      <c r="L1213" s="42">
        <v>50.0</v>
      </c>
      <c r="Q1213" s="4"/>
    </row>
    <row r="1214">
      <c r="A1214" s="2"/>
      <c r="B1214" s="38">
        <v>1206.0</v>
      </c>
      <c r="C1214" s="39" t="s">
        <v>32</v>
      </c>
      <c r="D1214" s="39" t="s">
        <v>348</v>
      </c>
      <c r="E1214" s="39" t="s">
        <v>398</v>
      </c>
      <c r="F1214" s="39" t="s">
        <v>404</v>
      </c>
      <c r="G1214" s="41" t="s">
        <v>25</v>
      </c>
      <c r="H1214" s="42">
        <v>44.0</v>
      </c>
      <c r="I1214" s="42">
        <v>0.0</v>
      </c>
      <c r="J1214" s="42">
        <v>44.0</v>
      </c>
      <c r="K1214" s="42">
        <v>0.0</v>
      </c>
      <c r="L1214" s="42">
        <v>100.0</v>
      </c>
      <c r="Q1214" s="4"/>
    </row>
    <row r="1215">
      <c r="A1215" s="2"/>
      <c r="B1215" s="34">
        <v>1207.0</v>
      </c>
      <c r="C1215" s="35" t="s">
        <v>30</v>
      </c>
      <c r="D1215" s="49" t="s">
        <v>348</v>
      </c>
      <c r="E1215" s="49" t="s">
        <v>405</v>
      </c>
      <c r="F1215" s="50"/>
      <c r="G1215" s="35" t="s">
        <v>405</v>
      </c>
      <c r="H1215" s="37">
        <v>17.0</v>
      </c>
      <c r="I1215" s="37">
        <v>0.0</v>
      </c>
      <c r="J1215" s="37">
        <v>17.0</v>
      </c>
      <c r="K1215" s="37">
        <v>0.0</v>
      </c>
      <c r="L1215" s="37">
        <v>100.0</v>
      </c>
      <c r="Q1215" s="4"/>
    </row>
    <row r="1216">
      <c r="A1216" s="2"/>
      <c r="B1216" s="38">
        <v>1208.0</v>
      </c>
      <c r="C1216" s="39" t="s">
        <v>30</v>
      </c>
      <c r="D1216" s="39" t="s">
        <v>348</v>
      </c>
      <c r="E1216" s="39" t="s">
        <v>405</v>
      </c>
      <c r="F1216" s="40"/>
      <c r="G1216" s="41" t="s">
        <v>23</v>
      </c>
      <c r="H1216" s="42">
        <v>10.0</v>
      </c>
      <c r="I1216" s="42">
        <v>0.0</v>
      </c>
      <c r="J1216" s="42">
        <v>10.0</v>
      </c>
      <c r="K1216" s="42">
        <v>0.0</v>
      </c>
      <c r="L1216" s="42">
        <v>100.0</v>
      </c>
      <c r="Q1216" s="4"/>
    </row>
    <row r="1217">
      <c r="A1217" s="2"/>
      <c r="B1217" s="38">
        <v>1209.0</v>
      </c>
      <c r="C1217" s="39" t="s">
        <v>30</v>
      </c>
      <c r="D1217" s="39" t="s">
        <v>348</v>
      </c>
      <c r="E1217" s="39" t="s">
        <v>405</v>
      </c>
      <c r="F1217" s="40"/>
      <c r="G1217" s="41" t="s">
        <v>25</v>
      </c>
      <c r="H1217" s="42">
        <v>7.0</v>
      </c>
      <c r="I1217" s="42">
        <v>0.0</v>
      </c>
      <c r="J1217" s="42">
        <v>7.0</v>
      </c>
      <c r="K1217" s="42">
        <v>0.0</v>
      </c>
      <c r="L1217" s="42">
        <v>100.0</v>
      </c>
      <c r="Q1217" s="4"/>
    </row>
    <row r="1218">
      <c r="A1218" s="2"/>
      <c r="B1218" s="43">
        <v>1210.0</v>
      </c>
      <c r="C1218" s="44" t="s">
        <v>32</v>
      </c>
      <c r="D1218" s="53" t="s">
        <v>348</v>
      </c>
      <c r="E1218" s="53" t="s">
        <v>405</v>
      </c>
      <c r="F1218" s="53" t="s">
        <v>406</v>
      </c>
      <c r="G1218" s="44" t="s">
        <v>406</v>
      </c>
      <c r="H1218" s="45">
        <v>17.0</v>
      </c>
      <c r="I1218" s="45">
        <v>0.0</v>
      </c>
      <c r="J1218" s="45">
        <v>17.0</v>
      </c>
      <c r="K1218" s="45">
        <v>0.0</v>
      </c>
      <c r="L1218" s="45">
        <v>100.0</v>
      </c>
      <c r="Q1218" s="4"/>
    </row>
    <row r="1219">
      <c r="A1219" s="2"/>
      <c r="B1219" s="38">
        <v>1211.0</v>
      </c>
      <c r="C1219" s="39" t="s">
        <v>32</v>
      </c>
      <c r="D1219" s="39" t="s">
        <v>348</v>
      </c>
      <c r="E1219" s="39" t="s">
        <v>405</v>
      </c>
      <c r="F1219" s="39" t="s">
        <v>406</v>
      </c>
      <c r="G1219" s="41" t="s">
        <v>23</v>
      </c>
      <c r="H1219" s="42">
        <v>10.0</v>
      </c>
      <c r="I1219" s="42">
        <v>0.0</v>
      </c>
      <c r="J1219" s="42">
        <v>10.0</v>
      </c>
      <c r="K1219" s="42">
        <v>0.0</v>
      </c>
      <c r="L1219" s="42">
        <v>100.0</v>
      </c>
      <c r="Q1219" s="4"/>
    </row>
    <row r="1220">
      <c r="A1220" s="2"/>
      <c r="B1220" s="38">
        <v>1212.0</v>
      </c>
      <c r="C1220" s="39" t="s">
        <v>32</v>
      </c>
      <c r="D1220" s="39" t="s">
        <v>348</v>
      </c>
      <c r="E1220" s="39" t="s">
        <v>405</v>
      </c>
      <c r="F1220" s="39" t="s">
        <v>406</v>
      </c>
      <c r="G1220" s="41" t="s">
        <v>25</v>
      </c>
      <c r="H1220" s="42">
        <v>7.0</v>
      </c>
      <c r="I1220" s="42">
        <v>0.0</v>
      </c>
      <c r="J1220" s="42">
        <v>7.0</v>
      </c>
      <c r="K1220" s="42">
        <v>0.0</v>
      </c>
      <c r="L1220" s="42">
        <v>100.0</v>
      </c>
      <c r="Q1220" s="4"/>
    </row>
    <row r="1221">
      <c r="A1221" s="2"/>
      <c r="B1221" s="34">
        <v>1213.0</v>
      </c>
      <c r="C1221" s="35" t="s">
        <v>30</v>
      </c>
      <c r="D1221" s="49" t="s">
        <v>348</v>
      </c>
      <c r="E1221" s="49" t="s">
        <v>407</v>
      </c>
      <c r="F1221" s="50"/>
      <c r="G1221" s="35" t="s">
        <v>407</v>
      </c>
      <c r="H1221" s="37">
        <v>70.0</v>
      </c>
      <c r="I1221" s="37">
        <v>13.0</v>
      </c>
      <c r="J1221" s="37">
        <v>57.0</v>
      </c>
      <c r="K1221" s="37">
        <v>18.6</v>
      </c>
      <c r="L1221" s="37">
        <v>81.4</v>
      </c>
      <c r="Q1221" s="4"/>
    </row>
    <row r="1222">
      <c r="A1222" s="2"/>
      <c r="B1222" s="38">
        <v>1214.0</v>
      </c>
      <c r="C1222" s="39" t="s">
        <v>30</v>
      </c>
      <c r="D1222" s="39" t="s">
        <v>348</v>
      </c>
      <c r="E1222" s="39" t="s">
        <v>407</v>
      </c>
      <c r="F1222" s="40"/>
      <c r="G1222" s="41" t="s">
        <v>23</v>
      </c>
      <c r="H1222" s="42">
        <v>16.0</v>
      </c>
      <c r="I1222" s="42">
        <v>7.0</v>
      </c>
      <c r="J1222" s="42">
        <v>9.0</v>
      </c>
      <c r="K1222" s="42">
        <v>43.8</v>
      </c>
      <c r="L1222" s="42">
        <v>56.3</v>
      </c>
      <c r="Q1222" s="4"/>
    </row>
    <row r="1223">
      <c r="A1223" s="2"/>
      <c r="B1223" s="38">
        <v>1215.0</v>
      </c>
      <c r="C1223" s="39" t="s">
        <v>30</v>
      </c>
      <c r="D1223" s="39" t="s">
        <v>348</v>
      </c>
      <c r="E1223" s="39" t="s">
        <v>407</v>
      </c>
      <c r="F1223" s="40"/>
      <c r="G1223" s="41" t="s">
        <v>25</v>
      </c>
      <c r="H1223" s="42">
        <v>54.0</v>
      </c>
      <c r="I1223" s="42">
        <v>6.0</v>
      </c>
      <c r="J1223" s="42">
        <v>48.0</v>
      </c>
      <c r="K1223" s="42">
        <v>11.1</v>
      </c>
      <c r="L1223" s="42">
        <v>88.9</v>
      </c>
      <c r="Q1223" s="4"/>
    </row>
    <row r="1224">
      <c r="A1224" s="2"/>
      <c r="B1224" s="43">
        <v>1216.0</v>
      </c>
      <c r="C1224" s="44" t="s">
        <v>32</v>
      </c>
      <c r="D1224" s="53" t="s">
        <v>348</v>
      </c>
      <c r="E1224" s="53" t="s">
        <v>407</v>
      </c>
      <c r="F1224" s="53" t="s">
        <v>408</v>
      </c>
      <c r="G1224" s="44" t="s">
        <v>408</v>
      </c>
      <c r="H1224" s="45">
        <v>18.0</v>
      </c>
      <c r="I1224" s="45">
        <v>9.0</v>
      </c>
      <c r="J1224" s="45">
        <v>9.0</v>
      </c>
      <c r="K1224" s="45">
        <v>50.0</v>
      </c>
      <c r="L1224" s="45">
        <v>50.0</v>
      </c>
      <c r="Q1224" s="4"/>
    </row>
    <row r="1225">
      <c r="A1225" s="2"/>
      <c r="B1225" s="38">
        <v>1217.0</v>
      </c>
      <c r="C1225" s="39" t="s">
        <v>32</v>
      </c>
      <c r="D1225" s="39" t="s">
        <v>348</v>
      </c>
      <c r="E1225" s="39" t="s">
        <v>407</v>
      </c>
      <c r="F1225" s="39" t="s">
        <v>408</v>
      </c>
      <c r="G1225" s="41" t="s">
        <v>23</v>
      </c>
      <c r="H1225" s="42">
        <v>10.0</v>
      </c>
      <c r="I1225" s="42">
        <v>4.0</v>
      </c>
      <c r="J1225" s="42">
        <v>6.0</v>
      </c>
      <c r="K1225" s="42">
        <v>40.0</v>
      </c>
      <c r="L1225" s="42">
        <v>60.0</v>
      </c>
      <c r="Q1225" s="4"/>
    </row>
    <row r="1226">
      <c r="A1226" s="2"/>
      <c r="B1226" s="38">
        <v>1218.0</v>
      </c>
      <c r="C1226" s="39" t="s">
        <v>32</v>
      </c>
      <c r="D1226" s="39" t="s">
        <v>348</v>
      </c>
      <c r="E1226" s="39" t="s">
        <v>407</v>
      </c>
      <c r="F1226" s="39" t="s">
        <v>408</v>
      </c>
      <c r="G1226" s="41" t="s">
        <v>25</v>
      </c>
      <c r="H1226" s="42">
        <v>8.0</v>
      </c>
      <c r="I1226" s="42">
        <v>5.0</v>
      </c>
      <c r="J1226" s="42">
        <v>3.0</v>
      </c>
      <c r="K1226" s="42">
        <v>62.5</v>
      </c>
      <c r="L1226" s="42">
        <v>37.5</v>
      </c>
      <c r="Q1226" s="4"/>
    </row>
    <row r="1227">
      <c r="A1227" s="2"/>
      <c r="B1227" s="43">
        <v>1219.0</v>
      </c>
      <c r="C1227" s="44" t="s">
        <v>32</v>
      </c>
      <c r="D1227" s="53" t="s">
        <v>348</v>
      </c>
      <c r="E1227" s="53" t="s">
        <v>407</v>
      </c>
      <c r="F1227" s="53" t="s">
        <v>409</v>
      </c>
      <c r="G1227" s="44" t="s">
        <v>409</v>
      </c>
      <c r="H1227" s="45">
        <v>52.0</v>
      </c>
      <c r="I1227" s="45">
        <v>4.0</v>
      </c>
      <c r="J1227" s="45">
        <v>48.0</v>
      </c>
      <c r="K1227" s="45">
        <v>7.7</v>
      </c>
      <c r="L1227" s="45">
        <v>92.3</v>
      </c>
      <c r="Q1227" s="4"/>
    </row>
    <row r="1228">
      <c r="A1228" s="2"/>
      <c r="B1228" s="38">
        <v>1220.0</v>
      </c>
      <c r="C1228" s="39" t="s">
        <v>32</v>
      </c>
      <c r="D1228" s="39" t="s">
        <v>348</v>
      </c>
      <c r="E1228" s="39" t="s">
        <v>407</v>
      </c>
      <c r="F1228" s="39" t="s">
        <v>409</v>
      </c>
      <c r="G1228" s="41" t="s">
        <v>23</v>
      </c>
      <c r="H1228" s="42">
        <v>6.0</v>
      </c>
      <c r="I1228" s="42">
        <v>3.0</v>
      </c>
      <c r="J1228" s="42">
        <v>3.0</v>
      </c>
      <c r="K1228" s="42">
        <v>50.0</v>
      </c>
      <c r="L1228" s="42">
        <v>50.0</v>
      </c>
      <c r="Q1228" s="4"/>
    </row>
    <row r="1229">
      <c r="A1229" s="2"/>
      <c r="B1229" s="38">
        <v>1221.0</v>
      </c>
      <c r="C1229" s="39" t="s">
        <v>32</v>
      </c>
      <c r="D1229" s="39" t="s">
        <v>348</v>
      </c>
      <c r="E1229" s="39" t="s">
        <v>407</v>
      </c>
      <c r="F1229" s="39" t="s">
        <v>409</v>
      </c>
      <c r="G1229" s="41" t="s">
        <v>25</v>
      </c>
      <c r="H1229" s="42">
        <v>46.0</v>
      </c>
      <c r="I1229" s="42">
        <v>1.0</v>
      </c>
      <c r="J1229" s="42">
        <v>45.0</v>
      </c>
      <c r="K1229" s="42">
        <v>2.2</v>
      </c>
      <c r="L1229" s="42">
        <v>97.8</v>
      </c>
      <c r="Q1229" s="4"/>
    </row>
    <row r="1230">
      <c r="A1230" s="2"/>
      <c r="B1230" s="34">
        <v>1222.0</v>
      </c>
      <c r="C1230" s="35" t="s">
        <v>30</v>
      </c>
      <c r="D1230" s="49" t="s">
        <v>348</v>
      </c>
      <c r="E1230" s="49" t="s">
        <v>410</v>
      </c>
      <c r="F1230" s="50"/>
      <c r="G1230" s="35" t="s">
        <v>410</v>
      </c>
      <c r="H1230" s="37">
        <v>130.0</v>
      </c>
      <c r="I1230" s="37">
        <v>28.0</v>
      </c>
      <c r="J1230" s="37">
        <v>102.0</v>
      </c>
      <c r="K1230" s="37">
        <v>21.5</v>
      </c>
      <c r="L1230" s="37">
        <v>78.5</v>
      </c>
      <c r="Q1230" s="4"/>
    </row>
    <row r="1231">
      <c r="A1231" s="2"/>
      <c r="B1231" s="38">
        <v>1223.0</v>
      </c>
      <c r="C1231" s="39" t="s">
        <v>30</v>
      </c>
      <c r="D1231" s="39" t="s">
        <v>348</v>
      </c>
      <c r="E1231" s="39" t="s">
        <v>410</v>
      </c>
      <c r="F1231" s="40"/>
      <c r="G1231" s="41" t="s">
        <v>23</v>
      </c>
      <c r="H1231" s="42">
        <v>68.0</v>
      </c>
      <c r="I1231" s="42">
        <v>11.0</v>
      </c>
      <c r="J1231" s="42">
        <v>57.0</v>
      </c>
      <c r="K1231" s="42">
        <v>16.2</v>
      </c>
      <c r="L1231" s="42">
        <v>83.8</v>
      </c>
      <c r="Q1231" s="4"/>
    </row>
    <row r="1232">
      <c r="A1232" s="2"/>
      <c r="B1232" s="38">
        <v>1224.0</v>
      </c>
      <c r="C1232" s="39" t="s">
        <v>30</v>
      </c>
      <c r="D1232" s="39" t="s">
        <v>348</v>
      </c>
      <c r="E1232" s="39" t="s">
        <v>410</v>
      </c>
      <c r="F1232" s="40"/>
      <c r="G1232" s="41" t="s">
        <v>25</v>
      </c>
      <c r="H1232" s="42">
        <v>62.0</v>
      </c>
      <c r="I1232" s="42">
        <v>17.0</v>
      </c>
      <c r="J1232" s="42">
        <v>45.0</v>
      </c>
      <c r="K1232" s="42">
        <v>27.4</v>
      </c>
      <c r="L1232" s="42">
        <v>72.6</v>
      </c>
      <c r="Q1232" s="4"/>
    </row>
    <row r="1233">
      <c r="A1233" s="2"/>
      <c r="B1233" s="43">
        <v>1225.0</v>
      </c>
      <c r="C1233" s="44" t="s">
        <v>32</v>
      </c>
      <c r="D1233" s="53" t="s">
        <v>348</v>
      </c>
      <c r="E1233" s="53" t="s">
        <v>410</v>
      </c>
      <c r="F1233" s="53" t="s">
        <v>411</v>
      </c>
      <c r="G1233" s="44" t="s">
        <v>411</v>
      </c>
      <c r="H1233" s="45">
        <v>33.0</v>
      </c>
      <c r="I1233" s="45">
        <v>2.0</v>
      </c>
      <c r="J1233" s="45">
        <v>31.0</v>
      </c>
      <c r="K1233" s="45">
        <v>6.1</v>
      </c>
      <c r="L1233" s="45">
        <v>93.9</v>
      </c>
      <c r="Q1233" s="4"/>
    </row>
    <row r="1234">
      <c r="A1234" s="2"/>
      <c r="B1234" s="38">
        <v>1226.0</v>
      </c>
      <c r="C1234" s="39" t="s">
        <v>32</v>
      </c>
      <c r="D1234" s="39" t="s">
        <v>348</v>
      </c>
      <c r="E1234" s="39" t="s">
        <v>410</v>
      </c>
      <c r="F1234" s="39" t="s">
        <v>411</v>
      </c>
      <c r="G1234" s="41" t="s">
        <v>23</v>
      </c>
      <c r="H1234" s="42">
        <v>9.0</v>
      </c>
      <c r="I1234" s="42">
        <v>2.0</v>
      </c>
      <c r="J1234" s="42">
        <v>7.0</v>
      </c>
      <c r="K1234" s="42">
        <v>22.2</v>
      </c>
      <c r="L1234" s="42">
        <v>77.8</v>
      </c>
      <c r="Q1234" s="4"/>
    </row>
    <row r="1235">
      <c r="A1235" s="2"/>
      <c r="B1235" s="38">
        <v>1227.0</v>
      </c>
      <c r="C1235" s="39" t="s">
        <v>32</v>
      </c>
      <c r="D1235" s="39" t="s">
        <v>348</v>
      </c>
      <c r="E1235" s="39" t="s">
        <v>410</v>
      </c>
      <c r="F1235" s="39" t="s">
        <v>411</v>
      </c>
      <c r="G1235" s="41" t="s">
        <v>25</v>
      </c>
      <c r="H1235" s="42">
        <v>24.0</v>
      </c>
      <c r="I1235" s="42">
        <v>0.0</v>
      </c>
      <c r="J1235" s="42">
        <v>24.0</v>
      </c>
      <c r="K1235" s="42">
        <v>0.0</v>
      </c>
      <c r="L1235" s="42">
        <v>100.0</v>
      </c>
      <c r="Q1235" s="4"/>
    </row>
    <row r="1236">
      <c r="A1236" s="2"/>
      <c r="B1236" s="43">
        <v>1228.0</v>
      </c>
      <c r="C1236" s="44" t="s">
        <v>32</v>
      </c>
      <c r="D1236" s="53" t="s">
        <v>348</v>
      </c>
      <c r="E1236" s="53" t="s">
        <v>410</v>
      </c>
      <c r="F1236" s="53" t="s">
        <v>412</v>
      </c>
      <c r="G1236" s="44" t="s">
        <v>412</v>
      </c>
      <c r="H1236" s="45">
        <v>88.0</v>
      </c>
      <c r="I1236" s="45">
        <v>24.0</v>
      </c>
      <c r="J1236" s="45">
        <v>64.0</v>
      </c>
      <c r="K1236" s="45">
        <v>27.3</v>
      </c>
      <c r="L1236" s="45">
        <v>72.7</v>
      </c>
      <c r="Q1236" s="4"/>
    </row>
    <row r="1237">
      <c r="A1237" s="2"/>
      <c r="B1237" s="38">
        <v>1229.0</v>
      </c>
      <c r="C1237" s="39" t="s">
        <v>32</v>
      </c>
      <c r="D1237" s="39" t="s">
        <v>348</v>
      </c>
      <c r="E1237" s="39" t="s">
        <v>410</v>
      </c>
      <c r="F1237" s="39" t="s">
        <v>412</v>
      </c>
      <c r="G1237" s="41" t="s">
        <v>23</v>
      </c>
      <c r="H1237" s="42">
        <v>55.0</v>
      </c>
      <c r="I1237" s="42">
        <v>8.0</v>
      </c>
      <c r="J1237" s="42">
        <v>47.0</v>
      </c>
      <c r="K1237" s="42">
        <v>14.5</v>
      </c>
      <c r="L1237" s="42">
        <v>85.5</v>
      </c>
      <c r="Q1237" s="4"/>
    </row>
    <row r="1238">
      <c r="A1238" s="2"/>
      <c r="B1238" s="38">
        <v>1230.0</v>
      </c>
      <c r="C1238" s="39" t="s">
        <v>32</v>
      </c>
      <c r="D1238" s="39" t="s">
        <v>348</v>
      </c>
      <c r="E1238" s="39" t="s">
        <v>410</v>
      </c>
      <c r="F1238" s="39" t="s">
        <v>412</v>
      </c>
      <c r="G1238" s="41" t="s">
        <v>25</v>
      </c>
      <c r="H1238" s="42">
        <v>33.0</v>
      </c>
      <c r="I1238" s="42">
        <v>16.0</v>
      </c>
      <c r="J1238" s="42">
        <v>17.0</v>
      </c>
      <c r="K1238" s="42">
        <v>48.5</v>
      </c>
      <c r="L1238" s="42">
        <v>51.5</v>
      </c>
      <c r="Q1238" s="4"/>
    </row>
    <row r="1239">
      <c r="A1239" s="2"/>
      <c r="B1239" s="43">
        <v>1231.0</v>
      </c>
      <c r="C1239" s="44" t="s">
        <v>32</v>
      </c>
      <c r="D1239" s="53" t="s">
        <v>348</v>
      </c>
      <c r="E1239" s="53" t="s">
        <v>410</v>
      </c>
      <c r="F1239" s="53" t="s">
        <v>413</v>
      </c>
      <c r="G1239" s="44" t="s">
        <v>413</v>
      </c>
      <c r="H1239" s="45">
        <v>9.0</v>
      </c>
      <c r="I1239" s="45">
        <v>2.0</v>
      </c>
      <c r="J1239" s="45">
        <v>7.0</v>
      </c>
      <c r="K1239" s="45">
        <v>22.2</v>
      </c>
      <c r="L1239" s="45">
        <v>77.8</v>
      </c>
      <c r="Q1239" s="4"/>
    </row>
    <row r="1240">
      <c r="A1240" s="2"/>
      <c r="B1240" s="38">
        <v>1232.0</v>
      </c>
      <c r="C1240" s="39" t="s">
        <v>32</v>
      </c>
      <c r="D1240" s="39" t="s">
        <v>348</v>
      </c>
      <c r="E1240" s="39" t="s">
        <v>410</v>
      </c>
      <c r="F1240" s="39" t="s">
        <v>413</v>
      </c>
      <c r="G1240" s="41" t="s">
        <v>23</v>
      </c>
      <c r="H1240" s="42">
        <v>4.0</v>
      </c>
      <c r="I1240" s="42">
        <v>1.0</v>
      </c>
      <c r="J1240" s="42">
        <v>3.0</v>
      </c>
      <c r="K1240" s="42">
        <v>25.0</v>
      </c>
      <c r="L1240" s="42">
        <v>75.0</v>
      </c>
      <c r="Q1240" s="4"/>
    </row>
    <row r="1241">
      <c r="A1241" s="2"/>
      <c r="B1241" s="38">
        <v>1233.0</v>
      </c>
      <c r="C1241" s="39" t="s">
        <v>32</v>
      </c>
      <c r="D1241" s="39" t="s">
        <v>348</v>
      </c>
      <c r="E1241" s="39" t="s">
        <v>410</v>
      </c>
      <c r="F1241" s="39" t="s">
        <v>413</v>
      </c>
      <c r="G1241" s="41" t="s">
        <v>25</v>
      </c>
      <c r="H1241" s="42">
        <v>5.0</v>
      </c>
      <c r="I1241" s="42">
        <v>1.0</v>
      </c>
      <c r="J1241" s="42">
        <v>4.0</v>
      </c>
      <c r="K1241" s="42">
        <v>20.0</v>
      </c>
      <c r="L1241" s="42">
        <v>80.0</v>
      </c>
      <c r="Q1241" s="4"/>
    </row>
    <row r="1242">
      <c r="A1242" s="2"/>
      <c r="B1242" s="34">
        <v>1234.0</v>
      </c>
      <c r="C1242" s="35" t="s">
        <v>30</v>
      </c>
      <c r="D1242" s="49" t="s">
        <v>348</v>
      </c>
      <c r="E1242" s="49" t="s">
        <v>414</v>
      </c>
      <c r="F1242" s="50"/>
      <c r="G1242" s="35" t="s">
        <v>414</v>
      </c>
      <c r="H1242" s="37">
        <v>370.0</v>
      </c>
      <c r="I1242" s="37">
        <v>25.0</v>
      </c>
      <c r="J1242" s="37">
        <v>345.0</v>
      </c>
      <c r="K1242" s="37">
        <v>6.8</v>
      </c>
      <c r="L1242" s="37">
        <v>93.2</v>
      </c>
      <c r="Q1242" s="4"/>
    </row>
    <row r="1243">
      <c r="A1243" s="2"/>
      <c r="B1243" s="38">
        <v>1235.0</v>
      </c>
      <c r="C1243" s="39" t="s">
        <v>30</v>
      </c>
      <c r="D1243" s="39" t="s">
        <v>348</v>
      </c>
      <c r="E1243" s="39" t="s">
        <v>414</v>
      </c>
      <c r="F1243" s="40"/>
      <c r="G1243" s="41" t="s">
        <v>23</v>
      </c>
      <c r="H1243" s="42">
        <v>180.0</v>
      </c>
      <c r="I1243" s="42">
        <v>8.0</v>
      </c>
      <c r="J1243" s="42">
        <v>172.0</v>
      </c>
      <c r="K1243" s="42">
        <v>4.4</v>
      </c>
      <c r="L1243" s="42">
        <v>95.6</v>
      </c>
      <c r="Q1243" s="4"/>
    </row>
    <row r="1244">
      <c r="A1244" s="2"/>
      <c r="B1244" s="38">
        <v>1236.0</v>
      </c>
      <c r="C1244" s="39" t="s">
        <v>30</v>
      </c>
      <c r="D1244" s="39" t="s">
        <v>348</v>
      </c>
      <c r="E1244" s="39" t="s">
        <v>414</v>
      </c>
      <c r="F1244" s="40"/>
      <c r="G1244" s="41" t="s">
        <v>25</v>
      </c>
      <c r="H1244" s="42">
        <v>190.0</v>
      </c>
      <c r="I1244" s="42">
        <v>17.0</v>
      </c>
      <c r="J1244" s="42">
        <v>173.0</v>
      </c>
      <c r="K1244" s="42">
        <v>8.9</v>
      </c>
      <c r="L1244" s="42">
        <v>91.1</v>
      </c>
      <c r="Q1244" s="4"/>
    </row>
    <row r="1245">
      <c r="A1245" s="2"/>
      <c r="B1245" s="43">
        <v>1237.0</v>
      </c>
      <c r="C1245" s="44" t="s">
        <v>32</v>
      </c>
      <c r="D1245" s="53" t="s">
        <v>348</v>
      </c>
      <c r="E1245" s="53" t="s">
        <v>414</v>
      </c>
      <c r="F1245" s="53" t="s">
        <v>415</v>
      </c>
      <c r="G1245" s="44" t="s">
        <v>415</v>
      </c>
      <c r="H1245" s="45">
        <v>70.0</v>
      </c>
      <c r="I1245" s="45">
        <v>19.0</v>
      </c>
      <c r="J1245" s="45">
        <v>51.0</v>
      </c>
      <c r="K1245" s="45">
        <v>27.1</v>
      </c>
      <c r="L1245" s="45">
        <v>72.9</v>
      </c>
      <c r="Q1245" s="4"/>
    </row>
    <row r="1246">
      <c r="A1246" s="2"/>
      <c r="B1246" s="38">
        <v>1238.0</v>
      </c>
      <c r="C1246" s="39" t="s">
        <v>32</v>
      </c>
      <c r="D1246" s="39" t="s">
        <v>348</v>
      </c>
      <c r="E1246" s="39" t="s">
        <v>414</v>
      </c>
      <c r="F1246" s="39" t="s">
        <v>415</v>
      </c>
      <c r="G1246" s="41" t="s">
        <v>23</v>
      </c>
      <c r="H1246" s="42">
        <v>37.0</v>
      </c>
      <c r="I1246" s="42">
        <v>4.0</v>
      </c>
      <c r="J1246" s="42">
        <v>33.0</v>
      </c>
      <c r="K1246" s="42">
        <v>10.8</v>
      </c>
      <c r="L1246" s="42">
        <v>89.2</v>
      </c>
      <c r="Q1246" s="4"/>
    </row>
    <row r="1247">
      <c r="A1247" s="2"/>
      <c r="B1247" s="38">
        <v>1239.0</v>
      </c>
      <c r="C1247" s="39" t="s">
        <v>32</v>
      </c>
      <c r="D1247" s="39" t="s">
        <v>348</v>
      </c>
      <c r="E1247" s="39" t="s">
        <v>414</v>
      </c>
      <c r="F1247" s="39" t="s">
        <v>415</v>
      </c>
      <c r="G1247" s="41" t="s">
        <v>25</v>
      </c>
      <c r="H1247" s="42">
        <v>33.0</v>
      </c>
      <c r="I1247" s="42">
        <v>15.0</v>
      </c>
      <c r="J1247" s="42">
        <v>18.0</v>
      </c>
      <c r="K1247" s="42">
        <v>45.5</v>
      </c>
      <c r="L1247" s="42">
        <v>54.5</v>
      </c>
      <c r="Q1247" s="4"/>
    </row>
    <row r="1248">
      <c r="A1248" s="2"/>
      <c r="B1248" s="43">
        <v>1240.0</v>
      </c>
      <c r="C1248" s="44" t="s">
        <v>32</v>
      </c>
      <c r="D1248" s="53" t="s">
        <v>348</v>
      </c>
      <c r="E1248" s="53" t="s">
        <v>414</v>
      </c>
      <c r="F1248" s="53" t="s">
        <v>416</v>
      </c>
      <c r="G1248" s="44" t="s">
        <v>416</v>
      </c>
      <c r="H1248" s="45">
        <v>138.0</v>
      </c>
      <c r="I1248" s="45">
        <v>4.0</v>
      </c>
      <c r="J1248" s="45">
        <v>134.0</v>
      </c>
      <c r="K1248" s="45">
        <v>2.9</v>
      </c>
      <c r="L1248" s="45">
        <v>97.1</v>
      </c>
      <c r="Q1248" s="4"/>
    </row>
    <row r="1249">
      <c r="A1249" s="2"/>
      <c r="B1249" s="38">
        <v>1241.0</v>
      </c>
      <c r="C1249" s="39" t="s">
        <v>32</v>
      </c>
      <c r="D1249" s="39" t="s">
        <v>348</v>
      </c>
      <c r="E1249" s="39" t="s">
        <v>414</v>
      </c>
      <c r="F1249" s="39" t="s">
        <v>416</v>
      </c>
      <c r="G1249" s="41" t="s">
        <v>23</v>
      </c>
      <c r="H1249" s="42">
        <v>138.0</v>
      </c>
      <c r="I1249" s="42">
        <v>4.0</v>
      </c>
      <c r="J1249" s="42">
        <v>134.0</v>
      </c>
      <c r="K1249" s="42">
        <v>2.9</v>
      </c>
      <c r="L1249" s="42">
        <v>97.1</v>
      </c>
      <c r="Q1249" s="4"/>
    </row>
    <row r="1250">
      <c r="A1250" s="2"/>
      <c r="B1250" s="38">
        <v>1242.0</v>
      </c>
      <c r="C1250" s="39" t="s">
        <v>32</v>
      </c>
      <c r="D1250" s="39" t="s">
        <v>348</v>
      </c>
      <c r="E1250" s="39" t="s">
        <v>414</v>
      </c>
      <c r="F1250" s="39" t="s">
        <v>416</v>
      </c>
      <c r="G1250" s="41" t="s">
        <v>25</v>
      </c>
      <c r="H1250" s="42">
        <v>0.0</v>
      </c>
      <c r="I1250" s="42">
        <v>0.0</v>
      </c>
      <c r="J1250" s="42">
        <v>0.0</v>
      </c>
      <c r="K1250" s="42">
        <v>0.0</v>
      </c>
      <c r="L1250" s="42">
        <v>0.0</v>
      </c>
      <c r="Q1250" s="4"/>
    </row>
    <row r="1251">
      <c r="A1251" s="2"/>
      <c r="B1251" s="43">
        <v>1243.0</v>
      </c>
      <c r="C1251" s="44" t="s">
        <v>32</v>
      </c>
      <c r="D1251" s="53" t="s">
        <v>348</v>
      </c>
      <c r="E1251" s="53" t="s">
        <v>414</v>
      </c>
      <c r="F1251" s="53" t="s">
        <v>346</v>
      </c>
      <c r="G1251" s="44" t="s">
        <v>346</v>
      </c>
      <c r="H1251" s="45">
        <v>162.0</v>
      </c>
      <c r="I1251" s="45">
        <v>2.0</v>
      </c>
      <c r="J1251" s="45">
        <v>160.0</v>
      </c>
      <c r="K1251" s="45">
        <v>1.2</v>
      </c>
      <c r="L1251" s="45">
        <v>98.8</v>
      </c>
      <c r="Q1251" s="4"/>
    </row>
    <row r="1252">
      <c r="A1252" s="2"/>
      <c r="B1252" s="38">
        <v>1244.0</v>
      </c>
      <c r="C1252" s="39" t="s">
        <v>32</v>
      </c>
      <c r="D1252" s="39" t="s">
        <v>348</v>
      </c>
      <c r="E1252" s="39" t="s">
        <v>414</v>
      </c>
      <c r="F1252" s="39" t="s">
        <v>346</v>
      </c>
      <c r="G1252" s="41" t="s">
        <v>23</v>
      </c>
      <c r="H1252" s="42">
        <v>5.0</v>
      </c>
      <c r="I1252" s="42">
        <v>0.0</v>
      </c>
      <c r="J1252" s="42">
        <v>5.0</v>
      </c>
      <c r="K1252" s="42">
        <v>0.0</v>
      </c>
      <c r="L1252" s="42">
        <v>100.0</v>
      </c>
      <c r="Q1252" s="4"/>
    </row>
    <row r="1253">
      <c r="A1253" s="2"/>
      <c r="B1253" s="38">
        <v>1245.0</v>
      </c>
      <c r="C1253" s="39" t="s">
        <v>32</v>
      </c>
      <c r="D1253" s="39" t="s">
        <v>348</v>
      </c>
      <c r="E1253" s="39" t="s">
        <v>414</v>
      </c>
      <c r="F1253" s="39" t="s">
        <v>346</v>
      </c>
      <c r="G1253" s="41" t="s">
        <v>25</v>
      </c>
      <c r="H1253" s="42">
        <v>157.0</v>
      </c>
      <c r="I1253" s="42">
        <v>2.0</v>
      </c>
      <c r="J1253" s="42">
        <v>155.0</v>
      </c>
      <c r="K1253" s="42">
        <v>1.3</v>
      </c>
      <c r="L1253" s="42">
        <v>98.7</v>
      </c>
      <c r="Q1253" s="4"/>
    </row>
    <row r="1254">
      <c r="A1254" s="2"/>
      <c r="B1254" s="24">
        <v>1246.0</v>
      </c>
      <c r="C1254" s="25" t="s">
        <v>26</v>
      </c>
      <c r="D1254" s="25" t="s">
        <v>417</v>
      </c>
      <c r="E1254" s="26"/>
      <c r="F1254" s="26"/>
      <c r="G1254" s="25" t="s">
        <v>417</v>
      </c>
      <c r="H1254" s="27">
        <v>1379.0</v>
      </c>
      <c r="I1254" s="28">
        <v>263.0</v>
      </c>
      <c r="J1254" s="27">
        <v>1116.0</v>
      </c>
      <c r="K1254" s="28">
        <v>19.1</v>
      </c>
      <c r="L1254" s="28">
        <v>80.9</v>
      </c>
      <c r="Q1254" s="4"/>
    </row>
    <row r="1255">
      <c r="A1255" s="2"/>
      <c r="B1255" s="29">
        <v>1247.0</v>
      </c>
      <c r="C1255" s="30" t="s">
        <v>26</v>
      </c>
      <c r="D1255" s="47" t="s">
        <v>417</v>
      </c>
      <c r="E1255" s="48"/>
      <c r="F1255" s="48"/>
      <c r="G1255" s="30" t="s">
        <v>23</v>
      </c>
      <c r="H1255" s="33">
        <v>841.0</v>
      </c>
      <c r="I1255" s="33">
        <v>203.0</v>
      </c>
      <c r="J1255" s="33">
        <v>638.0</v>
      </c>
      <c r="K1255" s="33">
        <v>24.1</v>
      </c>
      <c r="L1255" s="33">
        <v>75.9</v>
      </c>
      <c r="Q1255" s="4"/>
    </row>
    <row r="1256">
      <c r="A1256" s="2"/>
      <c r="B1256" s="29">
        <v>1248.0</v>
      </c>
      <c r="C1256" s="30" t="s">
        <v>26</v>
      </c>
      <c r="D1256" s="47" t="s">
        <v>417</v>
      </c>
      <c r="E1256" s="48"/>
      <c r="F1256" s="48"/>
      <c r="G1256" s="30" t="s">
        <v>25</v>
      </c>
      <c r="H1256" s="33">
        <v>538.0</v>
      </c>
      <c r="I1256" s="33">
        <v>60.0</v>
      </c>
      <c r="J1256" s="33">
        <v>478.0</v>
      </c>
      <c r="K1256" s="33">
        <v>11.2</v>
      </c>
      <c r="L1256" s="33">
        <v>88.8</v>
      </c>
      <c r="Q1256" s="4"/>
    </row>
    <row r="1257">
      <c r="A1257" s="2"/>
      <c r="B1257" s="34">
        <v>1249.0</v>
      </c>
      <c r="C1257" s="35" t="s">
        <v>30</v>
      </c>
      <c r="D1257" s="49" t="s">
        <v>417</v>
      </c>
      <c r="E1257" s="49" t="s">
        <v>177</v>
      </c>
      <c r="F1257" s="50"/>
      <c r="G1257" s="35" t="s">
        <v>177</v>
      </c>
      <c r="H1257" s="37">
        <v>341.0</v>
      </c>
      <c r="I1257" s="37">
        <v>92.0</v>
      </c>
      <c r="J1257" s="37">
        <v>249.0</v>
      </c>
      <c r="K1257" s="37">
        <v>27.0</v>
      </c>
      <c r="L1257" s="37">
        <v>73.0</v>
      </c>
      <c r="Q1257" s="4"/>
    </row>
    <row r="1258">
      <c r="A1258" s="2"/>
      <c r="B1258" s="38">
        <v>1250.0</v>
      </c>
      <c r="C1258" s="39" t="s">
        <v>30</v>
      </c>
      <c r="D1258" s="39" t="s">
        <v>417</v>
      </c>
      <c r="E1258" s="39" t="s">
        <v>177</v>
      </c>
      <c r="F1258" s="40"/>
      <c r="G1258" s="41" t="s">
        <v>23</v>
      </c>
      <c r="H1258" s="42">
        <v>180.0</v>
      </c>
      <c r="I1258" s="42">
        <v>87.0</v>
      </c>
      <c r="J1258" s="42">
        <v>93.0</v>
      </c>
      <c r="K1258" s="42">
        <v>48.3</v>
      </c>
      <c r="L1258" s="42">
        <v>51.7</v>
      </c>
      <c r="Q1258" s="4"/>
    </row>
    <row r="1259">
      <c r="A1259" s="2"/>
      <c r="B1259" s="38">
        <v>1251.0</v>
      </c>
      <c r="C1259" s="39" t="s">
        <v>30</v>
      </c>
      <c r="D1259" s="39" t="s">
        <v>417</v>
      </c>
      <c r="E1259" s="39" t="s">
        <v>177</v>
      </c>
      <c r="F1259" s="40"/>
      <c r="G1259" s="41" t="s">
        <v>25</v>
      </c>
      <c r="H1259" s="42">
        <v>161.0</v>
      </c>
      <c r="I1259" s="42">
        <v>5.0</v>
      </c>
      <c r="J1259" s="42">
        <v>156.0</v>
      </c>
      <c r="K1259" s="42">
        <v>3.1</v>
      </c>
      <c r="L1259" s="42">
        <v>96.9</v>
      </c>
      <c r="Q1259" s="4"/>
    </row>
    <row r="1260">
      <c r="A1260" s="2"/>
      <c r="B1260" s="43">
        <v>1252.0</v>
      </c>
      <c r="C1260" s="44" t="s">
        <v>32</v>
      </c>
      <c r="D1260" s="53" t="s">
        <v>417</v>
      </c>
      <c r="E1260" s="53" t="s">
        <v>177</v>
      </c>
      <c r="F1260" s="53" t="s">
        <v>418</v>
      </c>
      <c r="G1260" s="44" t="s">
        <v>418</v>
      </c>
      <c r="H1260" s="45">
        <v>319.0</v>
      </c>
      <c r="I1260" s="45">
        <v>92.0</v>
      </c>
      <c r="J1260" s="45">
        <v>227.0</v>
      </c>
      <c r="K1260" s="45">
        <v>28.8</v>
      </c>
      <c r="L1260" s="45">
        <v>71.2</v>
      </c>
      <c r="Q1260" s="4"/>
    </row>
    <row r="1261">
      <c r="A1261" s="2"/>
      <c r="B1261" s="38">
        <v>1253.0</v>
      </c>
      <c r="C1261" s="39" t="s">
        <v>32</v>
      </c>
      <c r="D1261" s="39" t="s">
        <v>417</v>
      </c>
      <c r="E1261" s="39" t="s">
        <v>177</v>
      </c>
      <c r="F1261" s="39" t="s">
        <v>418</v>
      </c>
      <c r="G1261" s="41" t="s">
        <v>23</v>
      </c>
      <c r="H1261" s="42">
        <v>180.0</v>
      </c>
      <c r="I1261" s="42">
        <v>87.0</v>
      </c>
      <c r="J1261" s="42">
        <v>93.0</v>
      </c>
      <c r="K1261" s="42">
        <v>48.3</v>
      </c>
      <c r="L1261" s="42">
        <v>51.7</v>
      </c>
      <c r="Q1261" s="4"/>
    </row>
    <row r="1262">
      <c r="A1262" s="2"/>
      <c r="B1262" s="38">
        <v>1254.0</v>
      </c>
      <c r="C1262" s="39" t="s">
        <v>32</v>
      </c>
      <c r="D1262" s="39" t="s">
        <v>417</v>
      </c>
      <c r="E1262" s="39" t="s">
        <v>177</v>
      </c>
      <c r="F1262" s="39" t="s">
        <v>418</v>
      </c>
      <c r="G1262" s="41" t="s">
        <v>25</v>
      </c>
      <c r="H1262" s="42">
        <v>139.0</v>
      </c>
      <c r="I1262" s="42">
        <v>5.0</v>
      </c>
      <c r="J1262" s="42">
        <v>134.0</v>
      </c>
      <c r="K1262" s="42">
        <v>3.6</v>
      </c>
      <c r="L1262" s="42">
        <v>96.4</v>
      </c>
      <c r="Q1262" s="4"/>
    </row>
    <row r="1263">
      <c r="A1263" s="2"/>
      <c r="B1263" s="43">
        <v>1255.0</v>
      </c>
      <c r="C1263" s="44" t="s">
        <v>32</v>
      </c>
      <c r="D1263" s="53" t="s">
        <v>417</v>
      </c>
      <c r="E1263" s="53" t="s">
        <v>177</v>
      </c>
      <c r="F1263" s="53" t="s">
        <v>400</v>
      </c>
      <c r="G1263" s="44" t="s">
        <v>400</v>
      </c>
      <c r="H1263" s="45">
        <v>22.0</v>
      </c>
      <c r="I1263" s="45">
        <v>0.0</v>
      </c>
      <c r="J1263" s="45">
        <v>22.0</v>
      </c>
      <c r="K1263" s="45">
        <v>0.0</v>
      </c>
      <c r="L1263" s="45">
        <v>100.0</v>
      </c>
      <c r="Q1263" s="4"/>
    </row>
    <row r="1264">
      <c r="A1264" s="2"/>
      <c r="B1264" s="38">
        <v>1256.0</v>
      </c>
      <c r="C1264" s="39" t="s">
        <v>32</v>
      </c>
      <c r="D1264" s="39" t="s">
        <v>417</v>
      </c>
      <c r="E1264" s="39" t="s">
        <v>177</v>
      </c>
      <c r="F1264" s="39" t="s">
        <v>400</v>
      </c>
      <c r="G1264" s="41" t="s">
        <v>23</v>
      </c>
      <c r="H1264" s="46"/>
      <c r="I1264" s="46"/>
      <c r="J1264" s="46"/>
      <c r="K1264" s="46"/>
      <c r="L1264" s="46"/>
      <c r="Q1264" s="4"/>
    </row>
    <row r="1265">
      <c r="A1265" s="2"/>
      <c r="B1265" s="38">
        <v>1257.0</v>
      </c>
      <c r="C1265" s="39" t="s">
        <v>32</v>
      </c>
      <c r="D1265" s="39" t="s">
        <v>417</v>
      </c>
      <c r="E1265" s="39" t="s">
        <v>177</v>
      </c>
      <c r="F1265" s="39" t="s">
        <v>400</v>
      </c>
      <c r="G1265" s="41" t="s">
        <v>25</v>
      </c>
      <c r="H1265" s="42">
        <v>22.0</v>
      </c>
      <c r="I1265" s="42">
        <v>0.0</v>
      </c>
      <c r="J1265" s="42">
        <v>22.0</v>
      </c>
      <c r="K1265" s="42">
        <v>0.0</v>
      </c>
      <c r="L1265" s="42">
        <v>100.0</v>
      </c>
      <c r="Q1265" s="4"/>
    </row>
    <row r="1266">
      <c r="A1266" s="2"/>
      <c r="B1266" s="34">
        <v>1258.0</v>
      </c>
      <c r="C1266" s="35" t="s">
        <v>30</v>
      </c>
      <c r="D1266" s="49" t="s">
        <v>417</v>
      </c>
      <c r="E1266" s="49" t="s">
        <v>419</v>
      </c>
      <c r="F1266" s="50"/>
      <c r="G1266" s="35" t="s">
        <v>419</v>
      </c>
      <c r="H1266" s="37">
        <v>500.0</v>
      </c>
      <c r="I1266" s="37">
        <v>63.0</v>
      </c>
      <c r="J1266" s="37">
        <v>437.0</v>
      </c>
      <c r="K1266" s="37">
        <v>12.6</v>
      </c>
      <c r="L1266" s="37">
        <v>87.4</v>
      </c>
      <c r="Q1266" s="4"/>
    </row>
    <row r="1267">
      <c r="A1267" s="2"/>
      <c r="B1267" s="38">
        <v>1259.0</v>
      </c>
      <c r="C1267" s="39" t="s">
        <v>30</v>
      </c>
      <c r="D1267" s="39" t="s">
        <v>417</v>
      </c>
      <c r="E1267" s="39" t="s">
        <v>419</v>
      </c>
      <c r="F1267" s="40"/>
      <c r="G1267" s="41" t="s">
        <v>23</v>
      </c>
      <c r="H1267" s="42">
        <v>462.0</v>
      </c>
      <c r="I1267" s="42">
        <v>58.0</v>
      </c>
      <c r="J1267" s="42">
        <v>404.0</v>
      </c>
      <c r="K1267" s="42">
        <v>12.6</v>
      </c>
      <c r="L1267" s="42">
        <v>87.4</v>
      </c>
      <c r="Q1267" s="4"/>
    </row>
    <row r="1268">
      <c r="A1268" s="2"/>
      <c r="B1268" s="38">
        <v>1260.0</v>
      </c>
      <c r="C1268" s="39" t="s">
        <v>30</v>
      </c>
      <c r="D1268" s="39" t="s">
        <v>417</v>
      </c>
      <c r="E1268" s="39" t="s">
        <v>419</v>
      </c>
      <c r="F1268" s="40"/>
      <c r="G1268" s="41" t="s">
        <v>25</v>
      </c>
      <c r="H1268" s="42">
        <v>38.0</v>
      </c>
      <c r="I1268" s="42">
        <v>5.0</v>
      </c>
      <c r="J1268" s="42">
        <v>33.0</v>
      </c>
      <c r="K1268" s="42">
        <v>13.2</v>
      </c>
      <c r="L1268" s="42">
        <v>86.8</v>
      </c>
      <c r="Q1268" s="4"/>
    </row>
    <row r="1269">
      <c r="A1269" s="2"/>
      <c r="B1269" s="43">
        <v>1261.0</v>
      </c>
      <c r="C1269" s="44" t="s">
        <v>32</v>
      </c>
      <c r="D1269" s="53" t="s">
        <v>417</v>
      </c>
      <c r="E1269" s="53" t="s">
        <v>419</v>
      </c>
      <c r="F1269" s="53" t="s">
        <v>420</v>
      </c>
      <c r="G1269" s="44" t="s">
        <v>420</v>
      </c>
      <c r="H1269" s="45">
        <v>222.0</v>
      </c>
      <c r="I1269" s="45">
        <v>38.0</v>
      </c>
      <c r="J1269" s="45">
        <v>184.0</v>
      </c>
      <c r="K1269" s="45">
        <v>17.1</v>
      </c>
      <c r="L1269" s="45">
        <v>82.9</v>
      </c>
      <c r="Q1269" s="4"/>
    </row>
    <row r="1270">
      <c r="A1270" s="2"/>
      <c r="B1270" s="38">
        <v>1262.0</v>
      </c>
      <c r="C1270" s="39" t="s">
        <v>32</v>
      </c>
      <c r="D1270" s="39" t="s">
        <v>417</v>
      </c>
      <c r="E1270" s="39" t="s">
        <v>419</v>
      </c>
      <c r="F1270" s="39" t="s">
        <v>420</v>
      </c>
      <c r="G1270" s="41" t="s">
        <v>23</v>
      </c>
      <c r="H1270" s="42">
        <v>195.0</v>
      </c>
      <c r="I1270" s="42">
        <v>33.0</v>
      </c>
      <c r="J1270" s="42">
        <v>162.0</v>
      </c>
      <c r="K1270" s="42">
        <v>16.9</v>
      </c>
      <c r="L1270" s="42">
        <v>83.1</v>
      </c>
      <c r="Q1270" s="4"/>
    </row>
    <row r="1271">
      <c r="A1271" s="2"/>
      <c r="B1271" s="38">
        <v>1263.0</v>
      </c>
      <c r="C1271" s="39" t="s">
        <v>32</v>
      </c>
      <c r="D1271" s="39" t="s">
        <v>417</v>
      </c>
      <c r="E1271" s="39" t="s">
        <v>419</v>
      </c>
      <c r="F1271" s="39" t="s">
        <v>420</v>
      </c>
      <c r="G1271" s="41" t="s">
        <v>25</v>
      </c>
      <c r="H1271" s="42">
        <v>27.0</v>
      </c>
      <c r="I1271" s="42">
        <v>5.0</v>
      </c>
      <c r="J1271" s="42">
        <v>22.0</v>
      </c>
      <c r="K1271" s="42">
        <v>18.5</v>
      </c>
      <c r="L1271" s="42">
        <v>81.5</v>
      </c>
      <c r="Q1271" s="4"/>
    </row>
    <row r="1272">
      <c r="A1272" s="2"/>
      <c r="B1272" s="43">
        <v>1264.0</v>
      </c>
      <c r="C1272" s="44" t="s">
        <v>32</v>
      </c>
      <c r="D1272" s="53" t="s">
        <v>417</v>
      </c>
      <c r="E1272" s="53" t="s">
        <v>419</v>
      </c>
      <c r="F1272" s="53" t="s">
        <v>421</v>
      </c>
      <c r="G1272" s="44" t="s">
        <v>421</v>
      </c>
      <c r="H1272" s="45">
        <v>278.0</v>
      </c>
      <c r="I1272" s="45">
        <v>25.0</v>
      </c>
      <c r="J1272" s="45">
        <v>253.0</v>
      </c>
      <c r="K1272" s="45">
        <v>9.0</v>
      </c>
      <c r="L1272" s="45">
        <v>91.0</v>
      </c>
      <c r="Q1272" s="4"/>
    </row>
    <row r="1273">
      <c r="A1273" s="2"/>
      <c r="B1273" s="38">
        <v>1265.0</v>
      </c>
      <c r="C1273" s="39" t="s">
        <v>32</v>
      </c>
      <c r="D1273" s="39" t="s">
        <v>417</v>
      </c>
      <c r="E1273" s="39" t="s">
        <v>419</v>
      </c>
      <c r="F1273" s="39" t="s">
        <v>421</v>
      </c>
      <c r="G1273" s="41" t="s">
        <v>23</v>
      </c>
      <c r="H1273" s="42">
        <v>267.0</v>
      </c>
      <c r="I1273" s="42">
        <v>25.0</v>
      </c>
      <c r="J1273" s="42">
        <v>242.0</v>
      </c>
      <c r="K1273" s="42">
        <v>9.4</v>
      </c>
      <c r="L1273" s="42">
        <v>90.6</v>
      </c>
      <c r="Q1273" s="4"/>
    </row>
    <row r="1274">
      <c r="A1274" s="2"/>
      <c r="B1274" s="38">
        <v>1266.0</v>
      </c>
      <c r="C1274" s="39" t="s">
        <v>32</v>
      </c>
      <c r="D1274" s="39" t="s">
        <v>417</v>
      </c>
      <c r="E1274" s="39" t="s">
        <v>419</v>
      </c>
      <c r="F1274" s="39" t="s">
        <v>421</v>
      </c>
      <c r="G1274" s="41" t="s">
        <v>25</v>
      </c>
      <c r="H1274" s="42">
        <v>11.0</v>
      </c>
      <c r="I1274" s="42">
        <v>0.0</v>
      </c>
      <c r="J1274" s="42">
        <v>11.0</v>
      </c>
      <c r="K1274" s="42">
        <v>0.0</v>
      </c>
      <c r="L1274" s="42">
        <v>100.0</v>
      </c>
      <c r="Q1274" s="4"/>
    </row>
    <row r="1275">
      <c r="A1275" s="2"/>
      <c r="B1275" s="34">
        <v>1267.0</v>
      </c>
      <c r="C1275" s="35" t="s">
        <v>30</v>
      </c>
      <c r="D1275" s="49" t="s">
        <v>417</v>
      </c>
      <c r="E1275" s="49" t="s">
        <v>422</v>
      </c>
      <c r="F1275" s="50"/>
      <c r="G1275" s="35" t="s">
        <v>422</v>
      </c>
      <c r="H1275" s="37">
        <v>195.0</v>
      </c>
      <c r="I1275" s="37">
        <v>70.0</v>
      </c>
      <c r="J1275" s="37">
        <v>125.0</v>
      </c>
      <c r="K1275" s="37">
        <v>35.9</v>
      </c>
      <c r="L1275" s="37">
        <v>64.1</v>
      </c>
      <c r="Q1275" s="4"/>
    </row>
    <row r="1276">
      <c r="A1276" s="2"/>
      <c r="B1276" s="38">
        <v>1268.0</v>
      </c>
      <c r="C1276" s="39" t="s">
        <v>30</v>
      </c>
      <c r="D1276" s="39" t="s">
        <v>417</v>
      </c>
      <c r="E1276" s="39" t="s">
        <v>422</v>
      </c>
      <c r="F1276" s="40"/>
      <c r="G1276" s="41" t="s">
        <v>23</v>
      </c>
      <c r="H1276" s="42">
        <v>104.0</v>
      </c>
      <c r="I1276" s="42">
        <v>36.0</v>
      </c>
      <c r="J1276" s="42">
        <v>68.0</v>
      </c>
      <c r="K1276" s="42">
        <v>34.6</v>
      </c>
      <c r="L1276" s="42">
        <v>65.4</v>
      </c>
      <c r="Q1276" s="4"/>
    </row>
    <row r="1277">
      <c r="A1277" s="2"/>
      <c r="B1277" s="38">
        <v>1269.0</v>
      </c>
      <c r="C1277" s="39" t="s">
        <v>30</v>
      </c>
      <c r="D1277" s="39" t="s">
        <v>417</v>
      </c>
      <c r="E1277" s="39" t="s">
        <v>422</v>
      </c>
      <c r="F1277" s="40"/>
      <c r="G1277" s="41" t="s">
        <v>25</v>
      </c>
      <c r="H1277" s="42">
        <v>91.0</v>
      </c>
      <c r="I1277" s="42">
        <v>34.0</v>
      </c>
      <c r="J1277" s="42">
        <v>57.0</v>
      </c>
      <c r="K1277" s="42">
        <v>37.4</v>
      </c>
      <c r="L1277" s="42">
        <v>62.6</v>
      </c>
      <c r="Q1277" s="4"/>
    </row>
    <row r="1278">
      <c r="A1278" s="2"/>
      <c r="B1278" s="43">
        <v>1270.0</v>
      </c>
      <c r="C1278" s="44" t="s">
        <v>32</v>
      </c>
      <c r="D1278" s="53" t="s">
        <v>417</v>
      </c>
      <c r="E1278" s="53" t="s">
        <v>422</v>
      </c>
      <c r="F1278" s="53" t="s">
        <v>423</v>
      </c>
      <c r="G1278" s="44" t="s">
        <v>423</v>
      </c>
      <c r="H1278" s="45">
        <v>50.0</v>
      </c>
      <c r="I1278" s="45">
        <v>8.0</v>
      </c>
      <c r="J1278" s="45">
        <v>42.0</v>
      </c>
      <c r="K1278" s="45">
        <v>16.0</v>
      </c>
      <c r="L1278" s="45">
        <v>84.0</v>
      </c>
      <c r="Q1278" s="4"/>
    </row>
    <row r="1279">
      <c r="A1279" s="2"/>
      <c r="B1279" s="38">
        <v>1271.0</v>
      </c>
      <c r="C1279" s="39" t="s">
        <v>32</v>
      </c>
      <c r="D1279" s="39" t="s">
        <v>417</v>
      </c>
      <c r="E1279" s="39" t="s">
        <v>422</v>
      </c>
      <c r="F1279" s="39" t="s">
        <v>423</v>
      </c>
      <c r="G1279" s="41" t="s">
        <v>23</v>
      </c>
      <c r="H1279" s="42">
        <v>18.0</v>
      </c>
      <c r="I1279" s="42">
        <v>0.0</v>
      </c>
      <c r="J1279" s="42">
        <v>18.0</v>
      </c>
      <c r="K1279" s="42">
        <v>0.0</v>
      </c>
      <c r="L1279" s="42">
        <v>100.0</v>
      </c>
      <c r="Q1279" s="4"/>
    </row>
    <row r="1280">
      <c r="A1280" s="2"/>
      <c r="B1280" s="38">
        <v>1272.0</v>
      </c>
      <c r="C1280" s="39" t="s">
        <v>32</v>
      </c>
      <c r="D1280" s="39" t="s">
        <v>417</v>
      </c>
      <c r="E1280" s="39" t="s">
        <v>422</v>
      </c>
      <c r="F1280" s="39" t="s">
        <v>423</v>
      </c>
      <c r="G1280" s="41" t="s">
        <v>25</v>
      </c>
      <c r="H1280" s="42">
        <v>32.0</v>
      </c>
      <c r="I1280" s="42">
        <v>8.0</v>
      </c>
      <c r="J1280" s="42">
        <v>24.0</v>
      </c>
      <c r="K1280" s="42">
        <v>25.0</v>
      </c>
      <c r="L1280" s="42">
        <v>75.0</v>
      </c>
      <c r="Q1280" s="4"/>
    </row>
    <row r="1281">
      <c r="A1281" s="2"/>
      <c r="B1281" s="43">
        <v>1273.0</v>
      </c>
      <c r="C1281" s="44" t="s">
        <v>32</v>
      </c>
      <c r="D1281" s="53" t="s">
        <v>417</v>
      </c>
      <c r="E1281" s="53" t="s">
        <v>422</v>
      </c>
      <c r="F1281" s="53" t="s">
        <v>424</v>
      </c>
      <c r="G1281" s="44" t="s">
        <v>424</v>
      </c>
      <c r="H1281" s="45">
        <v>100.0</v>
      </c>
      <c r="I1281" s="45">
        <v>55.0</v>
      </c>
      <c r="J1281" s="45">
        <v>45.0</v>
      </c>
      <c r="K1281" s="45">
        <v>55.0</v>
      </c>
      <c r="L1281" s="45">
        <v>45.0</v>
      </c>
      <c r="Q1281" s="4"/>
    </row>
    <row r="1282">
      <c r="A1282" s="2"/>
      <c r="B1282" s="38">
        <v>1274.0</v>
      </c>
      <c r="C1282" s="39" t="s">
        <v>32</v>
      </c>
      <c r="D1282" s="39" t="s">
        <v>417</v>
      </c>
      <c r="E1282" s="39" t="s">
        <v>422</v>
      </c>
      <c r="F1282" s="39" t="s">
        <v>424</v>
      </c>
      <c r="G1282" s="41" t="s">
        <v>23</v>
      </c>
      <c r="H1282" s="42">
        <v>73.0</v>
      </c>
      <c r="I1282" s="42">
        <v>32.0</v>
      </c>
      <c r="J1282" s="42">
        <v>41.0</v>
      </c>
      <c r="K1282" s="42">
        <v>43.8</v>
      </c>
      <c r="L1282" s="42">
        <v>56.2</v>
      </c>
      <c r="Q1282" s="4"/>
    </row>
    <row r="1283">
      <c r="A1283" s="2"/>
      <c r="B1283" s="38">
        <v>1275.0</v>
      </c>
      <c r="C1283" s="39" t="s">
        <v>32</v>
      </c>
      <c r="D1283" s="39" t="s">
        <v>417</v>
      </c>
      <c r="E1283" s="39" t="s">
        <v>422</v>
      </c>
      <c r="F1283" s="39" t="s">
        <v>424</v>
      </c>
      <c r="G1283" s="41" t="s">
        <v>25</v>
      </c>
      <c r="H1283" s="42">
        <v>27.0</v>
      </c>
      <c r="I1283" s="42">
        <v>23.0</v>
      </c>
      <c r="J1283" s="42">
        <v>4.0</v>
      </c>
      <c r="K1283" s="42">
        <v>85.2</v>
      </c>
      <c r="L1283" s="42">
        <v>14.8</v>
      </c>
      <c r="Q1283" s="4"/>
    </row>
    <row r="1284">
      <c r="A1284" s="2"/>
      <c r="B1284" s="43">
        <v>1276.0</v>
      </c>
      <c r="C1284" s="44" t="s">
        <v>32</v>
      </c>
      <c r="D1284" s="53" t="s">
        <v>417</v>
      </c>
      <c r="E1284" s="53" t="s">
        <v>422</v>
      </c>
      <c r="F1284" s="53" t="s">
        <v>372</v>
      </c>
      <c r="G1284" s="44" t="s">
        <v>372</v>
      </c>
      <c r="H1284" s="45">
        <v>13.0</v>
      </c>
      <c r="I1284" s="45">
        <v>3.0</v>
      </c>
      <c r="J1284" s="45">
        <v>10.0</v>
      </c>
      <c r="K1284" s="45">
        <v>23.1</v>
      </c>
      <c r="L1284" s="45">
        <v>76.9</v>
      </c>
      <c r="Q1284" s="4"/>
    </row>
    <row r="1285">
      <c r="A1285" s="2"/>
      <c r="B1285" s="38">
        <v>1277.0</v>
      </c>
      <c r="C1285" s="39" t="s">
        <v>32</v>
      </c>
      <c r="D1285" s="39" t="s">
        <v>417</v>
      </c>
      <c r="E1285" s="39" t="s">
        <v>422</v>
      </c>
      <c r="F1285" s="39" t="s">
        <v>372</v>
      </c>
      <c r="G1285" s="41" t="s">
        <v>23</v>
      </c>
      <c r="H1285" s="42">
        <v>6.0</v>
      </c>
      <c r="I1285" s="42">
        <v>3.0</v>
      </c>
      <c r="J1285" s="42">
        <v>3.0</v>
      </c>
      <c r="K1285" s="42">
        <v>50.0</v>
      </c>
      <c r="L1285" s="42">
        <v>50.0</v>
      </c>
      <c r="Q1285" s="4"/>
    </row>
    <row r="1286">
      <c r="A1286" s="2"/>
      <c r="B1286" s="38">
        <v>1278.0</v>
      </c>
      <c r="C1286" s="39" t="s">
        <v>32</v>
      </c>
      <c r="D1286" s="39" t="s">
        <v>417</v>
      </c>
      <c r="E1286" s="39" t="s">
        <v>422</v>
      </c>
      <c r="F1286" s="39" t="s">
        <v>372</v>
      </c>
      <c r="G1286" s="41" t="s">
        <v>25</v>
      </c>
      <c r="H1286" s="42">
        <v>7.0</v>
      </c>
      <c r="I1286" s="42">
        <v>0.0</v>
      </c>
      <c r="J1286" s="42">
        <v>7.0</v>
      </c>
      <c r="K1286" s="42">
        <v>0.0</v>
      </c>
      <c r="L1286" s="42">
        <v>100.0</v>
      </c>
      <c r="Q1286" s="4"/>
    </row>
    <row r="1287">
      <c r="A1287" s="2"/>
      <c r="B1287" s="43">
        <v>1279.0</v>
      </c>
      <c r="C1287" s="44" t="s">
        <v>32</v>
      </c>
      <c r="D1287" s="53" t="s">
        <v>417</v>
      </c>
      <c r="E1287" s="53" t="s">
        <v>422</v>
      </c>
      <c r="F1287" s="53" t="s">
        <v>425</v>
      </c>
      <c r="G1287" s="44" t="s">
        <v>425</v>
      </c>
      <c r="H1287" s="45">
        <v>32.0</v>
      </c>
      <c r="I1287" s="45">
        <v>4.0</v>
      </c>
      <c r="J1287" s="45">
        <v>28.0</v>
      </c>
      <c r="K1287" s="45">
        <v>12.5</v>
      </c>
      <c r="L1287" s="45">
        <v>87.5</v>
      </c>
      <c r="Q1287" s="4"/>
    </row>
    <row r="1288">
      <c r="A1288" s="2"/>
      <c r="B1288" s="38">
        <v>1280.0</v>
      </c>
      <c r="C1288" s="39" t="s">
        <v>32</v>
      </c>
      <c r="D1288" s="39" t="s">
        <v>417</v>
      </c>
      <c r="E1288" s="39" t="s">
        <v>422</v>
      </c>
      <c r="F1288" s="39" t="s">
        <v>425</v>
      </c>
      <c r="G1288" s="41" t="s">
        <v>23</v>
      </c>
      <c r="H1288" s="42">
        <v>7.0</v>
      </c>
      <c r="I1288" s="42">
        <v>1.0</v>
      </c>
      <c r="J1288" s="42">
        <v>6.0</v>
      </c>
      <c r="K1288" s="42">
        <v>14.3</v>
      </c>
      <c r="L1288" s="42">
        <v>85.7</v>
      </c>
      <c r="Q1288" s="4"/>
    </row>
    <row r="1289">
      <c r="A1289" s="2"/>
      <c r="B1289" s="38">
        <v>1281.0</v>
      </c>
      <c r="C1289" s="39" t="s">
        <v>32</v>
      </c>
      <c r="D1289" s="39" t="s">
        <v>417</v>
      </c>
      <c r="E1289" s="39" t="s">
        <v>422</v>
      </c>
      <c r="F1289" s="39" t="s">
        <v>425</v>
      </c>
      <c r="G1289" s="41" t="s">
        <v>25</v>
      </c>
      <c r="H1289" s="42">
        <v>25.0</v>
      </c>
      <c r="I1289" s="42">
        <v>3.0</v>
      </c>
      <c r="J1289" s="42">
        <v>22.0</v>
      </c>
      <c r="K1289" s="42">
        <v>12.0</v>
      </c>
      <c r="L1289" s="42">
        <v>88.0</v>
      </c>
      <c r="Q1289" s="4"/>
    </row>
    <row r="1290">
      <c r="A1290" s="2"/>
      <c r="B1290" s="34">
        <v>1282.0</v>
      </c>
      <c r="C1290" s="35" t="s">
        <v>30</v>
      </c>
      <c r="D1290" s="49" t="s">
        <v>417</v>
      </c>
      <c r="E1290" s="49" t="s">
        <v>426</v>
      </c>
      <c r="F1290" s="50"/>
      <c r="G1290" s="35" t="s">
        <v>426</v>
      </c>
      <c r="H1290" s="37">
        <v>37.0</v>
      </c>
      <c r="I1290" s="37">
        <v>13.0</v>
      </c>
      <c r="J1290" s="37">
        <v>24.0</v>
      </c>
      <c r="K1290" s="37">
        <v>35.1</v>
      </c>
      <c r="L1290" s="37">
        <v>64.9</v>
      </c>
      <c r="Q1290" s="4"/>
    </row>
    <row r="1291">
      <c r="A1291" s="2"/>
      <c r="B1291" s="38">
        <v>1283.0</v>
      </c>
      <c r="C1291" s="39" t="s">
        <v>30</v>
      </c>
      <c r="D1291" s="39" t="s">
        <v>417</v>
      </c>
      <c r="E1291" s="39" t="s">
        <v>426</v>
      </c>
      <c r="F1291" s="40"/>
      <c r="G1291" s="41" t="s">
        <v>23</v>
      </c>
      <c r="H1291" s="42">
        <v>12.0</v>
      </c>
      <c r="I1291" s="42">
        <v>7.0</v>
      </c>
      <c r="J1291" s="42">
        <v>5.0</v>
      </c>
      <c r="K1291" s="42">
        <v>58.3</v>
      </c>
      <c r="L1291" s="42">
        <v>41.7</v>
      </c>
      <c r="Q1291" s="4"/>
    </row>
    <row r="1292">
      <c r="A1292" s="2"/>
      <c r="B1292" s="38">
        <v>1284.0</v>
      </c>
      <c r="C1292" s="39" t="s">
        <v>30</v>
      </c>
      <c r="D1292" s="39" t="s">
        <v>417</v>
      </c>
      <c r="E1292" s="39" t="s">
        <v>426</v>
      </c>
      <c r="F1292" s="40"/>
      <c r="G1292" s="41" t="s">
        <v>25</v>
      </c>
      <c r="H1292" s="42">
        <v>25.0</v>
      </c>
      <c r="I1292" s="42">
        <v>6.0</v>
      </c>
      <c r="J1292" s="42">
        <v>19.0</v>
      </c>
      <c r="K1292" s="42">
        <v>24.0</v>
      </c>
      <c r="L1292" s="42">
        <v>76.0</v>
      </c>
      <c r="Q1292" s="4"/>
    </row>
    <row r="1293">
      <c r="A1293" s="2"/>
      <c r="B1293" s="43">
        <v>1285.0</v>
      </c>
      <c r="C1293" s="44" t="s">
        <v>32</v>
      </c>
      <c r="D1293" s="53" t="s">
        <v>417</v>
      </c>
      <c r="E1293" s="53" t="s">
        <v>426</v>
      </c>
      <c r="F1293" s="53" t="s">
        <v>427</v>
      </c>
      <c r="G1293" s="44" t="s">
        <v>427</v>
      </c>
      <c r="H1293" s="45">
        <v>15.0</v>
      </c>
      <c r="I1293" s="45">
        <v>7.0</v>
      </c>
      <c r="J1293" s="45">
        <v>8.0</v>
      </c>
      <c r="K1293" s="45">
        <v>46.7</v>
      </c>
      <c r="L1293" s="45">
        <v>53.3</v>
      </c>
      <c r="Q1293" s="4"/>
    </row>
    <row r="1294">
      <c r="A1294" s="2"/>
      <c r="B1294" s="38">
        <v>1286.0</v>
      </c>
      <c r="C1294" s="39" t="s">
        <v>32</v>
      </c>
      <c r="D1294" s="39" t="s">
        <v>417</v>
      </c>
      <c r="E1294" s="39" t="s">
        <v>426</v>
      </c>
      <c r="F1294" s="39" t="s">
        <v>427</v>
      </c>
      <c r="G1294" s="41" t="s">
        <v>23</v>
      </c>
      <c r="H1294" s="42">
        <v>10.0</v>
      </c>
      <c r="I1294" s="42">
        <v>7.0</v>
      </c>
      <c r="J1294" s="42">
        <v>3.0</v>
      </c>
      <c r="K1294" s="42">
        <v>70.0</v>
      </c>
      <c r="L1294" s="42">
        <v>30.0</v>
      </c>
      <c r="Q1294" s="4"/>
    </row>
    <row r="1295">
      <c r="A1295" s="2"/>
      <c r="B1295" s="38">
        <v>1287.0</v>
      </c>
      <c r="C1295" s="39" t="s">
        <v>32</v>
      </c>
      <c r="D1295" s="39" t="s">
        <v>417</v>
      </c>
      <c r="E1295" s="39" t="s">
        <v>426</v>
      </c>
      <c r="F1295" s="39" t="s">
        <v>427</v>
      </c>
      <c r="G1295" s="41" t="s">
        <v>25</v>
      </c>
      <c r="H1295" s="42">
        <v>5.0</v>
      </c>
      <c r="I1295" s="42">
        <v>0.0</v>
      </c>
      <c r="J1295" s="42">
        <v>5.0</v>
      </c>
      <c r="K1295" s="42">
        <v>0.0</v>
      </c>
      <c r="L1295" s="42">
        <v>100.0</v>
      </c>
      <c r="Q1295" s="4"/>
    </row>
    <row r="1296">
      <c r="A1296" s="2"/>
      <c r="B1296" s="43">
        <v>1288.0</v>
      </c>
      <c r="C1296" s="44" t="s">
        <v>32</v>
      </c>
      <c r="D1296" s="53" t="s">
        <v>417</v>
      </c>
      <c r="E1296" s="53" t="s">
        <v>426</v>
      </c>
      <c r="F1296" s="53" t="s">
        <v>428</v>
      </c>
      <c r="G1296" s="44" t="s">
        <v>428</v>
      </c>
      <c r="H1296" s="45">
        <v>22.0</v>
      </c>
      <c r="I1296" s="45">
        <v>6.0</v>
      </c>
      <c r="J1296" s="45">
        <v>16.0</v>
      </c>
      <c r="K1296" s="45">
        <v>27.3</v>
      </c>
      <c r="L1296" s="45">
        <v>72.7</v>
      </c>
      <c r="Q1296" s="4"/>
    </row>
    <row r="1297">
      <c r="A1297" s="2"/>
      <c r="B1297" s="38">
        <v>1289.0</v>
      </c>
      <c r="C1297" s="39" t="s">
        <v>32</v>
      </c>
      <c r="D1297" s="39" t="s">
        <v>417</v>
      </c>
      <c r="E1297" s="39" t="s">
        <v>426</v>
      </c>
      <c r="F1297" s="39" t="s">
        <v>428</v>
      </c>
      <c r="G1297" s="41" t="s">
        <v>23</v>
      </c>
      <c r="H1297" s="42">
        <v>2.0</v>
      </c>
      <c r="I1297" s="42">
        <v>0.0</v>
      </c>
      <c r="J1297" s="42">
        <v>2.0</v>
      </c>
      <c r="K1297" s="42">
        <v>0.0</v>
      </c>
      <c r="L1297" s="42">
        <v>100.0</v>
      </c>
      <c r="Q1297" s="4"/>
    </row>
    <row r="1298">
      <c r="A1298" s="2"/>
      <c r="B1298" s="38">
        <v>1290.0</v>
      </c>
      <c r="C1298" s="39" t="s">
        <v>32</v>
      </c>
      <c r="D1298" s="39" t="s">
        <v>417</v>
      </c>
      <c r="E1298" s="39" t="s">
        <v>426</v>
      </c>
      <c r="F1298" s="39" t="s">
        <v>428</v>
      </c>
      <c r="G1298" s="41" t="s">
        <v>25</v>
      </c>
      <c r="H1298" s="42">
        <v>20.0</v>
      </c>
      <c r="I1298" s="42">
        <v>6.0</v>
      </c>
      <c r="J1298" s="42">
        <v>14.0</v>
      </c>
      <c r="K1298" s="42">
        <v>30.0</v>
      </c>
      <c r="L1298" s="42">
        <v>70.0</v>
      </c>
      <c r="Q1298" s="4"/>
    </row>
    <row r="1299">
      <c r="A1299" s="2"/>
      <c r="B1299" s="34">
        <v>1291.0</v>
      </c>
      <c r="C1299" s="35" t="s">
        <v>30</v>
      </c>
      <c r="D1299" s="49" t="s">
        <v>417</v>
      </c>
      <c r="E1299" s="49" t="s">
        <v>429</v>
      </c>
      <c r="F1299" s="50"/>
      <c r="G1299" s="35" t="s">
        <v>429</v>
      </c>
      <c r="H1299" s="37">
        <v>125.0</v>
      </c>
      <c r="I1299" s="37">
        <v>0.0</v>
      </c>
      <c r="J1299" s="37">
        <v>125.0</v>
      </c>
      <c r="K1299" s="37">
        <v>0.0</v>
      </c>
      <c r="L1299" s="37">
        <v>100.0</v>
      </c>
      <c r="Q1299" s="4"/>
    </row>
    <row r="1300">
      <c r="A1300" s="2"/>
      <c r="B1300" s="38">
        <v>1292.0</v>
      </c>
      <c r="C1300" s="39" t="s">
        <v>30</v>
      </c>
      <c r="D1300" s="39" t="s">
        <v>417</v>
      </c>
      <c r="E1300" s="39" t="s">
        <v>429</v>
      </c>
      <c r="F1300" s="40"/>
      <c r="G1300" s="41" t="s">
        <v>23</v>
      </c>
      <c r="H1300" s="42">
        <v>1.0</v>
      </c>
      <c r="I1300" s="42">
        <v>0.0</v>
      </c>
      <c r="J1300" s="42">
        <v>1.0</v>
      </c>
      <c r="K1300" s="42">
        <v>0.0</v>
      </c>
      <c r="L1300" s="42">
        <v>100.0</v>
      </c>
      <c r="Q1300" s="4"/>
    </row>
    <row r="1301">
      <c r="A1301" s="2"/>
      <c r="B1301" s="38">
        <v>1293.0</v>
      </c>
      <c r="C1301" s="39" t="s">
        <v>30</v>
      </c>
      <c r="D1301" s="39" t="s">
        <v>417</v>
      </c>
      <c r="E1301" s="39" t="s">
        <v>429</v>
      </c>
      <c r="F1301" s="40"/>
      <c r="G1301" s="41" t="s">
        <v>25</v>
      </c>
      <c r="H1301" s="42">
        <v>124.0</v>
      </c>
      <c r="I1301" s="42">
        <v>0.0</v>
      </c>
      <c r="J1301" s="42">
        <v>124.0</v>
      </c>
      <c r="K1301" s="42">
        <v>0.0</v>
      </c>
      <c r="L1301" s="42">
        <v>100.0</v>
      </c>
      <c r="Q1301" s="4"/>
    </row>
    <row r="1302">
      <c r="A1302" s="2"/>
      <c r="B1302" s="43">
        <v>1294.0</v>
      </c>
      <c r="C1302" s="44" t="s">
        <v>32</v>
      </c>
      <c r="D1302" s="53" t="s">
        <v>417</v>
      </c>
      <c r="E1302" s="53" t="s">
        <v>429</v>
      </c>
      <c r="F1302" s="53" t="s">
        <v>358</v>
      </c>
      <c r="G1302" s="44" t="s">
        <v>358</v>
      </c>
      <c r="H1302" s="45">
        <v>125.0</v>
      </c>
      <c r="I1302" s="45">
        <v>0.0</v>
      </c>
      <c r="J1302" s="45">
        <v>125.0</v>
      </c>
      <c r="K1302" s="45">
        <v>0.0</v>
      </c>
      <c r="L1302" s="45">
        <v>100.0</v>
      </c>
      <c r="Q1302" s="4"/>
    </row>
    <row r="1303">
      <c r="A1303" s="2"/>
      <c r="B1303" s="38">
        <v>1295.0</v>
      </c>
      <c r="C1303" s="39" t="s">
        <v>32</v>
      </c>
      <c r="D1303" s="39" t="s">
        <v>417</v>
      </c>
      <c r="E1303" s="39" t="s">
        <v>429</v>
      </c>
      <c r="F1303" s="39" t="s">
        <v>358</v>
      </c>
      <c r="G1303" s="41" t="s">
        <v>23</v>
      </c>
      <c r="H1303" s="42">
        <v>1.0</v>
      </c>
      <c r="I1303" s="42">
        <v>0.0</v>
      </c>
      <c r="J1303" s="42">
        <v>1.0</v>
      </c>
      <c r="K1303" s="42">
        <v>0.0</v>
      </c>
      <c r="L1303" s="42">
        <v>100.0</v>
      </c>
      <c r="Q1303" s="4"/>
    </row>
    <row r="1304">
      <c r="A1304" s="2"/>
      <c r="B1304" s="38">
        <v>1296.0</v>
      </c>
      <c r="C1304" s="39" t="s">
        <v>32</v>
      </c>
      <c r="D1304" s="39" t="s">
        <v>417</v>
      </c>
      <c r="E1304" s="39" t="s">
        <v>429</v>
      </c>
      <c r="F1304" s="39" t="s">
        <v>358</v>
      </c>
      <c r="G1304" s="41" t="s">
        <v>25</v>
      </c>
      <c r="H1304" s="42">
        <v>124.0</v>
      </c>
      <c r="I1304" s="42">
        <v>0.0</v>
      </c>
      <c r="J1304" s="42">
        <v>124.0</v>
      </c>
      <c r="K1304" s="42">
        <v>0.0</v>
      </c>
      <c r="L1304" s="42">
        <v>100.0</v>
      </c>
      <c r="Q1304" s="4"/>
    </row>
    <row r="1305">
      <c r="A1305" s="2"/>
      <c r="B1305" s="34">
        <v>1297.0</v>
      </c>
      <c r="C1305" s="35" t="s">
        <v>30</v>
      </c>
      <c r="D1305" s="49" t="s">
        <v>417</v>
      </c>
      <c r="E1305" s="49" t="s">
        <v>430</v>
      </c>
      <c r="F1305" s="50"/>
      <c r="G1305" s="35" t="s">
        <v>430</v>
      </c>
      <c r="H1305" s="37">
        <v>113.0</v>
      </c>
      <c r="I1305" s="37">
        <v>15.0</v>
      </c>
      <c r="J1305" s="37">
        <v>98.0</v>
      </c>
      <c r="K1305" s="37">
        <v>13.3</v>
      </c>
      <c r="L1305" s="37">
        <v>86.7</v>
      </c>
      <c r="Q1305" s="4"/>
    </row>
    <row r="1306">
      <c r="A1306" s="2"/>
      <c r="B1306" s="38">
        <v>1298.0</v>
      </c>
      <c r="C1306" s="39" t="s">
        <v>30</v>
      </c>
      <c r="D1306" s="39" t="s">
        <v>417</v>
      </c>
      <c r="E1306" s="39" t="s">
        <v>430</v>
      </c>
      <c r="F1306" s="40"/>
      <c r="G1306" s="41" t="s">
        <v>23</v>
      </c>
      <c r="H1306" s="42">
        <v>46.0</v>
      </c>
      <c r="I1306" s="42">
        <v>9.0</v>
      </c>
      <c r="J1306" s="42">
        <v>37.0</v>
      </c>
      <c r="K1306" s="42">
        <v>19.6</v>
      </c>
      <c r="L1306" s="42">
        <v>80.4</v>
      </c>
      <c r="Q1306" s="4"/>
    </row>
    <row r="1307">
      <c r="A1307" s="2"/>
      <c r="B1307" s="38">
        <v>1299.0</v>
      </c>
      <c r="C1307" s="39" t="s">
        <v>30</v>
      </c>
      <c r="D1307" s="39" t="s">
        <v>417</v>
      </c>
      <c r="E1307" s="39" t="s">
        <v>430</v>
      </c>
      <c r="F1307" s="40"/>
      <c r="G1307" s="41" t="s">
        <v>25</v>
      </c>
      <c r="H1307" s="42">
        <v>67.0</v>
      </c>
      <c r="I1307" s="42">
        <v>6.0</v>
      </c>
      <c r="J1307" s="42">
        <v>61.0</v>
      </c>
      <c r="K1307" s="42">
        <v>9.0</v>
      </c>
      <c r="L1307" s="42">
        <v>91.0</v>
      </c>
      <c r="Q1307" s="4"/>
    </row>
    <row r="1308">
      <c r="A1308" s="2"/>
      <c r="B1308" s="43">
        <v>1300.0</v>
      </c>
      <c r="C1308" s="44" t="s">
        <v>32</v>
      </c>
      <c r="D1308" s="53" t="s">
        <v>417</v>
      </c>
      <c r="E1308" s="53" t="s">
        <v>430</v>
      </c>
      <c r="F1308" s="53" t="s">
        <v>431</v>
      </c>
      <c r="G1308" s="44" t="s">
        <v>431</v>
      </c>
      <c r="H1308" s="45">
        <v>0.0</v>
      </c>
      <c r="I1308" s="45">
        <v>0.0</v>
      </c>
      <c r="J1308" s="45">
        <v>0.0</v>
      </c>
      <c r="K1308" s="45">
        <v>0.0</v>
      </c>
      <c r="L1308" s="45">
        <v>0.0</v>
      </c>
      <c r="Q1308" s="4"/>
    </row>
    <row r="1309">
      <c r="A1309" s="2"/>
      <c r="B1309" s="38">
        <v>1301.0</v>
      </c>
      <c r="C1309" s="39" t="s">
        <v>32</v>
      </c>
      <c r="D1309" s="39" t="s">
        <v>417</v>
      </c>
      <c r="E1309" s="39" t="s">
        <v>430</v>
      </c>
      <c r="F1309" s="39" t="s">
        <v>431</v>
      </c>
      <c r="G1309" s="41" t="s">
        <v>23</v>
      </c>
      <c r="H1309" s="46"/>
      <c r="I1309" s="46"/>
      <c r="J1309" s="46"/>
      <c r="K1309" s="46"/>
      <c r="L1309" s="46"/>
      <c r="Q1309" s="4"/>
    </row>
    <row r="1310">
      <c r="A1310" s="2"/>
      <c r="B1310" s="38">
        <v>1302.0</v>
      </c>
      <c r="C1310" s="39" t="s">
        <v>32</v>
      </c>
      <c r="D1310" s="39" t="s">
        <v>417</v>
      </c>
      <c r="E1310" s="39" t="s">
        <v>430</v>
      </c>
      <c r="F1310" s="39" t="s">
        <v>431</v>
      </c>
      <c r="G1310" s="41" t="s">
        <v>25</v>
      </c>
      <c r="H1310" s="42">
        <v>0.0</v>
      </c>
      <c r="I1310" s="42">
        <v>0.0</v>
      </c>
      <c r="J1310" s="42">
        <v>0.0</v>
      </c>
      <c r="K1310" s="42">
        <v>0.0</v>
      </c>
      <c r="L1310" s="42">
        <v>0.0</v>
      </c>
      <c r="Q1310" s="4"/>
    </row>
    <row r="1311">
      <c r="A1311" s="2"/>
      <c r="B1311" s="43">
        <v>1303.0</v>
      </c>
      <c r="C1311" s="44" t="s">
        <v>32</v>
      </c>
      <c r="D1311" s="53" t="s">
        <v>417</v>
      </c>
      <c r="E1311" s="53" t="s">
        <v>430</v>
      </c>
      <c r="F1311" s="53" t="s">
        <v>432</v>
      </c>
      <c r="G1311" s="44" t="s">
        <v>432</v>
      </c>
      <c r="H1311" s="45">
        <v>113.0</v>
      </c>
      <c r="I1311" s="45">
        <v>15.0</v>
      </c>
      <c r="J1311" s="45">
        <v>98.0</v>
      </c>
      <c r="K1311" s="45">
        <v>13.3</v>
      </c>
      <c r="L1311" s="45">
        <v>86.7</v>
      </c>
      <c r="Q1311" s="4"/>
    </row>
    <row r="1312">
      <c r="A1312" s="2"/>
      <c r="B1312" s="38">
        <v>1304.0</v>
      </c>
      <c r="C1312" s="39" t="s">
        <v>32</v>
      </c>
      <c r="D1312" s="39" t="s">
        <v>417</v>
      </c>
      <c r="E1312" s="39" t="s">
        <v>430</v>
      </c>
      <c r="F1312" s="39" t="s">
        <v>432</v>
      </c>
      <c r="G1312" s="41" t="s">
        <v>23</v>
      </c>
      <c r="H1312" s="42">
        <v>46.0</v>
      </c>
      <c r="I1312" s="42">
        <v>9.0</v>
      </c>
      <c r="J1312" s="42">
        <v>37.0</v>
      </c>
      <c r="K1312" s="42">
        <v>19.6</v>
      </c>
      <c r="L1312" s="42">
        <v>80.4</v>
      </c>
      <c r="Q1312" s="4"/>
    </row>
    <row r="1313">
      <c r="A1313" s="2"/>
      <c r="B1313" s="38">
        <v>1305.0</v>
      </c>
      <c r="C1313" s="39" t="s">
        <v>32</v>
      </c>
      <c r="D1313" s="39" t="s">
        <v>417</v>
      </c>
      <c r="E1313" s="39" t="s">
        <v>430</v>
      </c>
      <c r="F1313" s="39" t="s">
        <v>432</v>
      </c>
      <c r="G1313" s="41" t="s">
        <v>25</v>
      </c>
      <c r="H1313" s="42">
        <v>67.0</v>
      </c>
      <c r="I1313" s="42">
        <v>6.0</v>
      </c>
      <c r="J1313" s="42">
        <v>61.0</v>
      </c>
      <c r="K1313" s="42">
        <v>9.0</v>
      </c>
      <c r="L1313" s="42">
        <v>91.0</v>
      </c>
      <c r="Q1313" s="4"/>
    </row>
    <row r="1314">
      <c r="A1314" s="2"/>
      <c r="B1314" s="34">
        <v>1306.0</v>
      </c>
      <c r="C1314" s="35" t="s">
        <v>30</v>
      </c>
      <c r="D1314" s="49" t="s">
        <v>417</v>
      </c>
      <c r="E1314" s="49" t="s">
        <v>433</v>
      </c>
      <c r="F1314" s="50"/>
      <c r="G1314" s="35" t="s">
        <v>433</v>
      </c>
      <c r="H1314" s="37">
        <v>24.0</v>
      </c>
      <c r="I1314" s="37">
        <v>5.0</v>
      </c>
      <c r="J1314" s="37">
        <v>19.0</v>
      </c>
      <c r="K1314" s="37">
        <v>20.8</v>
      </c>
      <c r="L1314" s="37">
        <v>79.2</v>
      </c>
      <c r="Q1314" s="4"/>
    </row>
    <row r="1315">
      <c r="A1315" s="2"/>
      <c r="B1315" s="38">
        <v>1307.0</v>
      </c>
      <c r="C1315" s="39" t="s">
        <v>30</v>
      </c>
      <c r="D1315" s="39" t="s">
        <v>417</v>
      </c>
      <c r="E1315" s="39" t="s">
        <v>433</v>
      </c>
      <c r="F1315" s="40"/>
      <c r="G1315" s="41" t="s">
        <v>23</v>
      </c>
      <c r="H1315" s="42">
        <v>18.0</v>
      </c>
      <c r="I1315" s="42">
        <v>2.0</v>
      </c>
      <c r="J1315" s="42">
        <v>16.0</v>
      </c>
      <c r="K1315" s="42">
        <v>11.1</v>
      </c>
      <c r="L1315" s="42">
        <v>88.9</v>
      </c>
      <c r="Q1315" s="4"/>
    </row>
    <row r="1316">
      <c r="A1316" s="2"/>
      <c r="B1316" s="38">
        <v>1308.0</v>
      </c>
      <c r="C1316" s="39" t="s">
        <v>30</v>
      </c>
      <c r="D1316" s="39" t="s">
        <v>417</v>
      </c>
      <c r="E1316" s="39" t="s">
        <v>433</v>
      </c>
      <c r="F1316" s="40"/>
      <c r="G1316" s="41" t="s">
        <v>25</v>
      </c>
      <c r="H1316" s="42">
        <v>6.0</v>
      </c>
      <c r="I1316" s="42">
        <v>3.0</v>
      </c>
      <c r="J1316" s="42">
        <v>3.0</v>
      </c>
      <c r="K1316" s="42">
        <v>50.0</v>
      </c>
      <c r="L1316" s="42">
        <v>50.0</v>
      </c>
      <c r="Q1316" s="4"/>
    </row>
    <row r="1317">
      <c r="A1317" s="2"/>
      <c r="B1317" s="43">
        <v>1309.0</v>
      </c>
      <c r="C1317" s="44" t="s">
        <v>32</v>
      </c>
      <c r="D1317" s="53" t="s">
        <v>417</v>
      </c>
      <c r="E1317" s="53" t="s">
        <v>433</v>
      </c>
      <c r="F1317" s="53" t="s">
        <v>434</v>
      </c>
      <c r="G1317" s="44" t="s">
        <v>434</v>
      </c>
      <c r="H1317" s="45">
        <v>7.0</v>
      </c>
      <c r="I1317" s="45">
        <v>0.0</v>
      </c>
      <c r="J1317" s="45">
        <v>7.0</v>
      </c>
      <c r="K1317" s="45">
        <v>0.0</v>
      </c>
      <c r="L1317" s="45">
        <v>100.0</v>
      </c>
      <c r="Q1317" s="4"/>
    </row>
    <row r="1318">
      <c r="A1318" s="2"/>
      <c r="B1318" s="38">
        <v>1310.0</v>
      </c>
      <c r="C1318" s="39" t="s">
        <v>32</v>
      </c>
      <c r="D1318" s="39" t="s">
        <v>417</v>
      </c>
      <c r="E1318" s="39" t="s">
        <v>433</v>
      </c>
      <c r="F1318" s="39" t="s">
        <v>434</v>
      </c>
      <c r="G1318" s="41" t="s">
        <v>23</v>
      </c>
      <c r="H1318" s="42">
        <v>5.0</v>
      </c>
      <c r="I1318" s="42">
        <v>0.0</v>
      </c>
      <c r="J1318" s="42">
        <v>5.0</v>
      </c>
      <c r="K1318" s="42">
        <v>0.0</v>
      </c>
      <c r="L1318" s="42">
        <v>100.0</v>
      </c>
      <c r="Q1318" s="4"/>
    </row>
    <row r="1319">
      <c r="A1319" s="2"/>
      <c r="B1319" s="38">
        <v>1311.0</v>
      </c>
      <c r="C1319" s="39" t="s">
        <v>32</v>
      </c>
      <c r="D1319" s="39" t="s">
        <v>417</v>
      </c>
      <c r="E1319" s="39" t="s">
        <v>433</v>
      </c>
      <c r="F1319" s="39" t="s">
        <v>434</v>
      </c>
      <c r="G1319" s="41" t="s">
        <v>25</v>
      </c>
      <c r="H1319" s="42">
        <v>2.0</v>
      </c>
      <c r="I1319" s="42">
        <v>0.0</v>
      </c>
      <c r="J1319" s="42">
        <v>2.0</v>
      </c>
      <c r="K1319" s="42">
        <v>0.0</v>
      </c>
      <c r="L1319" s="42">
        <v>100.0</v>
      </c>
      <c r="Q1319" s="4"/>
    </row>
    <row r="1320">
      <c r="A1320" s="2"/>
      <c r="B1320" s="43">
        <v>1312.0</v>
      </c>
      <c r="C1320" s="44" t="s">
        <v>32</v>
      </c>
      <c r="D1320" s="53" t="s">
        <v>417</v>
      </c>
      <c r="E1320" s="53" t="s">
        <v>433</v>
      </c>
      <c r="F1320" s="53" t="s">
        <v>403</v>
      </c>
      <c r="G1320" s="44" t="s">
        <v>403</v>
      </c>
      <c r="H1320" s="45">
        <v>14.0</v>
      </c>
      <c r="I1320" s="45">
        <v>3.0</v>
      </c>
      <c r="J1320" s="45">
        <v>11.0</v>
      </c>
      <c r="K1320" s="45">
        <v>21.4</v>
      </c>
      <c r="L1320" s="45">
        <v>78.6</v>
      </c>
      <c r="Q1320" s="4"/>
    </row>
    <row r="1321">
      <c r="A1321" s="2"/>
      <c r="B1321" s="38">
        <v>1313.0</v>
      </c>
      <c r="C1321" s="39" t="s">
        <v>32</v>
      </c>
      <c r="D1321" s="39" t="s">
        <v>417</v>
      </c>
      <c r="E1321" s="39" t="s">
        <v>433</v>
      </c>
      <c r="F1321" s="39" t="s">
        <v>403</v>
      </c>
      <c r="G1321" s="41" t="s">
        <v>23</v>
      </c>
      <c r="H1321" s="42">
        <v>13.0</v>
      </c>
      <c r="I1321" s="42">
        <v>2.0</v>
      </c>
      <c r="J1321" s="42">
        <v>11.0</v>
      </c>
      <c r="K1321" s="42">
        <v>15.4</v>
      </c>
      <c r="L1321" s="42">
        <v>84.6</v>
      </c>
      <c r="Q1321" s="4"/>
    </row>
    <row r="1322">
      <c r="A1322" s="2"/>
      <c r="B1322" s="38">
        <v>1314.0</v>
      </c>
      <c r="C1322" s="39" t="s">
        <v>32</v>
      </c>
      <c r="D1322" s="39" t="s">
        <v>417</v>
      </c>
      <c r="E1322" s="39" t="s">
        <v>433</v>
      </c>
      <c r="F1322" s="39" t="s">
        <v>403</v>
      </c>
      <c r="G1322" s="41" t="s">
        <v>25</v>
      </c>
      <c r="H1322" s="42">
        <v>1.0</v>
      </c>
      <c r="I1322" s="42">
        <v>1.0</v>
      </c>
      <c r="J1322" s="42">
        <v>0.0</v>
      </c>
      <c r="K1322" s="42">
        <v>100.0</v>
      </c>
      <c r="L1322" s="42">
        <v>0.0</v>
      </c>
      <c r="Q1322" s="4"/>
    </row>
    <row r="1323">
      <c r="A1323" s="2"/>
      <c r="B1323" s="43">
        <v>1315.0</v>
      </c>
      <c r="C1323" s="44" t="s">
        <v>32</v>
      </c>
      <c r="D1323" s="53" t="s">
        <v>417</v>
      </c>
      <c r="E1323" s="53" t="s">
        <v>433</v>
      </c>
      <c r="F1323" s="53" t="s">
        <v>435</v>
      </c>
      <c r="G1323" s="44" t="s">
        <v>435</v>
      </c>
      <c r="H1323" s="45">
        <v>3.0</v>
      </c>
      <c r="I1323" s="45">
        <v>2.0</v>
      </c>
      <c r="J1323" s="45">
        <v>1.0</v>
      </c>
      <c r="K1323" s="45">
        <v>66.7</v>
      </c>
      <c r="L1323" s="45">
        <v>33.3</v>
      </c>
      <c r="Q1323" s="4"/>
    </row>
    <row r="1324">
      <c r="A1324" s="2"/>
      <c r="B1324" s="38">
        <v>1316.0</v>
      </c>
      <c r="C1324" s="39" t="s">
        <v>32</v>
      </c>
      <c r="D1324" s="39" t="s">
        <v>417</v>
      </c>
      <c r="E1324" s="39" t="s">
        <v>433</v>
      </c>
      <c r="F1324" s="39" t="s">
        <v>435</v>
      </c>
      <c r="G1324" s="41" t="s">
        <v>23</v>
      </c>
      <c r="H1324" s="46"/>
      <c r="I1324" s="46"/>
      <c r="J1324" s="46"/>
      <c r="K1324" s="46"/>
      <c r="L1324" s="46"/>
      <c r="Q1324" s="4"/>
    </row>
    <row r="1325">
      <c r="A1325" s="2"/>
      <c r="B1325" s="38">
        <v>1317.0</v>
      </c>
      <c r="C1325" s="39" t="s">
        <v>32</v>
      </c>
      <c r="D1325" s="39" t="s">
        <v>417</v>
      </c>
      <c r="E1325" s="39" t="s">
        <v>433</v>
      </c>
      <c r="F1325" s="39" t="s">
        <v>435</v>
      </c>
      <c r="G1325" s="41" t="s">
        <v>25</v>
      </c>
      <c r="H1325" s="42">
        <v>3.0</v>
      </c>
      <c r="I1325" s="42">
        <v>2.0</v>
      </c>
      <c r="J1325" s="42">
        <v>1.0</v>
      </c>
      <c r="K1325" s="42">
        <v>66.7</v>
      </c>
      <c r="L1325" s="42">
        <v>33.3</v>
      </c>
      <c r="Q1325" s="4"/>
    </row>
    <row r="1326">
      <c r="A1326" s="2"/>
      <c r="B1326" s="34">
        <v>1318.0</v>
      </c>
      <c r="C1326" s="35" t="s">
        <v>30</v>
      </c>
      <c r="D1326" s="49" t="s">
        <v>417</v>
      </c>
      <c r="E1326" s="49" t="s">
        <v>436</v>
      </c>
      <c r="F1326" s="50"/>
      <c r="G1326" s="35" t="s">
        <v>436</v>
      </c>
      <c r="H1326" s="37">
        <v>41.0</v>
      </c>
      <c r="I1326" s="37">
        <v>5.0</v>
      </c>
      <c r="J1326" s="37">
        <v>36.0</v>
      </c>
      <c r="K1326" s="37">
        <v>12.2</v>
      </c>
      <c r="L1326" s="37">
        <v>87.8</v>
      </c>
      <c r="Q1326" s="4"/>
    </row>
    <row r="1327">
      <c r="A1327" s="2"/>
      <c r="B1327" s="38">
        <v>1319.0</v>
      </c>
      <c r="C1327" s="39" t="s">
        <v>30</v>
      </c>
      <c r="D1327" s="39" t="s">
        <v>417</v>
      </c>
      <c r="E1327" s="39" t="s">
        <v>436</v>
      </c>
      <c r="F1327" s="40"/>
      <c r="G1327" s="41" t="s">
        <v>23</v>
      </c>
      <c r="H1327" s="42">
        <v>18.0</v>
      </c>
      <c r="I1327" s="42">
        <v>4.0</v>
      </c>
      <c r="J1327" s="42">
        <v>14.0</v>
      </c>
      <c r="K1327" s="42">
        <v>22.2</v>
      </c>
      <c r="L1327" s="42">
        <v>77.8</v>
      </c>
      <c r="Q1327" s="4"/>
    </row>
    <row r="1328">
      <c r="A1328" s="2"/>
      <c r="B1328" s="38">
        <v>1320.0</v>
      </c>
      <c r="C1328" s="39" t="s">
        <v>30</v>
      </c>
      <c r="D1328" s="39" t="s">
        <v>417</v>
      </c>
      <c r="E1328" s="39" t="s">
        <v>436</v>
      </c>
      <c r="F1328" s="40"/>
      <c r="G1328" s="41" t="s">
        <v>25</v>
      </c>
      <c r="H1328" s="42">
        <v>23.0</v>
      </c>
      <c r="I1328" s="42">
        <v>1.0</v>
      </c>
      <c r="J1328" s="42">
        <v>22.0</v>
      </c>
      <c r="K1328" s="42">
        <v>4.3</v>
      </c>
      <c r="L1328" s="42">
        <v>95.7</v>
      </c>
      <c r="Q1328" s="4"/>
    </row>
    <row r="1329">
      <c r="A1329" s="2"/>
      <c r="B1329" s="43">
        <v>1321.0</v>
      </c>
      <c r="C1329" s="44" t="s">
        <v>32</v>
      </c>
      <c r="D1329" s="53" t="s">
        <v>417</v>
      </c>
      <c r="E1329" s="53" t="s">
        <v>436</v>
      </c>
      <c r="F1329" s="53" t="s">
        <v>437</v>
      </c>
      <c r="G1329" s="44" t="s">
        <v>437</v>
      </c>
      <c r="H1329" s="45">
        <v>10.0</v>
      </c>
      <c r="I1329" s="45">
        <v>3.0</v>
      </c>
      <c r="J1329" s="45">
        <v>7.0</v>
      </c>
      <c r="K1329" s="45">
        <v>30.0</v>
      </c>
      <c r="L1329" s="45">
        <v>70.0</v>
      </c>
      <c r="Q1329" s="4"/>
    </row>
    <row r="1330">
      <c r="A1330" s="2"/>
      <c r="B1330" s="38">
        <v>1322.0</v>
      </c>
      <c r="C1330" s="39" t="s">
        <v>32</v>
      </c>
      <c r="D1330" s="39" t="s">
        <v>417</v>
      </c>
      <c r="E1330" s="39" t="s">
        <v>436</v>
      </c>
      <c r="F1330" s="39" t="s">
        <v>437</v>
      </c>
      <c r="G1330" s="41" t="s">
        <v>23</v>
      </c>
      <c r="H1330" s="42">
        <v>7.0</v>
      </c>
      <c r="I1330" s="42">
        <v>2.0</v>
      </c>
      <c r="J1330" s="42">
        <v>5.0</v>
      </c>
      <c r="K1330" s="42">
        <v>28.6</v>
      </c>
      <c r="L1330" s="42">
        <v>71.4</v>
      </c>
      <c r="Q1330" s="4"/>
    </row>
    <row r="1331">
      <c r="A1331" s="2"/>
      <c r="B1331" s="38">
        <v>1323.0</v>
      </c>
      <c r="C1331" s="39" t="s">
        <v>32</v>
      </c>
      <c r="D1331" s="39" t="s">
        <v>417</v>
      </c>
      <c r="E1331" s="39" t="s">
        <v>436</v>
      </c>
      <c r="F1331" s="39" t="s">
        <v>437</v>
      </c>
      <c r="G1331" s="41" t="s">
        <v>25</v>
      </c>
      <c r="H1331" s="42">
        <v>3.0</v>
      </c>
      <c r="I1331" s="42">
        <v>1.0</v>
      </c>
      <c r="J1331" s="42">
        <v>2.0</v>
      </c>
      <c r="K1331" s="42">
        <v>33.3</v>
      </c>
      <c r="L1331" s="42">
        <v>66.7</v>
      </c>
      <c r="Q1331" s="4"/>
    </row>
    <row r="1332">
      <c r="A1332" s="2"/>
      <c r="B1332" s="43">
        <v>1324.0</v>
      </c>
      <c r="C1332" s="44" t="s">
        <v>32</v>
      </c>
      <c r="D1332" s="53" t="s">
        <v>417</v>
      </c>
      <c r="E1332" s="53" t="s">
        <v>436</v>
      </c>
      <c r="F1332" s="53" t="s">
        <v>438</v>
      </c>
      <c r="G1332" s="44" t="s">
        <v>438</v>
      </c>
      <c r="H1332" s="45">
        <v>17.0</v>
      </c>
      <c r="I1332" s="45">
        <v>2.0</v>
      </c>
      <c r="J1332" s="45">
        <v>15.0</v>
      </c>
      <c r="K1332" s="45">
        <v>11.8</v>
      </c>
      <c r="L1332" s="45">
        <v>88.2</v>
      </c>
      <c r="Q1332" s="4"/>
    </row>
    <row r="1333">
      <c r="A1333" s="2"/>
      <c r="B1333" s="38">
        <v>1325.0</v>
      </c>
      <c r="C1333" s="39" t="s">
        <v>32</v>
      </c>
      <c r="D1333" s="39" t="s">
        <v>417</v>
      </c>
      <c r="E1333" s="39" t="s">
        <v>436</v>
      </c>
      <c r="F1333" s="39" t="s">
        <v>438</v>
      </c>
      <c r="G1333" s="41" t="s">
        <v>23</v>
      </c>
      <c r="H1333" s="42">
        <v>5.0</v>
      </c>
      <c r="I1333" s="42">
        <v>2.0</v>
      </c>
      <c r="J1333" s="42">
        <v>3.0</v>
      </c>
      <c r="K1333" s="42">
        <v>40.0</v>
      </c>
      <c r="L1333" s="42">
        <v>60.0</v>
      </c>
      <c r="Q1333" s="4"/>
    </row>
    <row r="1334">
      <c r="A1334" s="2"/>
      <c r="B1334" s="38">
        <v>1326.0</v>
      </c>
      <c r="C1334" s="39" t="s">
        <v>32</v>
      </c>
      <c r="D1334" s="39" t="s">
        <v>417</v>
      </c>
      <c r="E1334" s="39" t="s">
        <v>436</v>
      </c>
      <c r="F1334" s="39" t="s">
        <v>438</v>
      </c>
      <c r="G1334" s="41" t="s">
        <v>25</v>
      </c>
      <c r="H1334" s="42">
        <v>12.0</v>
      </c>
      <c r="I1334" s="42">
        <v>0.0</v>
      </c>
      <c r="J1334" s="42">
        <v>12.0</v>
      </c>
      <c r="K1334" s="42">
        <v>0.0</v>
      </c>
      <c r="L1334" s="42">
        <v>100.0</v>
      </c>
      <c r="Q1334" s="4"/>
    </row>
    <row r="1335">
      <c r="A1335" s="2"/>
      <c r="B1335" s="43">
        <v>1327.0</v>
      </c>
      <c r="C1335" s="44" t="s">
        <v>32</v>
      </c>
      <c r="D1335" s="53" t="s">
        <v>417</v>
      </c>
      <c r="E1335" s="53" t="s">
        <v>436</v>
      </c>
      <c r="F1335" s="53" t="s">
        <v>439</v>
      </c>
      <c r="G1335" s="44" t="s">
        <v>439</v>
      </c>
      <c r="H1335" s="45">
        <v>14.0</v>
      </c>
      <c r="I1335" s="45">
        <v>0.0</v>
      </c>
      <c r="J1335" s="45">
        <v>14.0</v>
      </c>
      <c r="K1335" s="45">
        <v>0.0</v>
      </c>
      <c r="L1335" s="45">
        <v>100.0</v>
      </c>
      <c r="Q1335" s="4"/>
    </row>
    <row r="1336">
      <c r="A1336" s="2"/>
      <c r="B1336" s="38">
        <v>1328.0</v>
      </c>
      <c r="C1336" s="39" t="s">
        <v>32</v>
      </c>
      <c r="D1336" s="39" t="s">
        <v>417</v>
      </c>
      <c r="E1336" s="39" t="s">
        <v>436</v>
      </c>
      <c r="F1336" s="39" t="s">
        <v>439</v>
      </c>
      <c r="G1336" s="41" t="s">
        <v>23</v>
      </c>
      <c r="H1336" s="42">
        <v>6.0</v>
      </c>
      <c r="I1336" s="42">
        <v>0.0</v>
      </c>
      <c r="J1336" s="42">
        <v>6.0</v>
      </c>
      <c r="K1336" s="42">
        <v>0.0</v>
      </c>
      <c r="L1336" s="42">
        <v>100.0</v>
      </c>
      <c r="Q1336" s="4"/>
    </row>
    <row r="1337">
      <c r="A1337" s="2"/>
      <c r="B1337" s="38">
        <v>1329.0</v>
      </c>
      <c r="C1337" s="39" t="s">
        <v>32</v>
      </c>
      <c r="D1337" s="39" t="s">
        <v>417</v>
      </c>
      <c r="E1337" s="39" t="s">
        <v>436</v>
      </c>
      <c r="F1337" s="39" t="s">
        <v>439</v>
      </c>
      <c r="G1337" s="41" t="s">
        <v>25</v>
      </c>
      <c r="H1337" s="42">
        <v>8.0</v>
      </c>
      <c r="I1337" s="42">
        <v>0.0</v>
      </c>
      <c r="J1337" s="42">
        <v>8.0</v>
      </c>
      <c r="K1337" s="42">
        <v>0.0</v>
      </c>
      <c r="L1337" s="42">
        <v>100.0</v>
      </c>
      <c r="Q1337" s="4"/>
    </row>
    <row r="1338">
      <c r="A1338" s="2"/>
      <c r="B1338" s="34">
        <v>1330.0</v>
      </c>
      <c r="C1338" s="35" t="s">
        <v>30</v>
      </c>
      <c r="D1338" s="49" t="s">
        <v>417</v>
      </c>
      <c r="E1338" s="49" t="s">
        <v>440</v>
      </c>
      <c r="F1338" s="50"/>
      <c r="G1338" s="35" t="s">
        <v>440</v>
      </c>
      <c r="H1338" s="37">
        <v>3.0</v>
      </c>
      <c r="I1338" s="37">
        <v>0.0</v>
      </c>
      <c r="J1338" s="37">
        <v>3.0</v>
      </c>
      <c r="K1338" s="37">
        <v>0.0</v>
      </c>
      <c r="L1338" s="37">
        <v>100.0</v>
      </c>
      <c r="Q1338" s="4"/>
    </row>
    <row r="1339">
      <c r="A1339" s="2"/>
      <c r="B1339" s="38">
        <v>1331.0</v>
      </c>
      <c r="C1339" s="39" t="s">
        <v>30</v>
      </c>
      <c r="D1339" s="39" t="s">
        <v>417</v>
      </c>
      <c r="E1339" s="39" t="s">
        <v>440</v>
      </c>
      <c r="F1339" s="40"/>
      <c r="G1339" s="41" t="s">
        <v>23</v>
      </c>
      <c r="H1339" s="46"/>
      <c r="I1339" s="46"/>
      <c r="J1339" s="46"/>
      <c r="K1339" s="46"/>
      <c r="L1339" s="46"/>
      <c r="Q1339" s="4"/>
    </row>
    <row r="1340">
      <c r="A1340" s="2"/>
      <c r="B1340" s="38">
        <v>1332.0</v>
      </c>
      <c r="C1340" s="39" t="s">
        <v>30</v>
      </c>
      <c r="D1340" s="39" t="s">
        <v>417</v>
      </c>
      <c r="E1340" s="39" t="s">
        <v>440</v>
      </c>
      <c r="F1340" s="40"/>
      <c r="G1340" s="41" t="s">
        <v>25</v>
      </c>
      <c r="H1340" s="42">
        <v>3.0</v>
      </c>
      <c r="I1340" s="42">
        <v>0.0</v>
      </c>
      <c r="J1340" s="42">
        <v>3.0</v>
      </c>
      <c r="K1340" s="42">
        <v>0.0</v>
      </c>
      <c r="L1340" s="42">
        <v>100.0</v>
      </c>
      <c r="Q1340" s="4"/>
    </row>
    <row r="1341">
      <c r="A1341" s="2"/>
      <c r="B1341" s="43">
        <v>1333.0</v>
      </c>
      <c r="C1341" s="44" t="s">
        <v>32</v>
      </c>
      <c r="D1341" s="53" t="s">
        <v>417</v>
      </c>
      <c r="E1341" s="53" t="s">
        <v>440</v>
      </c>
      <c r="F1341" s="53" t="s">
        <v>441</v>
      </c>
      <c r="G1341" s="44" t="s">
        <v>441</v>
      </c>
      <c r="H1341" s="45">
        <v>3.0</v>
      </c>
      <c r="I1341" s="45">
        <v>0.0</v>
      </c>
      <c r="J1341" s="45">
        <v>3.0</v>
      </c>
      <c r="K1341" s="45">
        <v>0.0</v>
      </c>
      <c r="L1341" s="45">
        <v>100.0</v>
      </c>
      <c r="Q1341" s="4"/>
    </row>
    <row r="1342">
      <c r="A1342" s="2"/>
      <c r="B1342" s="38">
        <v>1334.0</v>
      </c>
      <c r="C1342" s="39" t="s">
        <v>32</v>
      </c>
      <c r="D1342" s="39" t="s">
        <v>417</v>
      </c>
      <c r="E1342" s="39" t="s">
        <v>440</v>
      </c>
      <c r="F1342" s="39" t="s">
        <v>441</v>
      </c>
      <c r="G1342" s="41" t="s">
        <v>23</v>
      </c>
      <c r="H1342" s="46"/>
      <c r="I1342" s="46"/>
      <c r="J1342" s="46"/>
      <c r="K1342" s="46"/>
      <c r="L1342" s="46"/>
      <c r="Q1342" s="4"/>
    </row>
    <row r="1343">
      <c r="A1343" s="2"/>
      <c r="B1343" s="38">
        <v>1335.0</v>
      </c>
      <c r="C1343" s="39" t="s">
        <v>32</v>
      </c>
      <c r="D1343" s="39" t="s">
        <v>417</v>
      </c>
      <c r="E1343" s="39" t="s">
        <v>440</v>
      </c>
      <c r="F1343" s="39" t="s">
        <v>441</v>
      </c>
      <c r="G1343" s="41" t="s">
        <v>25</v>
      </c>
      <c r="H1343" s="42">
        <v>3.0</v>
      </c>
      <c r="I1343" s="42">
        <v>0.0</v>
      </c>
      <c r="J1343" s="42">
        <v>3.0</v>
      </c>
      <c r="K1343" s="42">
        <v>0.0</v>
      </c>
      <c r="L1343" s="42">
        <v>100.0</v>
      </c>
      <c r="Q1343" s="4"/>
    </row>
    <row r="1344">
      <c r="A1344" s="2"/>
      <c r="B1344" s="24">
        <v>1336.0</v>
      </c>
      <c r="C1344" s="25" t="s">
        <v>26</v>
      </c>
      <c r="D1344" s="25" t="s">
        <v>442</v>
      </c>
      <c r="E1344" s="26"/>
      <c r="F1344" s="26"/>
      <c r="G1344" s="25" t="s">
        <v>442</v>
      </c>
      <c r="H1344" s="28">
        <v>586.0</v>
      </c>
      <c r="I1344" s="28">
        <v>58.0</v>
      </c>
      <c r="J1344" s="28">
        <v>528.0</v>
      </c>
      <c r="K1344" s="28">
        <v>9.9</v>
      </c>
      <c r="L1344" s="28">
        <v>90.1</v>
      </c>
      <c r="Q1344" s="4"/>
    </row>
    <row r="1345">
      <c r="A1345" s="2"/>
      <c r="B1345" s="29">
        <v>1337.0</v>
      </c>
      <c r="C1345" s="30" t="s">
        <v>26</v>
      </c>
      <c r="D1345" s="47" t="s">
        <v>442</v>
      </c>
      <c r="E1345" s="48"/>
      <c r="F1345" s="48"/>
      <c r="G1345" s="30" t="s">
        <v>23</v>
      </c>
      <c r="H1345" s="33">
        <v>112.0</v>
      </c>
      <c r="I1345" s="33">
        <v>3.0</v>
      </c>
      <c r="J1345" s="33">
        <v>109.0</v>
      </c>
      <c r="K1345" s="33">
        <v>2.7</v>
      </c>
      <c r="L1345" s="33">
        <v>97.3</v>
      </c>
      <c r="Q1345" s="4"/>
    </row>
    <row r="1346">
      <c r="A1346" s="2"/>
      <c r="B1346" s="29">
        <v>1338.0</v>
      </c>
      <c r="C1346" s="30" t="s">
        <v>26</v>
      </c>
      <c r="D1346" s="47" t="s">
        <v>442</v>
      </c>
      <c r="E1346" s="48"/>
      <c r="F1346" s="48"/>
      <c r="G1346" s="30" t="s">
        <v>25</v>
      </c>
      <c r="H1346" s="33">
        <v>474.0</v>
      </c>
      <c r="I1346" s="33">
        <v>55.0</v>
      </c>
      <c r="J1346" s="33">
        <v>419.0</v>
      </c>
      <c r="K1346" s="33">
        <v>11.6</v>
      </c>
      <c r="L1346" s="33">
        <v>88.4</v>
      </c>
      <c r="Q1346" s="4"/>
    </row>
    <row r="1347">
      <c r="A1347" s="2"/>
      <c r="B1347" s="34">
        <v>1339.0</v>
      </c>
      <c r="C1347" s="35" t="s">
        <v>30</v>
      </c>
      <c r="D1347" s="49" t="s">
        <v>442</v>
      </c>
      <c r="E1347" s="49" t="s">
        <v>443</v>
      </c>
      <c r="F1347" s="50"/>
      <c r="G1347" s="35" t="s">
        <v>443</v>
      </c>
      <c r="H1347" s="37">
        <v>117.0</v>
      </c>
      <c r="I1347" s="37">
        <v>3.0</v>
      </c>
      <c r="J1347" s="37">
        <v>114.0</v>
      </c>
      <c r="K1347" s="37">
        <v>2.6</v>
      </c>
      <c r="L1347" s="37">
        <v>97.4</v>
      </c>
      <c r="Q1347" s="4"/>
    </row>
    <row r="1348">
      <c r="A1348" s="2"/>
      <c r="B1348" s="38">
        <v>1340.0</v>
      </c>
      <c r="C1348" s="39" t="s">
        <v>30</v>
      </c>
      <c r="D1348" s="39" t="s">
        <v>442</v>
      </c>
      <c r="E1348" s="39" t="s">
        <v>443</v>
      </c>
      <c r="F1348" s="40"/>
      <c r="G1348" s="41" t="s">
        <v>23</v>
      </c>
      <c r="H1348" s="42">
        <v>61.0</v>
      </c>
      <c r="I1348" s="42">
        <v>1.0</v>
      </c>
      <c r="J1348" s="42">
        <v>60.0</v>
      </c>
      <c r="K1348" s="42">
        <v>1.6</v>
      </c>
      <c r="L1348" s="42">
        <v>98.4</v>
      </c>
      <c r="Q1348" s="4"/>
    </row>
    <row r="1349">
      <c r="A1349" s="2"/>
      <c r="B1349" s="38">
        <v>1341.0</v>
      </c>
      <c r="C1349" s="39" t="s">
        <v>30</v>
      </c>
      <c r="D1349" s="39" t="s">
        <v>442</v>
      </c>
      <c r="E1349" s="39" t="s">
        <v>443</v>
      </c>
      <c r="F1349" s="40"/>
      <c r="G1349" s="41" t="s">
        <v>25</v>
      </c>
      <c r="H1349" s="42">
        <v>56.0</v>
      </c>
      <c r="I1349" s="42">
        <v>2.0</v>
      </c>
      <c r="J1349" s="42">
        <v>54.0</v>
      </c>
      <c r="K1349" s="42">
        <v>3.6</v>
      </c>
      <c r="L1349" s="42">
        <v>96.4</v>
      </c>
      <c r="Q1349" s="4"/>
    </row>
    <row r="1350">
      <c r="A1350" s="2"/>
      <c r="B1350" s="43">
        <v>1342.0</v>
      </c>
      <c r="C1350" s="44" t="s">
        <v>32</v>
      </c>
      <c r="D1350" s="53" t="s">
        <v>442</v>
      </c>
      <c r="E1350" s="53" t="s">
        <v>443</v>
      </c>
      <c r="F1350" s="53" t="s">
        <v>444</v>
      </c>
      <c r="G1350" s="44" t="s">
        <v>444</v>
      </c>
      <c r="H1350" s="45">
        <v>51.0</v>
      </c>
      <c r="I1350" s="45">
        <v>1.0</v>
      </c>
      <c r="J1350" s="45">
        <v>50.0</v>
      </c>
      <c r="K1350" s="45">
        <v>2.0</v>
      </c>
      <c r="L1350" s="45">
        <v>98.0</v>
      </c>
      <c r="Q1350" s="4"/>
    </row>
    <row r="1351">
      <c r="A1351" s="2"/>
      <c r="B1351" s="38">
        <v>1343.0</v>
      </c>
      <c r="C1351" s="39" t="s">
        <v>32</v>
      </c>
      <c r="D1351" s="39" t="s">
        <v>442</v>
      </c>
      <c r="E1351" s="39" t="s">
        <v>443</v>
      </c>
      <c r="F1351" s="39" t="s">
        <v>444</v>
      </c>
      <c r="G1351" s="41" t="s">
        <v>23</v>
      </c>
      <c r="H1351" s="42">
        <v>51.0</v>
      </c>
      <c r="I1351" s="42">
        <v>1.0</v>
      </c>
      <c r="J1351" s="42">
        <v>50.0</v>
      </c>
      <c r="K1351" s="42">
        <v>2.0</v>
      </c>
      <c r="L1351" s="42">
        <v>98.0</v>
      </c>
      <c r="Q1351" s="4"/>
    </row>
    <row r="1352">
      <c r="A1352" s="2"/>
      <c r="B1352" s="38">
        <v>1344.0</v>
      </c>
      <c r="C1352" s="39" t="s">
        <v>32</v>
      </c>
      <c r="D1352" s="39" t="s">
        <v>442</v>
      </c>
      <c r="E1352" s="39" t="s">
        <v>443</v>
      </c>
      <c r="F1352" s="39" t="s">
        <v>444</v>
      </c>
      <c r="G1352" s="41" t="s">
        <v>25</v>
      </c>
      <c r="H1352" s="42">
        <v>0.0</v>
      </c>
      <c r="I1352" s="42">
        <v>0.0</v>
      </c>
      <c r="J1352" s="42">
        <v>0.0</v>
      </c>
      <c r="K1352" s="42">
        <v>0.0</v>
      </c>
      <c r="L1352" s="42">
        <v>0.0</v>
      </c>
      <c r="Q1352" s="4"/>
    </row>
    <row r="1353">
      <c r="A1353" s="2"/>
      <c r="B1353" s="43">
        <v>1345.0</v>
      </c>
      <c r="C1353" s="44" t="s">
        <v>32</v>
      </c>
      <c r="D1353" s="53" t="s">
        <v>442</v>
      </c>
      <c r="E1353" s="53" t="s">
        <v>443</v>
      </c>
      <c r="F1353" s="53" t="s">
        <v>445</v>
      </c>
      <c r="G1353" s="44" t="s">
        <v>445</v>
      </c>
      <c r="H1353" s="45">
        <v>10.0</v>
      </c>
      <c r="I1353" s="45">
        <v>0.0</v>
      </c>
      <c r="J1353" s="45">
        <v>10.0</v>
      </c>
      <c r="K1353" s="45">
        <v>0.0</v>
      </c>
      <c r="L1353" s="45">
        <v>100.0</v>
      </c>
      <c r="Q1353" s="4"/>
    </row>
    <row r="1354">
      <c r="A1354" s="2"/>
      <c r="B1354" s="38">
        <v>1346.0</v>
      </c>
      <c r="C1354" s="39" t="s">
        <v>32</v>
      </c>
      <c r="D1354" s="39" t="s">
        <v>442</v>
      </c>
      <c r="E1354" s="39" t="s">
        <v>443</v>
      </c>
      <c r="F1354" s="39" t="s">
        <v>445</v>
      </c>
      <c r="G1354" s="41" t="s">
        <v>23</v>
      </c>
      <c r="H1354" s="42">
        <v>10.0</v>
      </c>
      <c r="I1354" s="42">
        <v>0.0</v>
      </c>
      <c r="J1354" s="42">
        <v>10.0</v>
      </c>
      <c r="K1354" s="42">
        <v>0.0</v>
      </c>
      <c r="L1354" s="42">
        <v>100.0</v>
      </c>
      <c r="Q1354" s="4"/>
    </row>
    <row r="1355">
      <c r="A1355" s="2"/>
      <c r="B1355" s="38">
        <v>1347.0</v>
      </c>
      <c r="C1355" s="39" t="s">
        <v>32</v>
      </c>
      <c r="D1355" s="39" t="s">
        <v>442</v>
      </c>
      <c r="E1355" s="39" t="s">
        <v>443</v>
      </c>
      <c r="F1355" s="39" t="s">
        <v>445</v>
      </c>
      <c r="G1355" s="41" t="s">
        <v>25</v>
      </c>
      <c r="H1355" s="42">
        <v>0.0</v>
      </c>
      <c r="I1355" s="42">
        <v>0.0</v>
      </c>
      <c r="J1355" s="42">
        <v>0.0</v>
      </c>
      <c r="K1355" s="42">
        <v>0.0</v>
      </c>
      <c r="L1355" s="42">
        <v>0.0</v>
      </c>
      <c r="Q1355" s="4"/>
    </row>
    <row r="1356">
      <c r="A1356" s="2"/>
      <c r="B1356" s="43">
        <v>1348.0</v>
      </c>
      <c r="C1356" s="44" t="s">
        <v>32</v>
      </c>
      <c r="D1356" s="53" t="s">
        <v>442</v>
      </c>
      <c r="E1356" s="53" t="s">
        <v>443</v>
      </c>
      <c r="F1356" s="53" t="s">
        <v>446</v>
      </c>
      <c r="G1356" s="44" t="s">
        <v>446</v>
      </c>
      <c r="H1356" s="45">
        <v>32.0</v>
      </c>
      <c r="I1356" s="45">
        <v>2.0</v>
      </c>
      <c r="J1356" s="45">
        <v>30.0</v>
      </c>
      <c r="K1356" s="45">
        <v>6.3</v>
      </c>
      <c r="L1356" s="45">
        <v>93.8</v>
      </c>
      <c r="Q1356" s="4"/>
    </row>
    <row r="1357">
      <c r="A1357" s="2"/>
      <c r="B1357" s="38">
        <v>1349.0</v>
      </c>
      <c r="C1357" s="39" t="s">
        <v>32</v>
      </c>
      <c r="D1357" s="39" t="s">
        <v>442</v>
      </c>
      <c r="E1357" s="39" t="s">
        <v>443</v>
      </c>
      <c r="F1357" s="39" t="s">
        <v>446</v>
      </c>
      <c r="G1357" s="41" t="s">
        <v>23</v>
      </c>
      <c r="H1357" s="46"/>
      <c r="I1357" s="46"/>
      <c r="J1357" s="46"/>
      <c r="K1357" s="46"/>
      <c r="L1357" s="46"/>
      <c r="Q1357" s="4"/>
    </row>
    <row r="1358">
      <c r="A1358" s="2"/>
      <c r="B1358" s="38">
        <v>1350.0</v>
      </c>
      <c r="C1358" s="39" t="s">
        <v>32</v>
      </c>
      <c r="D1358" s="39" t="s">
        <v>442</v>
      </c>
      <c r="E1358" s="39" t="s">
        <v>443</v>
      </c>
      <c r="F1358" s="39" t="s">
        <v>446</v>
      </c>
      <c r="G1358" s="41" t="s">
        <v>25</v>
      </c>
      <c r="H1358" s="42">
        <v>32.0</v>
      </c>
      <c r="I1358" s="42">
        <v>2.0</v>
      </c>
      <c r="J1358" s="42">
        <v>30.0</v>
      </c>
      <c r="K1358" s="42">
        <v>6.3</v>
      </c>
      <c r="L1358" s="42">
        <v>93.8</v>
      </c>
      <c r="Q1358" s="4"/>
    </row>
    <row r="1359">
      <c r="A1359" s="2"/>
      <c r="B1359" s="43">
        <v>1351.0</v>
      </c>
      <c r="C1359" s="44" t="s">
        <v>32</v>
      </c>
      <c r="D1359" s="53" t="s">
        <v>442</v>
      </c>
      <c r="E1359" s="53" t="s">
        <v>443</v>
      </c>
      <c r="F1359" s="53" t="s">
        <v>447</v>
      </c>
      <c r="G1359" s="44" t="s">
        <v>447</v>
      </c>
      <c r="H1359" s="45">
        <v>24.0</v>
      </c>
      <c r="I1359" s="45">
        <v>0.0</v>
      </c>
      <c r="J1359" s="45">
        <v>24.0</v>
      </c>
      <c r="K1359" s="45">
        <v>0.0</v>
      </c>
      <c r="L1359" s="45">
        <v>100.0</v>
      </c>
      <c r="Q1359" s="4"/>
    </row>
    <row r="1360">
      <c r="A1360" s="2"/>
      <c r="B1360" s="38">
        <v>1352.0</v>
      </c>
      <c r="C1360" s="39" t="s">
        <v>32</v>
      </c>
      <c r="D1360" s="39" t="s">
        <v>442</v>
      </c>
      <c r="E1360" s="39" t="s">
        <v>443</v>
      </c>
      <c r="F1360" s="39" t="s">
        <v>447</v>
      </c>
      <c r="G1360" s="41" t="s">
        <v>23</v>
      </c>
      <c r="H1360" s="46"/>
      <c r="I1360" s="46"/>
      <c r="J1360" s="46"/>
      <c r="K1360" s="46"/>
      <c r="L1360" s="46"/>
      <c r="Q1360" s="4"/>
    </row>
    <row r="1361">
      <c r="A1361" s="2"/>
      <c r="B1361" s="38">
        <v>1353.0</v>
      </c>
      <c r="C1361" s="39" t="s">
        <v>32</v>
      </c>
      <c r="D1361" s="39" t="s">
        <v>442</v>
      </c>
      <c r="E1361" s="39" t="s">
        <v>443</v>
      </c>
      <c r="F1361" s="39" t="s">
        <v>447</v>
      </c>
      <c r="G1361" s="41" t="s">
        <v>25</v>
      </c>
      <c r="H1361" s="42">
        <v>24.0</v>
      </c>
      <c r="I1361" s="42">
        <v>0.0</v>
      </c>
      <c r="J1361" s="42">
        <v>24.0</v>
      </c>
      <c r="K1361" s="42">
        <v>0.0</v>
      </c>
      <c r="L1361" s="42">
        <v>100.0</v>
      </c>
      <c r="Q1361" s="4"/>
    </row>
    <row r="1362">
      <c r="A1362" s="2"/>
      <c r="B1362" s="34">
        <v>1354.0</v>
      </c>
      <c r="C1362" s="35" t="s">
        <v>30</v>
      </c>
      <c r="D1362" s="49" t="s">
        <v>442</v>
      </c>
      <c r="E1362" s="49" t="s">
        <v>448</v>
      </c>
      <c r="F1362" s="50"/>
      <c r="G1362" s="35" t="s">
        <v>448</v>
      </c>
      <c r="H1362" s="37">
        <v>75.0</v>
      </c>
      <c r="I1362" s="37">
        <v>37.0</v>
      </c>
      <c r="J1362" s="37">
        <v>38.0</v>
      </c>
      <c r="K1362" s="37">
        <v>49.3</v>
      </c>
      <c r="L1362" s="37">
        <v>50.7</v>
      </c>
      <c r="Q1362" s="4"/>
    </row>
    <row r="1363">
      <c r="A1363" s="2"/>
      <c r="B1363" s="38">
        <v>1355.0</v>
      </c>
      <c r="C1363" s="39" t="s">
        <v>30</v>
      </c>
      <c r="D1363" s="39" t="s">
        <v>442</v>
      </c>
      <c r="E1363" s="39" t="s">
        <v>448</v>
      </c>
      <c r="F1363" s="40"/>
      <c r="G1363" s="41" t="s">
        <v>23</v>
      </c>
      <c r="H1363" s="42">
        <v>12.0</v>
      </c>
      <c r="I1363" s="42">
        <v>1.0</v>
      </c>
      <c r="J1363" s="42">
        <v>11.0</v>
      </c>
      <c r="K1363" s="42">
        <v>8.3</v>
      </c>
      <c r="L1363" s="42">
        <v>91.7</v>
      </c>
      <c r="Q1363" s="4"/>
    </row>
    <row r="1364">
      <c r="A1364" s="2"/>
      <c r="B1364" s="38">
        <v>1356.0</v>
      </c>
      <c r="C1364" s="39" t="s">
        <v>30</v>
      </c>
      <c r="D1364" s="39" t="s">
        <v>442</v>
      </c>
      <c r="E1364" s="39" t="s">
        <v>448</v>
      </c>
      <c r="F1364" s="40"/>
      <c r="G1364" s="41" t="s">
        <v>25</v>
      </c>
      <c r="H1364" s="42">
        <v>63.0</v>
      </c>
      <c r="I1364" s="42">
        <v>36.0</v>
      </c>
      <c r="J1364" s="42">
        <v>27.0</v>
      </c>
      <c r="K1364" s="42">
        <v>57.1</v>
      </c>
      <c r="L1364" s="42">
        <v>42.9</v>
      </c>
      <c r="Q1364" s="4"/>
    </row>
    <row r="1365">
      <c r="A1365" s="2"/>
      <c r="B1365" s="43">
        <v>1357.0</v>
      </c>
      <c r="C1365" s="44" t="s">
        <v>32</v>
      </c>
      <c r="D1365" s="53" t="s">
        <v>442</v>
      </c>
      <c r="E1365" s="53" t="s">
        <v>448</v>
      </c>
      <c r="F1365" s="53" t="s">
        <v>449</v>
      </c>
      <c r="G1365" s="44" t="s">
        <v>449</v>
      </c>
      <c r="H1365" s="45">
        <v>37.0</v>
      </c>
      <c r="I1365" s="45">
        <v>1.0</v>
      </c>
      <c r="J1365" s="45">
        <v>36.0</v>
      </c>
      <c r="K1365" s="45">
        <v>2.7</v>
      </c>
      <c r="L1365" s="45">
        <v>97.3</v>
      </c>
      <c r="Q1365" s="4"/>
    </row>
    <row r="1366">
      <c r="A1366" s="2"/>
      <c r="B1366" s="38">
        <v>1358.0</v>
      </c>
      <c r="C1366" s="39" t="s">
        <v>32</v>
      </c>
      <c r="D1366" s="39" t="s">
        <v>442</v>
      </c>
      <c r="E1366" s="39" t="s">
        <v>448</v>
      </c>
      <c r="F1366" s="39" t="s">
        <v>449</v>
      </c>
      <c r="G1366" s="41" t="s">
        <v>23</v>
      </c>
      <c r="H1366" s="42">
        <v>12.0</v>
      </c>
      <c r="I1366" s="42">
        <v>1.0</v>
      </c>
      <c r="J1366" s="42">
        <v>11.0</v>
      </c>
      <c r="K1366" s="42">
        <v>8.3</v>
      </c>
      <c r="L1366" s="42">
        <v>91.7</v>
      </c>
      <c r="Q1366" s="4"/>
    </row>
    <row r="1367">
      <c r="A1367" s="2"/>
      <c r="B1367" s="38">
        <v>1359.0</v>
      </c>
      <c r="C1367" s="39" t="s">
        <v>32</v>
      </c>
      <c r="D1367" s="39" t="s">
        <v>442</v>
      </c>
      <c r="E1367" s="39" t="s">
        <v>448</v>
      </c>
      <c r="F1367" s="39" t="s">
        <v>449</v>
      </c>
      <c r="G1367" s="41" t="s">
        <v>25</v>
      </c>
      <c r="H1367" s="42">
        <v>25.0</v>
      </c>
      <c r="I1367" s="42">
        <v>0.0</v>
      </c>
      <c r="J1367" s="42">
        <v>25.0</v>
      </c>
      <c r="K1367" s="42">
        <v>0.0</v>
      </c>
      <c r="L1367" s="42">
        <v>100.0</v>
      </c>
      <c r="Q1367" s="4"/>
    </row>
    <row r="1368">
      <c r="A1368" s="2"/>
      <c r="B1368" s="43">
        <v>1360.0</v>
      </c>
      <c r="C1368" s="44" t="s">
        <v>32</v>
      </c>
      <c r="D1368" s="53" t="s">
        <v>442</v>
      </c>
      <c r="E1368" s="53" t="s">
        <v>448</v>
      </c>
      <c r="F1368" s="53" t="s">
        <v>296</v>
      </c>
      <c r="G1368" s="44" t="s">
        <v>296</v>
      </c>
      <c r="H1368" s="45">
        <v>37.0</v>
      </c>
      <c r="I1368" s="45">
        <v>35.0</v>
      </c>
      <c r="J1368" s="45">
        <v>2.0</v>
      </c>
      <c r="K1368" s="45">
        <v>94.6</v>
      </c>
      <c r="L1368" s="45">
        <v>5.4</v>
      </c>
      <c r="Q1368" s="4"/>
    </row>
    <row r="1369">
      <c r="A1369" s="2"/>
      <c r="B1369" s="38">
        <v>1361.0</v>
      </c>
      <c r="C1369" s="39" t="s">
        <v>32</v>
      </c>
      <c r="D1369" s="39" t="s">
        <v>442</v>
      </c>
      <c r="E1369" s="39" t="s">
        <v>448</v>
      </c>
      <c r="F1369" s="39" t="s">
        <v>296</v>
      </c>
      <c r="G1369" s="41" t="s">
        <v>23</v>
      </c>
      <c r="H1369" s="46"/>
      <c r="I1369" s="46"/>
      <c r="J1369" s="46"/>
      <c r="K1369" s="46"/>
      <c r="L1369" s="46"/>
      <c r="Q1369" s="4"/>
    </row>
    <row r="1370">
      <c r="A1370" s="2"/>
      <c r="B1370" s="38">
        <v>1362.0</v>
      </c>
      <c r="C1370" s="39" t="s">
        <v>32</v>
      </c>
      <c r="D1370" s="39" t="s">
        <v>442</v>
      </c>
      <c r="E1370" s="39" t="s">
        <v>448</v>
      </c>
      <c r="F1370" s="39" t="s">
        <v>296</v>
      </c>
      <c r="G1370" s="41" t="s">
        <v>25</v>
      </c>
      <c r="H1370" s="42">
        <v>37.0</v>
      </c>
      <c r="I1370" s="42">
        <v>35.0</v>
      </c>
      <c r="J1370" s="42">
        <v>2.0</v>
      </c>
      <c r="K1370" s="42">
        <v>94.6</v>
      </c>
      <c r="L1370" s="42">
        <v>5.4</v>
      </c>
      <c r="Q1370" s="4"/>
    </row>
    <row r="1371">
      <c r="A1371" s="2"/>
      <c r="B1371" s="43">
        <v>1363.0</v>
      </c>
      <c r="C1371" s="44" t="s">
        <v>32</v>
      </c>
      <c r="D1371" s="53" t="s">
        <v>442</v>
      </c>
      <c r="E1371" s="53" t="s">
        <v>448</v>
      </c>
      <c r="F1371" s="53" t="s">
        <v>450</v>
      </c>
      <c r="G1371" s="44" t="s">
        <v>450</v>
      </c>
      <c r="H1371" s="45">
        <v>1.0</v>
      </c>
      <c r="I1371" s="45">
        <v>1.0</v>
      </c>
      <c r="J1371" s="45">
        <v>0.0</v>
      </c>
      <c r="K1371" s="45">
        <v>100.0</v>
      </c>
      <c r="L1371" s="45">
        <v>0.0</v>
      </c>
      <c r="Q1371" s="4"/>
    </row>
    <row r="1372">
      <c r="A1372" s="2"/>
      <c r="B1372" s="38">
        <v>1364.0</v>
      </c>
      <c r="C1372" s="39" t="s">
        <v>32</v>
      </c>
      <c r="D1372" s="39" t="s">
        <v>442</v>
      </c>
      <c r="E1372" s="39" t="s">
        <v>448</v>
      </c>
      <c r="F1372" s="39" t="s">
        <v>450</v>
      </c>
      <c r="G1372" s="41" t="s">
        <v>23</v>
      </c>
      <c r="H1372" s="46"/>
      <c r="I1372" s="46"/>
      <c r="J1372" s="46"/>
      <c r="K1372" s="46"/>
      <c r="L1372" s="46"/>
      <c r="Q1372" s="4"/>
    </row>
    <row r="1373">
      <c r="A1373" s="2"/>
      <c r="B1373" s="38">
        <v>1365.0</v>
      </c>
      <c r="C1373" s="39" t="s">
        <v>32</v>
      </c>
      <c r="D1373" s="39" t="s">
        <v>442</v>
      </c>
      <c r="E1373" s="39" t="s">
        <v>448</v>
      </c>
      <c r="F1373" s="39" t="s">
        <v>450</v>
      </c>
      <c r="G1373" s="41" t="s">
        <v>25</v>
      </c>
      <c r="H1373" s="42">
        <v>1.0</v>
      </c>
      <c r="I1373" s="42">
        <v>1.0</v>
      </c>
      <c r="J1373" s="42">
        <v>0.0</v>
      </c>
      <c r="K1373" s="42">
        <v>100.0</v>
      </c>
      <c r="L1373" s="42">
        <v>0.0</v>
      </c>
      <c r="Q1373" s="4"/>
    </row>
    <row r="1374">
      <c r="A1374" s="2"/>
      <c r="B1374" s="34">
        <v>1366.0</v>
      </c>
      <c r="C1374" s="35" t="s">
        <v>30</v>
      </c>
      <c r="D1374" s="49" t="s">
        <v>442</v>
      </c>
      <c r="E1374" s="49" t="s">
        <v>451</v>
      </c>
      <c r="F1374" s="50"/>
      <c r="G1374" s="35" t="s">
        <v>451</v>
      </c>
      <c r="H1374" s="37">
        <v>330.0</v>
      </c>
      <c r="I1374" s="37">
        <v>13.0</v>
      </c>
      <c r="J1374" s="37">
        <v>317.0</v>
      </c>
      <c r="K1374" s="37">
        <v>3.9</v>
      </c>
      <c r="L1374" s="37">
        <v>96.1</v>
      </c>
      <c r="Q1374" s="4"/>
    </row>
    <row r="1375">
      <c r="A1375" s="2"/>
      <c r="B1375" s="38">
        <v>1367.0</v>
      </c>
      <c r="C1375" s="39" t="s">
        <v>30</v>
      </c>
      <c r="D1375" s="39" t="s">
        <v>442</v>
      </c>
      <c r="E1375" s="39" t="s">
        <v>451</v>
      </c>
      <c r="F1375" s="40"/>
      <c r="G1375" s="41" t="s">
        <v>23</v>
      </c>
      <c r="H1375" s="42">
        <v>39.0</v>
      </c>
      <c r="I1375" s="42">
        <v>1.0</v>
      </c>
      <c r="J1375" s="42">
        <v>38.0</v>
      </c>
      <c r="K1375" s="42">
        <v>2.6</v>
      </c>
      <c r="L1375" s="42">
        <v>97.4</v>
      </c>
      <c r="Q1375" s="4"/>
    </row>
    <row r="1376">
      <c r="A1376" s="2"/>
      <c r="B1376" s="38">
        <v>1368.0</v>
      </c>
      <c r="C1376" s="39" t="s">
        <v>30</v>
      </c>
      <c r="D1376" s="39" t="s">
        <v>442</v>
      </c>
      <c r="E1376" s="39" t="s">
        <v>451</v>
      </c>
      <c r="F1376" s="40"/>
      <c r="G1376" s="41" t="s">
        <v>25</v>
      </c>
      <c r="H1376" s="42">
        <v>291.0</v>
      </c>
      <c r="I1376" s="42">
        <v>12.0</v>
      </c>
      <c r="J1376" s="42">
        <v>279.0</v>
      </c>
      <c r="K1376" s="42">
        <v>4.1</v>
      </c>
      <c r="L1376" s="42">
        <v>95.9</v>
      </c>
      <c r="Q1376" s="4"/>
    </row>
    <row r="1377">
      <c r="A1377" s="2"/>
      <c r="B1377" s="43">
        <v>1369.0</v>
      </c>
      <c r="C1377" s="44" t="s">
        <v>32</v>
      </c>
      <c r="D1377" s="53" t="s">
        <v>442</v>
      </c>
      <c r="E1377" s="53" t="s">
        <v>451</v>
      </c>
      <c r="F1377" s="53" t="s">
        <v>452</v>
      </c>
      <c r="G1377" s="44" t="s">
        <v>452</v>
      </c>
      <c r="H1377" s="45">
        <v>180.0</v>
      </c>
      <c r="I1377" s="45">
        <v>0.0</v>
      </c>
      <c r="J1377" s="45">
        <v>180.0</v>
      </c>
      <c r="K1377" s="45">
        <v>0.0</v>
      </c>
      <c r="L1377" s="45">
        <v>100.0</v>
      </c>
      <c r="Q1377" s="4"/>
    </row>
    <row r="1378">
      <c r="A1378" s="2"/>
      <c r="B1378" s="38">
        <v>1370.0</v>
      </c>
      <c r="C1378" s="39" t="s">
        <v>32</v>
      </c>
      <c r="D1378" s="39" t="s">
        <v>442</v>
      </c>
      <c r="E1378" s="39" t="s">
        <v>451</v>
      </c>
      <c r="F1378" s="39" t="s">
        <v>452</v>
      </c>
      <c r="G1378" s="41" t="s">
        <v>23</v>
      </c>
      <c r="H1378" s="42">
        <v>3.0</v>
      </c>
      <c r="I1378" s="42">
        <v>0.0</v>
      </c>
      <c r="J1378" s="42">
        <v>3.0</v>
      </c>
      <c r="K1378" s="42">
        <v>0.0</v>
      </c>
      <c r="L1378" s="42">
        <v>100.0</v>
      </c>
      <c r="Q1378" s="4"/>
    </row>
    <row r="1379">
      <c r="A1379" s="2"/>
      <c r="B1379" s="38">
        <v>1371.0</v>
      </c>
      <c r="C1379" s="39" t="s">
        <v>32</v>
      </c>
      <c r="D1379" s="39" t="s">
        <v>442</v>
      </c>
      <c r="E1379" s="39" t="s">
        <v>451</v>
      </c>
      <c r="F1379" s="39" t="s">
        <v>452</v>
      </c>
      <c r="G1379" s="41" t="s">
        <v>25</v>
      </c>
      <c r="H1379" s="42">
        <v>177.0</v>
      </c>
      <c r="I1379" s="42">
        <v>0.0</v>
      </c>
      <c r="J1379" s="42">
        <v>177.0</v>
      </c>
      <c r="K1379" s="42">
        <v>0.0</v>
      </c>
      <c r="L1379" s="42">
        <v>100.0</v>
      </c>
      <c r="Q1379" s="4"/>
    </row>
    <row r="1380">
      <c r="A1380" s="2"/>
      <c r="B1380" s="43">
        <v>1372.0</v>
      </c>
      <c r="C1380" s="44" t="s">
        <v>32</v>
      </c>
      <c r="D1380" s="53" t="s">
        <v>442</v>
      </c>
      <c r="E1380" s="53" t="s">
        <v>451</v>
      </c>
      <c r="F1380" s="53" t="s">
        <v>345</v>
      </c>
      <c r="G1380" s="44" t="s">
        <v>345</v>
      </c>
      <c r="H1380" s="45">
        <v>71.0</v>
      </c>
      <c r="I1380" s="45">
        <v>10.0</v>
      </c>
      <c r="J1380" s="45">
        <v>61.0</v>
      </c>
      <c r="K1380" s="45">
        <v>14.1</v>
      </c>
      <c r="L1380" s="45">
        <v>85.9</v>
      </c>
      <c r="Q1380" s="4"/>
    </row>
    <row r="1381">
      <c r="A1381" s="2"/>
      <c r="B1381" s="38">
        <v>1373.0</v>
      </c>
      <c r="C1381" s="39" t="s">
        <v>32</v>
      </c>
      <c r="D1381" s="39" t="s">
        <v>442</v>
      </c>
      <c r="E1381" s="39" t="s">
        <v>451</v>
      </c>
      <c r="F1381" s="39" t="s">
        <v>345</v>
      </c>
      <c r="G1381" s="41" t="s">
        <v>23</v>
      </c>
      <c r="H1381" s="46"/>
      <c r="I1381" s="46"/>
      <c r="J1381" s="46"/>
      <c r="K1381" s="46"/>
      <c r="L1381" s="46"/>
      <c r="Q1381" s="4"/>
    </row>
    <row r="1382">
      <c r="A1382" s="2"/>
      <c r="B1382" s="38">
        <v>1374.0</v>
      </c>
      <c r="C1382" s="39" t="s">
        <v>32</v>
      </c>
      <c r="D1382" s="39" t="s">
        <v>442</v>
      </c>
      <c r="E1382" s="39" t="s">
        <v>451</v>
      </c>
      <c r="F1382" s="39" t="s">
        <v>345</v>
      </c>
      <c r="G1382" s="41" t="s">
        <v>25</v>
      </c>
      <c r="H1382" s="42">
        <v>71.0</v>
      </c>
      <c r="I1382" s="42">
        <v>10.0</v>
      </c>
      <c r="J1382" s="42">
        <v>61.0</v>
      </c>
      <c r="K1382" s="42">
        <v>14.1</v>
      </c>
      <c r="L1382" s="42">
        <v>85.9</v>
      </c>
      <c r="Q1382" s="4"/>
    </row>
    <row r="1383">
      <c r="A1383" s="2"/>
      <c r="B1383" s="43">
        <v>1375.0</v>
      </c>
      <c r="C1383" s="44" t="s">
        <v>32</v>
      </c>
      <c r="D1383" s="53" t="s">
        <v>442</v>
      </c>
      <c r="E1383" s="53" t="s">
        <v>451</v>
      </c>
      <c r="F1383" s="53" t="s">
        <v>453</v>
      </c>
      <c r="G1383" s="44" t="s">
        <v>453</v>
      </c>
      <c r="H1383" s="45">
        <v>79.0</v>
      </c>
      <c r="I1383" s="45">
        <v>3.0</v>
      </c>
      <c r="J1383" s="45">
        <v>76.0</v>
      </c>
      <c r="K1383" s="45">
        <v>3.8</v>
      </c>
      <c r="L1383" s="45">
        <v>96.2</v>
      </c>
      <c r="Q1383" s="4"/>
    </row>
    <row r="1384">
      <c r="A1384" s="2"/>
      <c r="B1384" s="38">
        <v>1376.0</v>
      </c>
      <c r="C1384" s="39" t="s">
        <v>32</v>
      </c>
      <c r="D1384" s="39" t="s">
        <v>442</v>
      </c>
      <c r="E1384" s="39" t="s">
        <v>451</v>
      </c>
      <c r="F1384" s="39" t="s">
        <v>453</v>
      </c>
      <c r="G1384" s="41" t="s">
        <v>23</v>
      </c>
      <c r="H1384" s="42">
        <v>36.0</v>
      </c>
      <c r="I1384" s="42">
        <v>1.0</v>
      </c>
      <c r="J1384" s="42">
        <v>35.0</v>
      </c>
      <c r="K1384" s="42">
        <v>2.8</v>
      </c>
      <c r="L1384" s="42">
        <v>97.2</v>
      </c>
      <c r="Q1384" s="4"/>
    </row>
    <row r="1385">
      <c r="A1385" s="2"/>
      <c r="B1385" s="38">
        <v>1377.0</v>
      </c>
      <c r="C1385" s="39" t="s">
        <v>32</v>
      </c>
      <c r="D1385" s="39" t="s">
        <v>442</v>
      </c>
      <c r="E1385" s="39" t="s">
        <v>451</v>
      </c>
      <c r="F1385" s="39" t="s">
        <v>453</v>
      </c>
      <c r="G1385" s="41" t="s">
        <v>25</v>
      </c>
      <c r="H1385" s="42">
        <v>43.0</v>
      </c>
      <c r="I1385" s="42">
        <v>2.0</v>
      </c>
      <c r="J1385" s="42">
        <v>41.0</v>
      </c>
      <c r="K1385" s="42">
        <v>4.7</v>
      </c>
      <c r="L1385" s="42">
        <v>95.3</v>
      </c>
      <c r="Q1385" s="4"/>
    </row>
    <row r="1386">
      <c r="A1386" s="2"/>
      <c r="B1386" s="34">
        <v>1378.0</v>
      </c>
      <c r="C1386" s="35" t="s">
        <v>30</v>
      </c>
      <c r="D1386" s="49" t="s">
        <v>442</v>
      </c>
      <c r="E1386" s="49" t="s">
        <v>454</v>
      </c>
      <c r="F1386" s="50"/>
      <c r="G1386" s="35" t="s">
        <v>454</v>
      </c>
      <c r="H1386" s="37">
        <v>60.0</v>
      </c>
      <c r="I1386" s="37">
        <v>4.0</v>
      </c>
      <c r="J1386" s="37">
        <v>56.0</v>
      </c>
      <c r="K1386" s="37">
        <v>6.7</v>
      </c>
      <c r="L1386" s="37">
        <v>93.3</v>
      </c>
      <c r="Q1386" s="4"/>
    </row>
    <row r="1387">
      <c r="A1387" s="2"/>
      <c r="B1387" s="38">
        <v>1379.0</v>
      </c>
      <c r="C1387" s="39" t="s">
        <v>30</v>
      </c>
      <c r="D1387" s="39" t="s">
        <v>442</v>
      </c>
      <c r="E1387" s="39" t="s">
        <v>454</v>
      </c>
      <c r="F1387" s="40"/>
      <c r="G1387" s="41" t="s">
        <v>23</v>
      </c>
      <c r="H1387" s="46"/>
      <c r="I1387" s="46"/>
      <c r="J1387" s="46"/>
      <c r="K1387" s="46"/>
      <c r="L1387" s="46"/>
      <c r="Q1387" s="4"/>
    </row>
    <row r="1388">
      <c r="A1388" s="2"/>
      <c r="B1388" s="38">
        <v>1380.0</v>
      </c>
      <c r="C1388" s="39" t="s">
        <v>30</v>
      </c>
      <c r="D1388" s="39" t="s">
        <v>442</v>
      </c>
      <c r="E1388" s="39" t="s">
        <v>454</v>
      </c>
      <c r="F1388" s="40"/>
      <c r="G1388" s="41" t="s">
        <v>25</v>
      </c>
      <c r="H1388" s="42">
        <v>60.0</v>
      </c>
      <c r="I1388" s="42">
        <v>4.0</v>
      </c>
      <c r="J1388" s="42">
        <v>56.0</v>
      </c>
      <c r="K1388" s="42">
        <v>6.7</v>
      </c>
      <c r="L1388" s="42">
        <v>93.3</v>
      </c>
      <c r="Q1388" s="4"/>
    </row>
    <row r="1389">
      <c r="A1389" s="2"/>
      <c r="B1389" s="43">
        <v>1381.0</v>
      </c>
      <c r="C1389" s="44" t="s">
        <v>32</v>
      </c>
      <c r="D1389" s="53" t="s">
        <v>442</v>
      </c>
      <c r="E1389" s="53" t="s">
        <v>454</v>
      </c>
      <c r="F1389" s="53" t="s">
        <v>372</v>
      </c>
      <c r="G1389" s="44" t="s">
        <v>372</v>
      </c>
      <c r="H1389" s="45">
        <v>28.0</v>
      </c>
      <c r="I1389" s="45">
        <v>0.0</v>
      </c>
      <c r="J1389" s="45">
        <v>28.0</v>
      </c>
      <c r="K1389" s="45">
        <v>0.0</v>
      </c>
      <c r="L1389" s="45">
        <v>100.0</v>
      </c>
      <c r="Q1389" s="4"/>
    </row>
    <row r="1390">
      <c r="A1390" s="2"/>
      <c r="B1390" s="38">
        <v>1382.0</v>
      </c>
      <c r="C1390" s="39" t="s">
        <v>32</v>
      </c>
      <c r="D1390" s="39" t="s">
        <v>442</v>
      </c>
      <c r="E1390" s="39" t="s">
        <v>454</v>
      </c>
      <c r="F1390" s="39" t="s">
        <v>372</v>
      </c>
      <c r="G1390" s="41" t="s">
        <v>23</v>
      </c>
      <c r="H1390" s="46"/>
      <c r="I1390" s="46"/>
      <c r="J1390" s="46"/>
      <c r="K1390" s="46"/>
      <c r="L1390" s="46"/>
      <c r="Q1390" s="4"/>
    </row>
    <row r="1391">
      <c r="A1391" s="2"/>
      <c r="B1391" s="38">
        <v>1383.0</v>
      </c>
      <c r="C1391" s="39" t="s">
        <v>32</v>
      </c>
      <c r="D1391" s="39" t="s">
        <v>442</v>
      </c>
      <c r="E1391" s="39" t="s">
        <v>454</v>
      </c>
      <c r="F1391" s="39" t="s">
        <v>372</v>
      </c>
      <c r="G1391" s="41" t="s">
        <v>25</v>
      </c>
      <c r="H1391" s="42">
        <v>28.0</v>
      </c>
      <c r="I1391" s="42">
        <v>0.0</v>
      </c>
      <c r="J1391" s="42">
        <v>28.0</v>
      </c>
      <c r="K1391" s="42">
        <v>0.0</v>
      </c>
      <c r="L1391" s="42">
        <v>100.0</v>
      </c>
      <c r="Q1391" s="4"/>
    </row>
    <row r="1392">
      <c r="A1392" s="2"/>
      <c r="B1392" s="43">
        <v>1384.0</v>
      </c>
      <c r="C1392" s="44" t="s">
        <v>32</v>
      </c>
      <c r="D1392" s="53" t="s">
        <v>442</v>
      </c>
      <c r="E1392" s="53" t="s">
        <v>454</v>
      </c>
      <c r="F1392" s="53" t="s">
        <v>115</v>
      </c>
      <c r="G1392" s="44" t="s">
        <v>115</v>
      </c>
      <c r="H1392" s="45">
        <v>32.0</v>
      </c>
      <c r="I1392" s="45">
        <v>4.0</v>
      </c>
      <c r="J1392" s="45">
        <v>28.0</v>
      </c>
      <c r="K1392" s="45">
        <v>12.5</v>
      </c>
      <c r="L1392" s="45">
        <v>87.5</v>
      </c>
      <c r="Q1392" s="4"/>
    </row>
    <row r="1393">
      <c r="A1393" s="2"/>
      <c r="B1393" s="38">
        <v>1385.0</v>
      </c>
      <c r="C1393" s="39" t="s">
        <v>32</v>
      </c>
      <c r="D1393" s="39" t="s">
        <v>442</v>
      </c>
      <c r="E1393" s="39" t="s">
        <v>454</v>
      </c>
      <c r="F1393" s="39" t="s">
        <v>115</v>
      </c>
      <c r="G1393" s="41" t="s">
        <v>23</v>
      </c>
      <c r="H1393" s="46"/>
      <c r="I1393" s="46"/>
      <c r="J1393" s="46"/>
      <c r="K1393" s="46"/>
      <c r="L1393" s="46"/>
      <c r="Q1393" s="4"/>
    </row>
    <row r="1394">
      <c r="A1394" s="2"/>
      <c r="B1394" s="38">
        <v>1386.0</v>
      </c>
      <c r="C1394" s="39" t="s">
        <v>32</v>
      </c>
      <c r="D1394" s="39" t="s">
        <v>442</v>
      </c>
      <c r="E1394" s="39" t="s">
        <v>454</v>
      </c>
      <c r="F1394" s="39" t="s">
        <v>115</v>
      </c>
      <c r="G1394" s="41" t="s">
        <v>25</v>
      </c>
      <c r="H1394" s="42">
        <v>32.0</v>
      </c>
      <c r="I1394" s="42">
        <v>4.0</v>
      </c>
      <c r="J1394" s="42">
        <v>28.0</v>
      </c>
      <c r="K1394" s="42">
        <v>12.5</v>
      </c>
      <c r="L1394" s="42">
        <v>87.5</v>
      </c>
      <c r="Q1394" s="4"/>
    </row>
    <row r="1395">
      <c r="A1395" s="2"/>
      <c r="B1395" s="34">
        <v>1387.0</v>
      </c>
      <c r="C1395" s="35" t="s">
        <v>30</v>
      </c>
      <c r="D1395" s="49" t="s">
        <v>442</v>
      </c>
      <c r="E1395" s="49" t="s">
        <v>455</v>
      </c>
      <c r="F1395" s="50"/>
      <c r="G1395" s="35" t="s">
        <v>455</v>
      </c>
      <c r="H1395" s="37">
        <v>4.0</v>
      </c>
      <c r="I1395" s="37">
        <v>1.0</v>
      </c>
      <c r="J1395" s="37">
        <v>3.0</v>
      </c>
      <c r="K1395" s="37">
        <v>25.0</v>
      </c>
      <c r="L1395" s="37">
        <v>75.0</v>
      </c>
      <c r="Q1395" s="4"/>
    </row>
    <row r="1396">
      <c r="A1396" s="2"/>
      <c r="B1396" s="38">
        <v>1388.0</v>
      </c>
      <c r="C1396" s="39" t="s">
        <v>30</v>
      </c>
      <c r="D1396" s="39" t="s">
        <v>442</v>
      </c>
      <c r="E1396" s="39" t="s">
        <v>455</v>
      </c>
      <c r="F1396" s="40"/>
      <c r="G1396" s="41" t="s">
        <v>23</v>
      </c>
      <c r="H1396" s="46"/>
      <c r="I1396" s="46"/>
      <c r="J1396" s="46"/>
      <c r="K1396" s="46"/>
      <c r="L1396" s="46"/>
      <c r="Q1396" s="4"/>
    </row>
    <row r="1397">
      <c r="A1397" s="2"/>
      <c r="B1397" s="38">
        <v>1389.0</v>
      </c>
      <c r="C1397" s="39" t="s">
        <v>30</v>
      </c>
      <c r="D1397" s="39" t="s">
        <v>442</v>
      </c>
      <c r="E1397" s="39" t="s">
        <v>455</v>
      </c>
      <c r="F1397" s="40"/>
      <c r="G1397" s="41" t="s">
        <v>25</v>
      </c>
      <c r="H1397" s="42">
        <v>4.0</v>
      </c>
      <c r="I1397" s="42">
        <v>1.0</v>
      </c>
      <c r="J1397" s="42">
        <v>3.0</v>
      </c>
      <c r="K1397" s="42">
        <v>25.0</v>
      </c>
      <c r="L1397" s="42">
        <v>75.0</v>
      </c>
      <c r="Q1397" s="4"/>
    </row>
    <row r="1398">
      <c r="A1398" s="2"/>
      <c r="B1398" s="43">
        <v>1390.0</v>
      </c>
      <c r="C1398" s="44" t="s">
        <v>32</v>
      </c>
      <c r="D1398" s="53" t="s">
        <v>442</v>
      </c>
      <c r="E1398" s="53" t="s">
        <v>455</v>
      </c>
      <c r="F1398" s="53" t="s">
        <v>456</v>
      </c>
      <c r="G1398" s="44" t="s">
        <v>456</v>
      </c>
      <c r="H1398" s="45">
        <v>2.0</v>
      </c>
      <c r="I1398" s="45">
        <v>0.0</v>
      </c>
      <c r="J1398" s="45">
        <v>2.0</v>
      </c>
      <c r="K1398" s="45">
        <v>0.0</v>
      </c>
      <c r="L1398" s="45">
        <v>100.0</v>
      </c>
      <c r="Q1398" s="4"/>
    </row>
    <row r="1399">
      <c r="A1399" s="2"/>
      <c r="B1399" s="38">
        <v>1391.0</v>
      </c>
      <c r="C1399" s="39" t="s">
        <v>32</v>
      </c>
      <c r="D1399" s="39" t="s">
        <v>442</v>
      </c>
      <c r="E1399" s="39" t="s">
        <v>455</v>
      </c>
      <c r="F1399" s="39" t="s">
        <v>456</v>
      </c>
      <c r="G1399" s="41" t="s">
        <v>23</v>
      </c>
      <c r="H1399" s="46"/>
      <c r="I1399" s="46"/>
      <c r="J1399" s="46"/>
      <c r="K1399" s="46"/>
      <c r="L1399" s="46"/>
      <c r="Q1399" s="4"/>
    </row>
    <row r="1400">
      <c r="A1400" s="2"/>
      <c r="B1400" s="38">
        <v>1392.0</v>
      </c>
      <c r="C1400" s="39" t="s">
        <v>32</v>
      </c>
      <c r="D1400" s="39" t="s">
        <v>442</v>
      </c>
      <c r="E1400" s="39" t="s">
        <v>455</v>
      </c>
      <c r="F1400" s="39" t="s">
        <v>456</v>
      </c>
      <c r="G1400" s="41" t="s">
        <v>25</v>
      </c>
      <c r="H1400" s="42">
        <v>2.0</v>
      </c>
      <c r="I1400" s="42">
        <v>0.0</v>
      </c>
      <c r="J1400" s="42">
        <v>2.0</v>
      </c>
      <c r="K1400" s="42">
        <v>0.0</v>
      </c>
      <c r="L1400" s="42">
        <v>100.0</v>
      </c>
      <c r="Q1400" s="4"/>
    </row>
    <row r="1401">
      <c r="A1401" s="2"/>
      <c r="B1401" s="43">
        <v>1393.0</v>
      </c>
      <c r="C1401" s="44" t="s">
        <v>32</v>
      </c>
      <c r="D1401" s="53" t="s">
        <v>442</v>
      </c>
      <c r="E1401" s="53" t="s">
        <v>455</v>
      </c>
      <c r="F1401" s="53" t="s">
        <v>457</v>
      </c>
      <c r="G1401" s="44" t="s">
        <v>457</v>
      </c>
      <c r="H1401" s="45">
        <v>2.0</v>
      </c>
      <c r="I1401" s="45">
        <v>1.0</v>
      </c>
      <c r="J1401" s="45">
        <v>1.0</v>
      </c>
      <c r="K1401" s="45">
        <v>50.0</v>
      </c>
      <c r="L1401" s="45">
        <v>50.0</v>
      </c>
      <c r="Q1401" s="4"/>
    </row>
    <row r="1402">
      <c r="A1402" s="2"/>
      <c r="B1402" s="38">
        <v>1394.0</v>
      </c>
      <c r="C1402" s="39" t="s">
        <v>32</v>
      </c>
      <c r="D1402" s="39" t="s">
        <v>442</v>
      </c>
      <c r="E1402" s="39" t="s">
        <v>455</v>
      </c>
      <c r="F1402" s="39" t="s">
        <v>457</v>
      </c>
      <c r="G1402" s="41" t="s">
        <v>23</v>
      </c>
      <c r="H1402" s="46"/>
      <c r="I1402" s="46"/>
      <c r="J1402" s="46"/>
      <c r="K1402" s="46"/>
      <c r="L1402" s="46"/>
      <c r="Q1402" s="4"/>
    </row>
    <row r="1403">
      <c r="A1403" s="2"/>
      <c r="B1403" s="38">
        <v>1395.0</v>
      </c>
      <c r="C1403" s="39" t="s">
        <v>32</v>
      </c>
      <c r="D1403" s="39" t="s">
        <v>442</v>
      </c>
      <c r="E1403" s="39" t="s">
        <v>455</v>
      </c>
      <c r="F1403" s="39" t="s">
        <v>457</v>
      </c>
      <c r="G1403" s="41" t="s">
        <v>25</v>
      </c>
      <c r="H1403" s="42">
        <v>2.0</v>
      </c>
      <c r="I1403" s="42">
        <v>1.0</v>
      </c>
      <c r="J1403" s="42">
        <v>1.0</v>
      </c>
      <c r="K1403" s="42">
        <v>50.0</v>
      </c>
      <c r="L1403" s="42">
        <v>50.0</v>
      </c>
      <c r="Q1403" s="4"/>
    </row>
    <row r="1404">
      <c r="A1404" s="2"/>
      <c r="B1404" s="43">
        <v>1396.0</v>
      </c>
      <c r="C1404" s="44" t="s">
        <v>32</v>
      </c>
      <c r="D1404" s="53" t="s">
        <v>442</v>
      </c>
      <c r="E1404" s="53" t="s">
        <v>455</v>
      </c>
      <c r="F1404" s="53" t="s">
        <v>458</v>
      </c>
      <c r="G1404" s="44" t="s">
        <v>458</v>
      </c>
      <c r="H1404" s="45">
        <v>0.0</v>
      </c>
      <c r="I1404" s="45">
        <v>0.0</v>
      </c>
      <c r="J1404" s="45">
        <v>0.0</v>
      </c>
      <c r="K1404" s="45">
        <v>0.0</v>
      </c>
      <c r="L1404" s="45">
        <v>0.0</v>
      </c>
      <c r="Q1404" s="4"/>
    </row>
    <row r="1405">
      <c r="A1405" s="2"/>
      <c r="B1405" s="38">
        <v>1397.0</v>
      </c>
      <c r="C1405" s="39" t="s">
        <v>32</v>
      </c>
      <c r="D1405" s="39" t="s">
        <v>442</v>
      </c>
      <c r="E1405" s="39" t="s">
        <v>455</v>
      </c>
      <c r="F1405" s="39" t="s">
        <v>458</v>
      </c>
      <c r="G1405" s="41" t="s">
        <v>23</v>
      </c>
      <c r="H1405" s="46"/>
      <c r="I1405" s="46"/>
      <c r="J1405" s="46"/>
      <c r="K1405" s="46"/>
      <c r="L1405" s="46"/>
      <c r="Q1405" s="4"/>
    </row>
    <row r="1406">
      <c r="A1406" s="2"/>
      <c r="B1406" s="55">
        <v>1398.0</v>
      </c>
      <c r="C1406" s="56" t="s">
        <v>32</v>
      </c>
      <c r="D1406" s="56" t="s">
        <v>442</v>
      </c>
      <c r="E1406" s="56" t="s">
        <v>455</v>
      </c>
      <c r="F1406" s="56" t="s">
        <v>458</v>
      </c>
      <c r="G1406" s="57" t="s">
        <v>25</v>
      </c>
      <c r="H1406" s="58">
        <v>0.0</v>
      </c>
      <c r="I1406" s="58">
        <v>0.0</v>
      </c>
      <c r="J1406" s="58">
        <v>0.0</v>
      </c>
      <c r="K1406" s="58">
        <v>0.0</v>
      </c>
      <c r="L1406" s="58">
        <v>0.0</v>
      </c>
      <c r="Q1406" s="4"/>
    </row>
    <row r="1407">
      <c r="A1407" s="7"/>
      <c r="B1407" s="59" t="s">
        <v>459</v>
      </c>
      <c r="C1407" s="2"/>
      <c r="D1407" s="2"/>
      <c r="E1407" s="2"/>
      <c r="F1407" s="2"/>
      <c r="G1407" s="2"/>
      <c r="H1407" s="2"/>
      <c r="I1407" s="60"/>
      <c r="J1407" s="60"/>
      <c r="K1407" s="60"/>
      <c r="L1407" s="60"/>
      <c r="Q1407" s="4"/>
    </row>
    <row r="1408">
      <c r="A1408" s="7"/>
      <c r="B1408" s="2"/>
      <c r="C1408" s="2"/>
      <c r="D1408" s="2"/>
      <c r="E1408" s="2"/>
      <c r="F1408" s="2"/>
      <c r="G1408" s="2"/>
      <c r="H1408" s="2"/>
      <c r="I1408" s="60"/>
      <c r="J1408" s="60"/>
      <c r="K1408" s="60"/>
      <c r="L1408" s="60"/>
      <c r="Q1408" s="4"/>
    </row>
    <row r="1409">
      <c r="A1409" s="7"/>
      <c r="B1409" s="2"/>
      <c r="C1409" s="2"/>
      <c r="D1409" s="2"/>
      <c r="E1409" s="2"/>
      <c r="F1409" s="2"/>
      <c r="G1409" s="2"/>
      <c r="H1409" s="2"/>
      <c r="I1409" s="60"/>
      <c r="J1409" s="60"/>
      <c r="K1409" s="60"/>
      <c r="L1409" s="60"/>
      <c r="Q1409" s="4"/>
    </row>
    <row r="1410">
      <c r="A1410" s="7"/>
      <c r="B1410" s="2"/>
      <c r="C1410" s="2"/>
      <c r="D1410" s="2"/>
      <c r="E1410" s="2"/>
      <c r="F1410" s="2"/>
      <c r="G1410" s="2"/>
      <c r="H1410" s="2"/>
      <c r="I1410" s="60"/>
      <c r="J1410" s="60"/>
      <c r="K1410" s="60"/>
      <c r="L1410" s="60"/>
      <c r="Q1410" s="4"/>
    </row>
    <row r="1411">
      <c r="A1411" s="7"/>
      <c r="B1411" s="2"/>
      <c r="C1411" s="2"/>
      <c r="D1411" s="2"/>
      <c r="E1411" s="2"/>
      <c r="F1411" s="2"/>
      <c r="G1411" s="2"/>
      <c r="H1411" s="2"/>
      <c r="I1411" s="60"/>
      <c r="J1411" s="60"/>
      <c r="K1411" s="60"/>
      <c r="L1411" s="60"/>
      <c r="Q1411" s="4"/>
    </row>
    <row r="1412">
      <c r="A1412" s="7"/>
      <c r="B1412" s="2"/>
      <c r="C1412" s="2"/>
      <c r="D1412" s="2"/>
      <c r="E1412" s="2"/>
      <c r="F1412" s="2"/>
      <c r="G1412" s="2"/>
      <c r="H1412" s="2"/>
      <c r="I1412" s="60"/>
      <c r="J1412" s="60"/>
      <c r="K1412" s="60"/>
      <c r="L1412" s="60"/>
      <c r="Q1412" s="4"/>
    </row>
    <row r="1413">
      <c r="A1413" s="7"/>
      <c r="B1413" s="2"/>
      <c r="C1413" s="2"/>
      <c r="D1413" s="2"/>
      <c r="E1413" s="2"/>
      <c r="F1413" s="2"/>
      <c r="G1413" s="2"/>
      <c r="H1413" s="2"/>
      <c r="I1413" s="60"/>
      <c r="J1413" s="60"/>
      <c r="K1413" s="60"/>
      <c r="L1413" s="60"/>
      <c r="Q1413" s="4"/>
    </row>
    <row r="1414">
      <c r="A1414" s="7"/>
      <c r="B1414" s="2"/>
      <c r="C1414" s="2"/>
      <c r="D1414" s="2"/>
      <c r="E1414" s="2"/>
      <c r="F1414" s="2"/>
      <c r="G1414" s="2"/>
      <c r="H1414" s="2"/>
      <c r="I1414" s="60"/>
      <c r="J1414" s="60"/>
      <c r="K1414" s="60"/>
      <c r="L1414" s="60"/>
      <c r="Q1414" s="4"/>
    </row>
    <row r="1415">
      <c r="A1415" s="7"/>
      <c r="B1415" s="2"/>
      <c r="C1415" s="2"/>
      <c r="D1415" s="2"/>
      <c r="E1415" s="2"/>
      <c r="F1415" s="2"/>
      <c r="G1415" s="2"/>
      <c r="H1415" s="2"/>
      <c r="I1415" s="60"/>
      <c r="J1415" s="60"/>
      <c r="K1415" s="60"/>
      <c r="L1415" s="60"/>
      <c r="Q1415" s="4"/>
    </row>
    <row r="1416">
      <c r="A1416" s="7"/>
      <c r="B1416" s="2"/>
      <c r="C1416" s="2"/>
      <c r="D1416" s="2"/>
      <c r="E1416" s="2"/>
      <c r="F1416" s="2"/>
      <c r="G1416" s="2"/>
      <c r="H1416" s="2"/>
      <c r="I1416" s="60"/>
      <c r="J1416" s="60"/>
      <c r="K1416" s="60"/>
      <c r="L1416" s="60"/>
      <c r="Q1416" s="4"/>
    </row>
    <row r="1417">
      <c r="A1417" s="7"/>
      <c r="B1417" s="2"/>
      <c r="C1417" s="2"/>
      <c r="D1417" s="2"/>
      <c r="E1417" s="2"/>
      <c r="F1417" s="2"/>
      <c r="G1417" s="2"/>
      <c r="H1417" s="2"/>
      <c r="I1417" s="60"/>
      <c r="J1417" s="60"/>
      <c r="K1417" s="60"/>
      <c r="L1417" s="60"/>
      <c r="Q1417" s="4"/>
    </row>
    <row r="1418">
      <c r="A1418" s="7"/>
      <c r="B1418" s="2"/>
      <c r="C1418" s="2"/>
      <c r="D1418" s="2"/>
      <c r="E1418" s="2"/>
      <c r="F1418" s="2"/>
      <c r="G1418" s="2"/>
      <c r="H1418" s="2"/>
      <c r="I1418" s="60"/>
      <c r="J1418" s="60"/>
      <c r="K1418" s="60"/>
      <c r="L1418" s="60"/>
      <c r="Q1418" s="4"/>
    </row>
    <row r="1419">
      <c r="A1419" s="7"/>
      <c r="B1419" s="2"/>
      <c r="C1419" s="2"/>
      <c r="D1419" s="2"/>
      <c r="E1419" s="2"/>
      <c r="F1419" s="2"/>
      <c r="G1419" s="2"/>
      <c r="H1419" s="2"/>
      <c r="I1419" s="60"/>
      <c r="J1419" s="60"/>
      <c r="K1419" s="60"/>
      <c r="L1419" s="60"/>
      <c r="Q1419" s="4"/>
    </row>
    <row r="1420">
      <c r="A1420" s="7"/>
      <c r="B1420" s="2"/>
      <c r="C1420" s="2"/>
      <c r="D1420" s="2"/>
      <c r="E1420" s="2"/>
      <c r="F1420" s="2"/>
      <c r="G1420" s="2"/>
      <c r="H1420" s="2"/>
      <c r="I1420" s="60"/>
      <c r="J1420" s="60"/>
      <c r="K1420" s="60"/>
      <c r="L1420" s="60"/>
      <c r="Q1420" s="4"/>
    </row>
    <row r="1421">
      <c r="A1421" s="7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Q1421" s="4"/>
    </row>
    <row r="1422">
      <c r="A1422" s="7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Q1422" s="4"/>
    </row>
    <row r="1423">
      <c r="A1423" s="7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Q1423" s="4"/>
    </row>
    <row r="1424">
      <c r="A1424" s="7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Q1424" s="4"/>
    </row>
    <row r="1425">
      <c r="A1425" s="7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Q1425" s="4"/>
    </row>
    <row r="1426">
      <c r="A1426" s="7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Q1426" s="4"/>
    </row>
    <row r="1427">
      <c r="A1427" s="7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Q1427" s="4"/>
    </row>
    <row r="1428">
      <c r="A1428" s="7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Q1428" s="4"/>
    </row>
    <row r="1429">
      <c r="A1429" s="7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Q1429" s="4"/>
    </row>
    <row r="1430">
      <c r="A1430" s="7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Q1430" s="4"/>
    </row>
    <row r="1431">
      <c r="A1431" s="7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Q1431" s="4"/>
    </row>
    <row r="1432">
      <c r="A1432" s="7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Q1432" s="4"/>
    </row>
    <row r="1433">
      <c r="A1433" s="7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Q1433" s="4"/>
    </row>
    <row r="1434">
      <c r="A1434" s="7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Q1434" s="4"/>
    </row>
    <row r="1435">
      <c r="A1435" s="7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Q1435" s="4"/>
    </row>
    <row r="1436">
      <c r="A1436" s="7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Q1436" s="4"/>
    </row>
    <row r="1437">
      <c r="A1437" s="7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Q1437" s="4"/>
    </row>
    <row r="1438">
      <c r="A1438" s="7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Q1438" s="4"/>
    </row>
    <row r="1439">
      <c r="A1439" s="7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Q1439" s="4"/>
    </row>
    <row r="1440">
      <c r="A1440" s="7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Q1440" s="4"/>
    </row>
    <row r="1441">
      <c r="A1441" s="7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Q1441" s="4"/>
    </row>
    <row r="1442">
      <c r="A1442" s="7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Q1442" s="4"/>
    </row>
    <row r="1443">
      <c r="A1443" s="7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Q1443" s="4"/>
    </row>
    <row r="1444">
      <c r="A1444" s="7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Q1444" s="4"/>
    </row>
    <row r="1445">
      <c r="A1445" s="7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Q1445" s="4"/>
    </row>
    <row r="1446">
      <c r="A1446" s="7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Q1446" s="4"/>
    </row>
    <row r="1447">
      <c r="A1447" s="7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Q1447" s="4"/>
    </row>
    <row r="1448">
      <c r="A1448" s="7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Q1448" s="4"/>
    </row>
    <row r="1449">
      <c r="A1449" s="7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Q1449" s="4"/>
    </row>
    <row r="1450">
      <c r="A1450" s="7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Q1450" s="4"/>
    </row>
    <row r="1451">
      <c r="A1451" s="7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Q1451" s="4"/>
    </row>
    <row r="1452">
      <c r="A1452" s="7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Q1452" s="4"/>
    </row>
    <row r="1453">
      <c r="A1453" s="7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Q1453" s="4"/>
    </row>
    <row r="1454">
      <c r="A1454" s="7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Q1454" s="4"/>
    </row>
    <row r="1455">
      <c r="A1455" s="7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Q1455" s="4"/>
    </row>
    <row r="1456">
      <c r="A1456" s="7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Q1456" s="4"/>
    </row>
    <row r="1457">
      <c r="A1457" s="7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Q1457" s="4"/>
    </row>
    <row r="1458">
      <c r="A1458" s="7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Q1458" s="4"/>
    </row>
    <row r="1459">
      <c r="A1459" s="7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Q1459" s="4"/>
    </row>
    <row r="1460">
      <c r="A1460" s="7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Q1460" s="4"/>
    </row>
    <row r="1461">
      <c r="A1461" s="7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Q1461" s="4"/>
    </row>
    <row r="1462">
      <c r="A1462" s="7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Q1462" s="4"/>
    </row>
    <row r="1463">
      <c r="A1463" s="7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Q1463" s="4"/>
    </row>
    <row r="1464">
      <c r="A1464" s="7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Q1464" s="4"/>
    </row>
    <row r="1465">
      <c r="A1465" s="7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Q1465" s="4"/>
    </row>
    <row r="1466">
      <c r="A1466" s="7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Q1466" s="4"/>
    </row>
    <row r="1467">
      <c r="A1467" s="7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Q1467" s="4"/>
    </row>
    <row r="1468">
      <c r="A1468" s="7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Q1468" s="4"/>
    </row>
    <row r="1469">
      <c r="A1469" s="7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Q1469" s="4"/>
    </row>
    <row r="1470">
      <c r="A1470" s="7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Q1470" s="4"/>
    </row>
    <row r="1471">
      <c r="A1471" s="7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Q1471" s="4"/>
    </row>
    <row r="1472">
      <c r="A1472" s="7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Q1472" s="4"/>
    </row>
    <row r="1473">
      <c r="A1473" s="7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Q1473" s="4"/>
    </row>
    <row r="1474">
      <c r="A1474" s="7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Q1474" s="4"/>
    </row>
    <row r="1475">
      <c r="A1475" s="7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Q1475" s="4"/>
    </row>
    <row r="1476">
      <c r="A1476" s="7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Q1476" s="4"/>
    </row>
    <row r="1477">
      <c r="A1477" s="7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Q1477" s="4"/>
    </row>
    <row r="1478">
      <c r="A1478" s="7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Q1478" s="4"/>
    </row>
    <row r="1479">
      <c r="A1479" s="7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Q1479" s="4"/>
    </row>
    <row r="1480">
      <c r="A1480" s="7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Q1480" s="4"/>
    </row>
    <row r="1481">
      <c r="A1481" s="7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Q1481" s="4"/>
    </row>
    <row r="1482">
      <c r="A1482" s="7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Q1482" s="4"/>
    </row>
    <row r="1483">
      <c r="A1483" s="7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Q1483" s="4"/>
    </row>
    <row r="1484">
      <c r="A1484" s="7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Q1484" s="4"/>
    </row>
    <row r="1485">
      <c r="A1485" s="7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Q1485" s="4"/>
    </row>
  </sheetData>
  <mergeCells count="17">
    <mergeCell ref="E5:E7"/>
    <mergeCell ref="F5:F7"/>
    <mergeCell ref="G5:G7"/>
    <mergeCell ref="H5:J5"/>
    <mergeCell ref="H6:H7"/>
    <mergeCell ref="I6:I7"/>
    <mergeCell ref="J6:J7"/>
    <mergeCell ref="K5:L5"/>
    <mergeCell ref="K6:K7"/>
    <mergeCell ref="L6:L7"/>
    <mergeCell ref="B2:C2"/>
    <mergeCell ref="B3:J3"/>
    <mergeCell ref="N3:Q3"/>
    <mergeCell ref="B4:D4"/>
    <mergeCell ref="B5:B7"/>
    <mergeCell ref="C5:C7"/>
    <mergeCell ref="D5:D7"/>
  </mergeCells>
  <hyperlinks>
    <hyperlink r:id="rId1" location="Índice!B11" ref="A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9.5"/>
    <col customWidth="1" min="7" max="7" width="9.25"/>
    <col customWidth="1" min="14" max="14" width="15.25"/>
    <col customWidth="1" min="15" max="15" width="15.88"/>
  </cols>
  <sheetData>
    <row r="1">
      <c r="A1" s="61" t="s">
        <v>460</v>
      </c>
      <c r="B1" s="62" t="s">
        <v>7</v>
      </c>
      <c r="C1" s="63" t="s">
        <v>461</v>
      </c>
      <c r="D1" s="64" t="s">
        <v>462</v>
      </c>
      <c r="E1" s="64" t="s">
        <v>463</v>
      </c>
      <c r="F1" s="65" t="s">
        <v>464</v>
      </c>
      <c r="G1" s="65" t="s">
        <v>465</v>
      </c>
      <c r="H1" s="66" t="s">
        <v>16</v>
      </c>
      <c r="I1" s="67" t="s">
        <v>466</v>
      </c>
      <c r="J1" s="68"/>
      <c r="K1" s="68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</row>
    <row r="2">
      <c r="A2" s="70">
        <v>10101.0</v>
      </c>
      <c r="B2" s="62" t="s">
        <v>27</v>
      </c>
      <c r="C2" s="63" t="s">
        <v>33</v>
      </c>
      <c r="D2" s="71">
        <v>261201.0</v>
      </c>
      <c r="E2" s="72">
        <v>296746.0</v>
      </c>
      <c r="F2" s="71">
        <v>75.0</v>
      </c>
      <c r="G2" s="73">
        <v>168.0</v>
      </c>
      <c r="H2" s="74">
        <v>28.713519473508907</v>
      </c>
      <c r="I2" s="74">
        <v>56.614073989202886</v>
      </c>
      <c r="J2" s="68"/>
      <c r="P2" s="69"/>
      <c r="Q2" s="69"/>
      <c r="R2" s="69"/>
      <c r="S2" s="69"/>
      <c r="T2" s="69"/>
      <c r="U2" s="69"/>
      <c r="V2" s="69"/>
      <c r="W2" s="69"/>
    </row>
    <row r="3">
      <c r="A3" s="70">
        <v>10102.0</v>
      </c>
      <c r="B3" s="62" t="s">
        <v>27</v>
      </c>
      <c r="C3" s="63" t="s">
        <v>36</v>
      </c>
      <c r="D3" s="71">
        <v>9461.0</v>
      </c>
      <c r="E3" s="72">
        <v>9256.0</v>
      </c>
      <c r="F3" s="71">
        <v>0.0</v>
      </c>
      <c r="G3" s="73">
        <v>11.0</v>
      </c>
      <c r="H3" s="74">
        <v>0.0</v>
      </c>
      <c r="I3" s="74">
        <v>118.8418323249784</v>
      </c>
      <c r="J3" s="68"/>
      <c r="P3" s="69"/>
      <c r="Q3" s="69"/>
      <c r="R3" s="69"/>
      <c r="S3" s="69"/>
      <c r="T3" s="69"/>
      <c r="U3" s="69"/>
      <c r="V3" s="69"/>
      <c r="W3" s="69"/>
    </row>
    <row r="4">
      <c r="A4" s="70">
        <v>10103.0</v>
      </c>
      <c r="B4" s="62" t="s">
        <v>27</v>
      </c>
      <c r="C4" s="63" t="s">
        <v>37</v>
      </c>
      <c r="D4" s="71">
        <v>17377.0</v>
      </c>
      <c r="E4" s="72">
        <v>13649.0</v>
      </c>
      <c r="F4" s="71">
        <v>22.0</v>
      </c>
      <c r="G4" s="73">
        <v>1.0</v>
      </c>
      <c r="H4" s="74">
        <v>126.6041318984865</v>
      </c>
      <c r="I4" s="74">
        <v>7.326544069162576</v>
      </c>
      <c r="J4" s="68"/>
      <c r="P4" s="69"/>
      <c r="Q4" s="69"/>
      <c r="R4" s="69"/>
      <c r="S4" s="69"/>
      <c r="T4" s="69"/>
      <c r="U4" s="69"/>
      <c r="V4" s="69"/>
      <c r="W4" s="69"/>
    </row>
    <row r="5">
      <c r="A5" s="70">
        <v>10201.0</v>
      </c>
      <c r="B5" s="62" t="s">
        <v>27</v>
      </c>
      <c r="C5" s="63" t="s">
        <v>472</v>
      </c>
      <c r="D5" s="71">
        <v>10652.0</v>
      </c>
      <c r="E5" s="72">
        <v>7903.0</v>
      </c>
      <c r="F5" s="71">
        <v>3.0</v>
      </c>
      <c r="G5" s="73">
        <v>1.0</v>
      </c>
      <c r="H5" s="74">
        <v>28.16372512204281</v>
      </c>
      <c r="I5" s="74">
        <v>12.653422750854107</v>
      </c>
      <c r="J5" s="68"/>
      <c r="P5" s="69"/>
      <c r="Q5" s="69"/>
      <c r="R5" s="69"/>
      <c r="S5" s="69"/>
      <c r="T5" s="69"/>
      <c r="U5" s="69"/>
      <c r="V5" s="69"/>
      <c r="W5" s="69"/>
    </row>
    <row r="6">
      <c r="A6" s="70">
        <v>10202.0</v>
      </c>
      <c r="B6" s="62" t="s">
        <v>27</v>
      </c>
      <c r="C6" s="63" t="s">
        <v>40</v>
      </c>
      <c r="D6" s="71">
        <v>14261.0</v>
      </c>
      <c r="E6" s="72">
        <v>16812.0</v>
      </c>
      <c r="F6" s="71">
        <v>6.0</v>
      </c>
      <c r="G6" s="73">
        <v>0.0</v>
      </c>
      <c r="H6" s="74">
        <v>42.07278591964098</v>
      </c>
      <c r="I6" s="74">
        <v>0.0</v>
      </c>
      <c r="J6" s="68"/>
      <c r="P6" s="69"/>
      <c r="Q6" s="69"/>
      <c r="R6" s="69"/>
      <c r="S6" s="69"/>
      <c r="T6" s="69"/>
      <c r="U6" s="69"/>
      <c r="V6" s="69"/>
      <c r="W6" s="69"/>
    </row>
    <row r="7">
      <c r="A7" s="70">
        <v>10301.0</v>
      </c>
      <c r="B7" s="62" t="s">
        <v>27</v>
      </c>
      <c r="C7" s="63" t="s">
        <v>473</v>
      </c>
      <c r="D7" s="71">
        <v>11362.0</v>
      </c>
      <c r="E7" s="72">
        <v>13694.0</v>
      </c>
      <c r="F7" s="71">
        <v>4.0</v>
      </c>
      <c r="G7" s="73">
        <v>0.0</v>
      </c>
      <c r="H7" s="74">
        <v>35.205069530012324</v>
      </c>
      <c r="I7" s="74">
        <v>0.0</v>
      </c>
      <c r="J7" s="68"/>
      <c r="P7" s="69"/>
      <c r="Q7" s="69"/>
      <c r="R7" s="69"/>
      <c r="S7" s="69"/>
      <c r="T7" s="69"/>
      <c r="U7" s="69"/>
      <c r="V7" s="69"/>
      <c r="W7" s="69"/>
    </row>
    <row r="8">
      <c r="A8" s="70">
        <v>10302.0</v>
      </c>
      <c r="B8" s="62" t="s">
        <v>27</v>
      </c>
      <c r="C8" s="63" t="s">
        <v>42</v>
      </c>
      <c r="D8" s="71">
        <v>12385.0</v>
      </c>
      <c r="E8" s="72">
        <v>12539.0</v>
      </c>
      <c r="F8" s="71">
        <v>3.0</v>
      </c>
      <c r="G8" s="73">
        <v>0.0</v>
      </c>
      <c r="H8" s="74">
        <v>24.222850222042794</v>
      </c>
      <c r="I8" s="74">
        <v>0.0</v>
      </c>
      <c r="J8" s="68"/>
      <c r="P8" s="69"/>
      <c r="Q8" s="69"/>
      <c r="R8" s="69"/>
      <c r="S8" s="69"/>
      <c r="T8" s="69"/>
      <c r="U8" s="69"/>
      <c r="V8" s="69"/>
      <c r="W8" s="69"/>
    </row>
    <row r="9">
      <c r="A9" s="70">
        <v>10303.0</v>
      </c>
      <c r="B9" s="62" t="s">
        <v>27</v>
      </c>
      <c r="C9" s="63" t="s">
        <v>474</v>
      </c>
      <c r="D9" s="71">
        <v>8068.0</v>
      </c>
      <c r="E9" s="72">
        <v>9055.0</v>
      </c>
      <c r="F9" s="71">
        <v>0.0</v>
      </c>
      <c r="G9" s="73">
        <v>2.0</v>
      </c>
      <c r="H9" s="74">
        <v>0.0</v>
      </c>
      <c r="I9" s="74">
        <v>22.087244616234123</v>
      </c>
      <c r="J9" s="68"/>
      <c r="P9" s="69"/>
      <c r="Q9" s="69"/>
      <c r="R9" s="69"/>
      <c r="S9" s="69"/>
      <c r="T9" s="69"/>
      <c r="U9" s="69"/>
      <c r="V9" s="69"/>
      <c r="W9" s="69"/>
    </row>
    <row r="10">
      <c r="A10" s="70">
        <v>10304.0</v>
      </c>
      <c r="B10" s="62" t="s">
        <v>27</v>
      </c>
      <c r="C10" s="63" t="s">
        <v>44</v>
      </c>
      <c r="D10" s="71">
        <v>7774.0</v>
      </c>
      <c r="E10" s="72">
        <v>9155.0</v>
      </c>
      <c r="F10" s="71">
        <v>0.0</v>
      </c>
      <c r="G10" s="73">
        <v>3.0</v>
      </c>
      <c r="H10" s="74">
        <v>0.0</v>
      </c>
      <c r="I10" s="74">
        <v>32.76897870016384</v>
      </c>
      <c r="J10" s="68"/>
      <c r="P10" s="69"/>
      <c r="Q10" s="69"/>
      <c r="R10" s="69"/>
      <c r="S10" s="69"/>
      <c r="T10" s="69"/>
      <c r="U10" s="69"/>
      <c r="V10" s="69"/>
      <c r="W10" s="69"/>
    </row>
    <row r="11">
      <c r="A11" s="70">
        <v>10401.0</v>
      </c>
      <c r="B11" s="62" t="s">
        <v>27</v>
      </c>
      <c r="C11" s="63" t="s">
        <v>46</v>
      </c>
      <c r="D11" s="71">
        <v>10383.0</v>
      </c>
      <c r="E11" s="72">
        <v>9192.0</v>
      </c>
      <c r="F11" s="71">
        <v>0.0</v>
      </c>
      <c r="G11" s="73">
        <v>15.0</v>
      </c>
      <c r="H11" s="74">
        <v>0.0</v>
      </c>
      <c r="I11" s="74">
        <v>163.18537859007833</v>
      </c>
      <c r="J11" s="68"/>
      <c r="P11" s="69"/>
      <c r="Q11" s="69"/>
      <c r="R11" s="69"/>
      <c r="S11" s="69"/>
      <c r="T11" s="69"/>
      <c r="U11" s="69"/>
      <c r="V11" s="69"/>
      <c r="W11" s="69"/>
    </row>
    <row r="12">
      <c r="A12" s="70">
        <v>10402.0</v>
      </c>
      <c r="B12" s="62" t="s">
        <v>27</v>
      </c>
      <c r="C12" s="63" t="s">
        <v>45</v>
      </c>
      <c r="D12" s="71">
        <v>8494.0</v>
      </c>
      <c r="E12" s="72">
        <v>8509.0</v>
      </c>
      <c r="F12" s="71">
        <v>4.0</v>
      </c>
      <c r="G12" s="73">
        <v>0.0</v>
      </c>
      <c r="H12" s="74">
        <v>47.09206498704968</v>
      </c>
      <c r="I12" s="74">
        <v>0.0</v>
      </c>
      <c r="J12" s="68"/>
      <c r="P12" s="69"/>
      <c r="Q12" s="69"/>
      <c r="R12" s="69"/>
      <c r="S12" s="69"/>
      <c r="T12" s="69"/>
      <c r="U12" s="69"/>
      <c r="V12" s="69"/>
      <c r="W12" s="69"/>
    </row>
    <row r="13">
      <c r="A13" s="70">
        <v>10403.0</v>
      </c>
      <c r="B13" s="62" t="s">
        <v>27</v>
      </c>
      <c r="C13" s="63" t="s">
        <v>47</v>
      </c>
      <c r="D13" s="71">
        <v>7312.0</v>
      </c>
      <c r="E13" s="72">
        <v>6942.0</v>
      </c>
      <c r="F13" s="71">
        <v>1.0</v>
      </c>
      <c r="G13" s="73">
        <v>0.0</v>
      </c>
      <c r="H13" s="74">
        <v>13.676148796498905</v>
      </c>
      <c r="I13" s="74">
        <v>0.0</v>
      </c>
      <c r="J13" s="68"/>
      <c r="P13" s="69"/>
      <c r="Q13" s="69"/>
      <c r="R13" s="69"/>
      <c r="S13" s="69"/>
      <c r="T13" s="69"/>
      <c r="U13" s="69"/>
      <c r="V13" s="69"/>
      <c r="W13" s="69"/>
    </row>
    <row r="14">
      <c r="A14" s="70">
        <v>10404.0</v>
      </c>
      <c r="B14" s="62" t="s">
        <v>27</v>
      </c>
      <c r="C14" s="63" t="s">
        <v>475</v>
      </c>
      <c r="D14" s="71">
        <v>4902.0</v>
      </c>
      <c r="E14" s="72">
        <v>3768.0</v>
      </c>
      <c r="F14" s="71">
        <v>1.0</v>
      </c>
      <c r="G14" s="73">
        <v>0.0</v>
      </c>
      <c r="H14" s="74">
        <v>20.39983680130559</v>
      </c>
      <c r="I14" s="74">
        <v>0.0</v>
      </c>
      <c r="J14" s="68"/>
      <c r="P14" s="69"/>
      <c r="Q14" s="69"/>
      <c r="R14" s="69"/>
      <c r="S14" s="69"/>
      <c r="T14" s="69"/>
      <c r="U14" s="69"/>
      <c r="V14" s="69"/>
      <c r="W14" s="69"/>
    </row>
    <row r="15">
      <c r="A15" s="70">
        <v>10405.0</v>
      </c>
      <c r="B15" s="62" t="s">
        <v>27</v>
      </c>
      <c r="C15" s="63" t="s">
        <v>49</v>
      </c>
      <c r="D15" s="71">
        <v>4465.0</v>
      </c>
      <c r="E15" s="72">
        <v>5654.0</v>
      </c>
      <c r="F15" s="71">
        <v>0.0</v>
      </c>
      <c r="G15" s="73">
        <v>0.0</v>
      </c>
      <c r="H15" s="74">
        <v>0.0</v>
      </c>
      <c r="I15" s="74">
        <v>0.0</v>
      </c>
      <c r="J15" s="68"/>
      <c r="K15" s="68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</row>
    <row r="16">
      <c r="A16" s="70">
        <v>10501.0</v>
      </c>
      <c r="B16" s="62" t="s">
        <v>27</v>
      </c>
      <c r="C16" s="63" t="s">
        <v>51</v>
      </c>
      <c r="D16" s="71">
        <v>24303.0</v>
      </c>
      <c r="E16" s="72">
        <v>24546.0</v>
      </c>
      <c r="F16" s="71">
        <v>13.0</v>
      </c>
      <c r="G16" s="73">
        <v>7.0</v>
      </c>
      <c r="H16" s="74">
        <v>53.491338517878454</v>
      </c>
      <c r="I16" s="74">
        <v>28.51788478774546</v>
      </c>
      <c r="J16" s="68"/>
      <c r="K16" s="68"/>
      <c r="L16" s="69"/>
      <c r="M16" s="69"/>
      <c r="N16" s="69"/>
      <c r="O16" s="77" t="s">
        <v>477</v>
      </c>
      <c r="P16" s="77" t="s">
        <v>478</v>
      </c>
      <c r="Q16" s="77">
        <v>2012.0</v>
      </c>
      <c r="R16" s="77">
        <v>2024.0</v>
      </c>
      <c r="S16" s="69"/>
      <c r="T16" s="69"/>
      <c r="U16" s="69"/>
      <c r="V16" s="69"/>
      <c r="W16" s="69"/>
    </row>
    <row r="17">
      <c r="A17" s="70">
        <v>10502.0</v>
      </c>
      <c r="B17" s="62" t="s">
        <v>27</v>
      </c>
      <c r="C17" s="63" t="s">
        <v>479</v>
      </c>
      <c r="D17" s="71">
        <v>8349.0</v>
      </c>
      <c r="E17" s="72">
        <v>7200.0</v>
      </c>
      <c r="F17" s="71">
        <v>8.0</v>
      </c>
      <c r="G17" s="73">
        <v>0.0</v>
      </c>
      <c r="H17" s="74">
        <v>95.81985866570847</v>
      </c>
      <c r="I17" s="74">
        <v>0.0</v>
      </c>
      <c r="J17" s="68"/>
      <c r="K17" s="78">
        <v>1.0</v>
      </c>
      <c r="L17" s="62" t="s">
        <v>27</v>
      </c>
      <c r="M17" s="79">
        <f t="shared" ref="M17:M20" si="2">VLOOKUP(L17,$K$3:$O$13,2,FALSE)</f>
        <v>581347</v>
      </c>
      <c r="N17" s="79">
        <f t="shared" ref="N17:N20" si="3">VLOOKUP(L17,$K$3:$O$13,3,FALSE)</f>
        <v>606027</v>
      </c>
      <c r="O17" s="79">
        <f t="shared" ref="O17:O20" si="4">VLOOKUP(L17,$K$3:$O$13,4,FALSE)</f>
        <v>171</v>
      </c>
      <c r="P17" s="80">
        <f t="shared" ref="P17:P20" si="5">VLOOKUP(L17,$K$3:$O$13,5,FALSE)</f>
        <v>285</v>
      </c>
      <c r="Q17" s="76">
        <f t="shared" ref="Q17:R17" si="1">O17*100000/M17</f>
        <v>29.41444611</v>
      </c>
      <c r="R17" s="76">
        <f t="shared" si="1"/>
        <v>47.02760768</v>
      </c>
      <c r="S17" s="69"/>
      <c r="T17" s="69"/>
      <c r="U17" s="69"/>
      <c r="V17" s="69"/>
      <c r="W17" s="69"/>
    </row>
    <row r="18">
      <c r="A18" s="70">
        <v>10601.0</v>
      </c>
      <c r="B18" s="62" t="s">
        <v>27</v>
      </c>
      <c r="C18" s="63" t="s">
        <v>54</v>
      </c>
      <c r="D18" s="71">
        <v>16944.0</v>
      </c>
      <c r="E18" s="72">
        <v>13323.0</v>
      </c>
      <c r="F18" s="71">
        <v>3.0</v>
      </c>
      <c r="G18" s="73">
        <v>2.0</v>
      </c>
      <c r="H18" s="74">
        <v>17.705382436260624</v>
      </c>
      <c r="I18" s="74">
        <v>15.011634016362681</v>
      </c>
      <c r="J18" s="68"/>
      <c r="K18" s="78">
        <v>2.0</v>
      </c>
      <c r="L18" s="62" t="s">
        <v>70</v>
      </c>
      <c r="M18" s="79">
        <f t="shared" si="2"/>
        <v>2719344</v>
      </c>
      <c r="N18" s="79">
        <f t="shared" si="3"/>
        <v>3030917</v>
      </c>
      <c r="O18" s="79">
        <f t="shared" si="4"/>
        <v>828</v>
      </c>
      <c r="P18" s="80">
        <f t="shared" si="5"/>
        <v>1691</v>
      </c>
      <c r="Q18" s="76">
        <f t="shared" ref="Q18:R18" si="6">O18*100000/M18</f>
        <v>30.44851994</v>
      </c>
      <c r="R18" s="76">
        <f t="shared" si="6"/>
        <v>55.79169604</v>
      </c>
      <c r="S18" s="69"/>
      <c r="T18" s="69"/>
      <c r="U18" s="69"/>
      <c r="V18" s="69"/>
      <c r="W18" s="69"/>
    </row>
    <row r="19">
      <c r="A19" s="70">
        <v>10602.0</v>
      </c>
      <c r="B19" s="62" t="s">
        <v>27</v>
      </c>
      <c r="C19" s="63" t="s">
        <v>53</v>
      </c>
      <c r="D19" s="71">
        <v>10111.0</v>
      </c>
      <c r="E19" s="72">
        <v>8480.0</v>
      </c>
      <c r="F19" s="71">
        <v>5.0</v>
      </c>
      <c r="G19" s="73">
        <v>2.0</v>
      </c>
      <c r="H19" s="74">
        <v>49.45109286915241</v>
      </c>
      <c r="I19" s="74">
        <v>23.58490566037736</v>
      </c>
      <c r="J19" s="68"/>
      <c r="K19" s="78">
        <v>3.0</v>
      </c>
      <c r="L19" s="81" t="s">
        <v>176</v>
      </c>
      <c r="M19" s="79">
        <f t="shared" si="2"/>
        <v>1789661</v>
      </c>
      <c r="N19" s="79">
        <f t="shared" si="3"/>
        <v>2016357</v>
      </c>
      <c r="O19" s="79">
        <f t="shared" si="4"/>
        <v>711</v>
      </c>
      <c r="P19" s="80">
        <f t="shared" si="5"/>
        <v>1265</v>
      </c>
      <c r="Q19" s="76">
        <f t="shared" ref="Q19:R19" si="7">O19*100000/M19</f>
        <v>39.72819433</v>
      </c>
      <c r="R19" s="76">
        <f t="shared" si="7"/>
        <v>62.73690621</v>
      </c>
      <c r="S19" s="69"/>
      <c r="T19" s="69"/>
      <c r="U19" s="69"/>
      <c r="V19" s="69"/>
      <c r="W19" s="69"/>
    </row>
    <row r="20">
      <c r="A20" s="70">
        <v>10701.0</v>
      </c>
      <c r="B20" s="62" t="s">
        <v>27</v>
      </c>
      <c r="C20" s="63" t="s">
        <v>56</v>
      </c>
      <c r="D20" s="71">
        <v>15644.0</v>
      </c>
      <c r="E20" s="72">
        <v>14713.0</v>
      </c>
      <c r="F20" s="71">
        <v>4.0</v>
      </c>
      <c r="G20" s="73">
        <v>9.0</v>
      </c>
      <c r="H20" s="74">
        <v>25.568908207619536</v>
      </c>
      <c r="I20" s="74">
        <v>61.17039352953171</v>
      </c>
      <c r="J20" s="68"/>
      <c r="K20" s="78">
        <v>4.0</v>
      </c>
      <c r="L20" s="62" t="s">
        <v>230</v>
      </c>
      <c r="M20" s="79">
        <f t="shared" si="2"/>
        <v>494587</v>
      </c>
      <c r="N20" s="79">
        <f t="shared" si="3"/>
        <v>571471</v>
      </c>
      <c r="O20" s="79">
        <f t="shared" si="4"/>
        <v>80</v>
      </c>
      <c r="P20" s="80">
        <f t="shared" si="5"/>
        <v>221</v>
      </c>
      <c r="Q20" s="76">
        <f t="shared" ref="Q20:R20" si="8">O20*100000/M20</f>
        <v>16.17511176</v>
      </c>
      <c r="R20" s="76">
        <f t="shared" si="8"/>
        <v>38.67212859</v>
      </c>
      <c r="S20" s="69"/>
      <c r="T20" s="69"/>
      <c r="U20" s="69"/>
      <c r="V20" s="69"/>
      <c r="W20" s="69"/>
    </row>
    <row r="21">
      <c r="A21" s="70">
        <v>10702.0</v>
      </c>
      <c r="B21" s="62" t="s">
        <v>27</v>
      </c>
      <c r="C21" s="63" t="s">
        <v>57</v>
      </c>
      <c r="D21" s="71">
        <v>32520.0</v>
      </c>
      <c r="E21" s="72">
        <v>26715.0</v>
      </c>
      <c r="F21" s="71">
        <v>8.0</v>
      </c>
      <c r="G21" s="73">
        <v>13.0</v>
      </c>
      <c r="H21" s="74">
        <v>24.600246002460025</v>
      </c>
      <c r="I21" s="74">
        <v>48.661800486618006</v>
      </c>
      <c r="J21" s="68"/>
      <c r="K21" s="78">
        <v>5.0</v>
      </c>
      <c r="L21" s="62" t="s">
        <v>480</v>
      </c>
      <c r="M21" s="79">
        <v>878081.0</v>
      </c>
      <c r="N21" s="79">
        <v>861292.0</v>
      </c>
      <c r="O21" s="79">
        <v>528.0</v>
      </c>
      <c r="P21" s="80">
        <v>611.0</v>
      </c>
      <c r="Q21" s="76">
        <f t="shared" ref="Q21:R21" si="9">O21*100000/M21</f>
        <v>60.13112686</v>
      </c>
      <c r="R21" s="76">
        <f t="shared" si="9"/>
        <v>70.93993675</v>
      </c>
      <c r="S21" s="69"/>
      <c r="T21" s="69"/>
      <c r="U21" s="69"/>
      <c r="V21" s="69"/>
      <c r="W21" s="69"/>
    </row>
    <row r="22">
      <c r="A22" s="70">
        <v>10703.0</v>
      </c>
      <c r="B22" s="62" t="s">
        <v>27</v>
      </c>
      <c r="C22" s="63" t="s">
        <v>58</v>
      </c>
      <c r="D22" s="71">
        <v>13056.0</v>
      </c>
      <c r="E22" s="72">
        <v>16484.0</v>
      </c>
      <c r="F22" s="71">
        <v>0.0</v>
      </c>
      <c r="G22" s="73">
        <v>6.0</v>
      </c>
      <c r="H22" s="74">
        <v>0.0</v>
      </c>
      <c r="I22" s="74">
        <v>36.39893229798592</v>
      </c>
      <c r="J22" s="68"/>
      <c r="K22" s="78">
        <v>6.0</v>
      </c>
      <c r="L22" s="62" t="s">
        <v>333</v>
      </c>
      <c r="M22" s="79">
        <f t="shared" ref="M22:M23" si="11">VLOOKUP(L22,$K$3:$O$13,2,FALSE)</f>
        <v>483518</v>
      </c>
      <c r="N22" s="79">
        <f t="shared" ref="N22:N23" si="12">VLOOKUP(L22,$K$3:$O$13,3,FALSE)</f>
        <v>534210</v>
      </c>
      <c r="O22" s="79">
        <f t="shared" ref="O22:O23" si="13">VLOOKUP(L22,$K$3:$O$13,4,FALSE)</f>
        <v>122</v>
      </c>
      <c r="P22" s="80">
        <f t="shared" ref="P22:P23" si="14">VLOOKUP(L22,$K$3:$O$13,5,FALSE)</f>
        <v>122</v>
      </c>
      <c r="Q22" s="76">
        <f t="shared" ref="Q22:R22" si="10">O22*100000/M22</f>
        <v>25.23173905</v>
      </c>
      <c r="R22" s="76">
        <f t="shared" si="10"/>
        <v>22.83746092</v>
      </c>
      <c r="S22" s="69"/>
      <c r="T22" s="69"/>
      <c r="U22" s="69"/>
      <c r="V22" s="69"/>
      <c r="W22" s="69"/>
    </row>
    <row r="23">
      <c r="A23" s="70">
        <v>10704.0</v>
      </c>
      <c r="B23" s="62" t="s">
        <v>27</v>
      </c>
      <c r="C23" s="63" t="s">
        <v>59</v>
      </c>
      <c r="D23" s="71">
        <v>16150.0</v>
      </c>
      <c r="E23" s="72">
        <v>14282.0</v>
      </c>
      <c r="F23" s="71">
        <v>1.0</v>
      </c>
      <c r="G23" s="73">
        <v>14.0</v>
      </c>
      <c r="H23" s="74">
        <v>6.191950464396285</v>
      </c>
      <c r="I23" s="74">
        <v>98.02548662652289</v>
      </c>
      <c r="J23" s="68"/>
      <c r="K23" s="78">
        <v>7.0</v>
      </c>
      <c r="L23" s="62" t="s">
        <v>348</v>
      </c>
      <c r="M23" s="79">
        <f t="shared" si="11"/>
        <v>2657762</v>
      </c>
      <c r="N23" s="79">
        <f t="shared" si="12"/>
        <v>3122605</v>
      </c>
      <c r="O23" s="79">
        <f t="shared" si="13"/>
        <v>733</v>
      </c>
      <c r="P23" s="80">
        <f t="shared" si="14"/>
        <v>1060</v>
      </c>
      <c r="Q23" s="76">
        <f t="shared" ref="Q23:R23" si="15">O23*100000/M23</f>
        <v>27.57959516</v>
      </c>
      <c r="R23" s="76">
        <f t="shared" si="15"/>
        <v>33.94601623</v>
      </c>
      <c r="S23" s="69"/>
      <c r="T23" s="69"/>
      <c r="U23" s="69"/>
      <c r="V23" s="69"/>
      <c r="W23" s="69"/>
    </row>
    <row r="24">
      <c r="A24" s="70">
        <v>10801.0</v>
      </c>
      <c r="B24" s="62" t="s">
        <v>27</v>
      </c>
      <c r="C24" s="63" t="s">
        <v>61</v>
      </c>
      <c r="D24" s="71">
        <v>11161.0</v>
      </c>
      <c r="E24" s="72">
        <v>9107.0</v>
      </c>
      <c r="F24" s="71">
        <v>8.0</v>
      </c>
      <c r="G24" s="73">
        <v>2.0</v>
      </c>
      <c r="H24" s="74">
        <v>71.678165038975</v>
      </c>
      <c r="I24" s="74">
        <v>21.961128802020426</v>
      </c>
      <c r="J24" s="68"/>
      <c r="K24" s="78">
        <v>8.0</v>
      </c>
      <c r="L24" s="62" t="s">
        <v>481</v>
      </c>
      <c r="M24" s="79">
        <v>441784.5</v>
      </c>
      <c r="N24" s="79">
        <v>488260.0</v>
      </c>
      <c r="O24" s="79">
        <v>176.0</v>
      </c>
      <c r="P24" s="80">
        <v>263.0</v>
      </c>
      <c r="Q24" s="76">
        <f t="shared" ref="Q24:R24" si="16">O24*100000/M24</f>
        <v>39.83842801</v>
      </c>
      <c r="R24" s="76">
        <f t="shared" si="16"/>
        <v>53.86474419</v>
      </c>
      <c r="S24" s="69"/>
      <c r="T24" s="69"/>
      <c r="U24" s="69"/>
      <c r="V24" s="69"/>
      <c r="W24" s="69"/>
    </row>
    <row r="25">
      <c r="A25" s="70">
        <v>10901.0</v>
      </c>
      <c r="B25" s="62" t="s">
        <v>27</v>
      </c>
      <c r="C25" s="63" t="s">
        <v>63</v>
      </c>
      <c r="D25" s="71">
        <v>3514.0</v>
      </c>
      <c r="E25" s="72">
        <v>5375.0</v>
      </c>
      <c r="F25" s="71">
        <v>0.0</v>
      </c>
      <c r="G25" s="73">
        <v>0.0</v>
      </c>
      <c r="H25" s="74">
        <v>0.0</v>
      </c>
      <c r="I25" s="74">
        <v>0.0</v>
      </c>
      <c r="J25" s="68"/>
      <c r="K25" s="78">
        <v>9.0</v>
      </c>
      <c r="L25" s="62" t="s">
        <v>442</v>
      </c>
      <c r="M25" s="79">
        <f>VLOOKUP(L25,$K$3:$O$13,2,FALSE)</f>
        <v>110436</v>
      </c>
      <c r="N25" s="79">
        <f>VLOOKUP(L25,$K$3:$O$13,3,FALSE)</f>
        <v>134194</v>
      </c>
      <c r="O25" s="79">
        <f>VLOOKUP(L25,$K$3:$O$13,4,FALSE)</f>
        <v>72</v>
      </c>
      <c r="P25" s="80">
        <f>VLOOKUP(L25,$K$3:$O$13,5,FALSE)</f>
        <v>58</v>
      </c>
      <c r="Q25" s="76">
        <f t="shared" ref="Q25:R25" si="17">O25*100000/M25</f>
        <v>65.1961317</v>
      </c>
      <c r="R25" s="76">
        <f t="shared" si="17"/>
        <v>43.22100839</v>
      </c>
      <c r="S25" s="69"/>
      <c r="T25" s="69"/>
      <c r="U25" s="69"/>
      <c r="V25" s="69"/>
      <c r="W25" s="69"/>
    </row>
    <row r="26">
      <c r="A26" s="70">
        <v>10902.0</v>
      </c>
      <c r="B26" s="62" t="s">
        <v>27</v>
      </c>
      <c r="C26" s="63" t="s">
        <v>64</v>
      </c>
      <c r="D26" s="71">
        <v>17731.0</v>
      </c>
      <c r="E26" s="72">
        <v>14848.0</v>
      </c>
      <c r="F26" s="71">
        <v>0.0</v>
      </c>
      <c r="G26" s="73">
        <v>0.0</v>
      </c>
      <c r="H26" s="74">
        <v>0.0</v>
      </c>
      <c r="I26" s="74">
        <v>0.0</v>
      </c>
      <c r="J26" s="68"/>
      <c r="K26" s="82">
        <v>10.0</v>
      </c>
      <c r="L26" s="82" t="s">
        <v>482</v>
      </c>
      <c r="M26" s="79">
        <v>147478.0</v>
      </c>
      <c r="N26" s="79">
        <v>159264.0</v>
      </c>
      <c r="O26" s="79">
        <v>34.0</v>
      </c>
      <c r="P26" s="79">
        <v>24.0</v>
      </c>
      <c r="Q26" s="76">
        <f t="shared" ref="Q26:R26" si="18">O26*100000/M26</f>
        <v>23.05428606</v>
      </c>
      <c r="R26" s="76">
        <f t="shared" si="18"/>
        <v>15.06931887</v>
      </c>
      <c r="S26" s="69"/>
      <c r="T26" s="69"/>
      <c r="U26" s="69"/>
      <c r="V26" s="69"/>
      <c r="W26" s="69"/>
    </row>
    <row r="27">
      <c r="A27" s="70">
        <v>10903.0</v>
      </c>
      <c r="B27" s="62" t="s">
        <v>27</v>
      </c>
      <c r="C27" s="63" t="s">
        <v>65</v>
      </c>
      <c r="D27" s="71">
        <v>4088.0</v>
      </c>
      <c r="E27" s="72">
        <v>5016.0</v>
      </c>
      <c r="F27" s="71">
        <v>0.0</v>
      </c>
      <c r="G27" s="73">
        <v>0.0</v>
      </c>
      <c r="H27" s="74">
        <v>0.0</v>
      </c>
      <c r="I27" s="74">
        <v>0.0</v>
      </c>
      <c r="J27" s="68"/>
      <c r="K27" s="82">
        <v>11.0</v>
      </c>
      <c r="L27" s="82" t="s">
        <v>21</v>
      </c>
      <c r="M27" s="83">
        <v>1.0059856E7</v>
      </c>
      <c r="N27" s="79">
        <v>1.1365333E7</v>
      </c>
      <c r="O27" s="80">
        <v>3411.0</v>
      </c>
      <c r="P27" s="80">
        <v>5576.0</v>
      </c>
      <c r="Q27" s="76">
        <f t="shared" ref="Q27:R27" si="19">O27*100000/M27</f>
        <v>33.90704599</v>
      </c>
      <c r="R27" s="76">
        <f t="shared" si="19"/>
        <v>49.06147493</v>
      </c>
      <c r="S27" s="69"/>
      <c r="T27" s="69"/>
      <c r="U27" s="69"/>
      <c r="V27" s="69"/>
      <c r="W27" s="69"/>
    </row>
    <row r="28">
      <c r="A28" s="70">
        <v>11001.0</v>
      </c>
      <c r="B28" s="62" t="s">
        <v>27</v>
      </c>
      <c r="C28" s="63" t="s">
        <v>483</v>
      </c>
      <c r="D28" s="71">
        <v>9720.0</v>
      </c>
      <c r="E28" s="72">
        <v>13282.0</v>
      </c>
      <c r="F28" s="71">
        <v>2.0</v>
      </c>
      <c r="G28" s="73">
        <v>24.0</v>
      </c>
      <c r="H28" s="74">
        <v>20.5761316872428</v>
      </c>
      <c r="I28" s="74">
        <v>180.69567836169253</v>
      </c>
      <c r="J28" s="68"/>
      <c r="K28" s="68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</row>
    <row r="29">
      <c r="A29" s="70">
        <v>11002.0</v>
      </c>
      <c r="B29" s="62" t="s">
        <v>27</v>
      </c>
      <c r="C29" s="63" t="s">
        <v>484</v>
      </c>
      <c r="D29" s="71">
        <v>2541.0</v>
      </c>
      <c r="E29" s="72">
        <v>2547.0</v>
      </c>
      <c r="F29" s="71">
        <v>0.0</v>
      </c>
      <c r="G29" s="73">
        <v>1.0</v>
      </c>
      <c r="H29" s="74">
        <v>0.0</v>
      </c>
      <c r="I29" s="74">
        <v>39.2618767177071</v>
      </c>
      <c r="J29" s="68"/>
      <c r="K29" s="68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</row>
    <row r="30">
      <c r="A30" s="70">
        <v>11003.0</v>
      </c>
      <c r="B30" s="62" t="s">
        <v>27</v>
      </c>
      <c r="C30" s="63" t="s">
        <v>69</v>
      </c>
      <c r="D30" s="71">
        <v>7418.0</v>
      </c>
      <c r="E30" s="72">
        <v>7235.0</v>
      </c>
      <c r="F30" s="71">
        <v>0.0</v>
      </c>
      <c r="G30" s="73">
        <v>4.0</v>
      </c>
      <c r="H30" s="74">
        <v>0.0</v>
      </c>
      <c r="I30" s="74">
        <v>55.286800276434</v>
      </c>
      <c r="J30" s="68"/>
      <c r="K30" s="68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</row>
    <row r="31">
      <c r="A31" s="70">
        <v>20101.0</v>
      </c>
      <c r="B31" s="62" t="s">
        <v>70</v>
      </c>
      <c r="C31" s="63" t="s">
        <v>72</v>
      </c>
      <c r="D31" s="71">
        <v>766468.0</v>
      </c>
      <c r="E31" s="72">
        <v>757431.0</v>
      </c>
      <c r="F31" s="71">
        <v>130.0</v>
      </c>
      <c r="G31" s="73">
        <v>142.0</v>
      </c>
      <c r="H31" s="74">
        <v>16.960916828882613</v>
      </c>
      <c r="I31" s="74">
        <v>18.747582288023594</v>
      </c>
      <c r="J31" s="68"/>
      <c r="K31" s="68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</row>
    <row r="32">
      <c r="A32" s="70">
        <v>20102.0</v>
      </c>
      <c r="B32" s="84" t="s">
        <v>70</v>
      </c>
      <c r="C32" s="63" t="s">
        <v>73</v>
      </c>
      <c r="D32" s="71">
        <v>16622.0</v>
      </c>
      <c r="E32" s="72">
        <v>21729.0</v>
      </c>
      <c r="F32" s="71">
        <v>2.0</v>
      </c>
      <c r="G32" s="73">
        <v>7.0</v>
      </c>
      <c r="H32" s="74">
        <v>12.03224642040669</v>
      </c>
      <c r="I32" s="74">
        <v>32.21501219568319</v>
      </c>
      <c r="J32" s="68"/>
      <c r="K32" s="68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</row>
    <row r="33">
      <c r="A33" s="70">
        <v>20103.0</v>
      </c>
      <c r="B33" s="84" t="s">
        <v>70</v>
      </c>
      <c r="C33" s="63" t="s">
        <v>74</v>
      </c>
      <c r="D33" s="71">
        <v>16086.0</v>
      </c>
      <c r="E33" s="72">
        <v>20446.0</v>
      </c>
      <c r="F33" s="71">
        <v>5.0</v>
      </c>
      <c r="G33" s="73">
        <v>5.0</v>
      </c>
      <c r="H33" s="74">
        <v>31.082929255253013</v>
      </c>
      <c r="I33" s="74">
        <v>24.45466105839773</v>
      </c>
      <c r="J33" s="68"/>
      <c r="K33" s="68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</row>
    <row r="34">
      <c r="A34" s="70">
        <v>20104.0</v>
      </c>
      <c r="B34" s="84" t="s">
        <v>70</v>
      </c>
      <c r="C34" s="63" t="s">
        <v>75</v>
      </c>
      <c r="D34" s="71">
        <v>22179.0</v>
      </c>
      <c r="E34" s="72">
        <v>46188.0</v>
      </c>
      <c r="F34" s="71">
        <v>17.0</v>
      </c>
      <c r="G34" s="73">
        <v>74.0</v>
      </c>
      <c r="H34" s="74">
        <v>76.6490824653952</v>
      </c>
      <c r="I34" s="74">
        <v>160.21477440027712</v>
      </c>
      <c r="J34" s="68"/>
      <c r="K34" s="68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</row>
    <row r="35">
      <c r="A35" s="70">
        <v>20105.0</v>
      </c>
      <c r="B35" s="84" t="s">
        <v>70</v>
      </c>
      <c r="C35" s="63" t="s">
        <v>76</v>
      </c>
      <c r="D35" s="71">
        <v>848452.0</v>
      </c>
      <c r="E35" s="72">
        <v>885825.0</v>
      </c>
      <c r="F35" s="71">
        <v>291.0</v>
      </c>
      <c r="G35" s="73">
        <v>247.0</v>
      </c>
      <c r="H35" s="74">
        <v>34.2977563845686</v>
      </c>
      <c r="I35" s="74">
        <v>27.8836113227782</v>
      </c>
      <c r="J35" s="68"/>
      <c r="K35" s="68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</row>
    <row r="36">
      <c r="A36" s="70">
        <v>20201.0</v>
      </c>
      <c r="B36" s="84" t="s">
        <v>70</v>
      </c>
      <c r="C36" s="63" t="s">
        <v>78</v>
      </c>
      <c r="D36" s="71">
        <v>46058.0</v>
      </c>
      <c r="E36" s="72">
        <v>47257.0</v>
      </c>
      <c r="F36" s="71">
        <v>4.0</v>
      </c>
      <c r="G36" s="73">
        <v>78.0</v>
      </c>
      <c r="H36" s="74">
        <v>8.684701897607365</v>
      </c>
      <c r="I36" s="74">
        <v>165.05491249973548</v>
      </c>
      <c r="J36" s="68"/>
      <c r="K36" s="68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</row>
    <row r="37">
      <c r="A37" s="70">
        <v>20202.0</v>
      </c>
      <c r="B37" s="84" t="s">
        <v>70</v>
      </c>
      <c r="C37" s="63" t="s">
        <v>485</v>
      </c>
      <c r="D37" s="71">
        <v>13136.0</v>
      </c>
      <c r="E37" s="72">
        <v>16953.0</v>
      </c>
      <c r="F37" s="71">
        <v>9.0</v>
      </c>
      <c r="G37" s="73">
        <v>38.0</v>
      </c>
      <c r="H37" s="74">
        <v>68.51400730816079</v>
      </c>
      <c r="I37" s="74">
        <v>224.1491181501799</v>
      </c>
      <c r="J37" s="68"/>
      <c r="K37" s="68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</row>
    <row r="38">
      <c r="A38" s="70">
        <v>20203.0</v>
      </c>
      <c r="B38" s="84" t="s">
        <v>70</v>
      </c>
      <c r="C38" s="63" t="s">
        <v>83</v>
      </c>
      <c r="D38" s="71">
        <v>5003.0</v>
      </c>
      <c r="E38" s="72">
        <v>7226.0</v>
      </c>
      <c r="F38" s="71">
        <v>1.0</v>
      </c>
      <c r="G38" s="73">
        <v>13.0</v>
      </c>
      <c r="H38" s="74">
        <v>19.98800719568259</v>
      </c>
      <c r="I38" s="74">
        <v>179.90589537780238</v>
      </c>
      <c r="J38" s="68"/>
      <c r="K38" s="68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</row>
    <row r="39">
      <c r="A39" s="70">
        <v>20204.0</v>
      </c>
      <c r="B39" s="84" t="s">
        <v>70</v>
      </c>
      <c r="C39" s="63" t="s">
        <v>80</v>
      </c>
      <c r="D39" s="71">
        <v>7948.0</v>
      </c>
      <c r="E39" s="72">
        <v>8679.0</v>
      </c>
      <c r="F39" s="71">
        <v>0.0</v>
      </c>
      <c r="G39" s="73">
        <v>25.0</v>
      </c>
      <c r="H39" s="74">
        <v>0.0</v>
      </c>
      <c r="I39" s="74">
        <v>288.05161885009795</v>
      </c>
      <c r="J39" s="68"/>
      <c r="K39" s="68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</row>
    <row r="40">
      <c r="A40" s="70">
        <v>20205.0</v>
      </c>
      <c r="B40" s="84" t="s">
        <v>70</v>
      </c>
      <c r="C40" s="63" t="s">
        <v>81</v>
      </c>
      <c r="D40" s="71">
        <v>8562.0</v>
      </c>
      <c r="E40" s="72">
        <v>9287.0</v>
      </c>
      <c r="F40" s="71">
        <v>1.0</v>
      </c>
      <c r="G40" s="73">
        <v>8.0</v>
      </c>
      <c r="H40" s="74">
        <v>11.6795141322121</v>
      </c>
      <c r="I40" s="74">
        <v>86.14191881124152</v>
      </c>
      <c r="J40" s="68"/>
      <c r="K40" s="68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</row>
    <row r="41">
      <c r="A41" s="70">
        <v>20206.0</v>
      </c>
      <c r="B41" s="84" t="s">
        <v>70</v>
      </c>
      <c r="C41" s="63" t="s">
        <v>82</v>
      </c>
      <c r="D41" s="71">
        <v>3927.0</v>
      </c>
      <c r="E41" s="72">
        <v>5118.0</v>
      </c>
      <c r="F41" s="71">
        <v>0.0</v>
      </c>
      <c r="G41" s="73">
        <v>10.0</v>
      </c>
      <c r="H41" s="74">
        <v>0.0</v>
      </c>
      <c r="I41" s="74">
        <v>195.38882375928097</v>
      </c>
      <c r="J41" s="68"/>
      <c r="K41" s="68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</row>
    <row r="42">
      <c r="A42" s="70">
        <v>20301.0</v>
      </c>
      <c r="B42" s="84" t="s">
        <v>70</v>
      </c>
      <c r="C42" s="63" t="s">
        <v>486</v>
      </c>
      <c r="D42" s="71">
        <v>10647.0</v>
      </c>
      <c r="E42" s="72">
        <v>13551.0</v>
      </c>
      <c r="F42" s="71">
        <v>1.0</v>
      </c>
      <c r="G42" s="73">
        <v>5.0</v>
      </c>
      <c r="H42" s="74">
        <v>9.392317084624777</v>
      </c>
      <c r="I42" s="74">
        <v>36.897645930189654</v>
      </c>
      <c r="J42" s="68"/>
      <c r="K42" s="68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</row>
    <row r="43">
      <c r="A43" s="70">
        <v>20302.0</v>
      </c>
      <c r="B43" s="84" t="s">
        <v>70</v>
      </c>
      <c r="C43" s="63" t="s">
        <v>86</v>
      </c>
      <c r="D43" s="71">
        <v>14687.0</v>
      </c>
      <c r="E43" s="72">
        <v>15570.0</v>
      </c>
      <c r="F43" s="71">
        <v>1.0</v>
      </c>
      <c r="G43" s="73">
        <v>6.0</v>
      </c>
      <c r="H43" s="74">
        <v>6.808742425274052</v>
      </c>
      <c r="I43" s="74">
        <v>38.53564547206166</v>
      </c>
      <c r="J43" s="68"/>
      <c r="K43" s="68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</row>
    <row r="44">
      <c r="A44" s="70">
        <v>20303.0</v>
      </c>
      <c r="B44" s="84" t="s">
        <v>70</v>
      </c>
      <c r="C44" s="63" t="s">
        <v>87</v>
      </c>
      <c r="D44" s="71">
        <v>9879.0</v>
      </c>
      <c r="E44" s="72">
        <v>12219.0</v>
      </c>
      <c r="F44" s="71">
        <v>3.0</v>
      </c>
      <c r="G44" s="73">
        <v>10.0</v>
      </c>
      <c r="H44" s="74">
        <v>30.367446097783176</v>
      </c>
      <c r="I44" s="74">
        <v>81.83975775431705</v>
      </c>
      <c r="J44" s="68"/>
      <c r="K44" s="68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</row>
    <row r="45">
      <c r="A45" s="70">
        <v>20304.0</v>
      </c>
      <c r="B45" s="84" t="s">
        <v>70</v>
      </c>
      <c r="C45" s="63" t="s">
        <v>88</v>
      </c>
      <c r="D45" s="71">
        <v>3880.0</v>
      </c>
      <c r="E45" s="72">
        <v>5238.0</v>
      </c>
      <c r="F45" s="71">
        <v>7.0</v>
      </c>
      <c r="G45" s="73">
        <v>0.0</v>
      </c>
      <c r="H45" s="74">
        <v>180.41237113402062</v>
      </c>
      <c r="I45" s="74">
        <v>0.0</v>
      </c>
      <c r="J45" s="68"/>
      <c r="K45" s="68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</row>
    <row r="46">
      <c r="A46" s="70">
        <v>20305.0</v>
      </c>
      <c r="B46" s="84" t="s">
        <v>70</v>
      </c>
      <c r="C46" s="63" t="s">
        <v>89</v>
      </c>
      <c r="D46" s="71">
        <v>3246.0</v>
      </c>
      <c r="E46" s="72">
        <v>4221.0</v>
      </c>
      <c r="F46" s="71">
        <v>0.0</v>
      </c>
      <c r="G46" s="73">
        <v>1.0</v>
      </c>
      <c r="H46" s="74">
        <v>0.0</v>
      </c>
      <c r="I46" s="74">
        <v>23.69106846718787</v>
      </c>
      <c r="J46" s="68"/>
      <c r="K46" s="68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</row>
    <row r="47">
      <c r="A47" s="70">
        <v>20306.0</v>
      </c>
      <c r="B47" s="84" t="s">
        <v>70</v>
      </c>
      <c r="C47" s="63" t="s">
        <v>487</v>
      </c>
      <c r="D47" s="71">
        <v>5069.0</v>
      </c>
      <c r="E47" s="72">
        <v>6442.0</v>
      </c>
      <c r="F47" s="71">
        <v>0.0</v>
      </c>
      <c r="G47" s="73">
        <v>5.0</v>
      </c>
      <c r="H47" s="74">
        <v>0.0</v>
      </c>
      <c r="I47" s="74">
        <v>77.6156473144986</v>
      </c>
      <c r="J47" s="68"/>
      <c r="K47" s="68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</row>
    <row r="48">
      <c r="A48" s="70">
        <v>20307.0</v>
      </c>
      <c r="B48" s="84" t="s">
        <v>70</v>
      </c>
      <c r="C48" s="63" t="s">
        <v>91</v>
      </c>
      <c r="D48" s="71">
        <v>619.0</v>
      </c>
      <c r="E48" s="72">
        <v>4022.0</v>
      </c>
      <c r="F48" s="71">
        <v>1.0</v>
      </c>
      <c r="G48" s="73">
        <v>3.0</v>
      </c>
      <c r="H48" s="74">
        <v>161.55088852988692</v>
      </c>
      <c r="I48" s="74">
        <v>74.58975634012928</v>
      </c>
      <c r="J48" s="68"/>
      <c r="K48" s="68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</row>
    <row r="49">
      <c r="A49" s="70">
        <v>20308.0</v>
      </c>
      <c r="B49" s="84" t="s">
        <v>70</v>
      </c>
      <c r="C49" s="63" t="s">
        <v>92</v>
      </c>
      <c r="D49" s="71">
        <v>7289.0</v>
      </c>
      <c r="E49" s="72">
        <v>8037.0</v>
      </c>
      <c r="F49" s="71">
        <v>1.0</v>
      </c>
      <c r="G49" s="73">
        <v>0.0</v>
      </c>
      <c r="H49" s="74">
        <v>13.719303059404583</v>
      </c>
      <c r="I49" s="74">
        <v>0.0</v>
      </c>
      <c r="J49" s="68"/>
      <c r="K49" s="68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</row>
    <row r="50">
      <c r="A50" s="70">
        <v>20401.0</v>
      </c>
      <c r="B50" s="84" t="s">
        <v>70</v>
      </c>
      <c r="C50" s="63" t="s">
        <v>94</v>
      </c>
      <c r="D50" s="71">
        <v>11290.0</v>
      </c>
      <c r="E50" s="72">
        <v>14012.0</v>
      </c>
      <c r="F50" s="71">
        <v>4.0</v>
      </c>
      <c r="G50" s="73">
        <v>6.0</v>
      </c>
      <c r="H50" s="74">
        <v>35.4295837023915</v>
      </c>
      <c r="I50" s="74">
        <v>42.82043962318013</v>
      </c>
      <c r="J50" s="68"/>
      <c r="K50" s="68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</row>
    <row r="51">
      <c r="A51" s="70">
        <v>20402.0</v>
      </c>
      <c r="B51" s="84" t="s">
        <v>70</v>
      </c>
      <c r="C51" s="63" t="s">
        <v>95</v>
      </c>
      <c r="D51" s="71">
        <v>15665.0</v>
      </c>
      <c r="E51" s="72">
        <v>17811.0</v>
      </c>
      <c r="F51" s="71">
        <v>2.0</v>
      </c>
      <c r="G51" s="73">
        <v>9.0</v>
      </c>
      <c r="H51" s="74">
        <v>12.767315671879988</v>
      </c>
      <c r="I51" s="74">
        <v>50.53057099545225</v>
      </c>
      <c r="J51" s="68"/>
      <c r="K51" s="68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</row>
    <row r="52">
      <c r="A52" s="70">
        <v>20403.0</v>
      </c>
      <c r="B52" s="84" t="s">
        <v>70</v>
      </c>
      <c r="C52" s="63" t="s">
        <v>96</v>
      </c>
      <c r="D52" s="71">
        <v>14589.0</v>
      </c>
      <c r="E52" s="72">
        <v>17336.0</v>
      </c>
      <c r="F52" s="71">
        <v>8.0</v>
      </c>
      <c r="G52" s="73">
        <v>4.0</v>
      </c>
      <c r="H52" s="74">
        <v>54.83583521831517</v>
      </c>
      <c r="I52" s="74">
        <v>23.073373327180434</v>
      </c>
      <c r="J52" s="68"/>
      <c r="K52" s="68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</row>
    <row r="53">
      <c r="A53" s="70">
        <v>20404.0</v>
      </c>
      <c r="B53" s="84" t="s">
        <v>70</v>
      </c>
      <c r="C53" s="63" t="s">
        <v>97</v>
      </c>
      <c r="D53" s="71">
        <v>5342.0</v>
      </c>
      <c r="E53" s="72">
        <v>5658.0</v>
      </c>
      <c r="F53" s="71">
        <v>0.0</v>
      </c>
      <c r="G53" s="73">
        <v>0.0</v>
      </c>
      <c r="H53" s="74">
        <v>0.0</v>
      </c>
      <c r="I53" s="74">
        <v>0.0</v>
      </c>
      <c r="J53" s="68"/>
      <c r="K53" s="68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</row>
    <row r="54">
      <c r="A54" s="70">
        <v>20405.0</v>
      </c>
      <c r="B54" s="84" t="s">
        <v>70</v>
      </c>
      <c r="C54" s="63" t="s">
        <v>98</v>
      </c>
      <c r="D54" s="71">
        <v>7186.0</v>
      </c>
      <c r="E54" s="72">
        <v>8837.0</v>
      </c>
      <c r="F54" s="71">
        <v>1.0</v>
      </c>
      <c r="G54" s="73">
        <v>8.0</v>
      </c>
      <c r="H54" s="74">
        <v>13.915947676036739</v>
      </c>
      <c r="I54" s="74">
        <v>90.52845988457621</v>
      </c>
      <c r="J54" s="68"/>
      <c r="K54" s="68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</row>
    <row r="55">
      <c r="A55" s="70">
        <v>20501.0</v>
      </c>
      <c r="B55" s="84" t="s">
        <v>70</v>
      </c>
      <c r="C55" s="63" t="s">
        <v>100</v>
      </c>
      <c r="D55" s="71">
        <v>11473.0</v>
      </c>
      <c r="E55" s="72">
        <v>17830.0</v>
      </c>
      <c r="F55" s="71">
        <v>1.0</v>
      </c>
      <c r="G55" s="73">
        <v>9.0</v>
      </c>
      <c r="H55" s="74">
        <v>8.716116098666435</v>
      </c>
      <c r="I55" s="74">
        <v>50.476724621424566</v>
      </c>
      <c r="J55" s="68"/>
      <c r="K55" s="68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</row>
    <row r="56">
      <c r="A56" s="70">
        <v>20502.0</v>
      </c>
      <c r="B56" s="84" t="s">
        <v>70</v>
      </c>
      <c r="C56" s="63" t="s">
        <v>101</v>
      </c>
      <c r="D56" s="71">
        <v>8410.0</v>
      </c>
      <c r="E56" s="72">
        <v>9029.0</v>
      </c>
      <c r="F56" s="71">
        <v>1.0</v>
      </c>
      <c r="G56" s="73">
        <v>0.0</v>
      </c>
      <c r="H56" s="74">
        <v>11.890606420927467</v>
      </c>
      <c r="I56" s="74">
        <v>0.0</v>
      </c>
      <c r="J56" s="68"/>
      <c r="K56" s="68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</row>
    <row r="57">
      <c r="A57" s="70">
        <v>20503.0</v>
      </c>
      <c r="B57" s="84" t="s">
        <v>70</v>
      </c>
      <c r="C57" s="63" t="s">
        <v>102</v>
      </c>
      <c r="D57" s="71">
        <v>5495.0</v>
      </c>
      <c r="E57" s="72">
        <v>6721.0</v>
      </c>
      <c r="F57" s="71">
        <v>2.0</v>
      </c>
      <c r="G57" s="73">
        <v>3.0</v>
      </c>
      <c r="H57" s="74">
        <v>36.39672429481347</v>
      </c>
      <c r="I57" s="74">
        <v>44.636214848980806</v>
      </c>
      <c r="J57" s="68"/>
      <c r="K57" s="68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</row>
    <row r="58">
      <c r="A58" s="70">
        <v>20601.0</v>
      </c>
      <c r="B58" s="84" t="s">
        <v>70</v>
      </c>
      <c r="C58" s="63" t="s">
        <v>104</v>
      </c>
      <c r="D58" s="71">
        <v>23512.0</v>
      </c>
      <c r="E58" s="72">
        <v>30083.0</v>
      </c>
      <c r="F58" s="71">
        <v>1.0</v>
      </c>
      <c r="G58" s="73">
        <v>30.0</v>
      </c>
      <c r="H58" s="74">
        <v>4.253147329023477</v>
      </c>
      <c r="I58" s="74">
        <v>99.72409666589104</v>
      </c>
      <c r="J58" s="68"/>
      <c r="K58" s="68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</row>
    <row r="59">
      <c r="A59" s="70">
        <v>20602.0</v>
      </c>
      <c r="B59" s="84" t="s">
        <v>70</v>
      </c>
      <c r="C59" s="63" t="s">
        <v>105</v>
      </c>
      <c r="D59" s="71">
        <v>14788.0</v>
      </c>
      <c r="E59" s="72">
        <v>16386.0</v>
      </c>
      <c r="F59" s="71">
        <v>0.0</v>
      </c>
      <c r="G59" s="73">
        <v>7.0</v>
      </c>
      <c r="H59" s="74">
        <v>0.0</v>
      </c>
      <c r="I59" s="74">
        <v>42.71939460515074</v>
      </c>
      <c r="J59" s="68"/>
      <c r="K59" s="68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</row>
    <row r="60">
      <c r="A60" s="70">
        <v>20603.0</v>
      </c>
      <c r="B60" s="84" t="s">
        <v>70</v>
      </c>
      <c r="C60" s="63" t="s">
        <v>106</v>
      </c>
      <c r="D60" s="71">
        <v>8182.0</v>
      </c>
      <c r="E60" s="72">
        <v>9761.0</v>
      </c>
      <c r="F60" s="71">
        <v>2.0</v>
      </c>
      <c r="G60" s="73">
        <v>5.0</v>
      </c>
      <c r="H60" s="74">
        <v>24.443901246638962</v>
      </c>
      <c r="I60" s="74">
        <v>51.224259809445755</v>
      </c>
      <c r="J60" s="68"/>
      <c r="K60" s="68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</row>
    <row r="61">
      <c r="A61" s="70">
        <v>20604.0</v>
      </c>
      <c r="B61" s="84" t="s">
        <v>70</v>
      </c>
      <c r="C61" s="63" t="s">
        <v>107</v>
      </c>
      <c r="D61" s="71">
        <v>2684.0</v>
      </c>
      <c r="E61" s="72">
        <v>4224.0</v>
      </c>
      <c r="F61" s="71">
        <v>17.0</v>
      </c>
      <c r="G61" s="73">
        <v>0.0</v>
      </c>
      <c r="H61" s="74">
        <v>633.3830104321908</v>
      </c>
      <c r="I61" s="74">
        <v>0.0</v>
      </c>
      <c r="J61" s="68"/>
      <c r="K61" s="68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</row>
    <row r="62">
      <c r="A62" s="70">
        <v>20605.0</v>
      </c>
      <c r="B62" s="84" t="s">
        <v>70</v>
      </c>
      <c r="C62" s="63" t="s">
        <v>108</v>
      </c>
      <c r="D62" s="71">
        <v>3731.0</v>
      </c>
      <c r="E62" s="72">
        <v>3529.0</v>
      </c>
      <c r="F62" s="71">
        <v>2.0</v>
      </c>
      <c r="G62" s="73">
        <v>0.0</v>
      </c>
      <c r="H62" s="74">
        <v>53.60493165371214</v>
      </c>
      <c r="I62" s="74">
        <v>0.0</v>
      </c>
      <c r="J62" s="68"/>
      <c r="K62" s="68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</row>
    <row r="63">
      <c r="A63" s="70">
        <v>20606.0</v>
      </c>
      <c r="B63" s="84" t="s">
        <v>70</v>
      </c>
      <c r="C63" s="63" t="s">
        <v>109</v>
      </c>
      <c r="D63" s="71">
        <v>9985.0</v>
      </c>
      <c r="E63" s="72">
        <v>7716.0</v>
      </c>
      <c r="F63" s="71">
        <v>5.0</v>
      </c>
      <c r="G63" s="73">
        <v>2.0</v>
      </c>
      <c r="H63" s="74">
        <v>50.0751126690035</v>
      </c>
      <c r="I63" s="74">
        <v>25.92016588906169</v>
      </c>
      <c r="J63" s="68"/>
      <c r="K63" s="68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</row>
    <row r="64">
      <c r="A64" s="70">
        <v>20607.0</v>
      </c>
      <c r="B64" s="84" t="s">
        <v>70</v>
      </c>
      <c r="C64" s="63" t="s">
        <v>110</v>
      </c>
      <c r="D64" s="71">
        <v>13891.0</v>
      </c>
      <c r="E64" s="72">
        <v>21843.0</v>
      </c>
      <c r="F64" s="71">
        <v>0.0</v>
      </c>
      <c r="G64" s="73">
        <v>27.0</v>
      </c>
      <c r="H64" s="74">
        <v>0.0</v>
      </c>
      <c r="I64" s="74">
        <v>123.60939431396787</v>
      </c>
      <c r="J64" s="68"/>
      <c r="K64" s="68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</row>
    <row r="65">
      <c r="A65" s="70">
        <v>20608.0</v>
      </c>
      <c r="B65" s="84" t="s">
        <v>70</v>
      </c>
      <c r="C65" s="63" t="s">
        <v>111</v>
      </c>
      <c r="D65" s="71">
        <v>9349.0</v>
      </c>
      <c r="E65" s="72">
        <v>13379.0</v>
      </c>
      <c r="F65" s="71">
        <v>3.0</v>
      </c>
      <c r="G65" s="73">
        <v>1.0</v>
      </c>
      <c r="H65" s="74">
        <v>32.08899347523799</v>
      </c>
      <c r="I65" s="74">
        <v>7.474400179385604</v>
      </c>
      <c r="J65" s="68"/>
      <c r="K65" s="68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</row>
    <row r="66">
      <c r="A66" s="70">
        <v>20701.0</v>
      </c>
      <c r="B66" s="84" t="s">
        <v>70</v>
      </c>
      <c r="C66" s="63" t="s">
        <v>113</v>
      </c>
      <c r="D66" s="71">
        <v>20308.0</v>
      </c>
      <c r="E66" s="72">
        <v>19156.0</v>
      </c>
      <c r="F66" s="71">
        <v>3.0</v>
      </c>
      <c r="G66" s="73">
        <v>9.0</v>
      </c>
      <c r="H66" s="74">
        <v>14.77250344691747</v>
      </c>
      <c r="I66" s="74">
        <v>46.98266861557737</v>
      </c>
      <c r="J66" s="68"/>
      <c r="K66" s="68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</row>
    <row r="67">
      <c r="A67" s="70">
        <v>20702.0</v>
      </c>
      <c r="B67" s="84" t="s">
        <v>70</v>
      </c>
      <c r="C67" s="63" t="s">
        <v>114</v>
      </c>
      <c r="D67" s="71">
        <v>6780.0</v>
      </c>
      <c r="E67" s="72">
        <v>9060.0</v>
      </c>
      <c r="F67" s="71">
        <v>0.0</v>
      </c>
      <c r="G67" s="73">
        <v>8.0</v>
      </c>
      <c r="H67" s="74">
        <v>0.0</v>
      </c>
      <c r="I67" s="74">
        <v>88.30022075055187</v>
      </c>
      <c r="J67" s="68"/>
      <c r="K67" s="68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</row>
    <row r="68">
      <c r="A68" s="70">
        <v>20801.0</v>
      </c>
      <c r="B68" s="84" t="s">
        <v>70</v>
      </c>
      <c r="C68" s="63" t="s">
        <v>116</v>
      </c>
      <c r="D68" s="71">
        <v>80724.0</v>
      </c>
      <c r="E68" s="72">
        <v>113554.0</v>
      </c>
      <c r="F68" s="71">
        <v>31.0</v>
      </c>
      <c r="G68" s="73">
        <v>140.0</v>
      </c>
      <c r="H68" s="74">
        <v>38.40245775729647</v>
      </c>
      <c r="I68" s="74">
        <v>123.28936012822093</v>
      </c>
      <c r="J68" s="68"/>
      <c r="K68" s="68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</row>
    <row r="69">
      <c r="A69" s="70">
        <v>20802.0</v>
      </c>
      <c r="B69" s="84" t="s">
        <v>70</v>
      </c>
      <c r="C69" s="63" t="s">
        <v>488</v>
      </c>
      <c r="D69" s="71">
        <v>7278.0</v>
      </c>
      <c r="E69" s="72">
        <v>8592.0</v>
      </c>
      <c r="F69" s="71">
        <v>0.0</v>
      </c>
      <c r="G69" s="73">
        <v>21.0</v>
      </c>
      <c r="H69" s="74">
        <v>0.0</v>
      </c>
      <c r="I69" s="74">
        <v>244.41340782122904</v>
      </c>
      <c r="J69" s="68"/>
      <c r="K69" s="68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</row>
    <row r="70">
      <c r="A70" s="70">
        <v>20803.0</v>
      </c>
      <c r="B70" s="84" t="s">
        <v>70</v>
      </c>
      <c r="C70" s="63" t="s">
        <v>118</v>
      </c>
      <c r="D70" s="71">
        <v>12189.0</v>
      </c>
      <c r="E70" s="72">
        <v>13648.0</v>
      </c>
      <c r="F70" s="71">
        <v>0.0</v>
      </c>
      <c r="G70" s="73">
        <v>9.0</v>
      </c>
      <c r="H70" s="74">
        <v>0.0</v>
      </c>
      <c r="I70" s="74">
        <v>65.94372801875733</v>
      </c>
      <c r="J70" s="68"/>
      <c r="K70" s="68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</row>
    <row r="71">
      <c r="A71" s="70">
        <v>20804.0</v>
      </c>
      <c r="B71" s="84" t="s">
        <v>70</v>
      </c>
      <c r="C71" s="63" t="s">
        <v>119</v>
      </c>
      <c r="D71" s="71">
        <v>6987.0</v>
      </c>
      <c r="E71" s="72">
        <v>7897.0</v>
      </c>
      <c r="F71" s="71">
        <v>0.0</v>
      </c>
      <c r="G71" s="73">
        <v>2.0</v>
      </c>
      <c r="H71" s="74">
        <v>0.0</v>
      </c>
      <c r="I71" s="74">
        <v>25.326073192351526</v>
      </c>
      <c r="J71" s="68"/>
      <c r="K71" s="68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</row>
    <row r="72">
      <c r="A72" s="70">
        <v>20805.0</v>
      </c>
      <c r="B72" s="84" t="s">
        <v>70</v>
      </c>
      <c r="C72" s="63" t="s">
        <v>489</v>
      </c>
      <c r="D72" s="71">
        <v>6145.0</v>
      </c>
      <c r="E72" s="72">
        <v>7936.0</v>
      </c>
      <c r="F72" s="71">
        <v>0.0</v>
      </c>
      <c r="G72" s="73">
        <v>0.0</v>
      </c>
      <c r="H72" s="74">
        <v>0.0</v>
      </c>
      <c r="I72" s="74">
        <v>0.0</v>
      </c>
      <c r="J72" s="68"/>
      <c r="K72" s="68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</row>
    <row r="73">
      <c r="A73" s="70">
        <v>20806.0</v>
      </c>
      <c r="B73" s="84" t="s">
        <v>70</v>
      </c>
      <c r="C73" s="63" t="s">
        <v>490</v>
      </c>
      <c r="D73" s="71">
        <v>15039.0</v>
      </c>
      <c r="E73" s="72">
        <v>17016.0</v>
      </c>
      <c r="F73" s="71">
        <v>2.0</v>
      </c>
      <c r="G73" s="73">
        <v>5.0</v>
      </c>
      <c r="H73" s="74">
        <v>13.298756566261055</v>
      </c>
      <c r="I73" s="74">
        <v>29.384109073812883</v>
      </c>
      <c r="J73" s="68"/>
      <c r="K73" s="68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</row>
    <row r="74">
      <c r="A74" s="70">
        <v>20807.0</v>
      </c>
      <c r="B74" s="84" t="s">
        <v>70</v>
      </c>
      <c r="C74" s="63" t="s">
        <v>122</v>
      </c>
      <c r="D74" s="71">
        <v>6603.0</v>
      </c>
      <c r="E74" s="72">
        <v>7540.0</v>
      </c>
      <c r="F74" s="71">
        <v>2.0</v>
      </c>
      <c r="G74" s="73">
        <v>39.0</v>
      </c>
      <c r="H74" s="74">
        <v>30.289262456459184</v>
      </c>
      <c r="I74" s="74">
        <v>517.2413793103449</v>
      </c>
      <c r="J74" s="68"/>
      <c r="K74" s="68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</row>
    <row r="75">
      <c r="A75" s="70">
        <v>20901.0</v>
      </c>
      <c r="B75" s="84" t="s">
        <v>70</v>
      </c>
      <c r="C75" s="63" t="s">
        <v>124</v>
      </c>
      <c r="D75" s="71">
        <v>11139.0</v>
      </c>
      <c r="E75" s="72">
        <v>10703.0</v>
      </c>
      <c r="F75" s="71">
        <v>0.0</v>
      </c>
      <c r="G75" s="73">
        <v>10.0</v>
      </c>
      <c r="H75" s="74">
        <v>0.0</v>
      </c>
      <c r="I75" s="74">
        <v>93.4317481080071</v>
      </c>
      <c r="J75" s="68"/>
      <c r="K75" s="68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</row>
    <row r="76">
      <c r="A76" s="70">
        <v>20902.0</v>
      </c>
      <c r="B76" s="84" t="s">
        <v>70</v>
      </c>
      <c r="C76" s="63" t="s">
        <v>125</v>
      </c>
      <c r="D76" s="71">
        <v>12484.0</v>
      </c>
      <c r="E76" s="72">
        <v>16497.0</v>
      </c>
      <c r="F76" s="71">
        <v>24.0</v>
      </c>
      <c r="G76" s="73">
        <v>6.0</v>
      </c>
      <c r="H76" s="74">
        <v>192.24607497596924</v>
      </c>
      <c r="I76" s="74">
        <v>36.37024913620658</v>
      </c>
      <c r="J76" s="68"/>
      <c r="K76" s="68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</row>
    <row r="77">
      <c r="A77" s="70">
        <v>20903.0</v>
      </c>
      <c r="B77" s="84" t="s">
        <v>70</v>
      </c>
      <c r="C77" s="63" t="s">
        <v>126</v>
      </c>
      <c r="D77" s="71">
        <v>7315.0</v>
      </c>
      <c r="E77" s="72">
        <v>12296.0</v>
      </c>
      <c r="F77" s="71">
        <v>1.0</v>
      </c>
      <c r="G77" s="73">
        <v>4.0</v>
      </c>
      <c r="H77" s="74">
        <v>13.67053998632946</v>
      </c>
      <c r="I77" s="74">
        <v>32.53090435914118</v>
      </c>
      <c r="J77" s="68"/>
      <c r="K77" s="68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</row>
    <row r="78">
      <c r="A78" s="70">
        <v>20904.0</v>
      </c>
      <c r="B78" s="84" t="s">
        <v>70</v>
      </c>
      <c r="C78" s="63" t="s">
        <v>127</v>
      </c>
      <c r="D78" s="71">
        <v>5180.0</v>
      </c>
      <c r="E78" s="72">
        <v>5297.0</v>
      </c>
      <c r="F78" s="71">
        <v>2.0</v>
      </c>
      <c r="G78" s="73">
        <v>7.0</v>
      </c>
      <c r="H78" s="74">
        <v>38.61003861003861</v>
      </c>
      <c r="I78" s="74">
        <v>132.15027373985274</v>
      </c>
      <c r="J78" s="68"/>
      <c r="K78" s="68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</row>
    <row r="79">
      <c r="A79" s="70">
        <v>20905.0</v>
      </c>
      <c r="B79" s="84" t="s">
        <v>70</v>
      </c>
      <c r="C79" s="63" t="s">
        <v>128</v>
      </c>
      <c r="D79" s="71">
        <v>11355.0</v>
      </c>
      <c r="E79" s="72">
        <v>13598.0</v>
      </c>
      <c r="F79" s="71">
        <v>7.0</v>
      </c>
      <c r="G79" s="73">
        <v>2.0</v>
      </c>
      <c r="H79" s="74">
        <v>61.646851607221485</v>
      </c>
      <c r="I79" s="74">
        <v>14.708045300779526</v>
      </c>
      <c r="J79" s="68"/>
      <c r="K79" s="68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</row>
    <row r="80">
      <c r="A80" s="70">
        <v>21001.0</v>
      </c>
      <c r="B80" s="84" t="s">
        <v>70</v>
      </c>
      <c r="C80" s="63" t="s">
        <v>129</v>
      </c>
      <c r="D80" s="71">
        <v>14717.0</v>
      </c>
      <c r="E80" s="72">
        <v>18679.0</v>
      </c>
      <c r="F80" s="71">
        <v>2.0</v>
      </c>
      <c r="G80" s="73">
        <v>3.0</v>
      </c>
      <c r="H80" s="74">
        <v>13.589726167017735</v>
      </c>
      <c r="I80" s="74">
        <v>16.06081696022271</v>
      </c>
      <c r="J80" s="68"/>
      <c r="K80" s="68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</row>
    <row r="81">
      <c r="A81" s="70">
        <v>21002.0</v>
      </c>
      <c r="B81" s="84" t="s">
        <v>70</v>
      </c>
      <c r="C81" s="63" t="s">
        <v>130</v>
      </c>
      <c r="D81" s="71">
        <v>8266.0</v>
      </c>
      <c r="E81" s="72">
        <v>10887.0</v>
      </c>
      <c r="F81" s="71">
        <v>7.0</v>
      </c>
      <c r="G81" s="73">
        <v>24.0</v>
      </c>
      <c r="H81" s="74">
        <v>84.68424872973627</v>
      </c>
      <c r="I81" s="74">
        <v>220.44640396803527</v>
      </c>
      <c r="J81" s="68"/>
      <c r="K81" s="68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</row>
    <row r="82">
      <c r="A82" s="70">
        <v>21003.0</v>
      </c>
      <c r="B82" s="84" t="s">
        <v>70</v>
      </c>
      <c r="C82" s="63" t="s">
        <v>131</v>
      </c>
      <c r="D82" s="71">
        <v>10458.0</v>
      </c>
      <c r="E82" s="72">
        <v>15565.0</v>
      </c>
      <c r="F82" s="71">
        <v>1.0</v>
      </c>
      <c r="G82" s="73">
        <v>15.0</v>
      </c>
      <c r="H82" s="74">
        <v>9.562057754828839</v>
      </c>
      <c r="I82" s="74">
        <v>96.37006103437199</v>
      </c>
      <c r="J82" s="68"/>
      <c r="K82" s="68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</row>
    <row r="83">
      <c r="A83" s="70">
        <v>21004.0</v>
      </c>
      <c r="B83" s="84" t="s">
        <v>70</v>
      </c>
      <c r="C83" s="63" t="s">
        <v>132</v>
      </c>
      <c r="D83" s="71">
        <v>19620.0</v>
      </c>
      <c r="E83" s="72">
        <v>23505.0</v>
      </c>
      <c r="F83" s="71">
        <v>1.0</v>
      </c>
      <c r="G83" s="73">
        <v>2.0</v>
      </c>
      <c r="H83" s="74">
        <v>5.096839959225281</v>
      </c>
      <c r="I83" s="74">
        <v>8.508827908955542</v>
      </c>
      <c r="J83" s="68"/>
      <c r="K83" s="68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</row>
    <row r="84">
      <c r="A84" s="70">
        <v>21005.0</v>
      </c>
      <c r="B84" s="84" t="s">
        <v>70</v>
      </c>
      <c r="C84" s="63" t="s">
        <v>133</v>
      </c>
      <c r="D84" s="71">
        <v>7913.0</v>
      </c>
      <c r="E84" s="72">
        <v>9552.0</v>
      </c>
      <c r="F84" s="71">
        <v>0.0</v>
      </c>
      <c r="G84" s="73">
        <v>4.0</v>
      </c>
      <c r="H84" s="74">
        <v>0.0</v>
      </c>
      <c r="I84" s="74">
        <v>41.87604690117253</v>
      </c>
      <c r="J84" s="68"/>
      <c r="K84" s="68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</row>
    <row r="85">
      <c r="A85" s="70">
        <v>21006.0</v>
      </c>
      <c r="B85" s="84" t="s">
        <v>70</v>
      </c>
      <c r="C85" s="63" t="s">
        <v>134</v>
      </c>
      <c r="D85" s="71">
        <v>5488.0</v>
      </c>
      <c r="E85" s="72">
        <v>7877.0</v>
      </c>
      <c r="F85" s="71">
        <v>4.0</v>
      </c>
      <c r="G85" s="73">
        <v>0.0</v>
      </c>
      <c r="H85" s="74">
        <v>72.8862973760933</v>
      </c>
      <c r="I85" s="74">
        <v>0.0</v>
      </c>
      <c r="J85" s="68"/>
      <c r="K85" s="68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</row>
    <row r="86">
      <c r="A86" s="70">
        <v>21101.0</v>
      </c>
      <c r="B86" s="84" t="s">
        <v>70</v>
      </c>
      <c r="C86" s="63" t="s">
        <v>136</v>
      </c>
      <c r="D86" s="71">
        <v>17823.0</v>
      </c>
      <c r="E86" s="72">
        <v>18303.0</v>
      </c>
      <c r="F86" s="71">
        <v>7.0</v>
      </c>
      <c r="G86" s="73">
        <v>6.0</v>
      </c>
      <c r="H86" s="74">
        <v>39.27509397968917</v>
      </c>
      <c r="I86" s="74">
        <v>32.78151122766759</v>
      </c>
      <c r="J86" s="68"/>
      <c r="K86" s="68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</row>
    <row r="87">
      <c r="A87" s="70">
        <v>21102.0</v>
      </c>
      <c r="B87" s="84" t="s">
        <v>70</v>
      </c>
      <c r="C87" s="63" t="s">
        <v>137</v>
      </c>
      <c r="D87" s="71">
        <v>17276.0</v>
      </c>
      <c r="E87" s="72">
        <v>23279.0</v>
      </c>
      <c r="F87" s="71">
        <v>92.0</v>
      </c>
      <c r="G87" s="73">
        <v>4.0</v>
      </c>
      <c r="H87" s="74">
        <v>532.5306783977773</v>
      </c>
      <c r="I87" s="74">
        <v>17.182868679926113</v>
      </c>
      <c r="J87" s="68"/>
      <c r="K87" s="68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</row>
    <row r="88">
      <c r="A88" s="70">
        <v>21103.0</v>
      </c>
      <c r="B88" s="84" t="s">
        <v>70</v>
      </c>
      <c r="C88" s="63" t="s">
        <v>138</v>
      </c>
      <c r="D88" s="71">
        <v>6420.0</v>
      </c>
      <c r="E88" s="72">
        <v>7615.0</v>
      </c>
      <c r="F88" s="71">
        <v>1.0</v>
      </c>
      <c r="G88" s="73">
        <v>5.0</v>
      </c>
      <c r="H88" s="74">
        <v>15.576323987538942</v>
      </c>
      <c r="I88" s="74">
        <v>65.65988181221273</v>
      </c>
      <c r="J88" s="68"/>
      <c r="K88" s="68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</row>
    <row r="89">
      <c r="A89" s="70">
        <v>21104.0</v>
      </c>
      <c r="B89" s="84" t="s">
        <v>70</v>
      </c>
      <c r="C89" s="63" t="s">
        <v>139</v>
      </c>
      <c r="D89" s="71">
        <v>24731.0</v>
      </c>
      <c r="E89" s="72">
        <v>27137.0</v>
      </c>
      <c r="F89" s="71">
        <v>2.0</v>
      </c>
      <c r="G89" s="73">
        <v>11.0</v>
      </c>
      <c r="H89" s="74">
        <v>8.087016295337834</v>
      </c>
      <c r="I89" s="74">
        <v>40.53506282934739</v>
      </c>
      <c r="J89" s="68"/>
      <c r="K89" s="68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</row>
    <row r="90">
      <c r="A90" s="70">
        <v>21105.0</v>
      </c>
      <c r="B90" s="84" t="s">
        <v>70</v>
      </c>
      <c r="C90" s="63" t="s">
        <v>140</v>
      </c>
      <c r="D90" s="71">
        <v>40178.0</v>
      </c>
      <c r="E90" s="72">
        <v>45587.0</v>
      </c>
      <c r="F90" s="71">
        <v>12.0</v>
      </c>
      <c r="G90" s="73">
        <v>156.0</v>
      </c>
      <c r="H90" s="74">
        <v>29.8670914430783</v>
      </c>
      <c r="I90" s="74">
        <v>342.20282097966526</v>
      </c>
      <c r="J90" s="68"/>
      <c r="K90" s="68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</row>
    <row r="91">
      <c r="A91" s="70">
        <v>21201.0</v>
      </c>
      <c r="B91" s="84" t="s">
        <v>70</v>
      </c>
      <c r="C91" s="63" t="s">
        <v>142</v>
      </c>
      <c r="D91" s="71">
        <v>28465.0</v>
      </c>
      <c r="E91" s="72">
        <v>49850.0</v>
      </c>
      <c r="F91" s="71">
        <v>2.0</v>
      </c>
      <c r="G91" s="73">
        <v>73.0</v>
      </c>
      <c r="H91" s="74">
        <v>7.026172492534692</v>
      </c>
      <c r="I91" s="74">
        <v>146.43931795386158</v>
      </c>
      <c r="J91" s="68"/>
      <c r="K91" s="68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</row>
    <row r="92">
      <c r="A92" s="70">
        <v>21202.0</v>
      </c>
      <c r="B92" s="84" t="s">
        <v>70</v>
      </c>
      <c r="C92" s="63" t="s">
        <v>143</v>
      </c>
      <c r="D92" s="71">
        <v>24531.0</v>
      </c>
      <c r="E92" s="72">
        <v>38652.0</v>
      </c>
      <c r="F92" s="71">
        <v>0.0</v>
      </c>
      <c r="G92" s="73">
        <v>62.0</v>
      </c>
      <c r="H92" s="74">
        <v>0.0</v>
      </c>
      <c r="I92" s="74">
        <v>160.40567111663046</v>
      </c>
      <c r="J92" s="68"/>
      <c r="K92" s="68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</row>
    <row r="93">
      <c r="A93" s="70">
        <v>21203.0</v>
      </c>
      <c r="B93" s="84" t="s">
        <v>70</v>
      </c>
      <c r="C93" s="63" t="s">
        <v>144</v>
      </c>
      <c r="D93" s="71">
        <v>17426.0</v>
      </c>
      <c r="E93" s="72">
        <v>20607.0</v>
      </c>
      <c r="F93" s="71">
        <v>12.0</v>
      </c>
      <c r="G93" s="73">
        <v>25.0</v>
      </c>
      <c r="H93" s="74">
        <v>68.86261907494548</v>
      </c>
      <c r="I93" s="74">
        <v>121.31799873829281</v>
      </c>
      <c r="J93" s="68"/>
      <c r="K93" s="68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</row>
    <row r="94">
      <c r="A94" s="70">
        <v>21204.0</v>
      </c>
      <c r="B94" s="84" t="s">
        <v>70</v>
      </c>
      <c r="C94" s="63" t="s">
        <v>145</v>
      </c>
      <c r="D94" s="71">
        <v>8157.0</v>
      </c>
      <c r="E94" s="72">
        <v>7900.0</v>
      </c>
      <c r="F94" s="71">
        <v>1.0</v>
      </c>
      <c r="G94" s="73">
        <v>3.0</v>
      </c>
      <c r="H94" s="74">
        <v>12.25940909648155</v>
      </c>
      <c r="I94" s="74">
        <v>37.9746835443038</v>
      </c>
      <c r="J94" s="68"/>
      <c r="K94" s="68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</row>
    <row r="95">
      <c r="A95" s="70">
        <v>21301.0</v>
      </c>
      <c r="B95" s="84" t="s">
        <v>70</v>
      </c>
      <c r="C95" s="63" t="s">
        <v>491</v>
      </c>
      <c r="D95" s="71">
        <v>31312.0</v>
      </c>
      <c r="E95" s="72">
        <v>33885.0</v>
      </c>
      <c r="F95" s="71">
        <v>7.0</v>
      </c>
      <c r="G95" s="73">
        <v>20.0</v>
      </c>
      <c r="H95" s="74">
        <v>22.355646397547265</v>
      </c>
      <c r="I95" s="74">
        <v>59.023166592887705</v>
      </c>
      <c r="J95" s="68"/>
      <c r="K95" s="68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</row>
    <row r="96">
      <c r="A96" s="70">
        <v>21302.0</v>
      </c>
      <c r="B96" s="84" t="s">
        <v>70</v>
      </c>
      <c r="C96" s="63" t="s">
        <v>148</v>
      </c>
      <c r="D96" s="71">
        <v>8903.0</v>
      </c>
      <c r="E96" s="72">
        <v>9102.0</v>
      </c>
      <c r="F96" s="71">
        <v>0.0</v>
      </c>
      <c r="G96" s="73">
        <v>5.0</v>
      </c>
      <c r="H96" s="74">
        <v>0.0</v>
      </c>
      <c r="I96" s="74">
        <v>54.93298176225006</v>
      </c>
      <c r="J96" s="68"/>
      <c r="K96" s="68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</row>
    <row r="97">
      <c r="A97" s="70">
        <v>21303.0</v>
      </c>
      <c r="B97" s="84" t="s">
        <v>70</v>
      </c>
      <c r="C97" s="63" t="s">
        <v>149</v>
      </c>
      <c r="D97" s="71">
        <v>7798.0</v>
      </c>
      <c r="E97" s="72">
        <v>11258.0</v>
      </c>
      <c r="F97" s="71">
        <v>2.0</v>
      </c>
      <c r="G97" s="73">
        <v>6.0</v>
      </c>
      <c r="H97" s="74">
        <v>25.647601949217748</v>
      </c>
      <c r="I97" s="74">
        <v>53.295434357790015</v>
      </c>
      <c r="J97" s="68"/>
      <c r="K97" s="68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</row>
    <row r="98">
      <c r="A98" s="70">
        <v>21304.0</v>
      </c>
      <c r="B98" s="84" t="s">
        <v>70</v>
      </c>
      <c r="C98" s="63" t="s">
        <v>150</v>
      </c>
      <c r="D98" s="71">
        <v>12413.0</v>
      </c>
      <c r="E98" s="72">
        <v>15327.0</v>
      </c>
      <c r="F98" s="71">
        <v>10.0</v>
      </c>
      <c r="G98" s="73">
        <v>15.0</v>
      </c>
      <c r="H98" s="74">
        <v>80.5607024893257</v>
      </c>
      <c r="I98" s="74">
        <v>97.86651008025053</v>
      </c>
      <c r="J98" s="68"/>
      <c r="K98" s="68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</row>
    <row r="99">
      <c r="A99" s="70">
        <v>21305.0</v>
      </c>
      <c r="B99" s="84" t="s">
        <v>70</v>
      </c>
      <c r="C99" s="63" t="s">
        <v>151</v>
      </c>
      <c r="D99" s="71">
        <v>22858.0</v>
      </c>
      <c r="E99" s="72">
        <v>25148.0</v>
      </c>
      <c r="F99" s="71">
        <v>4.0</v>
      </c>
      <c r="G99" s="73">
        <v>17.0</v>
      </c>
      <c r="H99" s="74">
        <v>17.49934377460845</v>
      </c>
      <c r="I99" s="74">
        <v>67.59980912995069</v>
      </c>
      <c r="J99" s="68"/>
      <c r="K99" s="68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</row>
    <row r="100">
      <c r="A100" s="70">
        <v>21306.0</v>
      </c>
      <c r="B100" s="84" t="s">
        <v>70</v>
      </c>
      <c r="C100" s="63" t="s">
        <v>152</v>
      </c>
      <c r="D100" s="71">
        <v>9879.0</v>
      </c>
      <c r="E100" s="72">
        <v>12490.0</v>
      </c>
      <c r="F100" s="71">
        <v>0.0</v>
      </c>
      <c r="G100" s="73">
        <v>3.0</v>
      </c>
      <c r="H100" s="74">
        <v>0.0</v>
      </c>
      <c r="I100" s="74">
        <v>24.01921537229784</v>
      </c>
      <c r="J100" s="68"/>
      <c r="K100" s="68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</row>
    <row r="101">
      <c r="A101" s="70">
        <v>21307.0</v>
      </c>
      <c r="B101" s="84" t="s">
        <v>70</v>
      </c>
      <c r="C101" s="63" t="s">
        <v>153</v>
      </c>
      <c r="D101" s="71">
        <v>5042.0</v>
      </c>
      <c r="E101" s="72">
        <v>5526.0</v>
      </c>
      <c r="F101" s="71">
        <v>5.0</v>
      </c>
      <c r="G101" s="73">
        <v>8.0</v>
      </c>
      <c r="H101" s="74">
        <v>99.16699722332407</v>
      </c>
      <c r="I101" s="74">
        <v>144.77017734346725</v>
      </c>
      <c r="J101" s="68"/>
      <c r="K101" s="68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</row>
    <row r="102">
      <c r="A102" s="70">
        <v>21401.0</v>
      </c>
      <c r="B102" s="84" t="s">
        <v>70</v>
      </c>
      <c r="C102" s="63" t="s">
        <v>155</v>
      </c>
      <c r="D102" s="71">
        <v>19397.0</v>
      </c>
      <c r="E102" s="72">
        <v>27711.0</v>
      </c>
      <c r="F102" s="71">
        <v>1.0</v>
      </c>
      <c r="G102" s="73">
        <v>36.0</v>
      </c>
      <c r="H102" s="74">
        <v>5.155436407691911</v>
      </c>
      <c r="I102" s="74">
        <v>129.91230919129586</v>
      </c>
      <c r="J102" s="68"/>
      <c r="K102" s="68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</row>
    <row r="103">
      <c r="A103" s="70">
        <v>21402.0</v>
      </c>
      <c r="B103" s="84" t="s">
        <v>70</v>
      </c>
      <c r="C103" s="63" t="s">
        <v>156</v>
      </c>
      <c r="D103" s="71">
        <v>16930.0</v>
      </c>
      <c r="E103" s="72">
        <v>23530.0</v>
      </c>
      <c r="F103" s="71">
        <v>7.0</v>
      </c>
      <c r="G103" s="73">
        <v>17.0</v>
      </c>
      <c r="H103" s="74">
        <v>41.34672179562906</v>
      </c>
      <c r="I103" s="74">
        <v>72.24819379515512</v>
      </c>
      <c r="J103" s="68"/>
      <c r="K103" s="68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</row>
    <row r="104">
      <c r="A104" s="70">
        <v>21501.0</v>
      </c>
      <c r="B104" s="84" t="s">
        <v>70</v>
      </c>
      <c r="C104" s="63" t="s">
        <v>158</v>
      </c>
      <c r="D104" s="71">
        <v>9362.0</v>
      </c>
      <c r="E104" s="72">
        <v>12595.0</v>
      </c>
      <c r="F104" s="71">
        <v>0.0</v>
      </c>
      <c r="G104" s="73">
        <v>46.0</v>
      </c>
      <c r="H104" s="74">
        <v>0.0</v>
      </c>
      <c r="I104" s="74">
        <v>365.2242953552997</v>
      </c>
      <c r="J104" s="68"/>
      <c r="K104" s="68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</row>
    <row r="105">
      <c r="A105" s="70">
        <v>21502.0</v>
      </c>
      <c r="B105" s="84" t="s">
        <v>70</v>
      </c>
      <c r="C105" s="63" t="s">
        <v>159</v>
      </c>
      <c r="D105" s="71">
        <v>8711.0</v>
      </c>
      <c r="E105" s="72">
        <v>10105.0</v>
      </c>
      <c r="F105" s="71">
        <v>6.0</v>
      </c>
      <c r="G105" s="73">
        <v>12.0</v>
      </c>
      <c r="H105" s="74">
        <v>68.87842957180577</v>
      </c>
      <c r="I105" s="74">
        <v>118.75309252845126</v>
      </c>
      <c r="J105" s="68"/>
      <c r="K105" s="68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</row>
    <row r="106">
      <c r="A106" s="70">
        <v>21601.0</v>
      </c>
      <c r="B106" s="84" t="s">
        <v>70</v>
      </c>
      <c r="C106" s="63" t="s">
        <v>492</v>
      </c>
      <c r="D106" s="71">
        <v>13023.0</v>
      </c>
      <c r="E106" s="72">
        <v>15763.0</v>
      </c>
      <c r="F106" s="71">
        <v>10.0</v>
      </c>
      <c r="G106" s="73">
        <v>3.0</v>
      </c>
      <c r="H106" s="74">
        <v>76.78722260615834</v>
      </c>
      <c r="I106" s="74">
        <v>19.031910169384002</v>
      </c>
      <c r="J106" s="68"/>
      <c r="K106" s="68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</row>
    <row r="107">
      <c r="A107" s="70">
        <v>21602.0</v>
      </c>
      <c r="B107" s="84" t="s">
        <v>70</v>
      </c>
      <c r="C107" s="63" t="s">
        <v>162</v>
      </c>
      <c r="D107" s="71">
        <v>3285.0</v>
      </c>
      <c r="E107" s="72">
        <v>6611.0</v>
      </c>
      <c r="F107" s="71">
        <v>7.0</v>
      </c>
      <c r="G107" s="73">
        <v>0.0</v>
      </c>
      <c r="H107" s="74">
        <v>213.08980213089802</v>
      </c>
      <c r="I107" s="74">
        <v>0.0</v>
      </c>
      <c r="J107" s="68"/>
      <c r="K107" s="68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</row>
    <row r="108">
      <c r="A108" s="70">
        <v>21701.0</v>
      </c>
      <c r="B108" s="84" t="s">
        <v>70</v>
      </c>
      <c r="C108" s="63" t="s">
        <v>164</v>
      </c>
      <c r="D108" s="71">
        <v>14931.0</v>
      </c>
      <c r="E108" s="72">
        <v>17463.0</v>
      </c>
      <c r="F108" s="71">
        <v>1.0</v>
      </c>
      <c r="G108" s="73">
        <v>12.0</v>
      </c>
      <c r="H108" s="74">
        <v>6.697475051905432</v>
      </c>
      <c r="I108" s="74">
        <v>68.7167153410067</v>
      </c>
      <c r="J108" s="68"/>
      <c r="K108" s="68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</row>
    <row r="109">
      <c r="A109" s="70">
        <v>21702.0</v>
      </c>
      <c r="B109" s="84" t="s">
        <v>70</v>
      </c>
      <c r="C109" s="63" t="s">
        <v>165</v>
      </c>
      <c r="D109" s="71">
        <v>6052.0</v>
      </c>
      <c r="E109" s="72">
        <v>9164.0</v>
      </c>
      <c r="F109" s="71">
        <v>0.0</v>
      </c>
      <c r="G109" s="73">
        <v>1.0</v>
      </c>
      <c r="H109" s="74">
        <v>0.0</v>
      </c>
      <c r="I109" s="74">
        <v>10.912265386294195</v>
      </c>
      <c r="J109" s="68"/>
      <c r="K109" s="68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</row>
    <row r="110">
      <c r="A110" s="70">
        <v>21703.0</v>
      </c>
      <c r="B110" s="84" t="s">
        <v>70</v>
      </c>
      <c r="C110" s="63" t="s">
        <v>166</v>
      </c>
      <c r="D110" s="71">
        <v>6261.0</v>
      </c>
      <c r="E110" s="72">
        <v>7525.0</v>
      </c>
      <c r="F110" s="71">
        <v>8.0</v>
      </c>
      <c r="G110" s="73">
        <v>16.0</v>
      </c>
      <c r="H110" s="74">
        <v>127.77511579619869</v>
      </c>
      <c r="I110" s="74">
        <v>212.62458471760797</v>
      </c>
      <c r="J110" s="68"/>
      <c r="K110" s="68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</row>
    <row r="111">
      <c r="A111" s="70">
        <v>21801.0</v>
      </c>
      <c r="B111" s="84" t="s">
        <v>70</v>
      </c>
      <c r="C111" s="63" t="s">
        <v>168</v>
      </c>
      <c r="D111" s="71">
        <v>8858.0</v>
      </c>
      <c r="E111" s="72">
        <v>9217.0</v>
      </c>
      <c r="F111" s="71">
        <v>0.0</v>
      </c>
      <c r="G111" s="73">
        <v>0.0</v>
      </c>
      <c r="H111" s="74">
        <v>0.0</v>
      </c>
      <c r="I111" s="74">
        <v>0.0</v>
      </c>
      <c r="J111" s="68"/>
      <c r="K111" s="68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</row>
    <row r="112">
      <c r="A112" s="70">
        <v>21802.0</v>
      </c>
      <c r="B112" s="84" t="s">
        <v>70</v>
      </c>
      <c r="C112" s="63" t="s">
        <v>169</v>
      </c>
      <c r="D112" s="71">
        <v>7003.0</v>
      </c>
      <c r="E112" s="72">
        <v>6649.0</v>
      </c>
      <c r="F112" s="71">
        <v>0.0</v>
      </c>
      <c r="G112" s="73">
        <v>1.0</v>
      </c>
      <c r="H112" s="74">
        <v>0.0</v>
      </c>
      <c r="I112" s="74">
        <v>15.039855617386072</v>
      </c>
      <c r="J112" s="68"/>
      <c r="K112" s="68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</row>
    <row r="113">
      <c r="A113" s="70">
        <v>21803.0</v>
      </c>
      <c r="B113" s="84" t="s">
        <v>70</v>
      </c>
      <c r="C113" s="63" t="s">
        <v>170</v>
      </c>
      <c r="D113" s="71">
        <v>2004.0</v>
      </c>
      <c r="E113" s="72">
        <v>2052.0</v>
      </c>
      <c r="F113" s="71">
        <v>0.0</v>
      </c>
      <c r="G113" s="73">
        <v>2.0</v>
      </c>
      <c r="H113" s="74">
        <v>0.0</v>
      </c>
      <c r="I113" s="74">
        <v>97.46588693957115</v>
      </c>
      <c r="J113" s="68"/>
      <c r="K113" s="68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</row>
    <row r="114">
      <c r="A114" s="70">
        <v>21901.0</v>
      </c>
      <c r="B114" s="84" t="s">
        <v>70</v>
      </c>
      <c r="C114" s="63" t="s">
        <v>172</v>
      </c>
      <c r="D114" s="71">
        <v>4593.0</v>
      </c>
      <c r="E114" s="72">
        <v>6805.0</v>
      </c>
      <c r="F114" s="71">
        <v>0.0</v>
      </c>
      <c r="G114" s="73">
        <v>0.0</v>
      </c>
      <c r="H114" s="74">
        <v>0.0</v>
      </c>
      <c r="I114" s="74">
        <v>0.0</v>
      </c>
      <c r="J114" s="68"/>
      <c r="K114" s="68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</row>
    <row r="115">
      <c r="A115" s="70">
        <v>21902.0</v>
      </c>
      <c r="B115" s="84" t="s">
        <v>70</v>
      </c>
      <c r="C115" s="63" t="s">
        <v>173</v>
      </c>
      <c r="D115" s="71">
        <v>2881.0</v>
      </c>
      <c r="E115" s="72">
        <v>5351.0</v>
      </c>
      <c r="F115" s="71">
        <v>0.0</v>
      </c>
      <c r="G115" s="73">
        <v>0.0</v>
      </c>
      <c r="H115" s="74">
        <v>0.0</v>
      </c>
      <c r="I115" s="74">
        <v>0.0</v>
      </c>
      <c r="J115" s="68"/>
      <c r="K115" s="68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</row>
    <row r="116">
      <c r="A116" s="70">
        <v>22001.0</v>
      </c>
      <c r="B116" s="84" t="s">
        <v>70</v>
      </c>
      <c r="C116" s="63" t="s">
        <v>174</v>
      </c>
      <c r="D116" s="71">
        <v>50330.0</v>
      </c>
      <c r="E116" s="72">
        <v>59676.0</v>
      </c>
      <c r="F116" s="71">
        <v>21.0</v>
      </c>
      <c r="G116" s="73">
        <v>23.0</v>
      </c>
      <c r="H116" s="74">
        <v>41.72461752433936</v>
      </c>
      <c r="I116" s="74">
        <v>38.54145720222535</v>
      </c>
      <c r="J116" s="68"/>
      <c r="K116" s="68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</row>
    <row r="117">
      <c r="A117" s="70">
        <v>22002.0</v>
      </c>
      <c r="B117" s="84" t="s">
        <v>70</v>
      </c>
      <c r="C117" s="63" t="s">
        <v>175</v>
      </c>
      <c r="D117" s="71">
        <v>11194.0</v>
      </c>
      <c r="E117" s="72">
        <v>10585.0</v>
      </c>
      <c r="F117" s="71">
        <v>0.0</v>
      </c>
      <c r="G117" s="73">
        <v>5.0</v>
      </c>
      <c r="H117" s="74">
        <v>0.0</v>
      </c>
      <c r="I117" s="74">
        <v>47.23665564478035</v>
      </c>
      <c r="J117" s="68"/>
      <c r="K117" s="68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</row>
    <row r="118">
      <c r="A118" s="70">
        <v>30101.0</v>
      </c>
      <c r="B118" s="84" t="s">
        <v>176</v>
      </c>
      <c r="C118" s="63" t="s">
        <v>176</v>
      </c>
      <c r="D118" s="71">
        <v>632013.0</v>
      </c>
      <c r="E118" s="72">
        <v>665505.0</v>
      </c>
      <c r="F118" s="71">
        <v>187.0</v>
      </c>
      <c r="G118" s="73">
        <v>350.0</v>
      </c>
      <c r="H118" s="74">
        <v>29.587998981033618</v>
      </c>
      <c r="I118" s="74">
        <v>52.59164093432807</v>
      </c>
      <c r="J118" s="68"/>
      <c r="K118" s="68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</row>
    <row r="119">
      <c r="A119" s="70">
        <v>30201.0</v>
      </c>
      <c r="B119" s="84" t="s">
        <v>176</v>
      </c>
      <c r="C119" s="63" t="s">
        <v>179</v>
      </c>
      <c r="D119" s="71">
        <v>23267.0</v>
      </c>
      <c r="E119" s="72">
        <v>23123.0</v>
      </c>
      <c r="F119" s="71">
        <v>11.0</v>
      </c>
      <c r="G119" s="73">
        <v>9.0</v>
      </c>
      <c r="H119" s="74">
        <v>47.27725963811407</v>
      </c>
      <c r="I119" s="74">
        <v>38.92228517060935</v>
      </c>
      <c r="J119" s="68"/>
      <c r="K119" s="68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</row>
    <row r="120">
      <c r="A120" s="70">
        <v>30202.0</v>
      </c>
      <c r="B120" s="84" t="s">
        <v>176</v>
      </c>
      <c r="C120" s="63" t="s">
        <v>180</v>
      </c>
      <c r="D120" s="71">
        <v>6853.0</v>
      </c>
      <c r="E120" s="72">
        <v>6475.0</v>
      </c>
      <c r="F120" s="71">
        <v>0.0</v>
      </c>
      <c r="G120" s="73">
        <v>0.0</v>
      </c>
      <c r="H120" s="74">
        <v>0.0</v>
      </c>
      <c r="I120" s="74">
        <v>0.0</v>
      </c>
      <c r="J120" s="68"/>
      <c r="K120" s="68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</row>
    <row r="121">
      <c r="A121" s="70">
        <v>30203.0</v>
      </c>
      <c r="B121" s="84" t="s">
        <v>176</v>
      </c>
      <c r="C121" s="63" t="s">
        <v>181</v>
      </c>
      <c r="D121" s="71">
        <v>5643.0</v>
      </c>
      <c r="E121" s="72">
        <v>6700.0</v>
      </c>
      <c r="F121" s="71">
        <v>3.0</v>
      </c>
      <c r="G121" s="73">
        <v>1.0</v>
      </c>
      <c r="H121" s="74">
        <v>53.1632110579479</v>
      </c>
      <c r="I121" s="74">
        <v>14.925373134328359</v>
      </c>
      <c r="J121" s="68"/>
      <c r="K121" s="68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</row>
    <row r="122">
      <c r="A122" s="70">
        <v>30301.0</v>
      </c>
      <c r="B122" s="84" t="s">
        <v>176</v>
      </c>
      <c r="C122" s="63" t="s">
        <v>493</v>
      </c>
      <c r="D122" s="71">
        <v>23658.0</v>
      </c>
      <c r="E122" s="72">
        <v>21815.0</v>
      </c>
      <c r="F122" s="71">
        <v>9.0</v>
      </c>
      <c r="G122" s="73">
        <v>10.0</v>
      </c>
      <c r="H122" s="74">
        <v>38.0420999239158</v>
      </c>
      <c r="I122" s="74">
        <v>45.84001833600733</v>
      </c>
      <c r="J122" s="68"/>
      <c r="K122" s="68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</row>
    <row r="123">
      <c r="A123" s="70">
        <v>30302.0</v>
      </c>
      <c r="B123" s="84" t="s">
        <v>176</v>
      </c>
      <c r="C123" s="63" t="s">
        <v>183</v>
      </c>
      <c r="D123" s="71">
        <v>12797.0</v>
      </c>
      <c r="E123" s="72">
        <v>14720.0</v>
      </c>
      <c r="F123" s="71">
        <v>16.0</v>
      </c>
      <c r="G123" s="73">
        <v>7.0</v>
      </c>
      <c r="H123" s="74">
        <v>125.02930374306479</v>
      </c>
      <c r="I123" s="74">
        <v>47.55434782608695</v>
      </c>
      <c r="J123" s="68"/>
      <c r="K123" s="68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</row>
    <row r="124">
      <c r="A124" s="70">
        <v>30303.0</v>
      </c>
      <c r="B124" s="84" t="s">
        <v>176</v>
      </c>
      <c r="C124" s="63" t="s">
        <v>184</v>
      </c>
      <c r="D124" s="71">
        <v>18076.0</v>
      </c>
      <c r="E124" s="72">
        <v>19608.0</v>
      </c>
      <c r="F124" s="71">
        <v>13.0</v>
      </c>
      <c r="G124" s="73">
        <v>3.0</v>
      </c>
      <c r="H124" s="74">
        <v>71.91856605443682</v>
      </c>
      <c r="I124" s="74">
        <v>15.299877600979192</v>
      </c>
      <c r="J124" s="68"/>
      <c r="K124" s="68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</row>
    <row r="125">
      <c r="A125" s="70">
        <v>30401.0</v>
      </c>
      <c r="B125" s="84" t="s">
        <v>176</v>
      </c>
      <c r="C125" s="63" t="s">
        <v>186</v>
      </c>
      <c r="D125" s="71">
        <v>8242.0</v>
      </c>
      <c r="E125" s="72">
        <v>11273.0</v>
      </c>
      <c r="F125" s="71">
        <v>1.0</v>
      </c>
      <c r="G125" s="73">
        <v>11.0</v>
      </c>
      <c r="H125" s="74">
        <v>12.132977432661976</v>
      </c>
      <c r="I125" s="74">
        <v>97.57828439634525</v>
      </c>
      <c r="J125" s="68"/>
      <c r="K125" s="68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</row>
    <row r="126">
      <c r="A126" s="70">
        <v>30402.0</v>
      </c>
      <c r="B126" s="84" t="s">
        <v>176</v>
      </c>
      <c r="C126" s="63" t="s">
        <v>187</v>
      </c>
      <c r="D126" s="71">
        <v>7192.0</v>
      </c>
      <c r="E126" s="72">
        <v>7335.0</v>
      </c>
      <c r="F126" s="71">
        <v>4.0</v>
      </c>
      <c r="G126" s="73">
        <v>14.0</v>
      </c>
      <c r="H126" s="74">
        <v>55.61735261401557</v>
      </c>
      <c r="I126" s="74">
        <v>190.86571233810497</v>
      </c>
      <c r="J126" s="68"/>
      <c r="K126" s="68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</row>
    <row r="127">
      <c r="A127" s="70">
        <v>30403.0</v>
      </c>
      <c r="B127" s="84" t="s">
        <v>176</v>
      </c>
      <c r="C127" s="63" t="s">
        <v>188</v>
      </c>
      <c r="D127" s="71">
        <v>17445.0</v>
      </c>
      <c r="E127" s="72">
        <v>29375.0</v>
      </c>
      <c r="F127" s="71">
        <v>48.0</v>
      </c>
      <c r="G127" s="73">
        <v>51.0</v>
      </c>
      <c r="H127" s="74">
        <v>275.1504729148753</v>
      </c>
      <c r="I127" s="74">
        <v>173.61702127659575</v>
      </c>
      <c r="J127" s="68"/>
      <c r="K127" s="68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</row>
    <row r="128">
      <c r="A128" s="70">
        <v>30404.0</v>
      </c>
      <c r="B128" s="84" t="s">
        <v>176</v>
      </c>
      <c r="C128" s="63" t="s">
        <v>189</v>
      </c>
      <c r="D128" s="71">
        <v>4366.0</v>
      </c>
      <c r="E128" s="72">
        <v>4987.0</v>
      </c>
      <c r="F128" s="71">
        <v>1.0</v>
      </c>
      <c r="G128" s="73">
        <v>4.0</v>
      </c>
      <c r="H128" s="74">
        <v>22.904260192395785</v>
      </c>
      <c r="I128" s="74">
        <v>80.20854220974533</v>
      </c>
      <c r="J128" s="68"/>
      <c r="K128" s="68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</row>
    <row r="129">
      <c r="A129" s="70">
        <v>30501.0</v>
      </c>
      <c r="B129" s="84" t="s">
        <v>176</v>
      </c>
      <c r="C129" s="63" t="s">
        <v>190</v>
      </c>
      <c r="D129" s="71">
        <v>9504.0</v>
      </c>
      <c r="E129" s="72">
        <v>11183.0</v>
      </c>
      <c r="F129" s="71">
        <v>3.0</v>
      </c>
      <c r="G129" s="73">
        <v>1.0</v>
      </c>
      <c r="H129" s="74">
        <v>31.565656565656564</v>
      </c>
      <c r="I129" s="74">
        <v>8.942144326209425</v>
      </c>
      <c r="J129" s="68"/>
      <c r="K129" s="68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</row>
    <row r="130">
      <c r="A130" s="70">
        <v>30502.0</v>
      </c>
      <c r="B130" s="84" t="s">
        <v>176</v>
      </c>
      <c r="C130" s="63" t="s">
        <v>191</v>
      </c>
      <c r="D130" s="71">
        <v>8940.0</v>
      </c>
      <c r="E130" s="72">
        <v>8409.0</v>
      </c>
      <c r="F130" s="71">
        <v>1.0</v>
      </c>
      <c r="G130" s="73">
        <v>5.0</v>
      </c>
      <c r="H130" s="74">
        <v>11.185682326621924</v>
      </c>
      <c r="I130" s="74">
        <v>59.46010227137591</v>
      </c>
      <c r="J130" s="68"/>
      <c r="K130" s="68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</row>
    <row r="131">
      <c r="A131" s="70">
        <v>30601.0</v>
      </c>
      <c r="B131" s="84" t="s">
        <v>176</v>
      </c>
      <c r="C131" s="63" t="s">
        <v>192</v>
      </c>
      <c r="D131" s="71">
        <v>10597.0</v>
      </c>
      <c r="E131" s="72">
        <v>10632.0</v>
      </c>
      <c r="F131" s="71">
        <v>3.0</v>
      </c>
      <c r="G131" s="73">
        <v>5.0</v>
      </c>
      <c r="H131" s="74">
        <v>28.3098990280268</v>
      </c>
      <c r="I131" s="74">
        <v>47.027840481565086</v>
      </c>
      <c r="J131" s="68"/>
      <c r="K131" s="68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</row>
    <row r="132">
      <c r="A132" s="70">
        <v>30602.0</v>
      </c>
      <c r="B132" s="84" t="s">
        <v>176</v>
      </c>
      <c r="C132" s="63" t="s">
        <v>193</v>
      </c>
      <c r="D132" s="71">
        <v>10253.0</v>
      </c>
      <c r="E132" s="72">
        <v>10750.0</v>
      </c>
      <c r="F132" s="71">
        <v>1.0</v>
      </c>
      <c r="G132" s="73">
        <v>1.0</v>
      </c>
      <c r="H132" s="74">
        <v>9.753242953281966</v>
      </c>
      <c r="I132" s="74">
        <v>9.30232558139535</v>
      </c>
      <c r="J132" s="68"/>
      <c r="K132" s="68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</row>
    <row r="133">
      <c r="A133" s="70">
        <v>30701.0</v>
      </c>
      <c r="B133" s="84" t="s">
        <v>176</v>
      </c>
      <c r="C133" s="63" t="s">
        <v>194</v>
      </c>
      <c r="D133" s="71">
        <v>19477.0</v>
      </c>
      <c r="E133" s="72">
        <v>19427.0</v>
      </c>
      <c r="F133" s="71">
        <v>0.0</v>
      </c>
      <c r="G133" s="73">
        <v>5.0</v>
      </c>
      <c r="H133" s="74">
        <v>0.0</v>
      </c>
      <c r="I133" s="74">
        <v>25.73737581716168</v>
      </c>
      <c r="J133" s="68"/>
      <c r="K133" s="68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</row>
    <row r="134">
      <c r="A134" s="70">
        <v>30702.0</v>
      </c>
      <c r="B134" s="84" t="s">
        <v>176</v>
      </c>
      <c r="C134" s="63" t="s">
        <v>494</v>
      </c>
      <c r="D134" s="71">
        <v>6527.0</v>
      </c>
      <c r="E134" s="72">
        <v>7940.0</v>
      </c>
      <c r="F134" s="71">
        <v>11.0</v>
      </c>
      <c r="G134" s="73">
        <v>21.0</v>
      </c>
      <c r="H134" s="74">
        <v>168.5307185537</v>
      </c>
      <c r="I134" s="74">
        <v>264.4836272040302</v>
      </c>
      <c r="J134" s="68"/>
      <c r="K134" s="68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</row>
    <row r="135">
      <c r="A135" s="70">
        <v>30703.0</v>
      </c>
      <c r="B135" s="84" t="s">
        <v>176</v>
      </c>
      <c r="C135" s="63" t="s">
        <v>196</v>
      </c>
      <c r="D135" s="71">
        <v>3740.0</v>
      </c>
      <c r="E135" s="72">
        <v>3980.0</v>
      </c>
      <c r="F135" s="71">
        <v>0.0</v>
      </c>
      <c r="G135" s="73">
        <v>14.0</v>
      </c>
      <c r="H135" s="74">
        <v>0.0</v>
      </c>
      <c r="I135" s="74">
        <v>351.75879396984925</v>
      </c>
      <c r="J135" s="68"/>
      <c r="K135" s="68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</row>
    <row r="136">
      <c r="A136" s="70">
        <v>30801.0</v>
      </c>
      <c r="B136" s="84" t="s">
        <v>176</v>
      </c>
      <c r="C136" s="63" t="s">
        <v>198</v>
      </c>
      <c r="D136" s="71">
        <v>21899.0</v>
      </c>
      <c r="E136" s="72">
        <v>21155.0</v>
      </c>
      <c r="F136" s="71">
        <v>9.0</v>
      </c>
      <c r="G136" s="73">
        <v>9.0</v>
      </c>
      <c r="H136" s="74">
        <v>41.097767021325176</v>
      </c>
      <c r="I136" s="74">
        <v>42.54313401087214</v>
      </c>
      <c r="J136" s="68"/>
      <c r="K136" s="68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</row>
    <row r="137">
      <c r="A137" s="70">
        <v>30802.0</v>
      </c>
      <c r="B137" s="84" t="s">
        <v>176</v>
      </c>
      <c r="C137" s="63" t="s">
        <v>199</v>
      </c>
      <c r="D137" s="71">
        <v>7057.0</v>
      </c>
      <c r="E137" s="72">
        <v>7382.0</v>
      </c>
      <c r="F137" s="71">
        <v>2.0</v>
      </c>
      <c r="G137" s="73">
        <v>1.0</v>
      </c>
      <c r="H137" s="74">
        <v>28.340654669122856</v>
      </c>
      <c r="I137" s="74">
        <v>13.546464372798699</v>
      </c>
      <c r="J137" s="68"/>
      <c r="K137" s="68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</row>
    <row r="138">
      <c r="A138" s="70">
        <v>30803.0</v>
      </c>
      <c r="B138" s="84" t="s">
        <v>176</v>
      </c>
      <c r="C138" s="63" t="s">
        <v>200</v>
      </c>
      <c r="D138" s="71">
        <v>5542.0</v>
      </c>
      <c r="E138" s="72">
        <v>8687.0</v>
      </c>
      <c r="F138" s="71">
        <v>0.0</v>
      </c>
      <c r="G138" s="73">
        <v>18.0</v>
      </c>
      <c r="H138" s="74">
        <v>0.0</v>
      </c>
      <c r="I138" s="74">
        <v>207.2061701392886</v>
      </c>
      <c r="J138" s="68"/>
      <c r="K138" s="68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</row>
    <row r="139">
      <c r="A139" s="70">
        <v>30901.0</v>
      </c>
      <c r="B139" s="84" t="s">
        <v>176</v>
      </c>
      <c r="C139" s="63" t="s">
        <v>201</v>
      </c>
      <c r="D139" s="71">
        <v>137182.0</v>
      </c>
      <c r="E139" s="72">
        <v>166741.0</v>
      </c>
      <c r="F139" s="71">
        <v>39.0</v>
      </c>
      <c r="G139" s="73">
        <v>39.0</v>
      </c>
      <c r="H139" s="74">
        <v>28.429385779475442</v>
      </c>
      <c r="I139" s="74">
        <v>23.389568252559357</v>
      </c>
      <c r="J139" s="68"/>
      <c r="K139" s="68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</row>
    <row r="140">
      <c r="A140" s="70">
        <v>30902.0</v>
      </c>
      <c r="B140" s="84" t="s">
        <v>176</v>
      </c>
      <c r="C140" s="63" t="s">
        <v>495</v>
      </c>
      <c r="D140" s="71">
        <v>41571.0</v>
      </c>
      <c r="E140" s="72">
        <v>55908.0</v>
      </c>
      <c r="F140" s="71">
        <v>26.0</v>
      </c>
      <c r="G140" s="73">
        <v>6.0</v>
      </c>
      <c r="H140" s="74">
        <v>62.54360010584301</v>
      </c>
      <c r="I140" s="74">
        <v>10.73191672032625</v>
      </c>
      <c r="J140" s="68"/>
      <c r="K140" s="68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</row>
    <row r="141">
      <c r="A141" s="70">
        <v>30903.0</v>
      </c>
      <c r="B141" s="84" t="s">
        <v>176</v>
      </c>
      <c r="C141" s="63" t="s">
        <v>203</v>
      </c>
      <c r="D141" s="71">
        <v>53904.0</v>
      </c>
      <c r="E141" s="72">
        <v>61840.0</v>
      </c>
      <c r="F141" s="71">
        <v>8.0</v>
      </c>
      <c r="G141" s="73">
        <v>0.0</v>
      </c>
      <c r="H141" s="74">
        <v>14.841199168892846</v>
      </c>
      <c r="I141" s="74">
        <v>0.0</v>
      </c>
      <c r="J141" s="68"/>
      <c r="K141" s="68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</row>
    <row r="142">
      <c r="A142" s="70">
        <v>30904.0</v>
      </c>
      <c r="B142" s="84" t="s">
        <v>176</v>
      </c>
      <c r="C142" s="63" t="s">
        <v>204</v>
      </c>
      <c r="D142" s="71">
        <v>51968.0</v>
      </c>
      <c r="E142" s="72">
        <v>56064.0</v>
      </c>
      <c r="F142" s="71">
        <v>7.0</v>
      </c>
      <c r="G142" s="73">
        <v>4.0</v>
      </c>
      <c r="H142" s="74">
        <v>13.469827586206897</v>
      </c>
      <c r="I142" s="74">
        <v>7.134703196347032</v>
      </c>
      <c r="J142" s="68"/>
      <c r="K142" s="68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</row>
    <row r="143">
      <c r="A143" s="70">
        <v>30905.0</v>
      </c>
      <c r="B143" s="84" t="s">
        <v>176</v>
      </c>
      <c r="C143" s="63" t="s">
        <v>205</v>
      </c>
      <c r="D143" s="71">
        <v>51990.0</v>
      </c>
      <c r="E143" s="72">
        <v>66505.0</v>
      </c>
      <c r="F143" s="71">
        <v>6.0</v>
      </c>
      <c r="G143" s="73">
        <v>3.0</v>
      </c>
      <c r="H143" s="74">
        <v>11.54068090017311</v>
      </c>
      <c r="I143" s="74">
        <v>4.510939027140816</v>
      </c>
      <c r="J143" s="68"/>
      <c r="K143" s="68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</row>
    <row r="144">
      <c r="A144" s="70">
        <v>31001.0</v>
      </c>
      <c r="B144" s="84" t="s">
        <v>176</v>
      </c>
      <c r="C144" s="63" t="s">
        <v>207</v>
      </c>
      <c r="D144" s="71">
        <v>172466.0</v>
      </c>
      <c r="E144" s="72">
        <v>219092.0</v>
      </c>
      <c r="F144" s="71">
        <v>109.0</v>
      </c>
      <c r="G144" s="73">
        <v>120.0</v>
      </c>
      <c r="H144" s="74">
        <v>63.2008627787506</v>
      </c>
      <c r="I144" s="74">
        <v>54.771511511146</v>
      </c>
      <c r="J144" s="68"/>
      <c r="K144" s="68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</row>
    <row r="145">
      <c r="A145" s="70">
        <v>31002.0</v>
      </c>
      <c r="B145" s="84" t="s">
        <v>176</v>
      </c>
      <c r="C145" s="63" t="s">
        <v>208</v>
      </c>
      <c r="D145" s="71">
        <v>19285.0</v>
      </c>
      <c r="E145" s="72">
        <v>21846.0</v>
      </c>
      <c r="F145" s="71">
        <v>6.0</v>
      </c>
      <c r="G145" s="73">
        <v>9.0</v>
      </c>
      <c r="H145" s="74">
        <v>31.1122634171636</v>
      </c>
      <c r="I145" s="74">
        <v>41.197473221642404</v>
      </c>
      <c r="J145" s="68"/>
      <c r="K145" s="68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</row>
    <row r="146">
      <c r="A146" s="70">
        <v>31003.0</v>
      </c>
      <c r="B146" s="84" t="s">
        <v>176</v>
      </c>
      <c r="C146" s="63" t="s">
        <v>209</v>
      </c>
      <c r="D146" s="71">
        <v>71386.0</v>
      </c>
      <c r="E146" s="72">
        <v>93747.0</v>
      </c>
      <c r="F146" s="71">
        <v>58.0</v>
      </c>
      <c r="G146" s="73">
        <v>81.0</v>
      </c>
      <c r="H146" s="74">
        <v>81.2484240607402</v>
      </c>
      <c r="I146" s="74">
        <v>86.40276488847643</v>
      </c>
      <c r="J146" s="68"/>
      <c r="K146" s="68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</row>
    <row r="147">
      <c r="A147" s="70">
        <v>31101.0</v>
      </c>
      <c r="B147" s="84" t="s">
        <v>176</v>
      </c>
      <c r="C147" s="63" t="s">
        <v>210</v>
      </c>
      <c r="D147" s="71">
        <v>24625.0</v>
      </c>
      <c r="E147" s="72">
        <v>24666.0</v>
      </c>
      <c r="F147" s="71">
        <v>18.0</v>
      </c>
      <c r="G147" s="73">
        <v>40.0</v>
      </c>
      <c r="H147" s="74">
        <v>73.09644670050761</v>
      </c>
      <c r="I147" s="74">
        <v>162.1665450417579</v>
      </c>
      <c r="J147" s="68"/>
      <c r="K147" s="68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</row>
    <row r="148">
      <c r="A148" s="70">
        <v>31201.0</v>
      </c>
      <c r="B148" s="84" t="s">
        <v>176</v>
      </c>
      <c r="C148" s="63" t="s">
        <v>212</v>
      </c>
      <c r="D148" s="71">
        <v>14665.0</v>
      </c>
      <c r="E148" s="72">
        <v>14821.0</v>
      </c>
      <c r="F148" s="71">
        <v>3.0</v>
      </c>
      <c r="G148" s="73">
        <v>0.0</v>
      </c>
      <c r="H148" s="74">
        <v>20.456870098874873</v>
      </c>
      <c r="I148" s="74">
        <v>0.0</v>
      </c>
      <c r="J148" s="68"/>
      <c r="K148" s="68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</row>
    <row r="149">
      <c r="A149" s="70">
        <v>31202.0</v>
      </c>
      <c r="B149" s="84" t="s">
        <v>176</v>
      </c>
      <c r="C149" s="63" t="s">
        <v>213</v>
      </c>
      <c r="D149" s="71">
        <v>10156.0</v>
      </c>
      <c r="E149" s="72">
        <v>11865.0</v>
      </c>
      <c r="F149" s="71">
        <v>1.0</v>
      </c>
      <c r="G149" s="73">
        <v>9.0</v>
      </c>
      <c r="H149" s="74">
        <v>9.846396218983852</v>
      </c>
      <c r="I149" s="74">
        <v>75.85335018963337</v>
      </c>
      <c r="J149" s="68"/>
      <c r="K149" s="68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</row>
    <row r="150">
      <c r="A150" s="70">
        <v>31203.0</v>
      </c>
      <c r="B150" s="84" t="s">
        <v>176</v>
      </c>
      <c r="C150" s="63" t="s">
        <v>214</v>
      </c>
      <c r="D150" s="71">
        <v>10750.0</v>
      </c>
      <c r="E150" s="72">
        <v>12258.0</v>
      </c>
      <c r="F150" s="71">
        <v>2.0</v>
      </c>
      <c r="G150" s="73">
        <v>5.0</v>
      </c>
      <c r="H150" s="74">
        <v>18.6046511627907</v>
      </c>
      <c r="I150" s="74">
        <v>40.78968836678088</v>
      </c>
      <c r="J150" s="68"/>
      <c r="K150" s="68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</row>
    <row r="151">
      <c r="A151" s="70">
        <v>31204.0</v>
      </c>
      <c r="B151" s="84" t="s">
        <v>176</v>
      </c>
      <c r="C151" s="63" t="s">
        <v>215</v>
      </c>
      <c r="D151" s="71">
        <v>21736.0</v>
      </c>
      <c r="E151" s="72">
        <v>27521.0</v>
      </c>
      <c r="F151" s="71">
        <v>10.0</v>
      </c>
      <c r="G151" s="73">
        <v>34.0</v>
      </c>
      <c r="H151" s="74">
        <v>46.006624953993374</v>
      </c>
      <c r="I151" s="74">
        <v>123.54202245557937</v>
      </c>
      <c r="J151" s="68"/>
      <c r="K151" s="68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</row>
    <row r="152">
      <c r="A152" s="70">
        <v>31205.0</v>
      </c>
      <c r="B152" s="84" t="s">
        <v>176</v>
      </c>
      <c r="C152" s="63" t="s">
        <v>216</v>
      </c>
      <c r="D152" s="71">
        <v>46627.0</v>
      </c>
      <c r="E152" s="72">
        <v>64595.0</v>
      </c>
      <c r="F152" s="71">
        <v>27.0</v>
      </c>
      <c r="G152" s="73">
        <v>148.0</v>
      </c>
      <c r="H152" s="74">
        <v>57.90636326591889</v>
      </c>
      <c r="I152" s="74">
        <v>229.11990092112393</v>
      </c>
      <c r="J152" s="68"/>
      <c r="K152" s="68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</row>
    <row r="153">
      <c r="A153" s="70">
        <v>31206.0</v>
      </c>
      <c r="B153" s="84" t="s">
        <v>176</v>
      </c>
      <c r="C153" s="63" t="s">
        <v>217</v>
      </c>
      <c r="D153" s="71">
        <v>31550.0</v>
      </c>
      <c r="E153" s="72">
        <v>45780.0</v>
      </c>
      <c r="F153" s="71">
        <v>32.0</v>
      </c>
      <c r="G153" s="73">
        <v>94.0</v>
      </c>
      <c r="H153" s="74">
        <v>101.42630744849446</v>
      </c>
      <c r="I153" s="74">
        <v>205.3298383573613</v>
      </c>
      <c r="J153" s="68"/>
      <c r="K153" s="68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</row>
    <row r="154">
      <c r="A154" s="70">
        <v>31301.0</v>
      </c>
      <c r="B154" s="84" t="s">
        <v>176</v>
      </c>
      <c r="C154" s="63" t="s">
        <v>218</v>
      </c>
      <c r="D154" s="71">
        <v>26900.0</v>
      </c>
      <c r="E154" s="72">
        <v>19896.0</v>
      </c>
      <c r="F154" s="71">
        <v>1.0</v>
      </c>
      <c r="G154" s="73">
        <v>30.0</v>
      </c>
      <c r="H154" s="74">
        <v>3.717472118959108</v>
      </c>
      <c r="I154" s="74">
        <v>150.78407720144753</v>
      </c>
      <c r="J154" s="68"/>
      <c r="K154" s="68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</row>
    <row r="155">
      <c r="A155" s="70">
        <v>31302.0</v>
      </c>
      <c r="B155" s="84" t="s">
        <v>176</v>
      </c>
      <c r="C155" s="63" t="s">
        <v>219</v>
      </c>
      <c r="D155" s="71">
        <v>5459.0</v>
      </c>
      <c r="E155" s="72">
        <v>5244.0</v>
      </c>
      <c r="F155" s="71">
        <v>8.0</v>
      </c>
      <c r="G155" s="73">
        <v>10.0</v>
      </c>
      <c r="H155" s="74">
        <v>146.54698662758747</v>
      </c>
      <c r="I155" s="74">
        <v>190.69412662090008</v>
      </c>
      <c r="J155" s="68"/>
      <c r="K155" s="68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</row>
    <row r="156">
      <c r="A156" s="70">
        <v>31303.0</v>
      </c>
      <c r="B156" s="84" t="s">
        <v>176</v>
      </c>
      <c r="C156" s="63" t="s">
        <v>220</v>
      </c>
      <c r="D156" s="71">
        <v>3447.0</v>
      </c>
      <c r="E156" s="72">
        <v>3512.0</v>
      </c>
      <c r="F156" s="71">
        <v>0.0</v>
      </c>
      <c r="G156" s="73">
        <v>12.0</v>
      </c>
      <c r="H156" s="74">
        <v>0.0</v>
      </c>
      <c r="I156" s="74">
        <v>341.6856492027335</v>
      </c>
      <c r="J156" s="68"/>
      <c r="K156" s="68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</row>
    <row r="157">
      <c r="A157" s="70">
        <v>31304.0</v>
      </c>
      <c r="B157" s="84" t="s">
        <v>176</v>
      </c>
      <c r="C157" s="63" t="s">
        <v>221</v>
      </c>
      <c r="D157" s="71">
        <v>26900.0</v>
      </c>
      <c r="E157" s="72">
        <v>8056.0</v>
      </c>
      <c r="F157" s="71"/>
      <c r="G157" s="73">
        <v>14.0</v>
      </c>
      <c r="H157" s="74">
        <v>0.0</v>
      </c>
      <c r="I157" s="74">
        <v>173.78351539225423</v>
      </c>
      <c r="J157" s="68"/>
      <c r="K157" s="68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</row>
    <row r="158">
      <c r="A158" s="70">
        <v>31401.0</v>
      </c>
      <c r="B158" s="84" t="s">
        <v>176</v>
      </c>
      <c r="C158" s="63" t="s">
        <v>222</v>
      </c>
      <c r="D158" s="71">
        <v>28887.0</v>
      </c>
      <c r="E158" s="72">
        <v>35248.0</v>
      </c>
      <c r="F158" s="71">
        <v>1.0</v>
      </c>
      <c r="G158" s="73">
        <v>8.0</v>
      </c>
      <c r="H158" s="74">
        <v>3.461764807698965</v>
      </c>
      <c r="I158" s="74">
        <v>22.696323195642307</v>
      </c>
      <c r="J158" s="68"/>
      <c r="K158" s="68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</row>
    <row r="159">
      <c r="A159" s="70">
        <v>31402.0</v>
      </c>
      <c r="B159" s="84" t="s">
        <v>176</v>
      </c>
      <c r="C159" s="63" t="s">
        <v>223</v>
      </c>
      <c r="D159" s="71">
        <v>8135.0</v>
      </c>
      <c r="E159" s="72">
        <v>8599.0</v>
      </c>
      <c r="F159" s="71">
        <v>2.0</v>
      </c>
      <c r="G159" s="73">
        <v>9.0</v>
      </c>
      <c r="H159" s="74">
        <v>24.585125998770742</v>
      </c>
      <c r="I159" s="74">
        <v>104.66333294569137</v>
      </c>
      <c r="J159" s="68"/>
      <c r="K159" s="68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</row>
    <row r="160">
      <c r="A160" s="70">
        <v>31403.0</v>
      </c>
      <c r="B160" s="84" t="s">
        <v>176</v>
      </c>
      <c r="C160" s="63" t="s">
        <v>224</v>
      </c>
      <c r="D160" s="71">
        <v>13562.0</v>
      </c>
      <c r="E160" s="72">
        <v>13054.0</v>
      </c>
      <c r="F160" s="71">
        <v>0.0</v>
      </c>
      <c r="G160" s="73">
        <v>4.0</v>
      </c>
      <c r="H160" s="74">
        <v>0.0</v>
      </c>
      <c r="I160" s="74">
        <v>30.64194882794546</v>
      </c>
      <c r="J160" s="68"/>
      <c r="K160" s="68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</row>
    <row r="161">
      <c r="A161" s="70">
        <v>31404.0</v>
      </c>
      <c r="B161" s="84" t="s">
        <v>176</v>
      </c>
      <c r="C161" s="63" t="s">
        <v>225</v>
      </c>
      <c r="D161" s="71">
        <v>1303.0</v>
      </c>
      <c r="E161" s="72">
        <v>1287.0</v>
      </c>
      <c r="F161" s="71">
        <v>0.0</v>
      </c>
      <c r="G161" s="73">
        <v>1.0</v>
      </c>
      <c r="H161" s="74">
        <v>0.0</v>
      </c>
      <c r="I161" s="74">
        <v>77.7000777000777</v>
      </c>
      <c r="J161" s="68"/>
      <c r="K161" s="68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</row>
    <row r="162">
      <c r="A162" s="70">
        <v>31405.0</v>
      </c>
      <c r="B162" s="84" t="s">
        <v>176</v>
      </c>
      <c r="C162" s="63" t="s">
        <v>496</v>
      </c>
      <c r="D162" s="71">
        <v>2768.0</v>
      </c>
      <c r="E162" s="72">
        <v>3822.0</v>
      </c>
      <c r="F162" s="71">
        <v>1.0</v>
      </c>
      <c r="G162" s="73">
        <v>0.0</v>
      </c>
      <c r="H162" s="74">
        <v>36.127167630057805</v>
      </c>
      <c r="I162" s="74">
        <v>0.0</v>
      </c>
      <c r="J162" s="68"/>
      <c r="K162" s="68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</row>
    <row r="163">
      <c r="A163" s="70">
        <v>31501.0</v>
      </c>
      <c r="B163" s="84" t="s">
        <v>176</v>
      </c>
      <c r="C163" s="63" t="s">
        <v>497</v>
      </c>
      <c r="D163" s="71">
        <v>7279.0</v>
      </c>
      <c r="E163" s="72">
        <v>8282.0</v>
      </c>
      <c r="F163" s="71">
        <v>0.0</v>
      </c>
      <c r="G163" s="73">
        <v>1.0</v>
      </c>
      <c r="H163" s="74">
        <v>0.0</v>
      </c>
      <c r="I163" s="74">
        <v>12.07437816952427</v>
      </c>
      <c r="J163" s="68"/>
      <c r="K163" s="68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</row>
    <row r="164">
      <c r="A164" s="70">
        <v>31601.0</v>
      </c>
      <c r="B164" s="84" t="s">
        <v>176</v>
      </c>
      <c r="C164" s="63" t="s">
        <v>228</v>
      </c>
      <c r="D164" s="71">
        <v>21231.0</v>
      </c>
      <c r="E164" s="72">
        <v>18475.0</v>
      </c>
      <c r="F164" s="71">
        <v>4.0</v>
      </c>
      <c r="G164" s="73">
        <v>6.0</v>
      </c>
      <c r="H164" s="74">
        <v>18.840374923460978</v>
      </c>
      <c r="I164" s="74">
        <v>32.47631935047362</v>
      </c>
      <c r="J164" s="68"/>
      <c r="K164" s="68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</row>
    <row r="165">
      <c r="A165" s="70">
        <v>31602.0</v>
      </c>
      <c r="B165" s="84" t="s">
        <v>176</v>
      </c>
      <c r="C165" s="63" t="s">
        <v>229</v>
      </c>
      <c r="D165" s="71">
        <v>20841.0</v>
      </c>
      <c r="E165" s="72">
        <v>27172.0</v>
      </c>
      <c r="F165" s="71">
        <v>19.0</v>
      </c>
      <c r="G165" s="73">
        <v>38.0</v>
      </c>
      <c r="H165" s="74">
        <v>91.16645074612542</v>
      </c>
      <c r="I165" s="74">
        <v>139.8498454291182</v>
      </c>
      <c r="J165" s="68"/>
      <c r="K165" s="68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</row>
    <row r="166">
      <c r="A166" s="70">
        <v>40101.0</v>
      </c>
      <c r="B166" s="84" t="s">
        <v>230</v>
      </c>
      <c r="C166" s="63" t="s">
        <v>230</v>
      </c>
      <c r="D166" s="71">
        <v>264943.0</v>
      </c>
      <c r="E166" s="72">
        <v>298350.0</v>
      </c>
      <c r="F166" s="71">
        <v>41.0</v>
      </c>
      <c r="G166" s="73">
        <v>130.0</v>
      </c>
      <c r="H166" s="74">
        <v>15.475026703857056</v>
      </c>
      <c r="I166" s="74">
        <v>43.57298474945534</v>
      </c>
      <c r="J166" s="68"/>
      <c r="K166" s="68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</row>
    <row r="167">
      <c r="A167" s="70">
        <v>40102.0</v>
      </c>
      <c r="B167" s="84" t="s">
        <v>230</v>
      </c>
      <c r="C167" s="63" t="s">
        <v>231</v>
      </c>
      <c r="D167" s="71">
        <v>23115.0</v>
      </c>
      <c r="E167" s="72">
        <v>22850.0</v>
      </c>
      <c r="F167" s="71">
        <v>0.0</v>
      </c>
      <c r="G167" s="73">
        <v>8.0</v>
      </c>
      <c r="H167" s="74">
        <v>0.0</v>
      </c>
      <c r="I167" s="74">
        <v>35.010940919037196</v>
      </c>
      <c r="J167" s="68"/>
      <c r="K167" s="68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</row>
    <row r="168">
      <c r="A168" s="70">
        <v>40103.0</v>
      </c>
      <c r="B168" s="84" t="s">
        <v>230</v>
      </c>
      <c r="C168" s="63" t="s">
        <v>232</v>
      </c>
      <c r="D168" s="71">
        <v>8725.0</v>
      </c>
      <c r="E168" s="72">
        <v>9997.0</v>
      </c>
      <c r="F168" s="71">
        <v>0.0</v>
      </c>
      <c r="G168" s="73">
        <v>0.0</v>
      </c>
      <c r="H168" s="74">
        <v>0.0</v>
      </c>
      <c r="I168" s="74">
        <v>0.0</v>
      </c>
      <c r="J168" s="68"/>
      <c r="K168" s="68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</row>
    <row r="169">
      <c r="A169" s="70">
        <v>40104.0</v>
      </c>
      <c r="B169" s="84" t="s">
        <v>230</v>
      </c>
      <c r="C169" s="63" t="s">
        <v>498</v>
      </c>
      <c r="D169" s="71">
        <v>12846.0</v>
      </c>
      <c r="E169" s="72">
        <v>15764.0</v>
      </c>
      <c r="F169" s="71">
        <v>0.0</v>
      </c>
      <c r="G169" s="73">
        <v>6.0</v>
      </c>
      <c r="H169" s="74">
        <v>0.0</v>
      </c>
      <c r="I169" s="74">
        <v>38.06140573458513</v>
      </c>
      <c r="J169" s="68"/>
      <c r="K169" s="68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</row>
    <row r="170">
      <c r="A170" s="70">
        <v>40201.0</v>
      </c>
      <c r="B170" s="84" t="s">
        <v>230</v>
      </c>
      <c r="C170" s="63" t="s">
        <v>235</v>
      </c>
      <c r="D170" s="71">
        <v>28304.0</v>
      </c>
      <c r="E170" s="72">
        <v>35427.0</v>
      </c>
      <c r="F170" s="71">
        <v>3.0</v>
      </c>
      <c r="G170" s="73">
        <v>10.0</v>
      </c>
      <c r="H170" s="74">
        <v>10.599208592425098</v>
      </c>
      <c r="I170" s="74">
        <v>28.227058458238066</v>
      </c>
      <c r="J170" s="68"/>
      <c r="K170" s="68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</row>
    <row r="171">
      <c r="A171" s="70">
        <v>40202.0</v>
      </c>
      <c r="B171" s="84" t="s">
        <v>230</v>
      </c>
      <c r="C171" s="63" t="s">
        <v>236</v>
      </c>
      <c r="D171" s="71">
        <v>4051.0</v>
      </c>
      <c r="E171" s="72">
        <v>5161.0</v>
      </c>
      <c r="F171" s="71">
        <v>6.0</v>
      </c>
      <c r="G171" s="73">
        <v>0.0</v>
      </c>
      <c r="H171" s="74">
        <v>148.1115773882992</v>
      </c>
      <c r="I171" s="74">
        <v>0.0</v>
      </c>
      <c r="J171" s="68"/>
      <c r="K171" s="68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</row>
    <row r="172">
      <c r="A172" s="70">
        <v>40301.0</v>
      </c>
      <c r="B172" s="84" t="s">
        <v>230</v>
      </c>
      <c r="C172" s="63" t="s">
        <v>238</v>
      </c>
      <c r="D172" s="71">
        <v>9221.0</v>
      </c>
      <c r="E172" s="72">
        <v>16101.0</v>
      </c>
      <c r="F172" s="71">
        <v>4.0</v>
      </c>
      <c r="G172" s="73">
        <v>0.0</v>
      </c>
      <c r="H172" s="74">
        <v>43.37924303220909</v>
      </c>
      <c r="I172" s="74">
        <v>0.0</v>
      </c>
      <c r="J172" s="68"/>
      <c r="K172" s="68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</row>
    <row r="173">
      <c r="A173" s="70">
        <v>40302.0</v>
      </c>
      <c r="B173" s="84" t="s">
        <v>230</v>
      </c>
      <c r="C173" s="63" t="s">
        <v>239</v>
      </c>
      <c r="D173" s="71">
        <v>1850.0</v>
      </c>
      <c r="E173" s="72">
        <v>2504.0</v>
      </c>
      <c r="F173" s="71">
        <v>0.0</v>
      </c>
      <c r="G173" s="73">
        <v>0.0</v>
      </c>
      <c r="H173" s="74">
        <v>0.0</v>
      </c>
      <c r="I173" s="74">
        <v>0.0</v>
      </c>
      <c r="J173" s="68"/>
      <c r="K173" s="68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</row>
    <row r="174">
      <c r="A174" s="70">
        <v>40401.0</v>
      </c>
      <c r="B174" s="84" t="s">
        <v>230</v>
      </c>
      <c r="C174" s="63" t="s">
        <v>241</v>
      </c>
      <c r="D174" s="71">
        <v>4184.0</v>
      </c>
      <c r="E174" s="72">
        <v>6683.0</v>
      </c>
      <c r="F174" s="71">
        <v>0.0</v>
      </c>
      <c r="G174" s="73">
        <v>0.0</v>
      </c>
      <c r="H174" s="74">
        <v>0.0</v>
      </c>
      <c r="I174" s="74">
        <v>0.0</v>
      </c>
      <c r="J174" s="68"/>
      <c r="K174" s="68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</row>
    <row r="175">
      <c r="A175" s="70">
        <v>40402.0</v>
      </c>
      <c r="B175" s="84" t="s">
        <v>230</v>
      </c>
      <c r="C175" s="63" t="s">
        <v>242</v>
      </c>
      <c r="D175" s="71">
        <v>5207.0</v>
      </c>
      <c r="E175" s="72">
        <v>5803.0</v>
      </c>
      <c r="F175" s="71">
        <v>0.0</v>
      </c>
      <c r="G175" s="73">
        <v>0.0</v>
      </c>
      <c r="H175" s="74">
        <v>0.0</v>
      </c>
      <c r="I175" s="74">
        <v>0.0</v>
      </c>
      <c r="J175" s="68"/>
      <c r="K175" s="68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</row>
    <row r="176">
      <c r="A176" s="70">
        <v>40501.0</v>
      </c>
      <c r="B176" s="84" t="s">
        <v>230</v>
      </c>
      <c r="C176" s="63" t="s">
        <v>244</v>
      </c>
      <c r="D176" s="71">
        <v>1003.0</v>
      </c>
      <c r="E176" s="72">
        <v>4011.0</v>
      </c>
      <c r="F176" s="71">
        <v>0.0</v>
      </c>
      <c r="G176" s="73">
        <v>0.0</v>
      </c>
      <c r="H176" s="74">
        <v>0.0</v>
      </c>
      <c r="I176" s="74">
        <v>0.0</v>
      </c>
      <c r="J176" s="68"/>
      <c r="K176" s="68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</row>
    <row r="177">
      <c r="A177" s="70">
        <v>40502.0</v>
      </c>
      <c r="B177" s="84" t="s">
        <v>230</v>
      </c>
      <c r="C177" s="63" t="s">
        <v>245</v>
      </c>
      <c r="D177" s="71">
        <v>4223.0</v>
      </c>
      <c r="E177" s="72">
        <v>4231.0</v>
      </c>
      <c r="F177" s="71">
        <v>0.0</v>
      </c>
      <c r="G177" s="73">
        <v>9.0</v>
      </c>
      <c r="H177" s="74">
        <v>0.0</v>
      </c>
      <c r="I177" s="74">
        <v>212.71567005436066</v>
      </c>
      <c r="J177" s="68"/>
      <c r="K177" s="68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</row>
    <row r="178">
      <c r="A178" s="70">
        <v>40503.0</v>
      </c>
      <c r="B178" s="84" t="s">
        <v>230</v>
      </c>
      <c r="C178" s="63" t="s">
        <v>246</v>
      </c>
      <c r="D178" s="71">
        <v>1967.0</v>
      </c>
      <c r="E178" s="72">
        <v>1517.0</v>
      </c>
      <c r="F178" s="71">
        <v>0.0</v>
      </c>
      <c r="G178" s="73">
        <v>0.0</v>
      </c>
      <c r="H178" s="74">
        <v>0.0</v>
      </c>
      <c r="I178" s="74">
        <v>0.0</v>
      </c>
      <c r="J178" s="68"/>
      <c r="K178" s="68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</row>
    <row r="179">
      <c r="A179" s="70">
        <v>40504.0</v>
      </c>
      <c r="B179" s="84" t="s">
        <v>230</v>
      </c>
      <c r="C179" s="63" t="s">
        <v>247</v>
      </c>
      <c r="D179" s="71">
        <v>514.0</v>
      </c>
      <c r="E179" s="72">
        <v>875.0</v>
      </c>
      <c r="F179" s="71">
        <v>0.0</v>
      </c>
      <c r="G179" s="73">
        <v>0.0</v>
      </c>
      <c r="H179" s="74">
        <v>0.0</v>
      </c>
      <c r="I179" s="74">
        <v>0.0</v>
      </c>
      <c r="J179" s="68"/>
      <c r="K179" s="68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</row>
    <row r="180">
      <c r="A180" s="70">
        <v>40505.0</v>
      </c>
      <c r="B180" s="84" t="s">
        <v>230</v>
      </c>
      <c r="C180" s="63" t="s">
        <v>248</v>
      </c>
      <c r="D180" s="71">
        <v>2702.0</v>
      </c>
      <c r="E180" s="72">
        <v>3882.0</v>
      </c>
      <c r="F180" s="71">
        <v>0.0</v>
      </c>
      <c r="G180" s="73">
        <v>0.0</v>
      </c>
      <c r="H180" s="74">
        <v>0.0</v>
      </c>
      <c r="I180" s="74">
        <v>0.0</v>
      </c>
      <c r="J180" s="68"/>
      <c r="K180" s="68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</row>
    <row r="181">
      <c r="A181" s="70">
        <v>40601.0</v>
      </c>
      <c r="B181" s="84" t="s">
        <v>230</v>
      </c>
      <c r="C181" s="63" t="s">
        <v>249</v>
      </c>
      <c r="D181" s="71">
        <v>7587.0</v>
      </c>
      <c r="E181" s="72">
        <v>9189.0</v>
      </c>
      <c r="F181" s="71">
        <v>5.0</v>
      </c>
      <c r="G181" s="73">
        <v>2.0</v>
      </c>
      <c r="H181" s="74">
        <v>65.90220113351786</v>
      </c>
      <c r="I181" s="74">
        <v>21.76515398846447</v>
      </c>
      <c r="J181" s="68"/>
      <c r="K181" s="68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</row>
    <row r="182">
      <c r="A182" s="70">
        <v>40602.0</v>
      </c>
      <c r="B182" s="84" t="s">
        <v>230</v>
      </c>
      <c r="C182" s="63" t="s">
        <v>250</v>
      </c>
      <c r="D182" s="71">
        <v>5955.0</v>
      </c>
      <c r="E182" s="72">
        <v>4251.0</v>
      </c>
      <c r="F182" s="71">
        <v>0.0</v>
      </c>
      <c r="G182" s="73">
        <v>18.0</v>
      </c>
      <c r="H182" s="74">
        <v>0.0</v>
      </c>
      <c r="I182" s="74">
        <v>423.42978122794636</v>
      </c>
      <c r="J182" s="68"/>
      <c r="K182" s="68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</row>
    <row r="183">
      <c r="A183" s="70">
        <v>40603.0</v>
      </c>
      <c r="B183" s="84" t="s">
        <v>230</v>
      </c>
      <c r="C183" s="63" t="s">
        <v>251</v>
      </c>
      <c r="D183" s="71">
        <v>3264.0</v>
      </c>
      <c r="E183" s="72">
        <v>3666.0</v>
      </c>
      <c r="F183" s="71">
        <v>0.0</v>
      </c>
      <c r="G183" s="73">
        <v>3.0</v>
      </c>
      <c r="H183" s="74">
        <v>0.0</v>
      </c>
      <c r="I183" s="74">
        <v>81.83306055646482</v>
      </c>
      <c r="J183" s="68"/>
      <c r="K183" s="68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</row>
    <row r="184">
      <c r="A184" s="70">
        <v>40701.0</v>
      </c>
      <c r="B184" s="84" t="s">
        <v>230</v>
      </c>
      <c r="C184" s="63" t="s">
        <v>253</v>
      </c>
      <c r="D184" s="71">
        <v>24677.0</v>
      </c>
      <c r="E184" s="72">
        <v>20118.0</v>
      </c>
      <c r="F184" s="71">
        <v>2.0</v>
      </c>
      <c r="G184" s="73">
        <v>0.0</v>
      </c>
      <c r="H184" s="74">
        <v>8.104712890545853</v>
      </c>
      <c r="I184" s="74">
        <v>0.0</v>
      </c>
      <c r="J184" s="68"/>
      <c r="K184" s="68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</row>
    <row r="185">
      <c r="A185" s="70">
        <v>40702.0</v>
      </c>
      <c r="B185" s="84" t="s">
        <v>230</v>
      </c>
      <c r="C185" s="63" t="s">
        <v>254</v>
      </c>
      <c r="D185" s="71">
        <v>4820.0</v>
      </c>
      <c r="E185" s="72">
        <v>6120.0</v>
      </c>
      <c r="F185" s="71">
        <v>0.0</v>
      </c>
      <c r="G185" s="73">
        <v>0.0</v>
      </c>
      <c r="H185" s="74">
        <v>0.0</v>
      </c>
      <c r="I185" s="74">
        <v>0.0</v>
      </c>
      <c r="J185" s="68"/>
      <c r="K185" s="68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</row>
    <row r="186">
      <c r="A186" s="70">
        <v>40801.0</v>
      </c>
      <c r="B186" s="84" t="s">
        <v>230</v>
      </c>
      <c r="C186" s="63" t="s">
        <v>499</v>
      </c>
      <c r="D186" s="71">
        <v>11878.0</v>
      </c>
      <c r="E186" s="72">
        <v>15934.0</v>
      </c>
      <c r="F186" s="71">
        <v>18.0</v>
      </c>
      <c r="G186" s="73">
        <v>8.0</v>
      </c>
      <c r="H186" s="74">
        <v>151.5406634113487</v>
      </c>
      <c r="I186" s="74">
        <v>50.20710430525919</v>
      </c>
      <c r="J186" s="68"/>
      <c r="K186" s="68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</row>
    <row r="187">
      <c r="A187" s="70">
        <v>40802.0</v>
      </c>
      <c r="B187" s="84" t="s">
        <v>230</v>
      </c>
      <c r="C187" s="63" t="s">
        <v>257</v>
      </c>
      <c r="D187" s="71">
        <v>2973.0</v>
      </c>
      <c r="E187" s="72">
        <v>3197.0</v>
      </c>
      <c r="F187" s="71">
        <v>0.0</v>
      </c>
      <c r="G187" s="73">
        <v>0.0</v>
      </c>
      <c r="H187" s="74">
        <v>0.0</v>
      </c>
      <c r="I187" s="74">
        <v>0.0</v>
      </c>
      <c r="J187" s="68"/>
      <c r="K187" s="68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</row>
    <row r="188">
      <c r="A188" s="70">
        <v>40901.0</v>
      </c>
      <c r="B188" s="84" t="s">
        <v>230</v>
      </c>
      <c r="C188" s="63" t="s">
        <v>258</v>
      </c>
      <c r="D188" s="71">
        <v>8018.0</v>
      </c>
      <c r="E188" s="72">
        <v>15504.0</v>
      </c>
      <c r="F188" s="71">
        <v>0.0</v>
      </c>
      <c r="G188" s="73">
        <v>0.0</v>
      </c>
      <c r="H188" s="74">
        <v>0.0</v>
      </c>
      <c r="I188" s="74">
        <v>0.0</v>
      </c>
      <c r="J188" s="68"/>
      <c r="K188" s="68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</row>
    <row r="189">
      <c r="A189" s="70">
        <v>40902.0</v>
      </c>
      <c r="B189" s="84" t="s">
        <v>230</v>
      </c>
      <c r="C189" s="63" t="s">
        <v>259</v>
      </c>
      <c r="D189" s="71">
        <v>903.0</v>
      </c>
      <c r="E189" s="72">
        <v>1406.0</v>
      </c>
      <c r="F189" s="71">
        <v>0.0</v>
      </c>
      <c r="G189" s="73">
        <v>0.0</v>
      </c>
      <c r="H189" s="74">
        <v>0.0</v>
      </c>
      <c r="I189" s="74">
        <v>0.0</v>
      </c>
      <c r="J189" s="68"/>
      <c r="K189" s="68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</row>
    <row r="190">
      <c r="A190" s="70">
        <v>40903.0</v>
      </c>
      <c r="B190" s="84" t="s">
        <v>230</v>
      </c>
      <c r="C190" s="63" t="s">
        <v>500</v>
      </c>
      <c r="D190" s="71">
        <v>2003.0</v>
      </c>
      <c r="E190" s="72">
        <v>2355.0</v>
      </c>
      <c r="F190" s="71">
        <v>0.0</v>
      </c>
      <c r="G190" s="73">
        <v>0.0</v>
      </c>
      <c r="H190" s="74">
        <v>0.0</v>
      </c>
      <c r="I190" s="74">
        <v>0.0</v>
      </c>
      <c r="J190" s="68"/>
      <c r="K190" s="68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</row>
    <row r="191">
      <c r="A191" s="70">
        <v>41001.0</v>
      </c>
      <c r="B191" s="84" t="s">
        <v>230</v>
      </c>
      <c r="C191" s="63" t="s">
        <v>262</v>
      </c>
      <c r="D191" s="71">
        <v>10149.0</v>
      </c>
      <c r="E191" s="72">
        <v>12202.0</v>
      </c>
      <c r="F191" s="71">
        <v>0.0</v>
      </c>
      <c r="G191" s="73">
        <v>11.0</v>
      </c>
      <c r="H191" s="74">
        <v>0.0</v>
      </c>
      <c r="I191" s="74">
        <v>90.14915587608589</v>
      </c>
      <c r="J191" s="68"/>
      <c r="K191" s="68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</row>
    <row r="192">
      <c r="A192" s="70">
        <v>41101.0</v>
      </c>
      <c r="B192" s="84" t="s">
        <v>230</v>
      </c>
      <c r="C192" s="63" t="s">
        <v>264</v>
      </c>
      <c r="D192" s="71">
        <v>5267.0</v>
      </c>
      <c r="E192" s="72">
        <v>5335.0</v>
      </c>
      <c r="F192" s="71">
        <v>0.0</v>
      </c>
      <c r="G192" s="73">
        <v>2.0</v>
      </c>
      <c r="H192" s="74">
        <v>0.0</v>
      </c>
      <c r="I192" s="74">
        <v>37.488284910965326</v>
      </c>
      <c r="J192" s="68"/>
      <c r="K192" s="68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</row>
    <row r="193">
      <c r="A193" s="70">
        <v>41201.0</v>
      </c>
      <c r="B193" s="84" t="s">
        <v>230</v>
      </c>
      <c r="C193" s="63" t="s">
        <v>501</v>
      </c>
      <c r="D193" s="71">
        <v>5216.0</v>
      </c>
      <c r="E193" s="72">
        <v>6311.0</v>
      </c>
      <c r="F193" s="71">
        <v>0.0</v>
      </c>
      <c r="G193" s="73">
        <v>0.0</v>
      </c>
      <c r="H193" s="74">
        <v>0.0</v>
      </c>
      <c r="I193" s="74">
        <v>0.0</v>
      </c>
      <c r="J193" s="68"/>
      <c r="K193" s="68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</row>
    <row r="194">
      <c r="A194" s="70">
        <v>41202.0</v>
      </c>
      <c r="B194" s="84" t="s">
        <v>230</v>
      </c>
      <c r="C194" s="63" t="s">
        <v>267</v>
      </c>
      <c r="D194" s="71">
        <v>2016.0</v>
      </c>
      <c r="E194" s="72">
        <v>3061.0</v>
      </c>
      <c r="F194" s="71">
        <v>0.0</v>
      </c>
      <c r="G194" s="73">
        <v>7.0</v>
      </c>
      <c r="H194" s="74">
        <v>0.0</v>
      </c>
      <c r="I194" s="74">
        <v>228.68343678536425</v>
      </c>
      <c r="J194" s="68"/>
      <c r="K194" s="68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</row>
    <row r="195">
      <c r="A195" s="70">
        <v>41301.0</v>
      </c>
      <c r="B195" s="84" t="s">
        <v>230</v>
      </c>
      <c r="C195" s="63" t="s">
        <v>268</v>
      </c>
      <c r="D195" s="71">
        <v>5531.0</v>
      </c>
      <c r="E195" s="72">
        <v>6637.0</v>
      </c>
      <c r="F195" s="71">
        <v>1.0</v>
      </c>
      <c r="G195" s="73">
        <v>0.0</v>
      </c>
      <c r="H195" s="74">
        <v>18.07991321641656</v>
      </c>
      <c r="I195" s="74">
        <v>0.0</v>
      </c>
      <c r="J195" s="68"/>
      <c r="K195" s="68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</row>
    <row r="196">
      <c r="A196" s="70">
        <v>41401.0</v>
      </c>
      <c r="B196" s="84" t="s">
        <v>230</v>
      </c>
      <c r="C196" s="63" t="s">
        <v>270</v>
      </c>
      <c r="D196" s="71">
        <v>13897.0</v>
      </c>
      <c r="E196" s="72">
        <v>13502.0</v>
      </c>
      <c r="F196" s="71">
        <v>0.0</v>
      </c>
      <c r="G196" s="73">
        <v>7.0</v>
      </c>
      <c r="H196" s="74">
        <v>0.0</v>
      </c>
      <c r="I196" s="74">
        <v>51.844171233891274</v>
      </c>
      <c r="J196" s="68"/>
      <c r="K196" s="68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</row>
    <row r="197">
      <c r="A197" s="70">
        <v>41501.0</v>
      </c>
      <c r="B197" s="84" t="s">
        <v>230</v>
      </c>
      <c r="C197" s="63" t="s">
        <v>272</v>
      </c>
      <c r="D197" s="71">
        <v>509.0</v>
      </c>
      <c r="E197" s="72">
        <v>1262.0</v>
      </c>
      <c r="F197" s="71">
        <v>0.0</v>
      </c>
      <c r="G197" s="73">
        <v>0.0</v>
      </c>
      <c r="H197" s="74">
        <v>0.0</v>
      </c>
      <c r="I197" s="74">
        <v>0.0</v>
      </c>
      <c r="J197" s="68"/>
      <c r="K197" s="68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</row>
    <row r="198">
      <c r="A198" s="70">
        <v>41502.0</v>
      </c>
      <c r="B198" s="84" t="s">
        <v>230</v>
      </c>
      <c r="C198" s="63" t="s">
        <v>273</v>
      </c>
      <c r="D198" s="71">
        <v>727.0</v>
      </c>
      <c r="E198" s="72">
        <v>1140.0</v>
      </c>
      <c r="F198" s="71">
        <v>0.0</v>
      </c>
      <c r="G198" s="73">
        <v>0.0</v>
      </c>
      <c r="H198" s="74">
        <v>0.0</v>
      </c>
      <c r="I198" s="74">
        <v>0.0</v>
      </c>
      <c r="J198" s="68"/>
      <c r="K198" s="68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</row>
    <row r="199">
      <c r="A199" s="70">
        <v>41503.0</v>
      </c>
      <c r="B199" s="84" t="s">
        <v>230</v>
      </c>
      <c r="C199" s="63" t="s">
        <v>237</v>
      </c>
      <c r="D199" s="71">
        <v>840.0</v>
      </c>
      <c r="E199" s="72">
        <v>1129.0</v>
      </c>
      <c r="F199" s="71">
        <v>0.0</v>
      </c>
      <c r="G199" s="73">
        <v>0.0</v>
      </c>
      <c r="H199" s="74">
        <v>0.0</v>
      </c>
      <c r="I199" s="74">
        <v>0.0</v>
      </c>
      <c r="J199" s="68"/>
      <c r="K199" s="68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</row>
    <row r="200">
      <c r="A200" s="70">
        <v>41601.0</v>
      </c>
      <c r="B200" s="84" t="s">
        <v>230</v>
      </c>
      <c r="C200" s="63" t="s">
        <v>502</v>
      </c>
      <c r="D200" s="71">
        <v>5502.0</v>
      </c>
      <c r="E200" s="72">
        <v>5996.0</v>
      </c>
      <c r="F200" s="71">
        <v>0.0</v>
      </c>
      <c r="G200" s="73">
        <v>0.0</v>
      </c>
      <c r="H200" s="74">
        <v>0.0</v>
      </c>
      <c r="I200" s="74">
        <v>0.0</v>
      </c>
      <c r="J200" s="68"/>
      <c r="K200" s="68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</row>
    <row r="201">
      <c r="A201" s="70">
        <v>50101.0</v>
      </c>
      <c r="B201" s="84" t="s">
        <v>276</v>
      </c>
      <c r="C201" s="63" t="s">
        <v>276</v>
      </c>
      <c r="D201" s="71">
        <v>191302.0</v>
      </c>
      <c r="E201" s="72">
        <v>218702.0</v>
      </c>
      <c r="F201" s="71">
        <v>170.0</v>
      </c>
      <c r="G201" s="73">
        <v>125.0</v>
      </c>
      <c r="H201" s="74">
        <v>88.8647269761947</v>
      </c>
      <c r="I201" s="74">
        <v>57.15539867033681</v>
      </c>
      <c r="J201" s="68"/>
      <c r="K201" s="68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</row>
    <row r="202">
      <c r="A202" s="70">
        <v>50102.0</v>
      </c>
      <c r="B202" s="84" t="s">
        <v>276</v>
      </c>
      <c r="C202" s="63" t="s">
        <v>278</v>
      </c>
      <c r="D202" s="71">
        <v>27200.0</v>
      </c>
      <c r="E202" s="72">
        <v>28942.0</v>
      </c>
      <c r="F202" s="71">
        <v>0.0</v>
      </c>
      <c r="G202" s="73">
        <v>8.0</v>
      </c>
      <c r="H202" s="74">
        <v>0.0</v>
      </c>
      <c r="I202" s="74">
        <v>27.641489876304334</v>
      </c>
      <c r="J202" s="68"/>
      <c r="K202" s="68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</row>
    <row r="203">
      <c r="A203" s="70">
        <v>50103.0</v>
      </c>
      <c r="B203" s="84" t="s">
        <v>276</v>
      </c>
      <c r="C203" s="63" t="s">
        <v>279</v>
      </c>
      <c r="D203" s="71">
        <v>8979.0</v>
      </c>
      <c r="E203" s="72">
        <v>12253.0</v>
      </c>
      <c r="F203" s="71">
        <v>1.0</v>
      </c>
      <c r="G203" s="73">
        <v>6.0</v>
      </c>
      <c r="H203" s="74">
        <v>11.137097672346586</v>
      </c>
      <c r="I203" s="74">
        <v>48.96759977148454</v>
      </c>
      <c r="J203" s="68"/>
      <c r="K203" s="68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</row>
    <row r="204">
      <c r="A204" s="70">
        <v>50104.0</v>
      </c>
      <c r="B204" s="84" t="s">
        <v>276</v>
      </c>
      <c r="C204" s="63" t="s">
        <v>503</v>
      </c>
      <c r="D204" s="71">
        <v>2759.0</v>
      </c>
      <c r="E204" s="72">
        <v>3121.0</v>
      </c>
      <c r="F204" s="71">
        <v>0.0</v>
      </c>
      <c r="G204" s="73">
        <v>0.0</v>
      </c>
      <c r="H204" s="74">
        <v>0.0</v>
      </c>
      <c r="I204" s="74">
        <v>0.0</v>
      </c>
      <c r="J204" s="68"/>
      <c r="K204" s="68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</row>
    <row r="205">
      <c r="A205" s="70">
        <v>50201.0</v>
      </c>
      <c r="B205" s="84" t="s">
        <v>276</v>
      </c>
      <c r="C205" s="63" t="s">
        <v>282</v>
      </c>
      <c r="D205" s="71">
        <v>22020.0</v>
      </c>
      <c r="E205" s="72">
        <v>22768.0</v>
      </c>
      <c r="F205" s="71">
        <v>0.0</v>
      </c>
      <c r="G205" s="73">
        <v>21.0</v>
      </c>
      <c r="H205" s="74">
        <v>0.0</v>
      </c>
      <c r="I205" s="74">
        <v>92.23471539002108</v>
      </c>
      <c r="J205" s="68"/>
      <c r="K205" s="68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</row>
    <row r="206">
      <c r="A206" s="70">
        <v>50202.0</v>
      </c>
      <c r="B206" s="84" t="s">
        <v>276</v>
      </c>
      <c r="C206" s="63" t="s">
        <v>283</v>
      </c>
      <c r="D206" s="71">
        <v>16129.0</v>
      </c>
      <c r="E206" s="72">
        <v>16021.0</v>
      </c>
      <c r="F206" s="71">
        <v>7.0</v>
      </c>
      <c r="G206" s="73">
        <v>8.0</v>
      </c>
      <c r="H206" s="74">
        <v>43.400086800173604</v>
      </c>
      <c r="I206" s="74">
        <v>49.93446101991137</v>
      </c>
      <c r="J206" s="68"/>
      <c r="K206" s="68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</row>
    <row r="207">
      <c r="A207" s="70">
        <v>50203.0</v>
      </c>
      <c r="B207" s="84" t="s">
        <v>276</v>
      </c>
      <c r="C207" s="63" t="s">
        <v>284</v>
      </c>
      <c r="D207" s="71">
        <v>41104.0</v>
      </c>
      <c r="E207" s="72">
        <v>41686.0</v>
      </c>
      <c r="F207" s="71">
        <v>50.0</v>
      </c>
      <c r="G207" s="73">
        <v>12.0</v>
      </c>
      <c r="H207" s="74">
        <v>121.64266251459712</v>
      </c>
      <c r="I207" s="74">
        <v>28.78664299764909</v>
      </c>
      <c r="J207" s="68"/>
      <c r="K207" s="68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</row>
    <row r="208">
      <c r="A208" s="70">
        <v>50204.0</v>
      </c>
      <c r="B208" s="84" t="s">
        <v>276</v>
      </c>
      <c r="C208" s="63" t="s">
        <v>504</v>
      </c>
      <c r="D208" s="71">
        <v>8019.0</v>
      </c>
      <c r="E208" s="72">
        <v>8220.0</v>
      </c>
      <c r="F208" s="71">
        <v>95.0</v>
      </c>
      <c r="G208" s="73">
        <v>6.0</v>
      </c>
      <c r="H208" s="74">
        <v>1184.6863698715551</v>
      </c>
      <c r="I208" s="74">
        <v>72.99270072992701</v>
      </c>
      <c r="J208" s="68"/>
      <c r="K208" s="68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</row>
    <row r="209">
      <c r="A209" s="70">
        <v>50301.0</v>
      </c>
      <c r="B209" s="84" t="s">
        <v>276</v>
      </c>
      <c r="C209" s="63" t="s">
        <v>287</v>
      </c>
      <c r="D209" s="71">
        <v>33922.0</v>
      </c>
      <c r="E209" s="72">
        <v>31904.0</v>
      </c>
      <c r="F209" s="71">
        <v>55.0</v>
      </c>
      <c r="G209" s="73">
        <v>20.0</v>
      </c>
      <c r="H209" s="74">
        <v>162.13666647013738</v>
      </c>
      <c r="I209" s="74">
        <v>62.688064192577734</v>
      </c>
      <c r="J209" s="68"/>
      <c r="K209" s="68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</row>
    <row r="210">
      <c r="A210" s="70">
        <v>50302.0</v>
      </c>
      <c r="B210" s="84" t="s">
        <v>276</v>
      </c>
      <c r="C210" s="63" t="s">
        <v>288</v>
      </c>
      <c r="D210" s="71">
        <v>9910.0</v>
      </c>
      <c r="E210" s="72">
        <v>9285.0</v>
      </c>
      <c r="F210" s="71">
        <v>4.0</v>
      </c>
      <c r="G210" s="73">
        <v>15.0</v>
      </c>
      <c r="H210" s="74">
        <v>40.36326942482341</v>
      </c>
      <c r="I210" s="74">
        <v>161.55088852988692</v>
      </c>
      <c r="J210" s="68"/>
      <c r="K210" s="68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</row>
    <row r="211">
      <c r="A211" s="70">
        <v>50303.0</v>
      </c>
      <c r="B211" s="84" t="s">
        <v>276</v>
      </c>
      <c r="C211" s="63" t="s">
        <v>289</v>
      </c>
      <c r="D211" s="71">
        <v>11835.0</v>
      </c>
      <c r="E211" s="72">
        <v>14366.0</v>
      </c>
      <c r="F211" s="71">
        <v>6.0</v>
      </c>
      <c r="G211" s="73">
        <v>14.0</v>
      </c>
      <c r="H211" s="74">
        <v>50.69708491761724</v>
      </c>
      <c r="I211" s="74">
        <v>97.45231797299179</v>
      </c>
      <c r="J211" s="68"/>
      <c r="K211" s="68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</row>
    <row r="212">
      <c r="A212" s="70">
        <v>50401.0</v>
      </c>
      <c r="B212" s="84" t="s">
        <v>276</v>
      </c>
      <c r="C212" s="63" t="s">
        <v>290</v>
      </c>
      <c r="D212" s="71">
        <v>35199.0</v>
      </c>
      <c r="E212" s="72">
        <v>16363.0</v>
      </c>
      <c r="F212" s="71">
        <v>8.0</v>
      </c>
      <c r="G212" s="73">
        <v>7.0</v>
      </c>
      <c r="H212" s="74">
        <v>22.72791840677292</v>
      </c>
      <c r="I212" s="74">
        <v>42.779441422721995</v>
      </c>
      <c r="J212" s="68"/>
      <c r="K212" s="68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</row>
    <row r="213">
      <c r="A213" s="70">
        <v>50402.0</v>
      </c>
      <c r="B213" s="84" t="s">
        <v>276</v>
      </c>
      <c r="C213" s="63" t="s">
        <v>291</v>
      </c>
      <c r="D213" s="71">
        <v>20789.0</v>
      </c>
      <c r="E213" s="72">
        <v>16909.0</v>
      </c>
      <c r="F213" s="71">
        <v>1.0</v>
      </c>
      <c r="G213" s="73">
        <v>20.0</v>
      </c>
      <c r="H213" s="74">
        <v>4.810236182596565</v>
      </c>
      <c r="I213" s="74">
        <v>118.2802058075581</v>
      </c>
      <c r="J213" s="68"/>
      <c r="K213" s="68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</row>
    <row r="214">
      <c r="A214" s="70">
        <v>50403.0</v>
      </c>
      <c r="B214" s="84" t="s">
        <v>276</v>
      </c>
      <c r="C214" s="63" t="s">
        <v>292</v>
      </c>
      <c r="D214" s="71">
        <v>26330.0</v>
      </c>
      <c r="E214" s="72">
        <v>32641.0</v>
      </c>
      <c r="F214" s="71">
        <v>3.0</v>
      </c>
      <c r="G214" s="73">
        <v>26.0</v>
      </c>
      <c r="H214" s="74">
        <v>11.393847322445879</v>
      </c>
      <c r="I214" s="74">
        <v>79.65442235225636</v>
      </c>
      <c r="J214" s="68"/>
      <c r="K214" s="68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</row>
    <row r="215">
      <c r="A215" s="70">
        <v>50404.0</v>
      </c>
      <c r="B215" s="84" t="s">
        <v>276</v>
      </c>
      <c r="C215" s="63" t="s">
        <v>293</v>
      </c>
      <c r="D215" s="71">
        <v>16118.0</v>
      </c>
      <c r="E215" s="72">
        <v>14532.0</v>
      </c>
      <c r="F215" s="71">
        <v>0.0</v>
      </c>
      <c r="G215" s="73">
        <v>7.0</v>
      </c>
      <c r="H215" s="74">
        <v>0.0</v>
      </c>
      <c r="I215" s="74">
        <v>48.16955684007707</v>
      </c>
      <c r="J215" s="68"/>
      <c r="K215" s="68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</row>
    <row r="216">
      <c r="A216" s="70">
        <v>50405.0</v>
      </c>
      <c r="B216" s="84" t="s">
        <v>276</v>
      </c>
      <c r="C216" s="63" t="s">
        <v>294</v>
      </c>
      <c r="D216" s="71">
        <v>35199.0</v>
      </c>
      <c r="E216" s="72">
        <v>21011.0</v>
      </c>
      <c r="F216" s="71">
        <v>8.0</v>
      </c>
      <c r="G216" s="73">
        <v>3.0</v>
      </c>
      <c r="H216" s="74">
        <v>22.72791840677292</v>
      </c>
      <c r="I216" s="74">
        <v>14.278235210128027</v>
      </c>
      <c r="J216" s="68"/>
      <c r="K216" s="68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</row>
    <row r="217">
      <c r="A217" s="70">
        <v>50501.0</v>
      </c>
      <c r="B217" s="84" t="s">
        <v>276</v>
      </c>
      <c r="C217" s="63" t="s">
        <v>505</v>
      </c>
      <c r="D217" s="71">
        <v>30012.0</v>
      </c>
      <c r="E217" s="72">
        <v>28416.0</v>
      </c>
      <c r="F217" s="71">
        <v>7.0</v>
      </c>
      <c r="G217" s="73">
        <v>16.0</v>
      </c>
      <c r="H217" s="74">
        <v>23.324003731840598</v>
      </c>
      <c r="I217" s="74">
        <v>56.306306306306304</v>
      </c>
      <c r="J217" s="68"/>
      <c r="K217" s="68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</row>
    <row r="218">
      <c r="A218" s="70">
        <v>50502.0</v>
      </c>
      <c r="B218" s="84" t="s">
        <v>276</v>
      </c>
      <c r="C218" s="63" t="s">
        <v>297</v>
      </c>
      <c r="D218" s="71">
        <v>10870.0</v>
      </c>
      <c r="E218" s="72">
        <v>10714.0</v>
      </c>
      <c r="F218" s="71">
        <v>1.0</v>
      </c>
      <c r="G218" s="73">
        <v>19.0</v>
      </c>
      <c r="H218" s="74">
        <v>9.19963201471941</v>
      </c>
      <c r="I218" s="74">
        <v>177.3380623483293</v>
      </c>
      <c r="J218" s="68"/>
      <c r="K218" s="68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</row>
    <row r="219">
      <c r="A219" s="70">
        <v>50601.0</v>
      </c>
      <c r="B219" s="84" t="s">
        <v>276</v>
      </c>
      <c r="C219" s="63" t="s">
        <v>299</v>
      </c>
      <c r="D219" s="71">
        <v>31801.0</v>
      </c>
      <c r="E219" s="72">
        <v>29221.0</v>
      </c>
      <c r="F219" s="71">
        <v>15.0</v>
      </c>
      <c r="G219" s="73">
        <v>26.0</v>
      </c>
      <c r="H219" s="74">
        <v>47.16832803999874</v>
      </c>
      <c r="I219" s="74">
        <v>88.97710550631395</v>
      </c>
      <c r="J219" s="68"/>
      <c r="K219" s="68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</row>
    <row r="220">
      <c r="A220" s="70">
        <v>50602.0</v>
      </c>
      <c r="B220" s="84" t="s">
        <v>276</v>
      </c>
      <c r="C220" s="63" t="s">
        <v>300</v>
      </c>
      <c r="D220" s="71">
        <v>10646.0</v>
      </c>
      <c r="E220" s="72">
        <v>10184.0</v>
      </c>
      <c r="F220" s="71">
        <v>15.0</v>
      </c>
      <c r="G220" s="73">
        <v>4.0</v>
      </c>
      <c r="H220" s="74">
        <v>140.89798985534472</v>
      </c>
      <c r="I220" s="74">
        <v>39.27729772191673</v>
      </c>
      <c r="J220" s="68"/>
      <c r="K220" s="68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</row>
    <row r="221">
      <c r="A221" s="70">
        <v>50701.0</v>
      </c>
      <c r="B221" s="84" t="s">
        <v>276</v>
      </c>
      <c r="C221" s="63" t="s">
        <v>506</v>
      </c>
      <c r="D221" s="71">
        <v>19611.0</v>
      </c>
      <c r="E221" s="72">
        <v>17205.0</v>
      </c>
      <c r="F221" s="71">
        <v>4.0</v>
      </c>
      <c r="G221" s="73">
        <v>1.0</v>
      </c>
      <c r="H221" s="74">
        <v>20.39671612870328</v>
      </c>
      <c r="I221" s="74">
        <v>5.812263876780006</v>
      </c>
      <c r="J221" s="68"/>
      <c r="K221" s="68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</row>
    <row r="222">
      <c r="A222" s="70">
        <v>50702.0</v>
      </c>
      <c r="B222" s="84" t="s">
        <v>276</v>
      </c>
      <c r="C222" s="63" t="s">
        <v>303</v>
      </c>
      <c r="D222" s="71">
        <v>8704.0</v>
      </c>
      <c r="E222" s="72">
        <v>8458.0</v>
      </c>
      <c r="F222" s="71">
        <v>1.0</v>
      </c>
      <c r="G222" s="73">
        <v>2.0</v>
      </c>
      <c r="H222" s="74">
        <v>11.488970588235293</v>
      </c>
      <c r="I222" s="74">
        <v>23.646252069047055</v>
      </c>
      <c r="J222" s="68"/>
      <c r="K222" s="68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</row>
    <row r="223">
      <c r="A223" s="70">
        <v>50801.0</v>
      </c>
      <c r="B223" s="84" t="s">
        <v>276</v>
      </c>
      <c r="C223" s="63" t="s">
        <v>305</v>
      </c>
      <c r="D223" s="71">
        <v>44814.0</v>
      </c>
      <c r="E223" s="72">
        <v>45590.0</v>
      </c>
      <c r="F223" s="71">
        <v>5.0</v>
      </c>
      <c r="G223" s="73">
        <v>50.0</v>
      </c>
      <c r="H223" s="74">
        <v>11.157227652073013</v>
      </c>
      <c r="I223" s="74">
        <v>109.67317394165387</v>
      </c>
      <c r="J223" s="68"/>
      <c r="K223" s="68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</row>
    <row r="224">
      <c r="A224" s="70">
        <v>50802.0</v>
      </c>
      <c r="B224" s="84" t="s">
        <v>276</v>
      </c>
      <c r="C224" s="63" t="s">
        <v>306</v>
      </c>
      <c r="D224" s="71">
        <v>11234.0</v>
      </c>
      <c r="E224" s="72">
        <v>9610.0</v>
      </c>
      <c r="F224" s="71">
        <v>0.0</v>
      </c>
      <c r="G224" s="73">
        <v>14.0</v>
      </c>
      <c r="H224" s="74">
        <v>0.0</v>
      </c>
      <c r="I224" s="74">
        <v>145.68158168574402</v>
      </c>
      <c r="J224" s="68"/>
      <c r="K224" s="68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</row>
    <row r="225">
      <c r="A225" s="70">
        <v>50901.0</v>
      </c>
      <c r="B225" s="84" t="s">
        <v>276</v>
      </c>
      <c r="C225" s="63" t="s">
        <v>507</v>
      </c>
      <c r="D225" s="71">
        <v>12997.0</v>
      </c>
      <c r="E225" s="72">
        <v>12740.0</v>
      </c>
      <c r="F225" s="71">
        <v>12.0</v>
      </c>
      <c r="G225" s="73">
        <v>9.0</v>
      </c>
      <c r="H225" s="74">
        <v>92.32899899976918</v>
      </c>
      <c r="I225" s="74">
        <v>70.6436420722135</v>
      </c>
      <c r="J225" s="68"/>
      <c r="K225" s="68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</row>
    <row r="226">
      <c r="A226" s="70">
        <v>50902.0</v>
      </c>
      <c r="B226" s="84" t="s">
        <v>276</v>
      </c>
      <c r="C226" s="63" t="s">
        <v>309</v>
      </c>
      <c r="D226" s="71">
        <v>1060.0</v>
      </c>
      <c r="E226" s="72">
        <v>1621.0</v>
      </c>
      <c r="F226" s="71">
        <v>0.0</v>
      </c>
      <c r="G226" s="73">
        <v>0.0</v>
      </c>
      <c r="H226" s="74">
        <v>0.0</v>
      </c>
      <c r="I226" s="74">
        <v>0.0</v>
      </c>
      <c r="J226" s="68"/>
      <c r="K226" s="68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</row>
    <row r="227">
      <c r="A227" s="70">
        <v>51001.0</v>
      </c>
      <c r="B227" s="84" t="s">
        <v>276</v>
      </c>
      <c r="C227" s="63" t="s">
        <v>508</v>
      </c>
      <c r="D227" s="71">
        <v>3371.0</v>
      </c>
      <c r="E227" s="72">
        <v>3150.0</v>
      </c>
      <c r="F227" s="71">
        <v>1.0</v>
      </c>
      <c r="G227" s="73">
        <v>2.0</v>
      </c>
      <c r="H227" s="74">
        <v>29.664787896766537</v>
      </c>
      <c r="I227" s="74">
        <v>63.492063492063494</v>
      </c>
      <c r="J227" s="68"/>
      <c r="K227" s="68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</row>
    <row r="228">
      <c r="A228" s="70">
        <v>51002.0</v>
      </c>
      <c r="B228" s="84" t="s">
        <v>276</v>
      </c>
      <c r="C228" s="63" t="s">
        <v>312</v>
      </c>
      <c r="D228" s="71">
        <v>1180.0</v>
      </c>
      <c r="E228" s="72">
        <v>1025.0</v>
      </c>
      <c r="F228" s="71">
        <v>0.0</v>
      </c>
      <c r="G228" s="73">
        <v>7.0</v>
      </c>
      <c r="H228" s="74">
        <v>0.0</v>
      </c>
      <c r="I228" s="74">
        <v>682.9268292682926</v>
      </c>
      <c r="J228" s="68"/>
      <c r="K228" s="68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</row>
    <row r="229">
      <c r="A229" s="70">
        <v>51003.0</v>
      </c>
      <c r="B229" s="84" t="s">
        <v>276</v>
      </c>
      <c r="C229" s="63" t="s">
        <v>313</v>
      </c>
      <c r="D229" s="71">
        <v>2284.0</v>
      </c>
      <c r="E229" s="72">
        <v>1936.0</v>
      </c>
      <c r="F229" s="71">
        <v>0.0</v>
      </c>
      <c r="G229" s="73">
        <v>0.0</v>
      </c>
      <c r="H229" s="74">
        <v>0.0</v>
      </c>
      <c r="I229" s="74">
        <v>0.0</v>
      </c>
      <c r="J229" s="68"/>
      <c r="K229" s="68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</row>
    <row r="230">
      <c r="A230" s="70">
        <v>51101.0</v>
      </c>
      <c r="B230" s="84" t="s">
        <v>276</v>
      </c>
      <c r="C230" s="63" t="s">
        <v>315</v>
      </c>
      <c r="D230" s="71">
        <v>21917.0</v>
      </c>
      <c r="E230" s="72">
        <v>16389.0</v>
      </c>
      <c r="F230" s="71">
        <v>11.0</v>
      </c>
      <c r="G230" s="73">
        <v>24.0</v>
      </c>
      <c r="H230" s="74">
        <v>50.189350732308256</v>
      </c>
      <c r="I230" s="74">
        <v>146.4396851546769</v>
      </c>
      <c r="J230" s="68"/>
      <c r="K230" s="68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</row>
    <row r="231">
      <c r="A231" s="70">
        <v>51102.0</v>
      </c>
      <c r="B231" s="84" t="s">
        <v>276</v>
      </c>
      <c r="C231" s="63" t="s">
        <v>316</v>
      </c>
      <c r="D231" s="71">
        <v>12067.0</v>
      </c>
      <c r="E231" s="72">
        <v>12999.0</v>
      </c>
      <c r="F231" s="71">
        <v>10.0</v>
      </c>
      <c r="G231" s="73">
        <v>14.0</v>
      </c>
      <c r="H231" s="74">
        <v>82.87063893262616</v>
      </c>
      <c r="I231" s="74">
        <v>107.70059235325795</v>
      </c>
      <c r="J231" s="68"/>
      <c r="K231" s="68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</row>
    <row r="232">
      <c r="A232" s="70">
        <v>51103.0</v>
      </c>
      <c r="B232" s="84" t="s">
        <v>276</v>
      </c>
      <c r="C232" s="63" t="s">
        <v>317</v>
      </c>
      <c r="D232" s="71">
        <v>15812.0</v>
      </c>
      <c r="E232" s="72">
        <v>14338.0</v>
      </c>
      <c r="F232" s="71">
        <v>10.0</v>
      </c>
      <c r="G232" s="73">
        <v>2.0</v>
      </c>
      <c r="H232" s="74">
        <v>63.243106501391345</v>
      </c>
      <c r="I232" s="74">
        <v>13.948946854512485</v>
      </c>
      <c r="J232" s="68"/>
      <c r="K232" s="68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</row>
    <row r="233">
      <c r="A233" s="70">
        <v>51201.0</v>
      </c>
      <c r="B233" s="84" t="s">
        <v>276</v>
      </c>
      <c r="C233" s="63" t="s">
        <v>319</v>
      </c>
      <c r="D233" s="71">
        <v>29672.0</v>
      </c>
      <c r="E233" s="72">
        <v>35318.0</v>
      </c>
      <c r="F233" s="71">
        <v>1.0</v>
      </c>
      <c r="G233" s="73">
        <v>82.0</v>
      </c>
      <c r="H233" s="74">
        <v>3.3701806416823943</v>
      </c>
      <c r="I233" s="74">
        <v>232.17622741944618</v>
      </c>
      <c r="J233" s="68"/>
      <c r="K233" s="68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</row>
    <row r="234">
      <c r="A234" s="70">
        <v>51202.0</v>
      </c>
      <c r="B234" s="84" t="s">
        <v>276</v>
      </c>
      <c r="C234" s="63" t="s">
        <v>320</v>
      </c>
      <c r="D234" s="71">
        <v>14789.0</v>
      </c>
      <c r="E234" s="72">
        <v>7845.0</v>
      </c>
      <c r="F234" s="71">
        <v>2.0</v>
      </c>
      <c r="G234" s="73">
        <v>8.0</v>
      </c>
      <c r="H234" s="74">
        <v>13.52356481168436</v>
      </c>
      <c r="I234" s="74">
        <v>101.97578075207139</v>
      </c>
      <c r="J234" s="68"/>
      <c r="K234" s="68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</row>
    <row r="235">
      <c r="A235" s="70">
        <v>51203.0</v>
      </c>
      <c r="B235" s="84" t="s">
        <v>276</v>
      </c>
      <c r="C235" s="63" t="s">
        <v>321</v>
      </c>
      <c r="D235" s="71">
        <v>10866.0</v>
      </c>
      <c r="E235" s="72">
        <v>14654.0</v>
      </c>
      <c r="F235" s="71">
        <v>0.0</v>
      </c>
      <c r="G235" s="73">
        <v>2.0</v>
      </c>
      <c r="H235" s="74">
        <v>0.0</v>
      </c>
      <c r="I235" s="74">
        <v>13.648150675583459</v>
      </c>
      <c r="J235" s="68"/>
      <c r="K235" s="68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</row>
    <row r="236">
      <c r="A236" s="70">
        <v>51204.0</v>
      </c>
      <c r="B236" s="84" t="s">
        <v>276</v>
      </c>
      <c r="C236" s="63" t="s">
        <v>322</v>
      </c>
      <c r="D236" s="71">
        <v>14789.0</v>
      </c>
      <c r="E236" s="72">
        <v>5819.0</v>
      </c>
      <c r="F236" s="71">
        <f>F234</f>
        <v>2</v>
      </c>
      <c r="G236" s="73">
        <v>5.0</v>
      </c>
      <c r="H236" s="74">
        <v>0.0</v>
      </c>
      <c r="I236" s="74">
        <v>85.92541673827118</v>
      </c>
      <c r="J236" s="68"/>
      <c r="K236" s="68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</row>
    <row r="237">
      <c r="A237" s="70">
        <v>51301.0</v>
      </c>
      <c r="B237" s="84" t="s">
        <v>276</v>
      </c>
      <c r="C237" s="63" t="s">
        <v>324</v>
      </c>
      <c r="D237" s="71">
        <v>4170.0</v>
      </c>
      <c r="E237" s="72">
        <v>3666.0</v>
      </c>
      <c r="F237" s="71">
        <v>0.0</v>
      </c>
      <c r="G237" s="73">
        <v>1.0</v>
      </c>
      <c r="H237" s="74">
        <v>0.0</v>
      </c>
      <c r="I237" s="74">
        <v>27.277686852154936</v>
      </c>
      <c r="J237" s="68"/>
      <c r="K237" s="68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</row>
    <row r="238">
      <c r="A238" s="70">
        <v>51302.0</v>
      </c>
      <c r="B238" s="84" t="s">
        <v>276</v>
      </c>
      <c r="C238" s="63" t="s">
        <v>325</v>
      </c>
      <c r="D238" s="71">
        <v>6161.0</v>
      </c>
      <c r="E238" s="72">
        <v>4471.0</v>
      </c>
      <c r="F238" s="71">
        <v>0.0</v>
      </c>
      <c r="G238" s="73">
        <v>7.0</v>
      </c>
      <c r="H238" s="74">
        <v>0.0</v>
      </c>
      <c r="I238" s="74">
        <v>156.56452695146498</v>
      </c>
      <c r="J238" s="68"/>
      <c r="K238" s="68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</row>
    <row r="239">
      <c r="A239" s="70">
        <v>51401.0</v>
      </c>
      <c r="B239" s="84" t="s">
        <v>276</v>
      </c>
      <c r="C239" s="63" t="s">
        <v>327</v>
      </c>
      <c r="D239" s="71">
        <v>4150.0</v>
      </c>
      <c r="E239" s="72">
        <v>4187.0</v>
      </c>
      <c r="F239" s="71">
        <v>0.0</v>
      </c>
      <c r="G239" s="73">
        <v>0.0</v>
      </c>
      <c r="H239" s="74">
        <v>0.0</v>
      </c>
      <c r="I239" s="74">
        <v>0.0</v>
      </c>
      <c r="J239" s="68"/>
      <c r="K239" s="68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</row>
    <row r="240">
      <c r="A240" s="70">
        <v>51402.0</v>
      </c>
      <c r="B240" s="84" t="s">
        <v>276</v>
      </c>
      <c r="C240" s="63" t="s">
        <v>328</v>
      </c>
      <c r="D240" s="71">
        <v>1700.0</v>
      </c>
      <c r="E240" s="72">
        <v>1546.0</v>
      </c>
      <c r="F240" s="71">
        <v>0.0</v>
      </c>
      <c r="G240" s="73">
        <v>1.0</v>
      </c>
      <c r="H240" s="74">
        <v>0.0</v>
      </c>
      <c r="I240" s="74">
        <v>64.68305304010349</v>
      </c>
      <c r="J240" s="68"/>
      <c r="K240" s="68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</row>
    <row r="241">
      <c r="A241" s="70">
        <v>51501.0</v>
      </c>
      <c r="B241" s="84" t="s">
        <v>276</v>
      </c>
      <c r="C241" s="63" t="s">
        <v>330</v>
      </c>
      <c r="D241" s="71">
        <v>44906.0</v>
      </c>
      <c r="E241" s="72">
        <v>49340.0</v>
      </c>
      <c r="F241" s="71">
        <v>23.0</v>
      </c>
      <c r="G241" s="73">
        <v>17.0</v>
      </c>
      <c r="H241" s="74">
        <v>51.218100031176235</v>
      </c>
      <c r="I241" s="74">
        <v>34.45480340494528</v>
      </c>
      <c r="J241" s="68"/>
      <c r="K241" s="68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</row>
    <row r="242">
      <c r="A242" s="70">
        <v>51601.0</v>
      </c>
      <c r="B242" s="84" t="s">
        <v>276</v>
      </c>
      <c r="C242" s="63" t="s">
        <v>332</v>
      </c>
      <c r="D242" s="71">
        <v>1684.0</v>
      </c>
      <c r="E242" s="72">
        <v>2126.0</v>
      </c>
      <c r="F242" s="71">
        <v>0.0</v>
      </c>
      <c r="G242" s="73">
        <v>0.0</v>
      </c>
      <c r="H242" s="74">
        <v>0.0</v>
      </c>
      <c r="I242" s="74">
        <v>0.0</v>
      </c>
      <c r="J242" s="68"/>
      <c r="K242" s="68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</row>
    <row r="243">
      <c r="A243" s="70">
        <v>60101.0</v>
      </c>
      <c r="B243" s="84" t="s">
        <v>333</v>
      </c>
      <c r="C243" s="63" t="s">
        <v>333</v>
      </c>
      <c r="D243" s="71">
        <v>205375.0</v>
      </c>
      <c r="E243" s="72">
        <v>238749.0</v>
      </c>
      <c r="F243" s="71">
        <v>59.0</v>
      </c>
      <c r="G243" s="73">
        <v>63.0</v>
      </c>
      <c r="H243" s="74">
        <v>28.72793670115642</v>
      </c>
      <c r="I243" s="74">
        <v>26.387545078722844</v>
      </c>
      <c r="J243" s="68"/>
      <c r="K243" s="68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</row>
    <row r="244">
      <c r="A244" s="70">
        <v>60201.0</v>
      </c>
      <c r="B244" s="84" t="s">
        <v>333</v>
      </c>
      <c r="C244" s="63" t="s">
        <v>335</v>
      </c>
      <c r="D244" s="71">
        <v>18681.0</v>
      </c>
      <c r="E244" s="72">
        <v>17817.0</v>
      </c>
      <c r="F244" s="71">
        <v>0.0</v>
      </c>
      <c r="G244" s="73">
        <v>5.0</v>
      </c>
      <c r="H244" s="74">
        <v>0.0</v>
      </c>
      <c r="I244" s="74">
        <v>28.063085816916427</v>
      </c>
      <c r="J244" s="68"/>
      <c r="K244" s="68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</row>
    <row r="245">
      <c r="A245" s="70">
        <v>60202.0</v>
      </c>
      <c r="B245" s="84" t="s">
        <v>333</v>
      </c>
      <c r="C245" s="63" t="s">
        <v>336</v>
      </c>
      <c r="D245" s="71">
        <v>34505.0</v>
      </c>
      <c r="E245" s="72">
        <v>36970.0</v>
      </c>
      <c r="F245" s="71">
        <v>9.0</v>
      </c>
      <c r="G245" s="73">
        <v>8.0</v>
      </c>
      <c r="H245" s="74">
        <v>26.083176351253442</v>
      </c>
      <c r="I245" s="74">
        <v>21.639166892074655</v>
      </c>
      <c r="J245" s="68"/>
      <c r="K245" s="68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</row>
    <row r="246">
      <c r="A246" s="70">
        <v>60301.0</v>
      </c>
      <c r="B246" s="84" t="s">
        <v>333</v>
      </c>
      <c r="C246" s="63" t="s">
        <v>338</v>
      </c>
      <c r="D246" s="71">
        <v>92245.0</v>
      </c>
      <c r="E246" s="72">
        <v>97634.0</v>
      </c>
      <c r="F246" s="71">
        <v>9.0</v>
      </c>
      <c r="G246" s="73">
        <v>15.0</v>
      </c>
      <c r="H246" s="74">
        <v>9.756626375413301</v>
      </c>
      <c r="I246" s="74">
        <v>15.363500419935677</v>
      </c>
      <c r="J246" s="68"/>
      <c r="K246" s="68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</row>
    <row r="247">
      <c r="A247" s="70">
        <v>60302.0</v>
      </c>
      <c r="B247" s="84" t="s">
        <v>333</v>
      </c>
      <c r="C247" s="63" t="s">
        <v>339</v>
      </c>
      <c r="D247" s="71">
        <v>15366.0</v>
      </c>
      <c r="E247" s="72">
        <v>15559.0</v>
      </c>
      <c r="F247" s="71">
        <v>14.0</v>
      </c>
      <c r="G247" s="73">
        <v>3.0</v>
      </c>
      <c r="H247" s="74">
        <v>91.11024339450735</v>
      </c>
      <c r="I247" s="74">
        <v>19.281444822932066</v>
      </c>
      <c r="J247" s="68"/>
      <c r="K247" s="68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</row>
    <row r="248">
      <c r="A248" s="70">
        <v>60303.0</v>
      </c>
      <c r="B248" s="84" t="s">
        <v>333</v>
      </c>
      <c r="C248" s="63" t="s">
        <v>340</v>
      </c>
      <c r="D248" s="71">
        <v>39867.0</v>
      </c>
      <c r="E248" s="72">
        <v>46071.0</v>
      </c>
      <c r="F248" s="71">
        <v>11.0</v>
      </c>
      <c r="G248" s="73">
        <v>6.0</v>
      </c>
      <c r="H248" s="74">
        <v>27.591742543958663</v>
      </c>
      <c r="I248" s="74">
        <v>13.023376961646155</v>
      </c>
      <c r="J248" s="68"/>
      <c r="K248" s="68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</row>
    <row r="249">
      <c r="A249" s="70">
        <v>60401.0</v>
      </c>
      <c r="B249" s="84" t="s">
        <v>333</v>
      </c>
      <c r="C249" s="63" t="s">
        <v>342</v>
      </c>
      <c r="D249" s="71">
        <v>14781.0</v>
      </c>
      <c r="E249" s="72">
        <v>15923.0</v>
      </c>
      <c r="F249" s="71">
        <v>8.0</v>
      </c>
      <c r="G249" s="73">
        <v>3.0</v>
      </c>
      <c r="H249" s="74">
        <v>54.12353697314119</v>
      </c>
      <c r="I249" s="74">
        <v>18.840670727877914</v>
      </c>
      <c r="J249" s="68"/>
      <c r="K249" s="68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</row>
    <row r="250">
      <c r="A250" s="70">
        <v>60402.0</v>
      </c>
      <c r="B250" s="84" t="s">
        <v>333</v>
      </c>
      <c r="C250" s="63" t="s">
        <v>343</v>
      </c>
      <c r="D250" s="71">
        <v>5490.0</v>
      </c>
      <c r="E250" s="72">
        <v>4754.0</v>
      </c>
      <c r="F250" s="71">
        <v>0.0</v>
      </c>
      <c r="G250" s="73">
        <v>0.0</v>
      </c>
      <c r="H250" s="74">
        <v>0.0</v>
      </c>
      <c r="I250" s="74">
        <v>0.0</v>
      </c>
      <c r="J250" s="68"/>
      <c r="K250" s="68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</row>
    <row r="251">
      <c r="A251" s="70">
        <v>60501.0</v>
      </c>
      <c r="B251" s="84" t="s">
        <v>333</v>
      </c>
      <c r="C251" s="63" t="s">
        <v>509</v>
      </c>
      <c r="D251" s="71">
        <v>23863.0</v>
      </c>
      <c r="E251" s="72">
        <v>30346.0</v>
      </c>
      <c r="F251" s="71">
        <v>5.0</v>
      </c>
      <c r="G251" s="73">
        <v>8.0</v>
      </c>
      <c r="H251" s="74">
        <v>20.95293969743955</v>
      </c>
      <c r="I251" s="74">
        <v>26.36261780794833</v>
      </c>
      <c r="J251" s="68"/>
      <c r="K251" s="68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</row>
    <row r="252">
      <c r="A252" s="70">
        <v>60502.0</v>
      </c>
      <c r="B252" s="84" t="s">
        <v>333</v>
      </c>
      <c r="C252" s="63" t="s">
        <v>346</v>
      </c>
      <c r="D252" s="71">
        <v>11354.0</v>
      </c>
      <c r="E252" s="72">
        <v>9523.0</v>
      </c>
      <c r="F252" s="71">
        <v>1.0</v>
      </c>
      <c r="G252" s="73">
        <v>2.0</v>
      </c>
      <c r="H252" s="74">
        <v>8.807468733485996</v>
      </c>
      <c r="I252" s="74">
        <v>21.0017851517379</v>
      </c>
      <c r="J252" s="68"/>
      <c r="K252" s="68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</row>
    <row r="253">
      <c r="A253" s="70">
        <v>60601.0</v>
      </c>
      <c r="B253" s="84" t="s">
        <v>333</v>
      </c>
      <c r="C253" s="63" t="s">
        <v>217</v>
      </c>
      <c r="D253" s="71">
        <v>21991.0</v>
      </c>
      <c r="E253" s="72">
        <v>20864.0</v>
      </c>
      <c r="F253" s="71">
        <v>6.0</v>
      </c>
      <c r="G253" s="73">
        <v>9.0</v>
      </c>
      <c r="H253" s="74">
        <v>27.28388886362603</v>
      </c>
      <c r="I253" s="74">
        <v>43.13650306748466</v>
      </c>
      <c r="J253" s="68"/>
      <c r="K253" s="68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</row>
    <row r="254">
      <c r="A254" s="70">
        <v>70101.0</v>
      </c>
      <c r="B254" s="84" t="s">
        <v>348</v>
      </c>
      <c r="C254" s="63" t="s">
        <v>350</v>
      </c>
      <c r="D254" s="71">
        <v>1454539.0</v>
      </c>
      <c r="E254" s="72">
        <v>1610982.0</v>
      </c>
      <c r="F254" s="71">
        <v>328.0</v>
      </c>
      <c r="G254" s="73">
        <v>614.0</v>
      </c>
      <c r="H254" s="74">
        <v>22.550100066069042</v>
      </c>
      <c r="I254" s="74">
        <v>38.1133991565393</v>
      </c>
      <c r="J254" s="68"/>
      <c r="K254" s="68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</row>
    <row r="255">
      <c r="A255" s="70">
        <v>70102.0</v>
      </c>
      <c r="B255" s="84" t="s">
        <v>348</v>
      </c>
      <c r="C255" s="63" t="s">
        <v>351</v>
      </c>
      <c r="D255" s="71">
        <v>45519.0</v>
      </c>
      <c r="E255" s="72">
        <v>106603.0</v>
      </c>
      <c r="F255" s="71">
        <v>21.0</v>
      </c>
      <c r="G255" s="73">
        <v>17.0</v>
      </c>
      <c r="H255" s="74">
        <v>46.13458116390957</v>
      </c>
      <c r="I255" s="74">
        <v>15.94701837659353</v>
      </c>
      <c r="J255" s="68"/>
      <c r="K255" s="68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</row>
    <row r="256">
      <c r="A256" s="70">
        <v>70103.0</v>
      </c>
      <c r="B256" s="84" t="s">
        <v>348</v>
      </c>
      <c r="C256" s="63" t="s">
        <v>352</v>
      </c>
      <c r="D256" s="71">
        <v>15317.0</v>
      </c>
      <c r="E256" s="72">
        <v>23126.0</v>
      </c>
      <c r="F256" s="71">
        <v>0.0</v>
      </c>
      <c r="G256" s="73">
        <v>4.0</v>
      </c>
      <c r="H256" s="74">
        <v>0.0</v>
      </c>
      <c r="I256" s="74">
        <v>17.296549338406987</v>
      </c>
      <c r="J256" s="68"/>
      <c r="K256" s="68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</row>
    <row r="257">
      <c r="A257" s="70">
        <v>70104.0</v>
      </c>
      <c r="B257" s="84" t="s">
        <v>348</v>
      </c>
      <c r="C257" s="63" t="s">
        <v>353</v>
      </c>
      <c r="D257" s="71">
        <v>89284.0</v>
      </c>
      <c r="E257" s="72">
        <v>147726.0</v>
      </c>
      <c r="F257" s="71">
        <v>8.0</v>
      </c>
      <c r="G257" s="73">
        <v>30.0</v>
      </c>
      <c r="H257" s="74">
        <v>8.960172035303078</v>
      </c>
      <c r="I257" s="74">
        <v>20.30786726777954</v>
      </c>
      <c r="J257" s="68"/>
      <c r="K257" s="68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</row>
    <row r="258">
      <c r="A258" s="70">
        <v>70105.0</v>
      </c>
      <c r="B258" s="84" t="s">
        <v>348</v>
      </c>
      <c r="C258" s="63" t="s">
        <v>354</v>
      </c>
      <c r="D258" s="71">
        <v>49652.0</v>
      </c>
      <c r="E258" s="72">
        <v>55697.0</v>
      </c>
      <c r="F258" s="71">
        <v>8.0</v>
      </c>
      <c r="G258" s="73">
        <v>13.0</v>
      </c>
      <c r="H258" s="74">
        <v>16.11214049786514</v>
      </c>
      <c r="I258" s="74">
        <v>23.340574896313985</v>
      </c>
      <c r="J258" s="68"/>
      <c r="K258" s="68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</row>
    <row r="259">
      <c r="A259" s="70">
        <v>70201.0</v>
      </c>
      <c r="B259" s="84" t="s">
        <v>348</v>
      </c>
      <c r="C259" s="63" t="s">
        <v>355</v>
      </c>
      <c r="D259" s="71">
        <v>96406.0</v>
      </c>
      <c r="E259" s="72">
        <v>151248.0</v>
      </c>
      <c r="F259" s="71">
        <v>17.0</v>
      </c>
      <c r="G259" s="73">
        <v>31.0</v>
      </c>
      <c r="H259" s="74">
        <v>17.633757235026867</v>
      </c>
      <c r="I259" s="74">
        <v>20.49613879191791</v>
      </c>
      <c r="J259" s="68"/>
      <c r="K259" s="68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</row>
    <row r="260">
      <c r="A260" s="70">
        <v>70202.0</v>
      </c>
      <c r="B260" s="84" t="s">
        <v>348</v>
      </c>
      <c r="C260" s="63" t="s">
        <v>356</v>
      </c>
      <c r="D260" s="71">
        <v>12482.0</v>
      </c>
      <c r="E260" s="72">
        <v>10665.0</v>
      </c>
      <c r="F260" s="71">
        <v>11.0</v>
      </c>
      <c r="G260" s="73">
        <v>1.0</v>
      </c>
      <c r="H260" s="74">
        <v>88.12690273994552</v>
      </c>
      <c r="I260" s="74">
        <v>9.376465072667605</v>
      </c>
      <c r="J260" s="68"/>
      <c r="K260" s="68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</row>
    <row r="261">
      <c r="A261" s="70">
        <v>70301.0</v>
      </c>
      <c r="B261" s="84" t="s">
        <v>348</v>
      </c>
      <c r="C261" s="63" t="s">
        <v>510</v>
      </c>
      <c r="D261" s="71">
        <v>52362.0</v>
      </c>
      <c r="E261" s="72">
        <v>67103.0</v>
      </c>
      <c r="F261" s="71">
        <v>13.0</v>
      </c>
      <c r="G261" s="73">
        <v>15.0</v>
      </c>
      <c r="H261" s="74">
        <v>24.827164737786944</v>
      </c>
      <c r="I261" s="74">
        <v>22.353695065794376</v>
      </c>
      <c r="J261" s="68"/>
      <c r="K261" s="68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</row>
    <row r="262">
      <c r="A262" s="70">
        <v>70302.0</v>
      </c>
      <c r="B262" s="84" t="s">
        <v>348</v>
      </c>
      <c r="C262" s="63" t="s">
        <v>511</v>
      </c>
      <c r="D262" s="71">
        <v>11327.0</v>
      </c>
      <c r="E262" s="72">
        <v>15239.0</v>
      </c>
      <c r="F262" s="71">
        <v>0.0</v>
      </c>
      <c r="G262" s="73">
        <v>15.0</v>
      </c>
      <c r="H262" s="74">
        <v>0.0</v>
      </c>
      <c r="I262" s="74">
        <v>98.43165562044753</v>
      </c>
      <c r="J262" s="68"/>
      <c r="K262" s="68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</row>
    <row r="263">
      <c r="A263" s="70">
        <v>70303.0</v>
      </c>
      <c r="B263" s="84" t="s">
        <v>348</v>
      </c>
      <c r="C263" s="63" t="s">
        <v>360</v>
      </c>
      <c r="D263" s="71">
        <v>6139.0</v>
      </c>
      <c r="E263" s="72">
        <v>8842.0</v>
      </c>
      <c r="F263" s="71">
        <v>5.0</v>
      </c>
      <c r="G263" s="73">
        <v>5.0</v>
      </c>
      <c r="H263" s="74">
        <v>81.44648965629581</v>
      </c>
      <c r="I263" s="74">
        <v>56.5482922415743</v>
      </c>
      <c r="J263" s="68"/>
      <c r="K263" s="68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</row>
    <row r="264">
      <c r="A264" s="70">
        <v>70401.0</v>
      </c>
      <c r="B264" s="84" t="s">
        <v>348</v>
      </c>
      <c r="C264" s="63" t="s">
        <v>362</v>
      </c>
      <c r="D264" s="71">
        <v>12879.0</v>
      </c>
      <c r="E264" s="72">
        <v>13651.0</v>
      </c>
      <c r="F264" s="71">
        <v>3.0</v>
      </c>
      <c r="G264" s="73">
        <v>1.0</v>
      </c>
      <c r="H264" s="74">
        <v>23.293733985557886</v>
      </c>
      <c r="I264" s="74">
        <v>7.325470661490001</v>
      </c>
      <c r="J264" s="68"/>
      <c r="K264" s="68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</row>
    <row r="265">
      <c r="A265" s="70">
        <v>70402.0</v>
      </c>
      <c r="B265" s="84" t="s">
        <v>348</v>
      </c>
      <c r="C265" s="63" t="s">
        <v>363</v>
      </c>
      <c r="D265" s="71">
        <v>20093.0</v>
      </c>
      <c r="E265" s="72">
        <v>18942.0</v>
      </c>
      <c r="F265" s="71">
        <v>0.0</v>
      </c>
      <c r="G265" s="73">
        <v>9.0</v>
      </c>
      <c r="H265" s="74">
        <v>0.0</v>
      </c>
      <c r="I265" s="74">
        <v>47.513462147608486</v>
      </c>
      <c r="J265" s="68"/>
      <c r="K265" s="68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</row>
    <row r="266">
      <c r="A266" s="70">
        <v>70403.0</v>
      </c>
      <c r="B266" s="84" t="s">
        <v>348</v>
      </c>
      <c r="C266" s="63" t="s">
        <v>364</v>
      </c>
      <c r="D266" s="71">
        <v>50558.0</v>
      </c>
      <c r="E266" s="72">
        <v>57794.0</v>
      </c>
      <c r="F266" s="71">
        <v>8.0</v>
      </c>
      <c r="G266" s="73">
        <v>12.0</v>
      </c>
      <c r="H266" s="74">
        <v>15.823410736184185</v>
      </c>
      <c r="I266" s="74">
        <v>20.763401045091186</v>
      </c>
      <c r="J266" s="68"/>
      <c r="K266" s="68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</row>
    <row r="267">
      <c r="A267" s="70">
        <v>70404.0</v>
      </c>
      <c r="B267" s="84" t="s">
        <v>348</v>
      </c>
      <c r="C267" s="63" t="s">
        <v>365</v>
      </c>
      <c r="D267" s="71">
        <v>9191.0</v>
      </c>
      <c r="E267" s="72">
        <v>10200.0</v>
      </c>
      <c r="F267" s="71">
        <v>13.0</v>
      </c>
      <c r="G267" s="73">
        <v>0.0</v>
      </c>
      <c r="H267" s="74">
        <v>141.44271570014143</v>
      </c>
      <c r="I267" s="74">
        <v>0.0</v>
      </c>
      <c r="J267" s="68"/>
      <c r="K267" s="68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</row>
    <row r="268">
      <c r="A268" s="70">
        <v>70501.0</v>
      </c>
      <c r="B268" s="84" t="s">
        <v>348</v>
      </c>
      <c r="C268" s="63" t="s">
        <v>512</v>
      </c>
      <c r="D268" s="71">
        <v>28922.0</v>
      </c>
      <c r="E268" s="72">
        <v>40974.0</v>
      </c>
      <c r="F268" s="71">
        <v>4.0</v>
      </c>
      <c r="G268" s="73">
        <v>9.0</v>
      </c>
      <c r="H268" s="74">
        <v>13.830302192102897</v>
      </c>
      <c r="I268" s="74">
        <v>21.965148630839067</v>
      </c>
      <c r="J268" s="68"/>
      <c r="K268" s="68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</row>
    <row r="269">
      <c r="A269" s="70">
        <v>70502.0</v>
      </c>
      <c r="B269" s="84" t="s">
        <v>348</v>
      </c>
      <c r="C269" s="63" t="s">
        <v>368</v>
      </c>
      <c r="D269" s="71">
        <v>37866.0</v>
      </c>
      <c r="E269" s="72">
        <v>54495.0</v>
      </c>
      <c r="F269" s="71">
        <v>3.0</v>
      </c>
      <c r="G269" s="73">
        <v>35.0</v>
      </c>
      <c r="H269" s="74">
        <v>7.922674694977024</v>
      </c>
      <c r="I269" s="74">
        <v>64.22607578676943</v>
      </c>
      <c r="J269" s="68"/>
      <c r="K269" s="68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</row>
    <row r="270">
      <c r="A270" s="70">
        <v>70503.0</v>
      </c>
      <c r="B270" s="84" t="s">
        <v>348</v>
      </c>
      <c r="C270" s="63" t="s">
        <v>369</v>
      </c>
      <c r="D270" s="71">
        <v>15641.0</v>
      </c>
      <c r="E270" s="72">
        <v>18763.0</v>
      </c>
      <c r="F270" s="71">
        <v>1.0</v>
      </c>
      <c r="G270" s="73">
        <v>4.0</v>
      </c>
      <c r="H270" s="74">
        <v>6.393453104021482</v>
      </c>
      <c r="I270" s="74">
        <v>21.31855247028727</v>
      </c>
      <c r="J270" s="68"/>
      <c r="K270" s="68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</row>
    <row r="271">
      <c r="A271" s="70">
        <v>70601.0</v>
      </c>
      <c r="B271" s="84" t="s">
        <v>348</v>
      </c>
      <c r="C271" s="63" t="s">
        <v>371</v>
      </c>
      <c r="D271" s="71">
        <v>17885.0</v>
      </c>
      <c r="E271" s="72">
        <v>20743.0</v>
      </c>
      <c r="F271" s="71">
        <v>0.0</v>
      </c>
      <c r="G271" s="73">
        <v>2.0</v>
      </c>
      <c r="H271" s="74">
        <v>0.0</v>
      </c>
      <c r="I271" s="74">
        <v>9.641806874608301</v>
      </c>
      <c r="J271" s="68"/>
      <c r="K271" s="68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</row>
    <row r="272">
      <c r="A272" s="70">
        <v>70602.0</v>
      </c>
      <c r="B272" s="84" t="s">
        <v>348</v>
      </c>
      <c r="C272" s="63" t="s">
        <v>513</v>
      </c>
      <c r="D272" s="71">
        <v>19217.0</v>
      </c>
      <c r="E272" s="72">
        <v>17999.0</v>
      </c>
      <c r="F272" s="71">
        <v>2.0</v>
      </c>
      <c r="G272" s="73">
        <v>10.0</v>
      </c>
      <c r="H272" s="74">
        <v>10.407451735442576</v>
      </c>
      <c r="I272" s="74">
        <v>55.558642146785935</v>
      </c>
      <c r="J272" s="68"/>
      <c r="K272" s="68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</row>
    <row r="273">
      <c r="A273" s="70">
        <v>70603.0</v>
      </c>
      <c r="B273" s="84" t="s">
        <v>348</v>
      </c>
      <c r="C273" s="63" t="s">
        <v>373</v>
      </c>
      <c r="D273" s="71">
        <v>6069.0</v>
      </c>
      <c r="E273" s="72">
        <v>6007.0</v>
      </c>
      <c r="F273" s="71">
        <v>0.0</v>
      </c>
      <c r="G273" s="73">
        <v>1.0</v>
      </c>
      <c r="H273" s="74">
        <v>0.0</v>
      </c>
      <c r="I273" s="74">
        <v>16.6472448809722</v>
      </c>
      <c r="J273" s="68"/>
      <c r="K273" s="68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</row>
    <row r="274">
      <c r="A274" s="70">
        <v>70701.0</v>
      </c>
      <c r="B274" s="84" t="s">
        <v>348</v>
      </c>
      <c r="C274" s="63" t="s">
        <v>375</v>
      </c>
      <c r="D274" s="71">
        <v>5366.0</v>
      </c>
      <c r="E274" s="72">
        <v>5946.0</v>
      </c>
      <c r="F274" s="71">
        <v>2.0</v>
      </c>
      <c r="G274" s="73">
        <v>1.0</v>
      </c>
      <c r="H274" s="74">
        <v>37.27171077152441</v>
      </c>
      <c r="I274" s="74">
        <v>16.818028927009756</v>
      </c>
      <c r="J274" s="68"/>
      <c r="K274" s="68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</row>
    <row r="275">
      <c r="A275" s="70">
        <v>70702.0</v>
      </c>
      <c r="B275" s="84" t="s">
        <v>348</v>
      </c>
      <c r="C275" s="63" t="s">
        <v>514</v>
      </c>
      <c r="D275" s="71">
        <v>32186.0</v>
      </c>
      <c r="E275" s="72">
        <v>38420.0</v>
      </c>
      <c r="F275" s="71">
        <v>28.0</v>
      </c>
      <c r="G275" s="73">
        <v>14.0</v>
      </c>
      <c r="H275" s="74">
        <v>86.9943453675511</v>
      </c>
      <c r="I275" s="74">
        <v>36.43935450286309</v>
      </c>
      <c r="J275" s="68"/>
      <c r="K275" s="68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</row>
    <row r="276">
      <c r="A276" s="70">
        <v>70703.0</v>
      </c>
      <c r="B276" s="84" t="s">
        <v>348</v>
      </c>
      <c r="C276" s="63" t="s">
        <v>377</v>
      </c>
      <c r="D276" s="71">
        <v>26434.0</v>
      </c>
      <c r="E276" s="72">
        <v>32961.0</v>
      </c>
      <c r="F276" s="71">
        <v>0.0</v>
      </c>
      <c r="G276" s="73">
        <v>2.0</v>
      </c>
      <c r="H276" s="74">
        <v>0.0</v>
      </c>
      <c r="I276" s="74">
        <v>6.067777069870453</v>
      </c>
      <c r="J276" s="68"/>
      <c r="K276" s="68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</row>
    <row r="277">
      <c r="A277" s="70">
        <v>70704.0</v>
      </c>
      <c r="B277" s="84" t="s">
        <v>348</v>
      </c>
      <c r="C277" s="63" t="s">
        <v>378</v>
      </c>
      <c r="D277" s="71">
        <v>5052.0</v>
      </c>
      <c r="E277" s="72">
        <v>5335.0</v>
      </c>
      <c r="F277" s="71">
        <v>7.0</v>
      </c>
      <c r="G277" s="73">
        <v>2.0</v>
      </c>
      <c r="H277" s="74">
        <v>138.55898653998418</v>
      </c>
      <c r="I277" s="74">
        <v>37.488284910965326</v>
      </c>
      <c r="J277" s="68"/>
      <c r="K277" s="68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</row>
    <row r="278">
      <c r="A278" s="70">
        <v>70705.0</v>
      </c>
      <c r="B278" s="84" t="s">
        <v>348</v>
      </c>
      <c r="C278" s="63" t="s">
        <v>515</v>
      </c>
      <c r="D278" s="71">
        <v>12273.0</v>
      </c>
      <c r="E278" s="72">
        <v>14389.0</v>
      </c>
      <c r="F278" s="71">
        <v>6.0</v>
      </c>
      <c r="G278" s="73">
        <v>0.0</v>
      </c>
      <c r="H278" s="74">
        <v>48.887802493277924</v>
      </c>
      <c r="I278" s="74">
        <v>0.0</v>
      </c>
      <c r="J278" s="68"/>
      <c r="K278" s="68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</row>
    <row r="279">
      <c r="A279" s="70">
        <v>70706.0</v>
      </c>
      <c r="B279" s="84" t="s">
        <v>348</v>
      </c>
      <c r="C279" s="63" t="s">
        <v>380</v>
      </c>
      <c r="D279" s="71">
        <v>33838.0</v>
      </c>
      <c r="E279" s="72">
        <v>32285.0</v>
      </c>
      <c r="F279" s="71">
        <v>9.0</v>
      </c>
      <c r="G279" s="73">
        <v>10.0</v>
      </c>
      <c r="H279" s="74">
        <v>26.59731662627815</v>
      </c>
      <c r="I279" s="74">
        <v>30.974136595942387</v>
      </c>
      <c r="J279" s="68"/>
      <c r="K279" s="68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</row>
    <row r="280">
      <c r="A280" s="70">
        <v>70707.0</v>
      </c>
      <c r="B280" s="84" t="s">
        <v>348</v>
      </c>
      <c r="C280" s="63" t="s">
        <v>381</v>
      </c>
      <c r="D280" s="71">
        <v>5087.0</v>
      </c>
      <c r="E280" s="72">
        <v>5612.0</v>
      </c>
      <c r="F280" s="71">
        <v>2.0</v>
      </c>
      <c r="G280" s="73">
        <v>6.0</v>
      </c>
      <c r="H280" s="74">
        <v>39.315903282877926</v>
      </c>
      <c r="I280" s="74">
        <v>106.91375623663578</v>
      </c>
      <c r="J280" s="68"/>
      <c r="K280" s="68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</row>
    <row r="281">
      <c r="A281" s="70">
        <v>70801.0</v>
      </c>
      <c r="B281" s="84" t="s">
        <v>348</v>
      </c>
      <c r="C281" s="63" t="s">
        <v>383</v>
      </c>
      <c r="D281" s="71">
        <v>17208.0</v>
      </c>
      <c r="E281" s="72">
        <v>17249.0</v>
      </c>
      <c r="F281" s="71">
        <v>3.0</v>
      </c>
      <c r="G281" s="73">
        <v>2.0</v>
      </c>
      <c r="H281" s="74">
        <v>17.433751743375176</v>
      </c>
      <c r="I281" s="74">
        <v>11.594875065221173</v>
      </c>
      <c r="J281" s="68"/>
      <c r="K281" s="68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</row>
    <row r="282">
      <c r="A282" s="70">
        <v>70802.0</v>
      </c>
      <c r="B282" s="84" t="s">
        <v>348</v>
      </c>
      <c r="C282" s="63" t="s">
        <v>384</v>
      </c>
      <c r="D282" s="71">
        <v>2135.0</v>
      </c>
      <c r="E282" s="72">
        <v>2359.0</v>
      </c>
      <c r="F282" s="71">
        <v>0.0</v>
      </c>
      <c r="G282" s="73">
        <v>0.0</v>
      </c>
      <c r="H282" s="74">
        <v>0.0</v>
      </c>
      <c r="I282" s="74">
        <v>0.0</v>
      </c>
      <c r="J282" s="68"/>
      <c r="K282" s="68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</row>
    <row r="283">
      <c r="A283" s="70">
        <v>70803.0</v>
      </c>
      <c r="B283" s="84" t="s">
        <v>348</v>
      </c>
      <c r="C283" s="63" t="s">
        <v>516</v>
      </c>
      <c r="D283" s="71">
        <v>2767.0</v>
      </c>
      <c r="E283" s="72">
        <v>2793.0</v>
      </c>
      <c r="F283" s="71">
        <v>1.0</v>
      </c>
      <c r="G283" s="73">
        <v>1.0</v>
      </c>
      <c r="H283" s="74">
        <v>36.14022406938923</v>
      </c>
      <c r="I283" s="74">
        <v>35.80379520229144</v>
      </c>
      <c r="J283" s="68"/>
      <c r="K283" s="68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</row>
    <row r="284">
      <c r="A284" s="70">
        <v>70804.0</v>
      </c>
      <c r="B284" s="84" t="s">
        <v>348</v>
      </c>
      <c r="C284" s="63" t="s">
        <v>386</v>
      </c>
      <c r="D284" s="71">
        <v>2390.0</v>
      </c>
      <c r="E284" s="72">
        <v>1806.0</v>
      </c>
      <c r="F284" s="71">
        <v>0.0</v>
      </c>
      <c r="G284" s="73">
        <v>0.0</v>
      </c>
      <c r="H284" s="74">
        <v>0.0</v>
      </c>
      <c r="I284" s="74">
        <v>0.0</v>
      </c>
      <c r="J284" s="68"/>
      <c r="K284" s="68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</row>
    <row r="285">
      <c r="A285" s="70">
        <v>70805.0</v>
      </c>
      <c r="B285" s="84" t="s">
        <v>348</v>
      </c>
      <c r="C285" s="63" t="s">
        <v>387</v>
      </c>
      <c r="D285" s="71">
        <v>2076.0</v>
      </c>
      <c r="E285" s="72">
        <v>2015.0</v>
      </c>
      <c r="F285" s="71">
        <v>0.0</v>
      </c>
      <c r="G285" s="73">
        <v>0.0</v>
      </c>
      <c r="H285" s="74">
        <v>0.0</v>
      </c>
      <c r="I285" s="74">
        <v>0.0</v>
      </c>
      <c r="J285" s="68"/>
      <c r="K285" s="68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</row>
    <row r="286">
      <c r="A286" s="70">
        <v>70901.0</v>
      </c>
      <c r="B286" s="84" t="s">
        <v>348</v>
      </c>
      <c r="C286" s="63" t="s">
        <v>389</v>
      </c>
      <c r="D286" s="71">
        <v>10472.0</v>
      </c>
      <c r="E286" s="72">
        <v>11843.0</v>
      </c>
      <c r="F286" s="71">
        <v>2.0</v>
      </c>
      <c r="G286" s="73">
        <v>4.0</v>
      </c>
      <c r="H286" s="74">
        <v>19.098548510313215</v>
      </c>
      <c r="I286" s="74">
        <v>33.77522587182302</v>
      </c>
      <c r="J286" s="68"/>
      <c r="K286" s="68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</row>
    <row r="287">
      <c r="A287" s="70">
        <v>70902.0</v>
      </c>
      <c r="B287" s="84" t="s">
        <v>348</v>
      </c>
      <c r="C287" s="63" t="s">
        <v>517</v>
      </c>
      <c r="D287" s="71">
        <v>9198.0</v>
      </c>
      <c r="E287" s="72">
        <v>9692.0</v>
      </c>
      <c r="F287" s="71">
        <v>2.0</v>
      </c>
      <c r="G287" s="73">
        <v>2.0</v>
      </c>
      <c r="H287" s="74">
        <v>21.743857360295717</v>
      </c>
      <c r="I287" s="74">
        <v>20.635575732562938</v>
      </c>
      <c r="J287" s="68"/>
      <c r="K287" s="68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</row>
    <row r="288">
      <c r="A288" s="70">
        <v>70903.0</v>
      </c>
      <c r="B288" s="84" t="s">
        <v>348</v>
      </c>
      <c r="C288" s="63" t="s">
        <v>391</v>
      </c>
      <c r="D288" s="71">
        <v>10177.0</v>
      </c>
      <c r="E288" s="72">
        <v>12735.0</v>
      </c>
      <c r="F288" s="71">
        <v>3.0</v>
      </c>
      <c r="G288" s="73">
        <v>12.0</v>
      </c>
      <c r="H288" s="74">
        <v>29.478235236317186</v>
      </c>
      <c r="I288" s="74">
        <v>94.22850412249706</v>
      </c>
      <c r="J288" s="68"/>
      <c r="K288" s="68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</row>
    <row r="289">
      <c r="A289" s="70">
        <v>70904.0</v>
      </c>
      <c r="B289" s="84" t="s">
        <v>348</v>
      </c>
      <c r="C289" s="63" t="s">
        <v>392</v>
      </c>
      <c r="D289" s="71">
        <v>2995.0</v>
      </c>
      <c r="E289" s="72">
        <v>3086.0</v>
      </c>
      <c r="F289" s="71">
        <v>0.0</v>
      </c>
      <c r="G289" s="73">
        <v>0.0</v>
      </c>
      <c r="H289" s="74">
        <v>0.0</v>
      </c>
      <c r="I289" s="74">
        <v>0.0</v>
      </c>
      <c r="J289" s="68"/>
      <c r="K289" s="68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</row>
    <row r="290">
      <c r="A290" s="70">
        <v>71001.0</v>
      </c>
      <c r="B290" s="84" t="s">
        <v>348</v>
      </c>
      <c r="C290" s="63" t="s">
        <v>394</v>
      </c>
      <c r="D290" s="71">
        <v>109518.0</v>
      </c>
      <c r="E290" s="72">
        <v>126886.0</v>
      </c>
      <c r="F290" s="71">
        <v>48.0</v>
      </c>
      <c r="G290" s="73">
        <v>28.0</v>
      </c>
      <c r="H290" s="74">
        <v>43.82841176792856</v>
      </c>
      <c r="I290" s="74">
        <v>22.067052314676165</v>
      </c>
      <c r="J290" s="68"/>
      <c r="K290" s="68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</row>
    <row r="291">
      <c r="A291" s="70">
        <v>71002.0</v>
      </c>
      <c r="B291" s="84" t="s">
        <v>348</v>
      </c>
      <c r="C291" s="63" t="s">
        <v>395</v>
      </c>
      <c r="D291" s="71">
        <v>14209.0</v>
      </c>
      <c r="E291" s="72">
        <v>16598.0</v>
      </c>
      <c r="F291" s="71">
        <v>0.0</v>
      </c>
      <c r="G291" s="73">
        <v>3.0</v>
      </c>
      <c r="H291" s="74">
        <v>0.0</v>
      </c>
      <c r="I291" s="74">
        <v>18.074466803229306</v>
      </c>
      <c r="J291" s="68"/>
      <c r="K291" s="68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</row>
    <row r="292">
      <c r="A292" s="70">
        <v>71003.0</v>
      </c>
      <c r="B292" s="84" t="s">
        <v>348</v>
      </c>
      <c r="C292" s="63" t="s">
        <v>396</v>
      </c>
      <c r="D292" s="71">
        <v>23251.0</v>
      </c>
      <c r="E292" s="72">
        <v>23110.0</v>
      </c>
      <c r="F292" s="71">
        <v>1.0</v>
      </c>
      <c r="G292" s="73">
        <v>9.0</v>
      </c>
      <c r="H292" s="74">
        <v>4.3008902842888475</v>
      </c>
      <c r="I292" s="74">
        <v>38.944180008654264</v>
      </c>
      <c r="J292" s="68"/>
      <c r="K292" s="68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</row>
    <row r="293">
      <c r="A293" s="70">
        <v>71004.0</v>
      </c>
      <c r="B293" s="84" t="s">
        <v>348</v>
      </c>
      <c r="C293" s="63" t="s">
        <v>397</v>
      </c>
      <c r="D293" s="71">
        <v>15117.0</v>
      </c>
      <c r="E293" s="72">
        <v>14610.0</v>
      </c>
      <c r="F293" s="71">
        <v>22.0</v>
      </c>
      <c r="G293" s="73">
        <v>0.0</v>
      </c>
      <c r="H293" s="74">
        <v>145.53152080439241</v>
      </c>
      <c r="I293" s="74">
        <v>0.0</v>
      </c>
      <c r="J293" s="68"/>
      <c r="K293" s="68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</row>
    <row r="294">
      <c r="A294" s="70">
        <v>71005.0</v>
      </c>
      <c r="B294" s="84" t="s">
        <v>348</v>
      </c>
      <c r="C294" s="63" t="s">
        <v>296</v>
      </c>
      <c r="D294" s="71">
        <v>19103.0</v>
      </c>
      <c r="E294" s="72">
        <v>15246.0</v>
      </c>
      <c r="F294" s="71">
        <v>0.0</v>
      </c>
      <c r="G294" s="73">
        <v>1.0</v>
      </c>
      <c r="H294" s="74">
        <v>0.0</v>
      </c>
      <c r="I294" s="74">
        <v>6.559097468188377</v>
      </c>
      <c r="J294" s="68"/>
      <c r="K294" s="68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</row>
    <row r="295">
      <c r="A295" s="70">
        <v>71101.0</v>
      </c>
      <c r="B295" s="84" t="s">
        <v>348</v>
      </c>
      <c r="C295" s="63" t="s">
        <v>399</v>
      </c>
      <c r="D295" s="71">
        <v>18800.0</v>
      </c>
      <c r="E295" s="72">
        <v>30118.0</v>
      </c>
      <c r="F295" s="71">
        <v>0.0</v>
      </c>
      <c r="G295" s="73">
        <v>5.0</v>
      </c>
      <c r="H295" s="74">
        <v>0.0</v>
      </c>
      <c r="I295" s="74">
        <v>16.601367952719304</v>
      </c>
      <c r="J295" s="68"/>
      <c r="K295" s="68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</row>
    <row r="296">
      <c r="A296" s="70">
        <v>71102.0</v>
      </c>
      <c r="B296" s="84" t="s">
        <v>348</v>
      </c>
      <c r="C296" s="63" t="s">
        <v>400</v>
      </c>
      <c r="D296" s="71">
        <v>13620.0</v>
      </c>
      <c r="E296" s="72">
        <v>14888.0</v>
      </c>
      <c r="F296" s="71">
        <v>12.0</v>
      </c>
      <c r="G296" s="73">
        <v>11.0</v>
      </c>
      <c r="H296" s="74">
        <v>88.10572687224669</v>
      </c>
      <c r="I296" s="74">
        <v>73.8850080601827</v>
      </c>
      <c r="J296" s="68"/>
      <c r="K296" s="68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</row>
    <row r="297">
      <c r="A297" s="70">
        <v>71103.0</v>
      </c>
      <c r="B297" s="84" t="s">
        <v>348</v>
      </c>
      <c r="C297" s="63" t="s">
        <v>403</v>
      </c>
      <c r="D297" s="71">
        <v>7490.0</v>
      </c>
      <c r="E297" s="72">
        <v>8541.0</v>
      </c>
      <c r="F297" s="71">
        <v>3.0</v>
      </c>
      <c r="G297" s="73">
        <v>1.0</v>
      </c>
      <c r="H297" s="74">
        <v>40.053404539385845</v>
      </c>
      <c r="I297" s="74">
        <v>11.708230886313078</v>
      </c>
      <c r="J297" s="68"/>
      <c r="K297" s="68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</row>
    <row r="298">
      <c r="A298" s="70">
        <v>71104.0</v>
      </c>
      <c r="B298" s="84" t="s">
        <v>348</v>
      </c>
      <c r="C298" s="63" t="s">
        <v>401</v>
      </c>
      <c r="D298" s="71">
        <v>47416.0</v>
      </c>
      <c r="E298" s="72">
        <v>44909.0</v>
      </c>
      <c r="F298" s="71">
        <v>38.0</v>
      </c>
      <c r="G298" s="73">
        <v>32.0</v>
      </c>
      <c r="H298" s="74">
        <v>80.14172431246837</v>
      </c>
      <c r="I298" s="74">
        <v>71.25520497005054</v>
      </c>
      <c r="J298" s="68"/>
      <c r="K298" s="68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</row>
    <row r="299">
      <c r="A299" s="70">
        <v>71105.0</v>
      </c>
      <c r="B299" s="84" t="s">
        <v>348</v>
      </c>
      <c r="C299" s="63" t="s">
        <v>402</v>
      </c>
      <c r="D299" s="71">
        <v>6481.0</v>
      </c>
      <c r="E299" s="72">
        <v>6364.0</v>
      </c>
      <c r="F299" s="71">
        <v>0.0</v>
      </c>
      <c r="G299" s="73">
        <v>17.0</v>
      </c>
      <c r="H299" s="74">
        <v>0.0</v>
      </c>
      <c r="I299" s="74">
        <v>267.12759270898806</v>
      </c>
      <c r="J299" s="68"/>
      <c r="K299" s="68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</row>
    <row r="300">
      <c r="A300" s="70">
        <v>71106.0</v>
      </c>
      <c r="B300" s="84" t="s">
        <v>348</v>
      </c>
      <c r="C300" s="63" t="s">
        <v>404</v>
      </c>
      <c r="D300" s="71">
        <v>22845.0</v>
      </c>
      <c r="E300" s="72">
        <v>25258.0</v>
      </c>
      <c r="F300" s="71">
        <v>9.0</v>
      </c>
      <c r="G300" s="73">
        <v>3.0</v>
      </c>
      <c r="H300" s="74">
        <v>39.395929087327644</v>
      </c>
      <c r="I300" s="74">
        <v>11.87742497426558</v>
      </c>
      <c r="J300" s="68"/>
      <c r="K300" s="68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</row>
    <row r="301">
      <c r="A301" s="70">
        <v>71201.0</v>
      </c>
      <c r="B301" s="84" t="s">
        <v>348</v>
      </c>
      <c r="C301" s="63" t="s">
        <v>406</v>
      </c>
      <c r="D301" s="71">
        <v>14470.0</v>
      </c>
      <c r="E301" s="72">
        <v>15378.0</v>
      </c>
      <c r="F301" s="71">
        <v>0.0</v>
      </c>
      <c r="G301" s="73">
        <v>0.0</v>
      </c>
      <c r="H301" s="74">
        <v>0.0</v>
      </c>
      <c r="I301" s="74">
        <v>0.0</v>
      </c>
      <c r="J301" s="68"/>
      <c r="K301" s="68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</row>
    <row r="302">
      <c r="A302" s="70">
        <v>71301.0</v>
      </c>
      <c r="B302" s="84" t="s">
        <v>348</v>
      </c>
      <c r="C302" s="63" t="s">
        <v>408</v>
      </c>
      <c r="D302" s="71">
        <v>15919.0</v>
      </c>
      <c r="E302" s="72">
        <v>17195.0</v>
      </c>
      <c r="F302" s="71">
        <v>6.0</v>
      </c>
      <c r="G302" s="73">
        <v>9.0</v>
      </c>
      <c r="H302" s="74">
        <v>37.690809724228906</v>
      </c>
      <c r="I302" s="74">
        <v>52.340796743239316</v>
      </c>
      <c r="J302" s="68"/>
      <c r="K302" s="68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</row>
    <row r="303">
      <c r="A303" s="70">
        <v>71302.0</v>
      </c>
      <c r="B303" s="84" t="s">
        <v>348</v>
      </c>
      <c r="C303" s="63" t="s">
        <v>409</v>
      </c>
      <c r="D303" s="71">
        <v>7390.0</v>
      </c>
      <c r="E303" s="72">
        <v>6048.0</v>
      </c>
      <c r="F303" s="71">
        <v>21.0</v>
      </c>
      <c r="G303" s="73">
        <v>4.0</v>
      </c>
      <c r="H303" s="74">
        <v>284.1677943166441</v>
      </c>
      <c r="I303" s="74">
        <v>66.13756613756614</v>
      </c>
      <c r="J303" s="68"/>
      <c r="K303" s="68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</row>
    <row r="304">
      <c r="A304" s="70">
        <v>71401.0</v>
      </c>
      <c r="B304" s="84" t="s">
        <v>348</v>
      </c>
      <c r="C304" s="63" t="s">
        <v>518</v>
      </c>
      <c r="D304" s="71">
        <v>19829.0</v>
      </c>
      <c r="E304" s="72">
        <v>17417.0</v>
      </c>
      <c r="F304" s="71">
        <v>22.0</v>
      </c>
      <c r="G304" s="73">
        <v>2.0</v>
      </c>
      <c r="H304" s="74">
        <v>110.94861062080791</v>
      </c>
      <c r="I304" s="74">
        <v>11.483033817534592</v>
      </c>
      <c r="J304" s="68"/>
      <c r="K304" s="68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</row>
    <row r="305">
      <c r="A305" s="70">
        <v>71402.0</v>
      </c>
      <c r="B305" s="84" t="s">
        <v>348</v>
      </c>
      <c r="C305" s="63" t="s">
        <v>412</v>
      </c>
      <c r="D305" s="71">
        <v>16659.0</v>
      </c>
      <c r="E305" s="72">
        <v>17974.0</v>
      </c>
      <c r="F305" s="71">
        <v>14.0</v>
      </c>
      <c r="G305" s="73">
        <v>24.0</v>
      </c>
      <c r="H305" s="74">
        <v>84.03865778257999</v>
      </c>
      <c r="I305" s="74">
        <v>133.5262045176366</v>
      </c>
      <c r="J305" s="68"/>
      <c r="K305" s="68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</row>
    <row r="306">
      <c r="A306" s="70">
        <v>71403.0</v>
      </c>
      <c r="B306" s="84" t="s">
        <v>348</v>
      </c>
      <c r="C306" s="63" t="s">
        <v>413</v>
      </c>
      <c r="D306" s="71">
        <v>6342.0</v>
      </c>
      <c r="E306" s="72">
        <v>8816.0</v>
      </c>
      <c r="F306" s="71">
        <v>0.0</v>
      </c>
      <c r="G306" s="73">
        <v>2.0</v>
      </c>
      <c r="H306" s="74">
        <v>0.0</v>
      </c>
      <c r="I306" s="74">
        <v>22.686025408348456</v>
      </c>
      <c r="J306" s="68"/>
      <c r="K306" s="68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</row>
    <row r="307">
      <c r="A307" s="70">
        <v>71501.0</v>
      </c>
      <c r="B307" s="84" t="s">
        <v>348</v>
      </c>
      <c r="C307" s="63" t="s">
        <v>415</v>
      </c>
      <c r="D307" s="71">
        <v>27070.0</v>
      </c>
      <c r="E307" s="72">
        <v>34079.0</v>
      </c>
      <c r="F307" s="71">
        <v>19.0</v>
      </c>
      <c r="G307" s="73">
        <v>19.0</v>
      </c>
      <c r="H307" s="74">
        <v>70.18840044329517</v>
      </c>
      <c r="I307" s="74">
        <v>55.75280964817043</v>
      </c>
      <c r="J307" s="68"/>
      <c r="K307" s="68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</row>
    <row r="308">
      <c r="A308" s="70">
        <v>71502.0</v>
      </c>
      <c r="B308" s="84" t="s">
        <v>348</v>
      </c>
      <c r="C308" s="63" t="s">
        <v>416</v>
      </c>
      <c r="D308" s="71">
        <v>7026.0</v>
      </c>
      <c r="E308" s="72">
        <v>6555.0</v>
      </c>
      <c r="F308" s="71">
        <v>0.0</v>
      </c>
      <c r="G308" s="73">
        <v>4.0</v>
      </c>
      <c r="H308" s="74">
        <v>0.0</v>
      </c>
      <c r="I308" s="74">
        <v>61.02212051868803</v>
      </c>
      <c r="J308" s="68"/>
      <c r="K308" s="68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</row>
    <row r="309">
      <c r="A309" s="70">
        <v>71503.0</v>
      </c>
      <c r="B309" s="84" t="s">
        <v>348</v>
      </c>
      <c r="C309" s="63" t="s">
        <v>346</v>
      </c>
      <c r="D309" s="71">
        <v>14205.0</v>
      </c>
      <c r="E309" s="72">
        <v>17290.0</v>
      </c>
      <c r="F309" s="71">
        <v>8.0</v>
      </c>
      <c r="G309" s="73">
        <v>2.0</v>
      </c>
      <c r="H309" s="74">
        <v>56.318197817669834</v>
      </c>
      <c r="I309" s="74">
        <v>11.56737998843262</v>
      </c>
      <c r="J309" s="68"/>
      <c r="K309" s="68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</row>
    <row r="310">
      <c r="A310" s="70">
        <v>80101.0</v>
      </c>
      <c r="B310" s="84" t="s">
        <v>417</v>
      </c>
      <c r="C310" s="63" t="s">
        <v>418</v>
      </c>
      <c r="D310" s="71">
        <v>106596.0</v>
      </c>
      <c r="E310" s="72">
        <v>128589.0</v>
      </c>
      <c r="F310" s="71">
        <v>53.0</v>
      </c>
      <c r="G310" s="73">
        <v>92.0</v>
      </c>
      <c r="H310" s="74">
        <v>49.72043979136178</v>
      </c>
      <c r="I310" s="74">
        <v>71.54577763261243</v>
      </c>
      <c r="J310" s="68"/>
      <c r="K310" s="68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</row>
    <row r="311">
      <c r="A311" s="70">
        <v>80102.0</v>
      </c>
      <c r="B311" s="84" t="s">
        <v>417</v>
      </c>
      <c r="C311" s="63" t="s">
        <v>400</v>
      </c>
      <c r="D311" s="71">
        <v>5277.0</v>
      </c>
      <c r="E311" s="72">
        <v>7913.0</v>
      </c>
      <c r="F311" s="71">
        <v>0.0</v>
      </c>
      <c r="G311" s="73">
        <v>0.0</v>
      </c>
      <c r="H311" s="74">
        <v>0.0</v>
      </c>
      <c r="I311" s="74">
        <v>0.0</v>
      </c>
      <c r="J311" s="68"/>
      <c r="K311" s="68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</row>
    <row r="312">
      <c r="A312" s="70">
        <v>80201.0</v>
      </c>
      <c r="B312" s="84" t="s">
        <v>417</v>
      </c>
      <c r="C312" s="63" t="s">
        <v>420</v>
      </c>
      <c r="D312" s="71">
        <v>89022.0</v>
      </c>
      <c r="E312" s="72">
        <v>110302.0</v>
      </c>
      <c r="F312" s="71">
        <v>12.0</v>
      </c>
      <c r="G312" s="73">
        <v>38.0</v>
      </c>
      <c r="H312" s="74">
        <v>13.479813978567096</v>
      </c>
      <c r="I312" s="74">
        <v>34.45087124440173</v>
      </c>
      <c r="J312" s="68"/>
      <c r="K312" s="68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</row>
    <row r="313">
      <c r="A313" s="70">
        <v>80202.0</v>
      </c>
      <c r="B313" s="84" t="s">
        <v>417</v>
      </c>
      <c r="C313" s="63" t="s">
        <v>421</v>
      </c>
      <c r="D313" s="71">
        <v>41814.0</v>
      </c>
      <c r="E313" s="72">
        <v>42031.0</v>
      </c>
      <c r="F313" s="71">
        <v>0.0</v>
      </c>
      <c r="G313" s="73">
        <v>25.0</v>
      </c>
      <c r="H313" s="74">
        <v>0.0</v>
      </c>
      <c r="I313" s="74">
        <v>59.47990768718327</v>
      </c>
      <c r="J313" s="68"/>
      <c r="K313" s="68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</row>
    <row r="314">
      <c r="A314" s="70">
        <v>80301.0</v>
      </c>
      <c r="B314" s="84" t="s">
        <v>417</v>
      </c>
      <c r="C314" s="63" t="s">
        <v>423</v>
      </c>
      <c r="D314" s="71">
        <v>13246.0</v>
      </c>
      <c r="E314" s="72">
        <v>11478.0</v>
      </c>
      <c r="F314" s="71">
        <v>18.0</v>
      </c>
      <c r="G314" s="73">
        <v>8.0</v>
      </c>
      <c r="H314" s="74">
        <v>135.89008002415824</v>
      </c>
      <c r="I314" s="74">
        <v>69.69855375500958</v>
      </c>
      <c r="J314" s="68"/>
      <c r="K314" s="68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</row>
    <row r="315">
      <c r="A315" s="70">
        <v>80302.0</v>
      </c>
      <c r="B315" s="84" t="s">
        <v>417</v>
      </c>
      <c r="C315" s="63" t="s">
        <v>424</v>
      </c>
      <c r="D315" s="71">
        <v>40864.0</v>
      </c>
      <c r="E315" s="72">
        <v>45798.0</v>
      </c>
      <c r="F315" s="71">
        <v>1.0</v>
      </c>
      <c r="G315" s="73">
        <v>55.0</v>
      </c>
      <c r="H315" s="74">
        <v>2.447141738449491</v>
      </c>
      <c r="I315" s="74">
        <v>120.0925804620289</v>
      </c>
      <c r="J315" s="68"/>
      <c r="K315" s="68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</row>
    <row r="316">
      <c r="A316" s="70">
        <v>80303.0</v>
      </c>
      <c r="B316" s="84" t="s">
        <v>417</v>
      </c>
      <c r="C316" s="63" t="s">
        <v>372</v>
      </c>
      <c r="D316" s="71">
        <v>9478.0</v>
      </c>
      <c r="E316" s="72">
        <v>11122.0</v>
      </c>
      <c r="F316" s="71">
        <v>0.0</v>
      </c>
      <c r="G316" s="73">
        <v>3.0</v>
      </c>
      <c r="H316" s="74">
        <v>0.0</v>
      </c>
      <c r="I316" s="74">
        <v>26.973565905412695</v>
      </c>
      <c r="J316" s="68"/>
      <c r="K316" s="68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</row>
    <row r="317">
      <c r="A317" s="70">
        <v>80304.0</v>
      </c>
      <c r="B317" s="84" t="s">
        <v>417</v>
      </c>
      <c r="C317" s="63" t="s">
        <v>519</v>
      </c>
      <c r="D317" s="71">
        <v>19195.0</v>
      </c>
      <c r="E317" s="72">
        <v>21240.0</v>
      </c>
      <c r="F317" s="71">
        <v>22.0</v>
      </c>
      <c r="G317" s="73">
        <v>4.0</v>
      </c>
      <c r="H317" s="74">
        <v>114.61318051575931</v>
      </c>
      <c r="I317" s="74">
        <v>18.832391713747647</v>
      </c>
      <c r="J317" s="68"/>
      <c r="K317" s="68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</row>
    <row r="318">
      <c r="A318" s="70">
        <v>80401.0</v>
      </c>
      <c r="B318" s="84" t="s">
        <v>417</v>
      </c>
      <c r="C318" s="63" t="s">
        <v>520</v>
      </c>
      <c r="D318" s="71">
        <v>18439.0</v>
      </c>
      <c r="E318" s="72">
        <v>18088.0</v>
      </c>
      <c r="F318" s="71">
        <v>0.0</v>
      </c>
      <c r="G318" s="73">
        <v>7.0</v>
      </c>
      <c r="H318" s="74">
        <v>0.0</v>
      </c>
      <c r="I318" s="74">
        <v>38.69969040247678</v>
      </c>
      <c r="J318" s="68"/>
      <c r="K318" s="68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</row>
    <row r="319">
      <c r="A319" s="70">
        <v>80402.0</v>
      </c>
      <c r="B319" s="84" t="s">
        <v>417</v>
      </c>
      <c r="C319" s="63" t="s">
        <v>428</v>
      </c>
      <c r="D319" s="71">
        <v>6362.0</v>
      </c>
      <c r="E319" s="72">
        <v>8012.0</v>
      </c>
      <c r="F319" s="71">
        <v>0.0</v>
      </c>
      <c r="G319" s="73">
        <v>6.0</v>
      </c>
      <c r="H319" s="74">
        <v>0.0</v>
      </c>
      <c r="I319" s="74">
        <v>74.88766849725413</v>
      </c>
      <c r="J319" s="68"/>
      <c r="K319" s="68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</row>
    <row r="320">
      <c r="A320" s="70">
        <v>80501.0</v>
      </c>
      <c r="B320" s="84" t="s">
        <v>417</v>
      </c>
      <c r="C320" s="63" t="s">
        <v>358</v>
      </c>
      <c r="D320" s="71">
        <v>21114.0</v>
      </c>
      <c r="E320" s="72">
        <v>21584.0</v>
      </c>
      <c r="F320" s="71">
        <v>0.0</v>
      </c>
      <c r="G320" s="73">
        <v>0.0</v>
      </c>
      <c r="H320" s="74">
        <v>0.0</v>
      </c>
      <c r="I320" s="74">
        <v>0.0</v>
      </c>
      <c r="J320" s="68"/>
      <c r="K320" s="68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</row>
    <row r="321">
      <c r="A321" s="70">
        <v>80601.0</v>
      </c>
      <c r="B321" s="84" t="s">
        <v>417</v>
      </c>
      <c r="C321" s="63" t="s">
        <v>431</v>
      </c>
      <c r="D321" s="71">
        <v>3828.0</v>
      </c>
      <c r="E321" s="72">
        <v>4269.0</v>
      </c>
      <c r="F321" s="71">
        <v>0.0</v>
      </c>
      <c r="G321" s="73">
        <v>0.0</v>
      </c>
      <c r="H321" s="74">
        <v>0.0</v>
      </c>
      <c r="I321" s="74">
        <v>0.0</v>
      </c>
      <c r="J321" s="68"/>
      <c r="K321" s="68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</row>
    <row r="322">
      <c r="A322" s="70">
        <v>80602.0</v>
      </c>
      <c r="B322" s="84" t="s">
        <v>417</v>
      </c>
      <c r="C322" s="63" t="s">
        <v>432</v>
      </c>
      <c r="D322" s="71">
        <v>12503.0</v>
      </c>
      <c r="E322" s="72">
        <v>15570.0</v>
      </c>
      <c r="F322" s="71">
        <v>66.0</v>
      </c>
      <c r="G322" s="73">
        <v>15.0</v>
      </c>
      <c r="H322" s="74">
        <v>527.8733104055027</v>
      </c>
      <c r="I322" s="74">
        <v>96.33911368015414</v>
      </c>
      <c r="J322" s="68"/>
      <c r="K322" s="68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</row>
    <row r="323">
      <c r="A323" s="70">
        <v>80701.0</v>
      </c>
      <c r="B323" s="84" t="s">
        <v>417</v>
      </c>
      <c r="C323" s="63" t="s">
        <v>434</v>
      </c>
      <c r="D323" s="71">
        <v>6917.0</v>
      </c>
      <c r="E323" s="72">
        <v>6808.0</v>
      </c>
      <c r="F323" s="71">
        <v>0.0</v>
      </c>
      <c r="G323" s="73">
        <v>0.0</v>
      </c>
      <c r="H323" s="74">
        <v>0.0</v>
      </c>
      <c r="I323" s="74">
        <v>0.0</v>
      </c>
      <c r="J323" s="68"/>
      <c r="K323" s="68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</row>
    <row r="324">
      <c r="A324" s="70">
        <v>80702.0</v>
      </c>
      <c r="B324" s="84" t="s">
        <v>417</v>
      </c>
      <c r="C324" s="63" t="s">
        <v>403</v>
      </c>
      <c r="D324" s="71">
        <v>4955.0</v>
      </c>
      <c r="E324" s="72">
        <v>5489.0</v>
      </c>
      <c r="F324" s="71">
        <v>0.0</v>
      </c>
      <c r="G324" s="73">
        <v>3.0</v>
      </c>
      <c r="H324" s="74">
        <v>0.0</v>
      </c>
      <c r="I324" s="74">
        <v>54.65476407360175</v>
      </c>
      <c r="J324" s="68"/>
      <c r="K324" s="68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</row>
    <row r="325">
      <c r="A325" s="70">
        <v>80703.0</v>
      </c>
      <c r="B325" s="84" t="s">
        <v>417</v>
      </c>
      <c r="C325" s="63" t="s">
        <v>435</v>
      </c>
      <c r="D325" s="71">
        <v>945.0</v>
      </c>
      <c r="E325" s="72">
        <v>1091.0</v>
      </c>
      <c r="F325" s="71">
        <v>0.0</v>
      </c>
      <c r="G325" s="73">
        <v>2.0</v>
      </c>
      <c r="H325" s="74">
        <v>0.0</v>
      </c>
      <c r="I325" s="74">
        <v>183.3180568285976</v>
      </c>
      <c r="J325" s="68"/>
      <c r="K325" s="68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</row>
    <row r="326">
      <c r="A326" s="70">
        <v>80801.0</v>
      </c>
      <c r="B326" s="84" t="s">
        <v>417</v>
      </c>
      <c r="C326" s="63" t="s">
        <v>437</v>
      </c>
      <c r="D326" s="71">
        <v>11377.0</v>
      </c>
      <c r="E326" s="72">
        <v>12785.0</v>
      </c>
      <c r="F326" s="71">
        <v>2.0</v>
      </c>
      <c r="G326" s="73">
        <v>3.0</v>
      </c>
      <c r="H326" s="74">
        <v>17.579326711786937</v>
      </c>
      <c r="I326" s="74">
        <v>23.464998044583496</v>
      </c>
      <c r="J326" s="68"/>
      <c r="K326" s="68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</row>
    <row r="327">
      <c r="A327" s="70">
        <v>80802.0</v>
      </c>
      <c r="B327" s="84" t="s">
        <v>417</v>
      </c>
      <c r="C327" s="63" t="s">
        <v>438</v>
      </c>
      <c r="D327" s="71">
        <v>5965.0</v>
      </c>
      <c r="E327" s="72">
        <v>7488.0</v>
      </c>
      <c r="F327" s="71">
        <v>2.0</v>
      </c>
      <c r="G327" s="73">
        <v>2.0</v>
      </c>
      <c r="H327" s="74">
        <v>33.52891869237217</v>
      </c>
      <c r="I327" s="74">
        <v>26.70940170940171</v>
      </c>
      <c r="J327" s="68"/>
      <c r="K327" s="68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</row>
    <row r="328">
      <c r="A328" s="70">
        <v>80803.0</v>
      </c>
      <c r="B328" s="84" t="s">
        <v>417</v>
      </c>
      <c r="C328" s="63" t="s">
        <v>439</v>
      </c>
      <c r="D328" s="71">
        <v>4111.0</v>
      </c>
      <c r="E328" s="72">
        <v>4630.0</v>
      </c>
      <c r="F328" s="71">
        <v>0.0</v>
      </c>
      <c r="G328" s="73">
        <v>0.0</v>
      </c>
      <c r="H328" s="74">
        <v>0.0</v>
      </c>
      <c r="I328" s="74">
        <v>0.0</v>
      </c>
      <c r="J328" s="68"/>
      <c r="K328" s="68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</row>
    <row r="329">
      <c r="A329" s="70">
        <v>80901.0</v>
      </c>
      <c r="B329" s="84" t="s">
        <v>417</v>
      </c>
      <c r="C329" s="63" t="s">
        <v>521</v>
      </c>
      <c r="D329" s="71">
        <v>19776.5</v>
      </c>
      <c r="E329" s="72">
        <v>3973.0</v>
      </c>
      <c r="F329" s="85">
        <v>0.0</v>
      </c>
      <c r="G329" s="73">
        <v>0.0</v>
      </c>
      <c r="H329" s="74">
        <v>0.0</v>
      </c>
      <c r="I329" s="74">
        <v>0.0</v>
      </c>
      <c r="J329" s="68"/>
      <c r="K329" s="68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</row>
    <row r="330">
      <c r="A330" s="70">
        <v>90101.0</v>
      </c>
      <c r="B330" s="84" t="s">
        <v>442</v>
      </c>
      <c r="C330" s="63" t="s">
        <v>444</v>
      </c>
      <c r="D330" s="71">
        <v>46267.0</v>
      </c>
      <c r="E330" s="72">
        <v>55114.0</v>
      </c>
      <c r="F330" s="71">
        <v>7.0</v>
      </c>
      <c r="G330" s="73">
        <v>1.0</v>
      </c>
      <c r="H330" s="74">
        <v>15.129573994423671</v>
      </c>
      <c r="I330" s="74">
        <v>1.8144210182530753</v>
      </c>
      <c r="J330" s="68"/>
      <c r="K330" s="68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</row>
    <row r="331">
      <c r="A331" s="70">
        <v>90102.0</v>
      </c>
      <c r="B331" s="84" t="s">
        <v>442</v>
      </c>
      <c r="C331" s="63" t="s">
        <v>445</v>
      </c>
      <c r="D331" s="71">
        <v>7948.0</v>
      </c>
      <c r="E331" s="72">
        <v>9353.0</v>
      </c>
      <c r="F331" s="71">
        <v>0.0</v>
      </c>
      <c r="G331" s="73">
        <v>0.0</v>
      </c>
      <c r="H331" s="74">
        <v>0.0</v>
      </c>
      <c r="I331" s="74">
        <v>0.0</v>
      </c>
      <c r="J331" s="68"/>
      <c r="K331" s="68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</row>
    <row r="332">
      <c r="A332" s="70">
        <v>90103.0</v>
      </c>
      <c r="B332" s="84" t="s">
        <v>442</v>
      </c>
      <c r="C332" s="63" t="s">
        <v>446</v>
      </c>
      <c r="D332" s="71">
        <v>2173.0</v>
      </c>
      <c r="E332" s="72">
        <v>2437.0</v>
      </c>
      <c r="F332" s="71">
        <v>0.0</v>
      </c>
      <c r="G332" s="73">
        <v>2.0</v>
      </c>
      <c r="H332" s="74">
        <v>0.0</v>
      </c>
      <c r="I332" s="74">
        <v>82.06811653672548</v>
      </c>
      <c r="J332" s="68"/>
      <c r="K332" s="68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</row>
    <row r="333">
      <c r="A333" s="70">
        <v>90104.0</v>
      </c>
      <c r="B333" s="84" t="s">
        <v>442</v>
      </c>
      <c r="C333" s="63" t="s">
        <v>447</v>
      </c>
      <c r="D333" s="71">
        <v>3909.0</v>
      </c>
      <c r="E333" s="72">
        <v>3630.0</v>
      </c>
      <c r="F333" s="71">
        <v>0.0</v>
      </c>
      <c r="G333" s="73">
        <v>0.0</v>
      </c>
      <c r="H333" s="74">
        <v>0.0</v>
      </c>
      <c r="I333" s="74">
        <v>0.0</v>
      </c>
      <c r="J333" s="68"/>
      <c r="K333" s="68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</row>
    <row r="334">
      <c r="A334" s="70">
        <v>90201.0</v>
      </c>
      <c r="B334" s="84" t="s">
        <v>442</v>
      </c>
      <c r="C334" s="63" t="s">
        <v>449</v>
      </c>
      <c r="D334" s="71">
        <v>6239.0</v>
      </c>
      <c r="E334" s="72">
        <v>7367.0</v>
      </c>
      <c r="F334" s="71">
        <v>0.0</v>
      </c>
      <c r="G334" s="73">
        <v>1.0</v>
      </c>
      <c r="H334" s="74">
        <v>0.0</v>
      </c>
      <c r="I334" s="74">
        <v>13.574046423238768</v>
      </c>
      <c r="J334" s="68"/>
      <c r="K334" s="68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</row>
    <row r="335">
      <c r="A335" s="70">
        <v>90202.0</v>
      </c>
      <c r="B335" s="84" t="s">
        <v>442</v>
      </c>
      <c r="C335" s="63" t="s">
        <v>296</v>
      </c>
      <c r="D335" s="71">
        <v>2991.0</v>
      </c>
      <c r="E335" s="72">
        <v>3518.0</v>
      </c>
      <c r="F335" s="71">
        <v>0.0</v>
      </c>
      <c r="G335" s="73">
        <v>35.0</v>
      </c>
      <c r="H335" s="74">
        <v>0.0</v>
      </c>
      <c r="I335" s="74">
        <v>994.8834565093804</v>
      </c>
      <c r="J335" s="68"/>
      <c r="K335" s="68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</row>
    <row r="336">
      <c r="A336" s="70">
        <v>90203.0</v>
      </c>
      <c r="B336" s="84" t="s">
        <v>442</v>
      </c>
      <c r="C336" s="63" t="s">
        <v>450</v>
      </c>
      <c r="D336" s="71">
        <v>5756.0</v>
      </c>
      <c r="E336" s="72">
        <v>8045.0</v>
      </c>
      <c r="F336" s="71">
        <v>0.0</v>
      </c>
      <c r="G336" s="73">
        <v>1.0</v>
      </c>
      <c r="H336" s="74">
        <v>0.0</v>
      </c>
      <c r="I336" s="74">
        <v>12.430080795525171</v>
      </c>
      <c r="J336" s="68"/>
      <c r="K336" s="68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</row>
    <row r="337">
      <c r="A337" s="70">
        <v>90301.0</v>
      </c>
      <c r="B337" s="84" t="s">
        <v>442</v>
      </c>
      <c r="C337" s="63" t="s">
        <v>452</v>
      </c>
      <c r="D337" s="71">
        <v>8160.0</v>
      </c>
      <c r="E337" s="72">
        <v>12431.0</v>
      </c>
      <c r="F337" s="71">
        <v>51.0</v>
      </c>
      <c r="G337" s="73">
        <v>0.0</v>
      </c>
      <c r="H337" s="74">
        <v>625.0</v>
      </c>
      <c r="I337" s="74">
        <v>0.0</v>
      </c>
      <c r="J337" s="68"/>
      <c r="K337" s="68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</row>
    <row r="338">
      <c r="A338" s="70">
        <v>90302.0</v>
      </c>
      <c r="B338" s="84" t="s">
        <v>442</v>
      </c>
      <c r="C338" s="63" t="s">
        <v>345</v>
      </c>
      <c r="D338" s="71">
        <v>7652.0</v>
      </c>
      <c r="E338" s="72">
        <v>9832.0</v>
      </c>
      <c r="F338" s="71">
        <v>0.0</v>
      </c>
      <c r="G338" s="73">
        <v>10.0</v>
      </c>
      <c r="H338" s="74">
        <v>0.0</v>
      </c>
      <c r="I338" s="74">
        <v>101.70870626525631</v>
      </c>
      <c r="J338" s="68"/>
      <c r="K338" s="68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</row>
    <row r="339">
      <c r="A339" s="70">
        <v>90303.0</v>
      </c>
      <c r="B339" s="84" t="s">
        <v>442</v>
      </c>
      <c r="C339" s="63" t="s">
        <v>453</v>
      </c>
      <c r="D339" s="71">
        <v>8258.0</v>
      </c>
      <c r="E339" s="72">
        <v>10522.0</v>
      </c>
      <c r="F339" s="71">
        <v>0.0</v>
      </c>
      <c r="G339" s="73">
        <v>3.0</v>
      </c>
      <c r="H339" s="74">
        <v>0.0</v>
      </c>
      <c r="I339" s="74">
        <v>28.511689792815055</v>
      </c>
      <c r="J339" s="68"/>
      <c r="K339" s="68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</row>
    <row r="340">
      <c r="A340" s="70">
        <v>90401.0</v>
      </c>
      <c r="B340" s="84" t="s">
        <v>442</v>
      </c>
      <c r="C340" s="63" t="s">
        <v>522</v>
      </c>
      <c r="D340" s="71">
        <v>2395.0</v>
      </c>
      <c r="E340" s="72">
        <v>2889.0</v>
      </c>
      <c r="F340" s="71">
        <v>2.0</v>
      </c>
      <c r="G340" s="73">
        <v>0.0</v>
      </c>
      <c r="H340" s="74">
        <v>83.50730688935282</v>
      </c>
      <c r="I340" s="74">
        <v>0.0</v>
      </c>
      <c r="J340" s="68"/>
      <c r="K340" s="68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</row>
    <row r="341">
      <c r="A341" s="70">
        <v>90402.0</v>
      </c>
      <c r="B341" s="84" t="s">
        <v>442</v>
      </c>
      <c r="C341" s="63" t="s">
        <v>115</v>
      </c>
      <c r="D341" s="71">
        <v>1654.0</v>
      </c>
      <c r="E341" s="72">
        <v>2600.0</v>
      </c>
      <c r="F341" s="71">
        <v>6.0</v>
      </c>
      <c r="G341" s="73">
        <v>4.0</v>
      </c>
      <c r="H341" s="74">
        <v>362.7569528415961</v>
      </c>
      <c r="I341" s="74">
        <v>153.84615384615384</v>
      </c>
      <c r="J341" s="68"/>
      <c r="K341" s="68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</row>
    <row r="342">
      <c r="A342" s="70">
        <v>90501.0</v>
      </c>
      <c r="B342" s="84" t="s">
        <v>442</v>
      </c>
      <c r="C342" s="63" t="s">
        <v>456</v>
      </c>
      <c r="D342" s="71">
        <v>2068.0</v>
      </c>
      <c r="E342" s="72">
        <v>1598.0</v>
      </c>
      <c r="F342" s="71">
        <v>6.0</v>
      </c>
      <c r="G342" s="73">
        <v>0.0</v>
      </c>
      <c r="H342" s="74">
        <v>290.1353965183752</v>
      </c>
      <c r="I342" s="74">
        <v>0.0</v>
      </c>
      <c r="J342" s="68"/>
      <c r="K342" s="68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</row>
    <row r="343">
      <c r="A343" s="70">
        <v>90502.0</v>
      </c>
      <c r="B343" s="84" t="s">
        <v>442</v>
      </c>
      <c r="C343" s="63" t="s">
        <v>523</v>
      </c>
      <c r="D343" s="71">
        <v>2801.0</v>
      </c>
      <c r="E343" s="72">
        <v>2511.0</v>
      </c>
      <c r="F343" s="71">
        <v>0.0</v>
      </c>
      <c r="G343" s="73">
        <v>1.0</v>
      </c>
      <c r="H343" s="74">
        <v>0.0</v>
      </c>
      <c r="I343" s="74">
        <v>39.8247710075667</v>
      </c>
      <c r="J343" s="68"/>
      <c r="K343" s="68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</row>
    <row r="344">
      <c r="A344" s="70">
        <v>90503.0</v>
      </c>
      <c r="B344" s="84" t="s">
        <v>442</v>
      </c>
      <c r="C344" s="63" t="s">
        <v>458</v>
      </c>
      <c r="D344" s="71">
        <v>2165.0</v>
      </c>
      <c r="E344" s="72">
        <v>2347.0</v>
      </c>
      <c r="F344" s="71">
        <v>0.0</v>
      </c>
      <c r="G344" s="73">
        <v>0.0</v>
      </c>
      <c r="H344" s="74">
        <v>0.0</v>
      </c>
      <c r="I344" s="74">
        <v>0.0</v>
      </c>
      <c r="J344" s="68"/>
      <c r="K344" s="68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</row>
    <row r="345">
      <c r="A345" s="86"/>
      <c r="B345" s="87" t="s">
        <v>337</v>
      </c>
      <c r="C345" s="88"/>
      <c r="D345" s="71">
        <v>147478.0</v>
      </c>
      <c r="E345" s="71">
        <v>159264.0</v>
      </c>
      <c r="F345" s="71">
        <v>34.0</v>
      </c>
      <c r="G345" s="85">
        <v>24.0</v>
      </c>
      <c r="H345" s="74">
        <v>23.054286063006007</v>
      </c>
      <c r="I345" s="74">
        <v>15.06931886678722</v>
      </c>
      <c r="J345" s="68"/>
      <c r="K345" s="68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</row>
    <row r="346">
      <c r="A346" s="86"/>
      <c r="B346" s="87" t="s">
        <v>471</v>
      </c>
      <c r="C346" s="88"/>
      <c r="D346" s="89">
        <v>1.0059856E7</v>
      </c>
      <c r="E346" s="79">
        <v>1.1365333E7</v>
      </c>
      <c r="F346" s="80">
        <v>3411.0</v>
      </c>
      <c r="G346" s="80">
        <v>5576.0</v>
      </c>
      <c r="H346" s="74">
        <v>33.9070459855489</v>
      </c>
      <c r="I346" s="74">
        <v>49.061474925547714</v>
      </c>
      <c r="J346" s="68"/>
      <c r="K346" s="68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</row>
    <row r="347">
      <c r="A347" s="14"/>
      <c r="B347" s="90"/>
      <c r="C347" s="90"/>
      <c r="D347" s="69"/>
      <c r="E347" s="69"/>
      <c r="F347" s="90"/>
      <c r="G347" s="90"/>
      <c r="H347" s="76"/>
      <c r="I347" s="69"/>
      <c r="J347" s="68"/>
      <c r="K347" s="68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</row>
    <row r="348">
      <c r="A348" s="14"/>
      <c r="B348" s="90"/>
      <c r="C348" s="90"/>
      <c r="D348" s="69"/>
      <c r="E348" s="69"/>
      <c r="F348" s="90"/>
      <c r="G348" s="90"/>
      <c r="H348" s="76"/>
      <c r="I348" s="69"/>
      <c r="J348" s="68"/>
      <c r="K348" s="68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</row>
    <row r="349">
      <c r="A349" s="14"/>
      <c r="B349" s="90"/>
      <c r="C349" s="90"/>
      <c r="D349" s="69"/>
      <c r="E349" s="69"/>
      <c r="F349" s="90"/>
      <c r="G349" s="90"/>
      <c r="H349" s="76"/>
      <c r="I349" s="69"/>
      <c r="J349" s="68"/>
      <c r="K349" s="68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</row>
    <row r="350">
      <c r="A350" s="14"/>
      <c r="B350" s="90"/>
      <c r="C350" s="90"/>
      <c r="D350" s="69"/>
      <c r="E350" s="69"/>
      <c r="F350" s="90"/>
      <c r="G350" s="90"/>
      <c r="H350" s="76"/>
      <c r="I350" s="69"/>
      <c r="J350" s="68"/>
      <c r="K350" s="68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</row>
    <row r="351">
      <c r="A351" s="14"/>
      <c r="B351" s="90"/>
      <c r="C351" s="90"/>
      <c r="D351" s="69"/>
      <c r="E351" s="69"/>
      <c r="F351" s="90"/>
      <c r="G351" s="90"/>
      <c r="H351" s="76"/>
      <c r="I351" s="69"/>
      <c r="J351" s="68"/>
      <c r="K351" s="68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</row>
    <row r="352">
      <c r="A352" s="14"/>
      <c r="B352" s="90"/>
      <c r="C352" s="90"/>
      <c r="D352" s="69"/>
      <c r="E352" s="69"/>
      <c r="F352" s="90"/>
      <c r="G352" s="90"/>
      <c r="H352" s="76"/>
      <c r="I352" s="69"/>
      <c r="J352" s="68"/>
      <c r="K352" s="68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</row>
    <row r="353">
      <c r="A353" s="14"/>
      <c r="B353" s="90"/>
      <c r="C353" s="90"/>
      <c r="D353" s="69"/>
      <c r="E353" s="69"/>
      <c r="F353" s="90"/>
      <c r="G353" s="90"/>
      <c r="H353" s="76"/>
      <c r="I353" s="69"/>
      <c r="J353" s="68"/>
      <c r="K353" s="68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</row>
    <row r="354">
      <c r="A354" s="14"/>
      <c r="B354" s="90"/>
      <c r="C354" s="90"/>
      <c r="D354" s="69"/>
      <c r="E354" s="69"/>
      <c r="F354" s="90"/>
      <c r="G354" s="90"/>
      <c r="H354" s="76"/>
      <c r="I354" s="69"/>
      <c r="J354" s="68"/>
      <c r="K354" s="68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</row>
    <row r="355">
      <c r="A355" s="14"/>
      <c r="B355" s="90"/>
      <c r="C355" s="90"/>
      <c r="D355" s="69"/>
      <c r="E355" s="69"/>
      <c r="F355" s="90"/>
      <c r="G355" s="90"/>
      <c r="H355" s="76"/>
      <c r="I355" s="69"/>
      <c r="J355" s="68"/>
      <c r="K355" s="68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</row>
    <row r="356">
      <c r="A356" s="14"/>
      <c r="B356" s="90"/>
      <c r="C356" s="90"/>
      <c r="D356" s="69"/>
      <c r="E356" s="69"/>
      <c r="F356" s="90"/>
      <c r="G356" s="90"/>
      <c r="H356" s="76"/>
      <c r="I356" s="69"/>
      <c r="J356" s="68"/>
      <c r="K356" s="68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</row>
    <row r="357">
      <c r="A357" s="14"/>
      <c r="B357" s="90"/>
      <c r="C357" s="90"/>
      <c r="D357" s="69"/>
      <c r="E357" s="69"/>
      <c r="F357" s="90"/>
      <c r="G357" s="90"/>
      <c r="H357" s="76"/>
      <c r="I357" s="69"/>
      <c r="J357" s="68"/>
      <c r="K357" s="68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</row>
    <row r="358">
      <c r="A358" s="14"/>
      <c r="B358" s="90"/>
      <c r="C358" s="90"/>
      <c r="D358" s="69"/>
      <c r="E358" s="69"/>
      <c r="F358" s="90"/>
      <c r="G358" s="90"/>
      <c r="H358" s="76"/>
      <c r="I358" s="69"/>
      <c r="J358" s="68"/>
      <c r="K358" s="68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</row>
    <row r="359">
      <c r="A359" s="14"/>
      <c r="B359" s="90"/>
      <c r="C359" s="90"/>
      <c r="D359" s="69"/>
      <c r="E359" s="69"/>
      <c r="F359" s="90"/>
      <c r="G359" s="90"/>
      <c r="H359" s="76"/>
      <c r="I359" s="69"/>
      <c r="J359" s="68"/>
      <c r="K359" s="68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</row>
    <row r="360">
      <c r="A360" s="14"/>
      <c r="B360" s="90"/>
      <c r="C360" s="90"/>
      <c r="D360" s="69"/>
      <c r="E360" s="69"/>
      <c r="F360" s="90"/>
      <c r="G360" s="90"/>
      <c r="H360" s="76"/>
      <c r="I360" s="69"/>
      <c r="J360" s="68"/>
      <c r="K360" s="68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</row>
    <row r="361">
      <c r="A361" s="14"/>
      <c r="B361" s="90"/>
      <c r="C361" s="90"/>
      <c r="D361" s="69"/>
      <c r="E361" s="69"/>
      <c r="F361" s="90"/>
      <c r="G361" s="90"/>
      <c r="H361" s="76"/>
      <c r="I361" s="69"/>
      <c r="J361" s="68"/>
      <c r="K361" s="68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</row>
    <row r="362">
      <c r="A362" s="14"/>
      <c r="B362" s="90"/>
      <c r="C362" s="90"/>
      <c r="D362" s="69"/>
      <c r="E362" s="69"/>
      <c r="F362" s="90"/>
      <c r="G362" s="90"/>
      <c r="H362" s="76"/>
      <c r="I362" s="69"/>
      <c r="J362" s="68"/>
      <c r="K362" s="68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</row>
    <row r="363">
      <c r="A363" s="14"/>
      <c r="B363" s="90"/>
      <c r="C363" s="90"/>
      <c r="D363" s="69"/>
      <c r="E363" s="69"/>
      <c r="F363" s="90"/>
      <c r="G363" s="90"/>
      <c r="H363" s="76"/>
      <c r="I363" s="69"/>
      <c r="J363" s="68"/>
      <c r="K363" s="68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</row>
    <row r="364">
      <c r="A364" s="14"/>
      <c r="B364" s="90"/>
      <c r="C364" s="90"/>
      <c r="D364" s="69"/>
      <c r="E364" s="69"/>
      <c r="F364" s="90"/>
      <c r="G364" s="90"/>
      <c r="H364" s="76"/>
      <c r="I364" s="69"/>
      <c r="J364" s="68"/>
      <c r="K364" s="68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</row>
    <row r="365">
      <c r="A365" s="14"/>
      <c r="B365" s="90"/>
      <c r="C365" s="90"/>
      <c r="D365" s="69"/>
      <c r="E365" s="69"/>
      <c r="F365" s="90"/>
      <c r="G365" s="90"/>
      <c r="H365" s="76"/>
      <c r="I365" s="69"/>
      <c r="J365" s="68"/>
      <c r="K365" s="68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</row>
    <row r="366">
      <c r="A366" s="14"/>
      <c r="B366" s="90"/>
      <c r="C366" s="90"/>
      <c r="D366" s="69"/>
      <c r="E366" s="69"/>
      <c r="F366" s="90"/>
      <c r="G366" s="90"/>
      <c r="H366" s="76"/>
      <c r="I366" s="69"/>
      <c r="J366" s="68"/>
      <c r="K366" s="68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</row>
    <row r="367">
      <c r="A367" s="14"/>
      <c r="B367" s="90"/>
      <c r="C367" s="90"/>
      <c r="D367" s="69"/>
      <c r="E367" s="69"/>
      <c r="F367" s="90"/>
      <c r="G367" s="90"/>
      <c r="H367" s="76"/>
      <c r="I367" s="69"/>
      <c r="J367" s="68"/>
      <c r="K367" s="68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</row>
    <row r="368">
      <c r="A368" s="14"/>
      <c r="B368" s="90"/>
      <c r="C368" s="90"/>
      <c r="D368" s="69"/>
      <c r="E368" s="69"/>
      <c r="F368" s="90"/>
      <c r="G368" s="90"/>
      <c r="H368" s="76"/>
      <c r="I368" s="69"/>
      <c r="J368" s="68"/>
      <c r="K368" s="68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</row>
    <row r="369">
      <c r="A369" s="14"/>
      <c r="B369" s="90"/>
      <c r="C369" s="90"/>
      <c r="D369" s="69"/>
      <c r="E369" s="69"/>
      <c r="F369" s="90"/>
      <c r="G369" s="90"/>
      <c r="H369" s="76"/>
      <c r="I369" s="69"/>
      <c r="J369" s="68"/>
      <c r="K369" s="68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</row>
    <row r="370">
      <c r="A370" s="14"/>
      <c r="B370" s="90"/>
      <c r="C370" s="90"/>
      <c r="D370" s="69"/>
      <c r="E370" s="69"/>
      <c r="F370" s="90"/>
      <c r="G370" s="90"/>
      <c r="H370" s="76"/>
      <c r="I370" s="69"/>
      <c r="J370" s="68"/>
      <c r="K370" s="68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</row>
    <row r="371">
      <c r="A371" s="14"/>
      <c r="B371" s="90"/>
      <c r="C371" s="90"/>
      <c r="D371" s="69"/>
      <c r="E371" s="69"/>
      <c r="F371" s="90"/>
      <c r="G371" s="90"/>
      <c r="H371" s="76"/>
      <c r="I371" s="69"/>
      <c r="J371" s="68"/>
      <c r="K371" s="68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</row>
    <row r="372">
      <c r="A372" s="14"/>
      <c r="B372" s="90"/>
      <c r="C372" s="90"/>
      <c r="D372" s="69"/>
      <c r="E372" s="69"/>
      <c r="F372" s="90"/>
      <c r="G372" s="90"/>
      <c r="H372" s="76"/>
      <c r="I372" s="69"/>
      <c r="J372" s="68"/>
      <c r="K372" s="68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</row>
    <row r="373">
      <c r="A373" s="14"/>
      <c r="B373" s="90"/>
      <c r="C373" s="90"/>
      <c r="D373" s="69"/>
      <c r="E373" s="69"/>
      <c r="F373" s="90"/>
      <c r="G373" s="90"/>
      <c r="H373" s="76"/>
      <c r="I373" s="69"/>
      <c r="J373" s="68"/>
      <c r="K373" s="68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</row>
    <row r="374">
      <c r="A374" s="14"/>
      <c r="B374" s="90"/>
      <c r="C374" s="90"/>
      <c r="D374" s="69"/>
      <c r="E374" s="69"/>
      <c r="F374" s="90"/>
      <c r="G374" s="90"/>
      <c r="H374" s="76"/>
      <c r="I374" s="69"/>
      <c r="J374" s="68"/>
      <c r="K374" s="68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</row>
    <row r="375">
      <c r="A375" s="14"/>
      <c r="B375" s="90"/>
      <c r="C375" s="90"/>
      <c r="D375" s="69"/>
      <c r="E375" s="69"/>
      <c r="F375" s="90"/>
      <c r="G375" s="90"/>
      <c r="H375" s="76"/>
      <c r="I375" s="69"/>
      <c r="J375" s="68"/>
      <c r="K375" s="68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</row>
    <row r="376">
      <c r="A376" s="14"/>
      <c r="B376" s="90"/>
      <c r="C376" s="90"/>
      <c r="D376" s="69"/>
      <c r="E376" s="69"/>
      <c r="F376" s="90"/>
      <c r="G376" s="90"/>
      <c r="H376" s="76"/>
      <c r="I376" s="69"/>
      <c r="J376" s="68"/>
      <c r="K376" s="68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</row>
    <row r="377">
      <c r="A377" s="14"/>
      <c r="B377" s="90"/>
      <c r="C377" s="90"/>
      <c r="D377" s="69"/>
      <c r="E377" s="69"/>
      <c r="F377" s="90"/>
      <c r="G377" s="90"/>
      <c r="H377" s="76"/>
      <c r="I377" s="69"/>
      <c r="J377" s="68"/>
      <c r="K377" s="68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</row>
    <row r="378">
      <c r="A378" s="14"/>
      <c r="B378" s="90"/>
      <c r="C378" s="90"/>
      <c r="D378" s="69"/>
      <c r="E378" s="69"/>
      <c r="F378" s="90"/>
      <c r="G378" s="90"/>
      <c r="H378" s="76"/>
      <c r="I378" s="69"/>
      <c r="J378" s="68"/>
      <c r="K378" s="68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</row>
    <row r="379">
      <c r="A379" s="14"/>
      <c r="B379" s="90"/>
      <c r="C379" s="90"/>
      <c r="D379" s="69"/>
      <c r="E379" s="69"/>
      <c r="F379" s="90"/>
      <c r="G379" s="90"/>
      <c r="H379" s="76"/>
      <c r="I379" s="69"/>
      <c r="J379" s="68"/>
      <c r="K379" s="68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</row>
    <row r="380">
      <c r="A380" s="14"/>
      <c r="B380" s="90"/>
      <c r="C380" s="90"/>
      <c r="D380" s="69"/>
      <c r="E380" s="69"/>
      <c r="F380" s="90"/>
      <c r="G380" s="90"/>
      <c r="H380" s="76"/>
      <c r="I380" s="69"/>
      <c r="J380" s="68"/>
      <c r="K380" s="68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</row>
    <row r="381">
      <c r="A381" s="14"/>
      <c r="B381" s="90"/>
      <c r="C381" s="90"/>
      <c r="D381" s="69"/>
      <c r="E381" s="69"/>
      <c r="F381" s="90"/>
      <c r="G381" s="90"/>
      <c r="H381" s="76"/>
      <c r="I381" s="69"/>
      <c r="J381" s="68"/>
      <c r="K381" s="68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</row>
    <row r="382">
      <c r="A382" s="14"/>
      <c r="B382" s="90"/>
      <c r="C382" s="90"/>
      <c r="D382" s="69"/>
      <c r="E382" s="69"/>
      <c r="F382" s="90"/>
      <c r="G382" s="90"/>
      <c r="H382" s="76"/>
      <c r="I382" s="69"/>
      <c r="J382" s="68"/>
      <c r="K382" s="68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</row>
    <row r="383">
      <c r="A383" s="14"/>
      <c r="B383" s="90"/>
      <c r="C383" s="90"/>
      <c r="D383" s="69"/>
      <c r="E383" s="69"/>
      <c r="F383" s="90"/>
      <c r="G383" s="90"/>
      <c r="H383" s="76"/>
      <c r="I383" s="69"/>
      <c r="J383" s="68"/>
      <c r="K383" s="68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</row>
    <row r="384">
      <c r="A384" s="14"/>
      <c r="B384" s="90"/>
      <c r="C384" s="90"/>
      <c r="D384" s="69"/>
      <c r="E384" s="69"/>
      <c r="F384" s="90"/>
      <c r="G384" s="90"/>
      <c r="H384" s="76"/>
      <c r="I384" s="69"/>
      <c r="J384" s="68"/>
      <c r="K384" s="68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</row>
    <row r="385">
      <c r="A385" s="14"/>
      <c r="B385" s="90"/>
      <c r="C385" s="90"/>
      <c r="D385" s="69"/>
      <c r="E385" s="69"/>
      <c r="F385" s="90"/>
      <c r="G385" s="90"/>
      <c r="H385" s="76"/>
      <c r="I385" s="69"/>
      <c r="J385" s="68"/>
      <c r="K385" s="68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</row>
    <row r="386">
      <c r="A386" s="14"/>
      <c r="B386" s="90"/>
      <c r="C386" s="90"/>
      <c r="D386" s="69"/>
      <c r="E386" s="69"/>
      <c r="F386" s="90"/>
      <c r="G386" s="90"/>
      <c r="H386" s="76"/>
      <c r="I386" s="69"/>
      <c r="J386" s="68"/>
      <c r="K386" s="68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</row>
    <row r="387">
      <c r="A387" s="14"/>
      <c r="B387" s="90"/>
      <c r="C387" s="90"/>
      <c r="D387" s="69"/>
      <c r="E387" s="69"/>
      <c r="F387" s="90"/>
      <c r="G387" s="90"/>
      <c r="H387" s="76"/>
      <c r="I387" s="69"/>
      <c r="J387" s="68"/>
      <c r="K387" s="68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</row>
    <row r="388">
      <c r="A388" s="14"/>
      <c r="B388" s="90"/>
      <c r="C388" s="90"/>
      <c r="D388" s="69"/>
      <c r="E388" s="69"/>
      <c r="F388" s="90"/>
      <c r="G388" s="90"/>
      <c r="H388" s="76"/>
      <c r="I388" s="69"/>
      <c r="J388" s="68"/>
      <c r="K388" s="68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</row>
    <row r="389">
      <c r="A389" s="14"/>
      <c r="B389" s="90"/>
      <c r="C389" s="90"/>
      <c r="D389" s="69"/>
      <c r="E389" s="69"/>
      <c r="F389" s="90"/>
      <c r="G389" s="90"/>
      <c r="H389" s="76"/>
      <c r="I389" s="69"/>
      <c r="J389" s="68"/>
      <c r="K389" s="68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</row>
    <row r="390">
      <c r="A390" s="14"/>
      <c r="B390" s="90"/>
      <c r="C390" s="90"/>
      <c r="D390" s="69"/>
      <c r="E390" s="69"/>
      <c r="F390" s="90"/>
      <c r="G390" s="90"/>
      <c r="H390" s="76"/>
      <c r="I390" s="69"/>
      <c r="J390" s="68"/>
      <c r="K390" s="68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</row>
    <row r="391">
      <c r="A391" s="14"/>
      <c r="B391" s="90"/>
      <c r="C391" s="90"/>
      <c r="D391" s="69"/>
      <c r="E391" s="69"/>
      <c r="F391" s="90"/>
      <c r="G391" s="90"/>
      <c r="H391" s="76"/>
      <c r="I391" s="69"/>
      <c r="J391" s="68"/>
      <c r="K391" s="68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</row>
    <row r="392">
      <c r="A392" s="14"/>
      <c r="B392" s="90"/>
      <c r="C392" s="90"/>
      <c r="D392" s="69"/>
      <c r="E392" s="69"/>
      <c r="F392" s="90"/>
      <c r="G392" s="90"/>
      <c r="H392" s="76"/>
      <c r="I392" s="69"/>
      <c r="J392" s="68"/>
      <c r="K392" s="68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</row>
    <row r="393">
      <c r="A393" s="14"/>
      <c r="B393" s="90"/>
      <c r="C393" s="90"/>
      <c r="D393" s="69"/>
      <c r="E393" s="69"/>
      <c r="F393" s="90"/>
      <c r="G393" s="90"/>
      <c r="H393" s="76"/>
      <c r="I393" s="69"/>
      <c r="J393" s="68"/>
      <c r="K393" s="68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</row>
    <row r="394">
      <c r="A394" s="14"/>
      <c r="B394" s="90"/>
      <c r="C394" s="90"/>
      <c r="D394" s="69"/>
      <c r="E394" s="69"/>
      <c r="F394" s="90"/>
      <c r="G394" s="90"/>
      <c r="H394" s="76"/>
      <c r="I394" s="69"/>
      <c r="J394" s="68"/>
      <c r="K394" s="68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</row>
    <row r="395">
      <c r="A395" s="14"/>
      <c r="B395" s="90"/>
      <c r="C395" s="90"/>
      <c r="D395" s="69"/>
      <c r="E395" s="69"/>
      <c r="F395" s="90"/>
      <c r="G395" s="90"/>
      <c r="H395" s="76"/>
      <c r="I395" s="69"/>
      <c r="J395" s="68"/>
      <c r="K395" s="68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</row>
    <row r="396">
      <c r="A396" s="14"/>
      <c r="B396" s="90"/>
      <c r="C396" s="90"/>
      <c r="D396" s="69"/>
      <c r="E396" s="69"/>
      <c r="F396" s="90"/>
      <c r="G396" s="90"/>
      <c r="H396" s="76"/>
      <c r="I396" s="69"/>
      <c r="J396" s="68"/>
      <c r="K396" s="68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</row>
    <row r="397">
      <c r="A397" s="14"/>
      <c r="B397" s="90"/>
      <c r="C397" s="90"/>
      <c r="D397" s="69"/>
      <c r="E397" s="69"/>
      <c r="F397" s="90"/>
      <c r="G397" s="90"/>
      <c r="H397" s="76"/>
      <c r="I397" s="69"/>
      <c r="J397" s="68"/>
      <c r="K397" s="68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</row>
    <row r="398">
      <c r="A398" s="14"/>
      <c r="B398" s="90"/>
      <c r="C398" s="90"/>
      <c r="D398" s="69"/>
      <c r="E398" s="69"/>
      <c r="F398" s="90"/>
      <c r="G398" s="90"/>
      <c r="H398" s="76"/>
      <c r="I398" s="69"/>
      <c r="J398" s="68"/>
      <c r="K398" s="68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</row>
    <row r="399">
      <c r="A399" s="14"/>
      <c r="B399" s="90"/>
      <c r="C399" s="90"/>
      <c r="D399" s="69"/>
      <c r="E399" s="69"/>
      <c r="F399" s="90"/>
      <c r="G399" s="90"/>
      <c r="H399" s="76"/>
      <c r="I399" s="69"/>
      <c r="J399" s="68"/>
      <c r="K399" s="68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</row>
    <row r="400">
      <c r="A400" s="14"/>
      <c r="B400" s="90"/>
      <c r="C400" s="90"/>
      <c r="D400" s="69"/>
      <c r="E400" s="69"/>
      <c r="F400" s="90"/>
      <c r="G400" s="90"/>
      <c r="H400" s="76"/>
      <c r="I400" s="69"/>
      <c r="J400" s="68"/>
      <c r="K400" s="68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</row>
    <row r="401">
      <c r="A401" s="14"/>
      <c r="B401" s="90"/>
      <c r="C401" s="90"/>
      <c r="D401" s="69"/>
      <c r="E401" s="69"/>
      <c r="F401" s="90"/>
      <c r="G401" s="90"/>
      <c r="H401" s="76"/>
      <c r="I401" s="69"/>
      <c r="J401" s="68"/>
      <c r="K401" s="68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</row>
    <row r="402">
      <c r="A402" s="14"/>
      <c r="B402" s="90"/>
      <c r="C402" s="90"/>
      <c r="D402" s="69"/>
      <c r="E402" s="69"/>
      <c r="F402" s="90"/>
      <c r="G402" s="90"/>
      <c r="H402" s="76"/>
      <c r="I402" s="69"/>
      <c r="J402" s="68"/>
      <c r="K402" s="68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</row>
    <row r="403">
      <c r="A403" s="14"/>
      <c r="B403" s="90"/>
      <c r="C403" s="90"/>
      <c r="D403" s="69"/>
      <c r="E403" s="69"/>
      <c r="F403" s="90"/>
      <c r="G403" s="90"/>
      <c r="H403" s="76"/>
      <c r="I403" s="69"/>
      <c r="J403" s="68"/>
      <c r="K403" s="68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</row>
    <row r="404">
      <c r="A404" s="14"/>
      <c r="B404" s="90"/>
      <c r="C404" s="90"/>
      <c r="D404" s="69"/>
      <c r="E404" s="69"/>
      <c r="F404" s="90"/>
      <c r="G404" s="90"/>
      <c r="H404" s="76"/>
      <c r="I404" s="69"/>
      <c r="J404" s="68"/>
      <c r="K404" s="68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</row>
    <row r="405">
      <c r="A405" s="14"/>
      <c r="B405" s="90"/>
      <c r="C405" s="90"/>
      <c r="D405" s="69"/>
      <c r="E405" s="69"/>
      <c r="F405" s="90"/>
      <c r="G405" s="90"/>
      <c r="H405" s="76"/>
      <c r="I405" s="69"/>
      <c r="J405" s="68"/>
      <c r="K405" s="68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</row>
    <row r="406">
      <c r="A406" s="14"/>
      <c r="B406" s="90"/>
      <c r="C406" s="90"/>
      <c r="D406" s="69"/>
      <c r="E406" s="69"/>
      <c r="F406" s="90"/>
      <c r="G406" s="90"/>
      <c r="H406" s="76"/>
      <c r="I406" s="69"/>
      <c r="J406" s="68"/>
      <c r="K406" s="68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</row>
    <row r="407">
      <c r="A407" s="14"/>
      <c r="B407" s="90"/>
      <c r="C407" s="90"/>
      <c r="D407" s="69"/>
      <c r="E407" s="69"/>
      <c r="F407" s="90"/>
      <c r="G407" s="90"/>
      <c r="H407" s="76"/>
      <c r="I407" s="69"/>
      <c r="J407" s="68"/>
      <c r="K407" s="68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</row>
    <row r="408">
      <c r="A408" s="14"/>
      <c r="B408" s="90"/>
      <c r="C408" s="90"/>
      <c r="D408" s="69"/>
      <c r="E408" s="69"/>
      <c r="F408" s="90"/>
      <c r="G408" s="90"/>
      <c r="H408" s="76"/>
      <c r="I408" s="69"/>
      <c r="J408" s="68"/>
      <c r="K408" s="68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</row>
    <row r="409">
      <c r="A409" s="14"/>
      <c r="B409" s="90"/>
      <c r="C409" s="90"/>
      <c r="D409" s="69"/>
      <c r="E409" s="69"/>
      <c r="F409" s="90"/>
      <c r="G409" s="90"/>
      <c r="H409" s="76"/>
      <c r="I409" s="69"/>
      <c r="J409" s="68"/>
      <c r="K409" s="68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</row>
    <row r="410">
      <c r="A410" s="14"/>
      <c r="B410" s="90"/>
      <c r="C410" s="90"/>
      <c r="D410" s="69"/>
      <c r="E410" s="69"/>
      <c r="F410" s="90"/>
      <c r="G410" s="90"/>
      <c r="H410" s="76"/>
      <c r="I410" s="69"/>
      <c r="J410" s="68"/>
      <c r="K410" s="68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</row>
    <row r="411">
      <c r="A411" s="14"/>
      <c r="B411" s="90"/>
      <c r="C411" s="90"/>
      <c r="D411" s="69"/>
      <c r="E411" s="69"/>
      <c r="F411" s="90"/>
      <c r="G411" s="90"/>
      <c r="H411" s="76"/>
      <c r="I411" s="69"/>
      <c r="J411" s="68"/>
      <c r="K411" s="68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</row>
    <row r="412">
      <c r="A412" s="14"/>
      <c r="B412" s="90"/>
      <c r="C412" s="90"/>
      <c r="D412" s="69"/>
      <c r="E412" s="69"/>
      <c r="F412" s="90"/>
      <c r="G412" s="90"/>
      <c r="H412" s="76"/>
      <c r="I412" s="69"/>
      <c r="J412" s="68"/>
      <c r="K412" s="68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</row>
    <row r="413">
      <c r="A413" s="14"/>
      <c r="B413" s="90"/>
      <c r="C413" s="90"/>
      <c r="D413" s="69"/>
      <c r="E413" s="69"/>
      <c r="F413" s="90"/>
      <c r="G413" s="90"/>
      <c r="H413" s="76"/>
      <c r="I413" s="69"/>
      <c r="J413" s="68"/>
      <c r="K413" s="68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</row>
    <row r="414">
      <c r="A414" s="14"/>
      <c r="B414" s="90"/>
      <c r="C414" s="90"/>
      <c r="D414" s="69"/>
      <c r="E414" s="69"/>
      <c r="F414" s="90"/>
      <c r="G414" s="90"/>
      <c r="H414" s="76"/>
      <c r="I414" s="69"/>
      <c r="J414" s="68"/>
      <c r="K414" s="68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</row>
    <row r="415">
      <c r="A415" s="14"/>
      <c r="B415" s="90"/>
      <c r="C415" s="90"/>
      <c r="D415" s="69"/>
      <c r="E415" s="69"/>
      <c r="F415" s="90"/>
      <c r="G415" s="90"/>
      <c r="H415" s="76"/>
      <c r="I415" s="69"/>
      <c r="J415" s="68"/>
      <c r="K415" s="68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</row>
    <row r="416">
      <c r="A416" s="14"/>
      <c r="B416" s="90"/>
      <c r="C416" s="90"/>
      <c r="D416" s="69"/>
      <c r="E416" s="69"/>
      <c r="F416" s="90"/>
      <c r="G416" s="90"/>
      <c r="H416" s="76"/>
      <c r="I416" s="69"/>
      <c r="J416" s="68"/>
      <c r="K416" s="68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</row>
    <row r="417">
      <c r="A417" s="14"/>
      <c r="B417" s="90"/>
      <c r="C417" s="90"/>
      <c r="D417" s="69"/>
      <c r="E417" s="69"/>
      <c r="F417" s="90"/>
      <c r="G417" s="90"/>
      <c r="H417" s="76"/>
      <c r="I417" s="69"/>
      <c r="J417" s="68"/>
      <c r="K417" s="68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</row>
    <row r="418">
      <c r="A418" s="14"/>
      <c r="B418" s="90"/>
      <c r="C418" s="90"/>
      <c r="D418" s="69"/>
      <c r="E418" s="69"/>
      <c r="F418" s="90"/>
      <c r="G418" s="90"/>
      <c r="H418" s="76"/>
      <c r="I418" s="69"/>
      <c r="J418" s="68"/>
      <c r="K418" s="68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</row>
    <row r="419">
      <c r="A419" s="14"/>
      <c r="B419" s="90"/>
      <c r="C419" s="90"/>
      <c r="D419" s="69"/>
      <c r="E419" s="69"/>
      <c r="F419" s="90"/>
      <c r="G419" s="90"/>
      <c r="H419" s="76"/>
      <c r="I419" s="69"/>
      <c r="J419" s="68"/>
      <c r="K419" s="68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</row>
    <row r="420">
      <c r="A420" s="14"/>
      <c r="B420" s="90"/>
      <c r="C420" s="90"/>
      <c r="D420" s="69"/>
      <c r="E420" s="69"/>
      <c r="F420" s="90"/>
      <c r="G420" s="90"/>
      <c r="H420" s="76"/>
      <c r="I420" s="69"/>
      <c r="J420" s="68"/>
      <c r="K420" s="68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</row>
    <row r="421">
      <c r="A421" s="14"/>
      <c r="B421" s="90"/>
      <c r="C421" s="90"/>
      <c r="D421" s="69"/>
      <c r="E421" s="69"/>
      <c r="F421" s="90"/>
      <c r="G421" s="90"/>
      <c r="H421" s="76"/>
      <c r="I421" s="69"/>
      <c r="J421" s="68"/>
      <c r="K421" s="68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</row>
    <row r="422">
      <c r="A422" s="14"/>
      <c r="B422" s="90"/>
      <c r="C422" s="90"/>
      <c r="D422" s="69"/>
      <c r="E422" s="69"/>
      <c r="F422" s="90"/>
      <c r="G422" s="90"/>
      <c r="H422" s="76"/>
      <c r="I422" s="69"/>
      <c r="J422" s="68"/>
      <c r="K422" s="68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</row>
    <row r="423">
      <c r="A423" s="14"/>
      <c r="B423" s="90"/>
      <c r="C423" s="90"/>
      <c r="D423" s="69"/>
      <c r="E423" s="69"/>
      <c r="F423" s="90"/>
      <c r="G423" s="90"/>
      <c r="H423" s="76"/>
      <c r="I423" s="69"/>
      <c r="J423" s="68"/>
      <c r="K423" s="68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</row>
    <row r="424">
      <c r="A424" s="14"/>
      <c r="B424" s="90"/>
      <c r="C424" s="90"/>
      <c r="D424" s="69"/>
      <c r="E424" s="69"/>
      <c r="F424" s="90"/>
      <c r="G424" s="90"/>
      <c r="H424" s="76"/>
      <c r="I424" s="69"/>
      <c r="J424" s="68"/>
      <c r="K424" s="68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</row>
    <row r="425">
      <c r="A425" s="14"/>
      <c r="B425" s="90"/>
      <c r="C425" s="90"/>
      <c r="D425" s="69"/>
      <c r="E425" s="69"/>
      <c r="F425" s="90"/>
      <c r="G425" s="90"/>
      <c r="H425" s="76"/>
      <c r="I425" s="69"/>
      <c r="J425" s="68"/>
      <c r="K425" s="68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</row>
    <row r="426">
      <c r="A426" s="14"/>
      <c r="B426" s="90"/>
      <c r="C426" s="90"/>
      <c r="D426" s="69"/>
      <c r="E426" s="69"/>
      <c r="F426" s="90"/>
      <c r="G426" s="90"/>
      <c r="H426" s="76"/>
      <c r="I426" s="69"/>
      <c r="J426" s="68"/>
      <c r="K426" s="68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</row>
    <row r="427">
      <c r="A427" s="14"/>
      <c r="B427" s="90"/>
      <c r="C427" s="90"/>
      <c r="D427" s="69"/>
      <c r="E427" s="69"/>
      <c r="F427" s="90"/>
      <c r="G427" s="90"/>
      <c r="H427" s="76"/>
      <c r="I427" s="69"/>
      <c r="J427" s="68"/>
      <c r="K427" s="68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</row>
    <row r="428">
      <c r="A428" s="14"/>
      <c r="B428" s="90"/>
      <c r="C428" s="90"/>
      <c r="D428" s="69"/>
      <c r="E428" s="69"/>
      <c r="F428" s="90"/>
      <c r="G428" s="90"/>
      <c r="H428" s="76"/>
      <c r="I428" s="69"/>
      <c r="J428" s="68"/>
      <c r="K428" s="68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</row>
    <row r="429">
      <c r="A429" s="14"/>
      <c r="B429" s="90"/>
      <c r="C429" s="90"/>
      <c r="D429" s="69"/>
      <c r="E429" s="69"/>
      <c r="F429" s="90"/>
      <c r="G429" s="90"/>
      <c r="H429" s="76"/>
      <c r="I429" s="69"/>
      <c r="J429" s="68"/>
      <c r="K429" s="68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</row>
    <row r="430">
      <c r="A430" s="14"/>
      <c r="B430" s="90"/>
      <c r="C430" s="90"/>
      <c r="D430" s="69"/>
      <c r="E430" s="69"/>
      <c r="F430" s="90"/>
      <c r="G430" s="90"/>
      <c r="H430" s="76"/>
      <c r="I430" s="69"/>
      <c r="J430" s="68"/>
      <c r="K430" s="68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</row>
    <row r="431">
      <c r="A431" s="14"/>
      <c r="B431" s="90"/>
      <c r="C431" s="90"/>
      <c r="D431" s="69"/>
      <c r="E431" s="69"/>
      <c r="F431" s="90"/>
      <c r="G431" s="90"/>
      <c r="H431" s="76"/>
      <c r="I431" s="69"/>
      <c r="J431" s="68"/>
      <c r="K431" s="68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</row>
    <row r="432">
      <c r="A432" s="14"/>
      <c r="B432" s="90"/>
      <c r="C432" s="90"/>
      <c r="D432" s="69"/>
      <c r="E432" s="69"/>
      <c r="F432" s="90"/>
      <c r="G432" s="90"/>
      <c r="H432" s="76"/>
      <c r="I432" s="69"/>
      <c r="J432" s="68"/>
      <c r="K432" s="68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</row>
    <row r="433">
      <c r="A433" s="14"/>
      <c r="B433" s="90"/>
      <c r="C433" s="90"/>
      <c r="D433" s="69"/>
      <c r="E433" s="69"/>
      <c r="F433" s="90"/>
      <c r="G433" s="90"/>
      <c r="H433" s="76"/>
      <c r="I433" s="69"/>
      <c r="J433" s="68"/>
      <c r="K433" s="68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</row>
    <row r="434">
      <c r="A434" s="14"/>
      <c r="B434" s="90"/>
      <c r="C434" s="90"/>
      <c r="D434" s="69"/>
      <c r="E434" s="69"/>
      <c r="F434" s="90"/>
      <c r="G434" s="90"/>
      <c r="H434" s="76"/>
      <c r="I434" s="69"/>
      <c r="J434" s="68"/>
      <c r="K434" s="68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</row>
    <row r="435">
      <c r="A435" s="14"/>
      <c r="B435" s="90"/>
      <c r="C435" s="90"/>
      <c r="D435" s="69"/>
      <c r="E435" s="69"/>
      <c r="F435" s="90"/>
      <c r="G435" s="90"/>
      <c r="H435" s="76"/>
      <c r="I435" s="69"/>
      <c r="J435" s="68"/>
      <c r="K435" s="68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</row>
    <row r="436">
      <c r="A436" s="14"/>
      <c r="B436" s="90"/>
      <c r="C436" s="90"/>
      <c r="D436" s="69"/>
      <c r="E436" s="69"/>
      <c r="F436" s="90"/>
      <c r="G436" s="90"/>
      <c r="H436" s="76"/>
      <c r="I436" s="69"/>
      <c r="J436" s="68"/>
      <c r="K436" s="68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</row>
    <row r="437">
      <c r="A437" s="14"/>
      <c r="B437" s="90"/>
      <c r="C437" s="90"/>
      <c r="D437" s="69"/>
      <c r="E437" s="69"/>
      <c r="F437" s="90"/>
      <c r="G437" s="90"/>
      <c r="H437" s="76"/>
      <c r="I437" s="69"/>
      <c r="J437" s="68"/>
      <c r="K437" s="68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</row>
    <row r="438">
      <c r="A438" s="14"/>
      <c r="B438" s="90"/>
      <c r="C438" s="90"/>
      <c r="D438" s="69"/>
      <c r="E438" s="69"/>
      <c r="F438" s="90"/>
      <c r="G438" s="90"/>
      <c r="H438" s="76"/>
      <c r="I438" s="69"/>
      <c r="J438" s="68"/>
      <c r="K438" s="68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</row>
    <row r="439">
      <c r="A439" s="14"/>
      <c r="B439" s="90"/>
      <c r="C439" s="90"/>
      <c r="D439" s="69"/>
      <c r="E439" s="69"/>
      <c r="F439" s="90"/>
      <c r="G439" s="90"/>
      <c r="H439" s="76"/>
      <c r="I439" s="69"/>
      <c r="J439" s="68"/>
      <c r="K439" s="68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</row>
    <row r="440">
      <c r="A440" s="14"/>
      <c r="B440" s="90"/>
      <c r="C440" s="90"/>
      <c r="D440" s="69"/>
      <c r="E440" s="69"/>
      <c r="F440" s="90"/>
      <c r="G440" s="90"/>
      <c r="H440" s="76"/>
      <c r="I440" s="69"/>
      <c r="J440" s="68"/>
      <c r="K440" s="68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</row>
    <row r="441">
      <c r="A441" s="14"/>
      <c r="B441" s="90"/>
      <c r="C441" s="90"/>
      <c r="D441" s="69"/>
      <c r="E441" s="69"/>
      <c r="F441" s="90"/>
      <c r="G441" s="90"/>
      <c r="H441" s="76"/>
      <c r="I441" s="69"/>
      <c r="J441" s="68"/>
      <c r="K441" s="68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</row>
    <row r="442">
      <c r="A442" s="14"/>
      <c r="B442" s="90"/>
      <c r="C442" s="90"/>
      <c r="D442" s="69"/>
      <c r="E442" s="69"/>
      <c r="F442" s="90"/>
      <c r="G442" s="90"/>
      <c r="H442" s="76"/>
      <c r="I442" s="69"/>
      <c r="J442" s="68"/>
      <c r="K442" s="68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</row>
    <row r="443">
      <c r="A443" s="14"/>
      <c r="B443" s="90"/>
      <c r="C443" s="90"/>
      <c r="D443" s="69"/>
      <c r="E443" s="69"/>
      <c r="F443" s="90"/>
      <c r="G443" s="90"/>
      <c r="H443" s="76"/>
      <c r="I443" s="69"/>
      <c r="J443" s="68"/>
      <c r="K443" s="68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</row>
    <row r="444">
      <c r="A444" s="14"/>
      <c r="B444" s="90"/>
      <c r="C444" s="90"/>
      <c r="D444" s="69"/>
      <c r="E444" s="69"/>
      <c r="F444" s="90"/>
      <c r="G444" s="90"/>
      <c r="H444" s="76"/>
      <c r="I444" s="69"/>
      <c r="J444" s="68"/>
      <c r="K444" s="68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</row>
    <row r="445">
      <c r="A445" s="14"/>
      <c r="B445" s="90"/>
      <c r="C445" s="90"/>
      <c r="D445" s="69"/>
      <c r="E445" s="69"/>
      <c r="F445" s="90"/>
      <c r="G445" s="90"/>
      <c r="H445" s="76"/>
      <c r="I445" s="69"/>
      <c r="J445" s="68"/>
      <c r="K445" s="68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</row>
    <row r="446">
      <c r="A446" s="14"/>
      <c r="B446" s="90"/>
      <c r="C446" s="90"/>
      <c r="D446" s="69"/>
      <c r="E446" s="69"/>
      <c r="F446" s="90"/>
      <c r="G446" s="90"/>
      <c r="H446" s="76"/>
      <c r="I446" s="69"/>
      <c r="J446" s="68"/>
      <c r="K446" s="68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</row>
    <row r="447">
      <c r="A447" s="14"/>
      <c r="B447" s="90"/>
      <c r="C447" s="90"/>
      <c r="D447" s="69"/>
      <c r="E447" s="69"/>
      <c r="F447" s="90"/>
      <c r="G447" s="90"/>
      <c r="H447" s="76"/>
      <c r="I447" s="69"/>
      <c r="J447" s="68"/>
      <c r="K447" s="68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</row>
    <row r="448">
      <c r="A448" s="14"/>
      <c r="B448" s="90"/>
      <c r="C448" s="90"/>
      <c r="D448" s="69"/>
      <c r="E448" s="69"/>
      <c r="F448" s="90"/>
      <c r="G448" s="90"/>
      <c r="H448" s="76"/>
      <c r="I448" s="69"/>
      <c r="J448" s="68"/>
      <c r="K448" s="68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</row>
    <row r="449">
      <c r="A449" s="14"/>
      <c r="B449" s="90"/>
      <c r="C449" s="90"/>
      <c r="D449" s="69"/>
      <c r="E449" s="69"/>
      <c r="F449" s="90"/>
      <c r="G449" s="90"/>
      <c r="H449" s="76"/>
      <c r="I449" s="69"/>
      <c r="J449" s="68"/>
      <c r="K449" s="68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</row>
    <row r="450">
      <c r="A450" s="14"/>
      <c r="B450" s="90"/>
      <c r="C450" s="90"/>
      <c r="D450" s="69"/>
      <c r="E450" s="69"/>
      <c r="F450" s="90"/>
      <c r="G450" s="90"/>
      <c r="H450" s="76"/>
      <c r="I450" s="69"/>
      <c r="J450" s="68"/>
      <c r="K450" s="68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</row>
    <row r="451">
      <c r="A451" s="14"/>
      <c r="B451" s="90"/>
      <c r="C451" s="90"/>
      <c r="D451" s="69"/>
      <c r="E451" s="69"/>
      <c r="F451" s="90"/>
      <c r="G451" s="90"/>
      <c r="H451" s="76"/>
      <c r="I451" s="69"/>
      <c r="J451" s="68"/>
      <c r="K451" s="68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</row>
    <row r="452">
      <c r="A452" s="14"/>
      <c r="B452" s="90"/>
      <c r="C452" s="90"/>
      <c r="D452" s="69"/>
      <c r="E452" s="69"/>
      <c r="F452" s="90"/>
      <c r="G452" s="90"/>
      <c r="H452" s="76"/>
      <c r="I452" s="69"/>
      <c r="J452" s="68"/>
      <c r="K452" s="68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</row>
    <row r="453">
      <c r="A453" s="14"/>
      <c r="B453" s="90"/>
      <c r="C453" s="90"/>
      <c r="D453" s="69"/>
      <c r="E453" s="69"/>
      <c r="F453" s="90"/>
      <c r="G453" s="90"/>
      <c r="H453" s="76"/>
      <c r="I453" s="69"/>
      <c r="J453" s="68"/>
      <c r="K453" s="68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</row>
    <row r="454">
      <c r="A454" s="14"/>
      <c r="B454" s="90"/>
      <c r="C454" s="90"/>
      <c r="D454" s="69"/>
      <c r="E454" s="69"/>
      <c r="F454" s="90"/>
      <c r="G454" s="90"/>
      <c r="H454" s="76"/>
      <c r="I454" s="69"/>
      <c r="J454" s="68"/>
      <c r="K454" s="68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</row>
    <row r="455">
      <c r="A455" s="14"/>
      <c r="B455" s="90"/>
      <c r="C455" s="90"/>
      <c r="D455" s="69"/>
      <c r="E455" s="69"/>
      <c r="F455" s="90"/>
      <c r="G455" s="90"/>
      <c r="H455" s="76"/>
      <c r="I455" s="69"/>
      <c r="J455" s="68"/>
      <c r="K455" s="68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</row>
    <row r="456">
      <c r="A456" s="14"/>
      <c r="B456" s="90"/>
      <c r="C456" s="90"/>
      <c r="D456" s="69"/>
      <c r="E456" s="69"/>
      <c r="F456" s="90"/>
      <c r="G456" s="90"/>
      <c r="H456" s="76"/>
      <c r="I456" s="69"/>
      <c r="J456" s="68"/>
      <c r="K456" s="68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</row>
    <row r="457">
      <c r="A457" s="14"/>
      <c r="B457" s="90"/>
      <c r="C457" s="90"/>
      <c r="D457" s="69"/>
      <c r="E457" s="69"/>
      <c r="F457" s="90"/>
      <c r="G457" s="90"/>
      <c r="H457" s="76"/>
      <c r="I457" s="69"/>
      <c r="J457" s="68"/>
      <c r="K457" s="68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</row>
    <row r="458">
      <c r="A458" s="14"/>
      <c r="B458" s="90"/>
      <c r="C458" s="90"/>
      <c r="D458" s="69"/>
      <c r="E458" s="69"/>
      <c r="F458" s="90"/>
      <c r="G458" s="90"/>
      <c r="H458" s="76"/>
      <c r="I458" s="69"/>
      <c r="J458" s="68"/>
      <c r="K458" s="68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</row>
    <row r="459">
      <c r="A459" s="14"/>
      <c r="B459" s="90"/>
      <c r="C459" s="90"/>
      <c r="D459" s="69"/>
      <c r="E459" s="69"/>
      <c r="F459" s="90"/>
      <c r="G459" s="90"/>
      <c r="H459" s="76"/>
      <c r="I459" s="69"/>
      <c r="J459" s="68"/>
      <c r="K459" s="68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</row>
    <row r="460">
      <c r="A460" s="14"/>
      <c r="B460" s="90"/>
      <c r="C460" s="90"/>
      <c r="D460" s="69"/>
      <c r="E460" s="69"/>
      <c r="F460" s="90"/>
      <c r="G460" s="90"/>
      <c r="H460" s="76"/>
      <c r="I460" s="69"/>
      <c r="J460" s="68"/>
      <c r="K460" s="68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</row>
    <row r="461">
      <c r="A461" s="14"/>
      <c r="B461" s="90"/>
      <c r="C461" s="90"/>
      <c r="D461" s="69"/>
      <c r="E461" s="69"/>
      <c r="F461" s="90"/>
      <c r="G461" s="90"/>
      <c r="H461" s="76"/>
      <c r="I461" s="69"/>
      <c r="J461" s="68"/>
      <c r="K461" s="68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</row>
    <row r="462">
      <c r="A462" s="14"/>
      <c r="B462" s="90"/>
      <c r="C462" s="90"/>
      <c r="D462" s="69"/>
      <c r="E462" s="69"/>
      <c r="F462" s="90"/>
      <c r="G462" s="90"/>
      <c r="H462" s="76"/>
      <c r="I462" s="69"/>
      <c r="J462" s="68"/>
      <c r="K462" s="68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</row>
    <row r="463">
      <c r="A463" s="14"/>
      <c r="B463" s="90"/>
      <c r="C463" s="90"/>
      <c r="D463" s="69"/>
      <c r="E463" s="69"/>
      <c r="F463" s="90"/>
      <c r="G463" s="90"/>
      <c r="H463" s="76"/>
      <c r="I463" s="69"/>
      <c r="J463" s="68"/>
      <c r="K463" s="68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</row>
    <row r="464">
      <c r="A464" s="14"/>
      <c r="B464" s="90"/>
      <c r="C464" s="90"/>
      <c r="D464" s="69"/>
      <c r="E464" s="69"/>
      <c r="F464" s="90"/>
      <c r="G464" s="90"/>
      <c r="H464" s="76"/>
      <c r="I464" s="69"/>
      <c r="J464" s="68"/>
      <c r="K464" s="68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</row>
    <row r="465">
      <c r="A465" s="14"/>
      <c r="B465" s="90"/>
      <c r="C465" s="90"/>
      <c r="D465" s="69"/>
      <c r="E465" s="69"/>
      <c r="F465" s="90"/>
      <c r="G465" s="90"/>
      <c r="H465" s="76"/>
      <c r="I465" s="69"/>
      <c r="J465" s="68"/>
      <c r="K465" s="68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</row>
    <row r="466">
      <c r="A466" s="14"/>
      <c r="B466" s="90"/>
      <c r="C466" s="90"/>
      <c r="D466" s="69"/>
      <c r="E466" s="69"/>
      <c r="F466" s="90"/>
      <c r="G466" s="90"/>
      <c r="H466" s="76"/>
      <c r="I466" s="69"/>
      <c r="J466" s="68"/>
      <c r="K466" s="68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</row>
    <row r="467">
      <c r="A467" s="14"/>
      <c r="B467" s="90"/>
      <c r="C467" s="90"/>
      <c r="D467" s="69"/>
      <c r="E467" s="69"/>
      <c r="F467" s="90"/>
      <c r="G467" s="90"/>
      <c r="H467" s="76"/>
      <c r="I467" s="69"/>
      <c r="J467" s="68"/>
      <c r="K467" s="68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</row>
    <row r="468">
      <c r="A468" s="14"/>
      <c r="B468" s="90"/>
      <c r="C468" s="90"/>
      <c r="D468" s="69"/>
      <c r="E468" s="69"/>
      <c r="F468" s="90"/>
      <c r="G468" s="90"/>
      <c r="H468" s="76"/>
      <c r="I468" s="69"/>
      <c r="J468" s="68"/>
      <c r="K468" s="68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</row>
    <row r="469">
      <c r="A469" s="14"/>
      <c r="B469" s="90"/>
      <c r="C469" s="90"/>
      <c r="D469" s="69"/>
      <c r="E469" s="69"/>
      <c r="F469" s="90"/>
      <c r="G469" s="90"/>
      <c r="H469" s="76"/>
      <c r="I469" s="69"/>
      <c r="J469" s="68"/>
      <c r="K469" s="68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</row>
    <row r="470">
      <c r="A470" s="14"/>
      <c r="B470" s="90"/>
      <c r="C470" s="90"/>
      <c r="D470" s="69"/>
      <c r="E470" s="69"/>
      <c r="F470" s="90"/>
      <c r="G470" s="90"/>
      <c r="H470" s="76"/>
      <c r="I470" s="69"/>
      <c r="J470" s="68"/>
      <c r="K470" s="68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</row>
    <row r="471">
      <c r="A471" s="14"/>
      <c r="B471" s="90"/>
      <c r="C471" s="90"/>
      <c r="D471" s="69"/>
      <c r="E471" s="69"/>
      <c r="F471" s="90"/>
      <c r="G471" s="90"/>
      <c r="H471" s="76"/>
      <c r="I471" s="69"/>
      <c r="J471" s="68"/>
      <c r="K471" s="68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</row>
    <row r="472">
      <c r="A472" s="14"/>
      <c r="B472" s="90"/>
      <c r="C472" s="90"/>
      <c r="D472" s="69"/>
      <c r="E472" s="69"/>
      <c r="F472" s="90"/>
      <c r="G472" s="90"/>
      <c r="H472" s="76"/>
      <c r="I472" s="69"/>
      <c r="J472" s="68"/>
      <c r="K472" s="68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</row>
    <row r="473">
      <c r="A473" s="14"/>
      <c r="B473" s="90"/>
      <c r="C473" s="90"/>
      <c r="D473" s="69"/>
      <c r="E473" s="69"/>
      <c r="F473" s="90"/>
      <c r="G473" s="90"/>
      <c r="H473" s="76"/>
      <c r="I473" s="69"/>
      <c r="J473" s="68"/>
      <c r="K473" s="68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</row>
    <row r="474">
      <c r="A474" s="14"/>
      <c r="B474" s="90"/>
      <c r="C474" s="90"/>
      <c r="D474" s="69"/>
      <c r="E474" s="69"/>
      <c r="F474" s="90"/>
      <c r="G474" s="90"/>
      <c r="H474" s="76"/>
      <c r="I474" s="69"/>
      <c r="J474" s="68"/>
      <c r="K474" s="68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</row>
    <row r="475">
      <c r="A475" s="14"/>
      <c r="B475" s="90"/>
      <c r="C475" s="90"/>
      <c r="D475" s="69"/>
      <c r="E475" s="69"/>
      <c r="F475" s="90"/>
      <c r="G475" s="90"/>
      <c r="H475" s="76"/>
      <c r="I475" s="69"/>
      <c r="J475" s="68"/>
      <c r="K475" s="68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</row>
    <row r="476">
      <c r="A476" s="14"/>
      <c r="B476" s="90"/>
      <c r="C476" s="90"/>
      <c r="D476" s="69"/>
      <c r="E476" s="69"/>
      <c r="F476" s="90"/>
      <c r="G476" s="90"/>
      <c r="H476" s="76"/>
      <c r="I476" s="69"/>
      <c r="J476" s="68"/>
      <c r="K476" s="68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</row>
    <row r="477">
      <c r="A477" s="14"/>
      <c r="B477" s="90"/>
      <c r="C477" s="90"/>
      <c r="D477" s="69"/>
      <c r="E477" s="69"/>
      <c r="F477" s="90"/>
      <c r="G477" s="90"/>
      <c r="H477" s="76"/>
      <c r="I477" s="69"/>
      <c r="J477" s="68"/>
      <c r="K477" s="68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</row>
    <row r="478">
      <c r="A478" s="14"/>
      <c r="B478" s="90"/>
      <c r="C478" s="90"/>
      <c r="D478" s="69"/>
      <c r="E478" s="69"/>
      <c r="F478" s="90"/>
      <c r="G478" s="90"/>
      <c r="H478" s="76"/>
      <c r="I478" s="69"/>
      <c r="J478" s="68"/>
      <c r="K478" s="68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</row>
    <row r="479">
      <c r="A479" s="14"/>
      <c r="B479" s="90"/>
      <c r="C479" s="90"/>
      <c r="D479" s="69"/>
      <c r="E479" s="69"/>
      <c r="F479" s="90"/>
      <c r="G479" s="90"/>
      <c r="H479" s="76"/>
      <c r="I479" s="69"/>
      <c r="J479" s="68"/>
      <c r="K479" s="68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</row>
    <row r="480">
      <c r="A480" s="14"/>
      <c r="B480" s="90"/>
      <c r="C480" s="90"/>
      <c r="D480" s="69"/>
      <c r="E480" s="69"/>
      <c r="F480" s="90"/>
      <c r="G480" s="90"/>
      <c r="H480" s="76"/>
      <c r="I480" s="69"/>
      <c r="J480" s="68"/>
      <c r="K480" s="68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</row>
    <row r="481">
      <c r="A481" s="14"/>
      <c r="B481" s="90"/>
      <c r="C481" s="90"/>
      <c r="D481" s="69"/>
      <c r="E481" s="69"/>
      <c r="F481" s="90"/>
      <c r="G481" s="90"/>
      <c r="H481" s="76"/>
      <c r="I481" s="69"/>
      <c r="J481" s="68"/>
      <c r="K481" s="68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</row>
    <row r="482">
      <c r="A482" s="14"/>
      <c r="B482" s="90"/>
      <c r="C482" s="90"/>
      <c r="D482" s="69"/>
      <c r="E482" s="69"/>
      <c r="F482" s="90"/>
      <c r="G482" s="90"/>
      <c r="H482" s="76"/>
      <c r="I482" s="69"/>
      <c r="J482" s="68"/>
      <c r="K482" s="68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</row>
    <row r="483">
      <c r="A483" s="14"/>
      <c r="B483" s="90"/>
      <c r="C483" s="90"/>
      <c r="D483" s="69"/>
      <c r="E483" s="69"/>
      <c r="F483" s="90"/>
      <c r="G483" s="90"/>
      <c r="H483" s="76"/>
      <c r="I483" s="69"/>
      <c r="J483" s="68"/>
      <c r="K483" s="68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</row>
    <row r="484">
      <c r="A484" s="14"/>
      <c r="B484" s="90"/>
      <c r="C484" s="90"/>
      <c r="D484" s="69"/>
      <c r="E484" s="69"/>
      <c r="F484" s="90"/>
      <c r="G484" s="90"/>
      <c r="H484" s="76"/>
      <c r="I484" s="69"/>
      <c r="J484" s="68"/>
      <c r="K484" s="68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</row>
    <row r="485">
      <c r="A485" s="14"/>
      <c r="B485" s="90"/>
      <c r="C485" s="90"/>
      <c r="D485" s="69"/>
      <c r="E485" s="69"/>
      <c r="F485" s="90"/>
      <c r="G485" s="90"/>
      <c r="H485" s="76"/>
      <c r="I485" s="69"/>
      <c r="J485" s="68"/>
      <c r="K485" s="68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</row>
    <row r="486">
      <c r="A486" s="14"/>
      <c r="B486" s="90"/>
      <c r="C486" s="90"/>
      <c r="D486" s="69"/>
      <c r="E486" s="69"/>
      <c r="F486" s="90"/>
      <c r="G486" s="90"/>
      <c r="H486" s="76"/>
      <c r="I486" s="69"/>
      <c r="J486" s="68"/>
      <c r="K486" s="68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</row>
    <row r="487">
      <c r="A487" s="14"/>
      <c r="B487" s="90"/>
      <c r="C487" s="90"/>
      <c r="D487" s="69"/>
      <c r="E487" s="69"/>
      <c r="F487" s="90"/>
      <c r="G487" s="90"/>
      <c r="H487" s="76"/>
      <c r="I487" s="69"/>
      <c r="J487" s="68"/>
      <c r="K487" s="68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</row>
    <row r="488">
      <c r="A488" s="14"/>
      <c r="B488" s="90"/>
      <c r="C488" s="90"/>
      <c r="D488" s="69"/>
      <c r="E488" s="69"/>
      <c r="F488" s="90"/>
      <c r="G488" s="90"/>
      <c r="H488" s="76"/>
      <c r="I488" s="69"/>
      <c r="J488" s="68"/>
      <c r="K488" s="68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</row>
    <row r="489">
      <c r="A489" s="14"/>
      <c r="B489" s="90"/>
      <c r="C489" s="90"/>
      <c r="D489" s="69"/>
      <c r="E489" s="69"/>
      <c r="F489" s="90"/>
      <c r="G489" s="90"/>
      <c r="H489" s="76"/>
      <c r="I489" s="69"/>
      <c r="J489" s="68"/>
      <c r="K489" s="68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</row>
    <row r="490">
      <c r="A490" s="14"/>
      <c r="B490" s="90"/>
      <c r="C490" s="90"/>
      <c r="D490" s="69"/>
      <c r="E490" s="69"/>
      <c r="F490" s="90"/>
      <c r="G490" s="90"/>
      <c r="H490" s="76"/>
      <c r="I490" s="69"/>
      <c r="J490" s="68"/>
      <c r="K490" s="68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</row>
    <row r="491">
      <c r="A491" s="14"/>
      <c r="B491" s="90"/>
      <c r="C491" s="90"/>
      <c r="D491" s="69"/>
      <c r="E491" s="69"/>
      <c r="F491" s="90"/>
      <c r="G491" s="90"/>
      <c r="H491" s="76"/>
      <c r="I491" s="69"/>
      <c r="J491" s="68"/>
      <c r="K491" s="68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</row>
    <row r="492">
      <c r="A492" s="14"/>
      <c r="B492" s="90"/>
      <c r="C492" s="90"/>
      <c r="D492" s="69"/>
      <c r="E492" s="69"/>
      <c r="F492" s="90"/>
      <c r="G492" s="90"/>
      <c r="H492" s="76"/>
      <c r="I492" s="69"/>
      <c r="J492" s="68"/>
      <c r="K492" s="68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</row>
    <row r="493">
      <c r="A493" s="14"/>
      <c r="B493" s="90"/>
      <c r="C493" s="90"/>
      <c r="D493" s="69"/>
      <c r="E493" s="69"/>
      <c r="F493" s="90"/>
      <c r="G493" s="90"/>
      <c r="H493" s="76"/>
      <c r="I493" s="69"/>
      <c r="J493" s="68"/>
      <c r="K493" s="68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</row>
    <row r="494">
      <c r="A494" s="14"/>
      <c r="B494" s="90"/>
      <c r="C494" s="90"/>
      <c r="D494" s="69"/>
      <c r="E494" s="69"/>
      <c r="F494" s="90"/>
      <c r="G494" s="90"/>
      <c r="H494" s="76"/>
      <c r="I494" s="69"/>
      <c r="J494" s="68"/>
      <c r="K494" s="68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</row>
    <row r="495">
      <c r="A495" s="14"/>
      <c r="B495" s="90"/>
      <c r="C495" s="90"/>
      <c r="D495" s="69"/>
      <c r="E495" s="69"/>
      <c r="F495" s="90"/>
      <c r="G495" s="90"/>
      <c r="H495" s="76"/>
      <c r="I495" s="69"/>
      <c r="J495" s="68"/>
      <c r="K495" s="68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</row>
    <row r="496">
      <c r="A496" s="14"/>
      <c r="B496" s="90"/>
      <c r="C496" s="90"/>
      <c r="D496" s="69"/>
      <c r="E496" s="69"/>
      <c r="F496" s="90"/>
      <c r="G496" s="90"/>
      <c r="H496" s="76"/>
      <c r="I496" s="69"/>
      <c r="J496" s="68"/>
      <c r="K496" s="68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</row>
    <row r="497">
      <c r="A497" s="14"/>
      <c r="B497" s="90"/>
      <c r="C497" s="90"/>
      <c r="D497" s="69"/>
      <c r="E497" s="69"/>
      <c r="F497" s="90"/>
      <c r="G497" s="90"/>
      <c r="H497" s="76"/>
      <c r="I497" s="69"/>
      <c r="J497" s="68"/>
      <c r="K497" s="68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</row>
    <row r="498">
      <c r="A498" s="14"/>
      <c r="B498" s="90"/>
      <c r="C498" s="90"/>
      <c r="D498" s="69"/>
      <c r="E498" s="69"/>
      <c r="F498" s="90"/>
      <c r="G498" s="90"/>
      <c r="H498" s="76"/>
      <c r="I498" s="69"/>
      <c r="J498" s="68"/>
      <c r="K498" s="68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</row>
    <row r="499">
      <c r="A499" s="14"/>
      <c r="B499" s="90"/>
      <c r="C499" s="90"/>
      <c r="D499" s="69"/>
      <c r="E499" s="69"/>
      <c r="F499" s="90"/>
      <c r="G499" s="90"/>
      <c r="H499" s="76"/>
      <c r="I499" s="69"/>
      <c r="J499" s="68"/>
      <c r="K499" s="68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</row>
    <row r="500">
      <c r="A500" s="14"/>
      <c r="B500" s="90"/>
      <c r="C500" s="90"/>
      <c r="D500" s="69"/>
      <c r="E500" s="69"/>
      <c r="F500" s="90"/>
      <c r="G500" s="90"/>
      <c r="H500" s="76"/>
      <c r="I500" s="69"/>
      <c r="J500" s="68"/>
      <c r="K500" s="68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</row>
    <row r="501">
      <c r="A501" s="14"/>
      <c r="B501" s="90"/>
      <c r="C501" s="90"/>
      <c r="D501" s="69"/>
      <c r="E501" s="69"/>
      <c r="F501" s="90"/>
      <c r="G501" s="90"/>
      <c r="H501" s="76"/>
      <c r="I501" s="69"/>
      <c r="J501" s="68"/>
      <c r="K501" s="68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</row>
    <row r="502">
      <c r="A502" s="14"/>
      <c r="B502" s="90"/>
      <c r="C502" s="90"/>
      <c r="D502" s="69"/>
      <c r="E502" s="69"/>
      <c r="F502" s="90"/>
      <c r="G502" s="90"/>
      <c r="H502" s="76"/>
      <c r="I502" s="69"/>
      <c r="J502" s="68"/>
      <c r="K502" s="68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</row>
    <row r="503">
      <c r="A503" s="14"/>
      <c r="B503" s="90"/>
      <c r="C503" s="90"/>
      <c r="D503" s="69"/>
      <c r="E503" s="69"/>
      <c r="F503" s="90"/>
      <c r="G503" s="90"/>
      <c r="H503" s="76"/>
      <c r="I503" s="69"/>
      <c r="J503" s="68"/>
      <c r="K503" s="68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</row>
    <row r="504">
      <c r="A504" s="14"/>
      <c r="B504" s="90"/>
      <c r="C504" s="90"/>
      <c r="D504" s="69"/>
      <c r="E504" s="69"/>
      <c r="F504" s="90"/>
      <c r="G504" s="90"/>
      <c r="H504" s="76"/>
      <c r="I504" s="69"/>
      <c r="J504" s="68"/>
      <c r="K504" s="68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</row>
    <row r="505">
      <c r="A505" s="14"/>
      <c r="B505" s="90"/>
      <c r="C505" s="90"/>
      <c r="D505" s="69"/>
      <c r="E505" s="69"/>
      <c r="F505" s="90"/>
      <c r="G505" s="90"/>
      <c r="H505" s="76"/>
      <c r="I505" s="69"/>
      <c r="J505" s="68"/>
      <c r="K505" s="68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</row>
    <row r="506">
      <c r="A506" s="14"/>
      <c r="B506" s="90"/>
      <c r="C506" s="90"/>
      <c r="D506" s="69"/>
      <c r="E506" s="69"/>
      <c r="F506" s="90"/>
      <c r="G506" s="90"/>
      <c r="H506" s="76"/>
      <c r="I506" s="69"/>
      <c r="J506" s="68"/>
      <c r="K506" s="68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</row>
    <row r="507">
      <c r="A507" s="14"/>
      <c r="B507" s="90"/>
      <c r="C507" s="90"/>
      <c r="D507" s="69"/>
      <c r="E507" s="69"/>
      <c r="F507" s="90"/>
      <c r="G507" s="90"/>
      <c r="H507" s="76"/>
      <c r="I507" s="69"/>
      <c r="J507" s="68"/>
      <c r="K507" s="68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</row>
    <row r="508">
      <c r="A508" s="14"/>
      <c r="B508" s="90"/>
      <c r="C508" s="90"/>
      <c r="D508" s="69"/>
      <c r="E508" s="69"/>
      <c r="F508" s="90"/>
      <c r="G508" s="90"/>
      <c r="H508" s="76"/>
      <c r="I508" s="69"/>
      <c r="J508" s="68"/>
      <c r="K508" s="68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</row>
    <row r="509">
      <c r="A509" s="14"/>
      <c r="B509" s="90"/>
      <c r="C509" s="90"/>
      <c r="D509" s="69"/>
      <c r="E509" s="69"/>
      <c r="F509" s="90"/>
      <c r="G509" s="90"/>
      <c r="H509" s="76"/>
      <c r="I509" s="69"/>
      <c r="J509" s="68"/>
      <c r="K509" s="68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</row>
    <row r="510">
      <c r="A510" s="14"/>
      <c r="B510" s="90"/>
      <c r="C510" s="90"/>
      <c r="D510" s="69"/>
      <c r="E510" s="69"/>
      <c r="F510" s="90"/>
      <c r="G510" s="90"/>
      <c r="H510" s="76"/>
      <c r="I510" s="69"/>
      <c r="J510" s="68"/>
      <c r="K510" s="68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</row>
    <row r="511">
      <c r="A511" s="14"/>
      <c r="B511" s="90"/>
      <c r="C511" s="90"/>
      <c r="D511" s="69"/>
      <c r="E511" s="69"/>
      <c r="F511" s="90"/>
      <c r="G511" s="90"/>
      <c r="H511" s="76"/>
      <c r="I511" s="69"/>
      <c r="J511" s="68"/>
      <c r="K511" s="68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</row>
    <row r="512">
      <c r="A512" s="14"/>
      <c r="B512" s="90"/>
      <c r="C512" s="90"/>
      <c r="D512" s="69"/>
      <c r="E512" s="69"/>
      <c r="F512" s="90"/>
      <c r="G512" s="90"/>
      <c r="H512" s="76"/>
      <c r="I512" s="69"/>
      <c r="J512" s="68"/>
      <c r="K512" s="68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</row>
    <row r="513">
      <c r="A513" s="14"/>
      <c r="B513" s="90"/>
      <c r="C513" s="90"/>
      <c r="D513" s="69"/>
      <c r="E513" s="69"/>
      <c r="F513" s="90"/>
      <c r="G513" s="90"/>
      <c r="H513" s="76"/>
      <c r="I513" s="69"/>
      <c r="J513" s="68"/>
      <c r="K513" s="68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</row>
    <row r="514">
      <c r="A514" s="14"/>
      <c r="B514" s="90"/>
      <c r="C514" s="90"/>
      <c r="D514" s="69"/>
      <c r="E514" s="69"/>
      <c r="F514" s="90"/>
      <c r="G514" s="90"/>
      <c r="H514" s="76"/>
      <c r="I514" s="69"/>
      <c r="J514" s="68"/>
      <c r="K514" s="68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</row>
    <row r="515">
      <c r="A515" s="14"/>
      <c r="B515" s="90"/>
      <c r="C515" s="90"/>
      <c r="D515" s="69"/>
      <c r="E515" s="69"/>
      <c r="F515" s="90"/>
      <c r="G515" s="90"/>
      <c r="H515" s="76"/>
      <c r="I515" s="69"/>
      <c r="J515" s="68"/>
      <c r="K515" s="68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</row>
    <row r="516">
      <c r="A516" s="14"/>
      <c r="B516" s="90"/>
      <c r="C516" s="90"/>
      <c r="D516" s="69"/>
      <c r="E516" s="69"/>
      <c r="F516" s="90"/>
      <c r="G516" s="90"/>
      <c r="H516" s="76"/>
      <c r="I516" s="69"/>
      <c r="J516" s="68"/>
      <c r="K516" s="68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</row>
    <row r="517">
      <c r="A517" s="14"/>
      <c r="B517" s="90"/>
      <c r="C517" s="90"/>
      <c r="D517" s="69"/>
      <c r="E517" s="69"/>
      <c r="F517" s="90"/>
      <c r="G517" s="90"/>
      <c r="H517" s="76"/>
      <c r="I517" s="69"/>
      <c r="J517" s="68"/>
      <c r="K517" s="68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</row>
    <row r="518">
      <c r="A518" s="14"/>
      <c r="B518" s="90"/>
      <c r="C518" s="90"/>
      <c r="D518" s="69"/>
      <c r="E518" s="69"/>
      <c r="F518" s="90"/>
      <c r="G518" s="90"/>
      <c r="H518" s="76"/>
      <c r="I518" s="69"/>
      <c r="J518" s="68"/>
      <c r="K518" s="68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</row>
    <row r="519">
      <c r="A519" s="14"/>
      <c r="B519" s="90"/>
      <c r="C519" s="90"/>
      <c r="D519" s="69"/>
      <c r="E519" s="69"/>
      <c r="F519" s="90"/>
      <c r="G519" s="90"/>
      <c r="H519" s="76"/>
      <c r="I519" s="69"/>
      <c r="J519" s="68"/>
      <c r="K519" s="68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</row>
    <row r="520">
      <c r="A520" s="14"/>
      <c r="B520" s="90"/>
      <c r="C520" s="90"/>
      <c r="D520" s="69"/>
      <c r="E520" s="69"/>
      <c r="F520" s="90"/>
      <c r="G520" s="90"/>
      <c r="H520" s="76"/>
      <c r="I520" s="69"/>
      <c r="J520" s="68"/>
      <c r="K520" s="68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</row>
    <row r="521">
      <c r="A521" s="14"/>
      <c r="B521" s="90"/>
      <c r="C521" s="90"/>
      <c r="D521" s="69"/>
      <c r="E521" s="69"/>
      <c r="F521" s="90"/>
      <c r="G521" s="90"/>
      <c r="H521" s="76"/>
      <c r="I521" s="69"/>
      <c r="J521" s="68"/>
      <c r="K521" s="68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</row>
    <row r="522">
      <c r="A522" s="14"/>
      <c r="B522" s="90"/>
      <c r="C522" s="90"/>
      <c r="D522" s="69"/>
      <c r="E522" s="69"/>
      <c r="F522" s="90"/>
      <c r="G522" s="90"/>
      <c r="H522" s="76"/>
      <c r="I522" s="69"/>
      <c r="J522" s="68"/>
      <c r="K522" s="68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</row>
    <row r="523">
      <c r="A523" s="14"/>
      <c r="B523" s="90"/>
      <c r="C523" s="90"/>
      <c r="D523" s="69"/>
      <c r="E523" s="69"/>
      <c r="F523" s="90"/>
      <c r="G523" s="90"/>
      <c r="H523" s="76"/>
      <c r="I523" s="69"/>
      <c r="J523" s="68"/>
      <c r="K523" s="68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</row>
    <row r="524">
      <c r="A524" s="14"/>
      <c r="B524" s="90"/>
      <c r="C524" s="90"/>
      <c r="D524" s="69"/>
      <c r="E524" s="69"/>
      <c r="F524" s="90"/>
      <c r="G524" s="90"/>
      <c r="H524" s="76"/>
      <c r="I524" s="69"/>
      <c r="J524" s="68"/>
      <c r="K524" s="68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</row>
    <row r="525">
      <c r="A525" s="14"/>
      <c r="B525" s="90"/>
      <c r="C525" s="90"/>
      <c r="D525" s="69"/>
      <c r="E525" s="69"/>
      <c r="F525" s="90"/>
      <c r="G525" s="90"/>
      <c r="H525" s="76"/>
      <c r="I525" s="69"/>
      <c r="J525" s="68"/>
      <c r="K525" s="68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</row>
    <row r="526">
      <c r="A526" s="14"/>
      <c r="B526" s="90"/>
      <c r="C526" s="90"/>
      <c r="D526" s="69"/>
      <c r="E526" s="69"/>
      <c r="F526" s="90"/>
      <c r="G526" s="90"/>
      <c r="H526" s="76"/>
      <c r="I526" s="69"/>
      <c r="J526" s="68"/>
      <c r="K526" s="68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</row>
    <row r="527">
      <c r="A527" s="14"/>
      <c r="B527" s="90"/>
      <c r="C527" s="90"/>
      <c r="D527" s="69"/>
      <c r="E527" s="69"/>
      <c r="F527" s="90"/>
      <c r="G527" s="90"/>
      <c r="H527" s="76"/>
      <c r="I527" s="69"/>
      <c r="J527" s="68"/>
      <c r="K527" s="68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</row>
    <row r="528">
      <c r="A528" s="14"/>
      <c r="B528" s="90"/>
      <c r="C528" s="90"/>
      <c r="D528" s="69"/>
      <c r="E528" s="69"/>
      <c r="F528" s="90"/>
      <c r="G528" s="90"/>
      <c r="H528" s="76"/>
      <c r="I528" s="69"/>
      <c r="J528" s="68"/>
      <c r="K528" s="68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</row>
    <row r="529">
      <c r="A529" s="14"/>
      <c r="B529" s="90"/>
      <c r="C529" s="90"/>
      <c r="D529" s="69"/>
      <c r="E529" s="69"/>
      <c r="F529" s="90"/>
      <c r="G529" s="90"/>
      <c r="H529" s="76"/>
      <c r="I529" s="69"/>
      <c r="J529" s="68"/>
      <c r="K529" s="68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</row>
    <row r="530">
      <c r="A530" s="14"/>
      <c r="B530" s="90"/>
      <c r="C530" s="90"/>
      <c r="D530" s="69"/>
      <c r="E530" s="69"/>
      <c r="F530" s="90"/>
      <c r="G530" s="90"/>
      <c r="H530" s="76"/>
      <c r="I530" s="69"/>
      <c r="J530" s="68"/>
      <c r="K530" s="68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</row>
    <row r="531">
      <c r="A531" s="14"/>
      <c r="B531" s="90"/>
      <c r="C531" s="90"/>
      <c r="D531" s="69"/>
      <c r="E531" s="69"/>
      <c r="F531" s="90"/>
      <c r="G531" s="90"/>
      <c r="H531" s="76"/>
      <c r="I531" s="69"/>
      <c r="J531" s="68"/>
      <c r="K531" s="68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</row>
    <row r="532">
      <c r="A532" s="14"/>
      <c r="B532" s="90"/>
      <c r="C532" s="90"/>
      <c r="D532" s="69"/>
      <c r="E532" s="69"/>
      <c r="F532" s="90"/>
      <c r="G532" s="90"/>
      <c r="H532" s="76"/>
      <c r="I532" s="69"/>
      <c r="J532" s="68"/>
      <c r="K532" s="68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</row>
    <row r="533">
      <c r="A533" s="14"/>
      <c r="B533" s="90"/>
      <c r="C533" s="90"/>
      <c r="D533" s="69"/>
      <c r="E533" s="69"/>
      <c r="F533" s="90"/>
      <c r="G533" s="90"/>
      <c r="H533" s="76"/>
      <c r="I533" s="69"/>
      <c r="J533" s="68"/>
      <c r="K533" s="68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</row>
    <row r="534">
      <c r="A534" s="14"/>
      <c r="B534" s="90"/>
      <c r="C534" s="90"/>
      <c r="D534" s="69"/>
      <c r="E534" s="69"/>
      <c r="F534" s="90"/>
      <c r="G534" s="90"/>
      <c r="H534" s="76"/>
      <c r="I534" s="69"/>
      <c r="J534" s="68"/>
      <c r="K534" s="68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</row>
    <row r="535">
      <c r="A535" s="14"/>
      <c r="B535" s="90"/>
      <c r="C535" s="90"/>
      <c r="D535" s="69"/>
      <c r="E535" s="69"/>
      <c r="F535" s="90"/>
      <c r="G535" s="90"/>
      <c r="H535" s="76"/>
      <c r="I535" s="69"/>
      <c r="J535" s="68"/>
      <c r="K535" s="68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</row>
    <row r="536">
      <c r="A536" s="14"/>
      <c r="B536" s="90"/>
      <c r="C536" s="90"/>
      <c r="D536" s="69"/>
      <c r="E536" s="69"/>
      <c r="F536" s="90"/>
      <c r="G536" s="90"/>
      <c r="H536" s="76"/>
      <c r="I536" s="69"/>
      <c r="J536" s="68"/>
      <c r="K536" s="68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</row>
    <row r="537">
      <c r="A537" s="14"/>
      <c r="B537" s="90"/>
      <c r="C537" s="90"/>
      <c r="D537" s="69"/>
      <c r="E537" s="69"/>
      <c r="F537" s="90"/>
      <c r="G537" s="90"/>
      <c r="H537" s="76"/>
      <c r="I537" s="69"/>
      <c r="J537" s="68"/>
      <c r="K537" s="68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</row>
    <row r="538">
      <c r="A538" s="14"/>
      <c r="B538" s="90"/>
      <c r="C538" s="90"/>
      <c r="D538" s="69"/>
      <c r="E538" s="69"/>
      <c r="F538" s="90"/>
      <c r="G538" s="90"/>
      <c r="H538" s="76"/>
      <c r="I538" s="69"/>
      <c r="J538" s="68"/>
      <c r="K538" s="68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</row>
    <row r="539">
      <c r="A539" s="14"/>
      <c r="B539" s="90"/>
      <c r="C539" s="90"/>
      <c r="D539" s="69"/>
      <c r="E539" s="69"/>
      <c r="F539" s="90"/>
      <c r="G539" s="90"/>
      <c r="H539" s="76"/>
      <c r="I539" s="69"/>
      <c r="J539" s="68"/>
      <c r="K539" s="68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</row>
    <row r="540">
      <c r="A540" s="14"/>
      <c r="B540" s="90"/>
      <c r="C540" s="90"/>
      <c r="D540" s="69"/>
      <c r="E540" s="69"/>
      <c r="F540" s="90"/>
      <c r="G540" s="90"/>
      <c r="H540" s="76"/>
      <c r="I540" s="69"/>
      <c r="J540" s="68"/>
      <c r="K540" s="68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</row>
    <row r="541">
      <c r="A541" s="14"/>
      <c r="B541" s="90"/>
      <c r="C541" s="90"/>
      <c r="D541" s="69"/>
      <c r="E541" s="69"/>
      <c r="F541" s="90"/>
      <c r="G541" s="90"/>
      <c r="H541" s="76"/>
      <c r="I541" s="69"/>
      <c r="J541" s="68"/>
      <c r="K541" s="68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</row>
    <row r="542">
      <c r="A542" s="14"/>
      <c r="B542" s="90"/>
      <c r="C542" s="90"/>
      <c r="D542" s="69"/>
      <c r="E542" s="69"/>
      <c r="F542" s="90"/>
      <c r="G542" s="90"/>
      <c r="H542" s="76"/>
      <c r="I542" s="69"/>
      <c r="J542" s="68"/>
      <c r="K542" s="68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</row>
    <row r="543">
      <c r="A543" s="14"/>
      <c r="B543" s="90"/>
      <c r="C543" s="90"/>
      <c r="D543" s="69"/>
      <c r="E543" s="69"/>
      <c r="F543" s="90"/>
      <c r="G543" s="90"/>
      <c r="H543" s="76"/>
      <c r="I543" s="69"/>
      <c r="J543" s="68"/>
      <c r="K543" s="68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</row>
    <row r="544">
      <c r="A544" s="14"/>
      <c r="B544" s="90"/>
      <c r="C544" s="90"/>
      <c r="D544" s="69"/>
      <c r="E544" s="69"/>
      <c r="F544" s="90"/>
      <c r="G544" s="90"/>
      <c r="H544" s="76"/>
      <c r="I544" s="69"/>
      <c r="J544" s="68"/>
      <c r="K544" s="68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</row>
    <row r="545">
      <c r="A545" s="14"/>
      <c r="B545" s="90"/>
      <c r="C545" s="90"/>
      <c r="D545" s="69"/>
      <c r="E545" s="69"/>
      <c r="F545" s="90"/>
      <c r="G545" s="90"/>
      <c r="H545" s="76"/>
      <c r="I545" s="69"/>
      <c r="J545" s="68"/>
      <c r="K545" s="68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</row>
    <row r="546">
      <c r="A546" s="14"/>
      <c r="B546" s="90"/>
      <c r="C546" s="90"/>
      <c r="D546" s="69"/>
      <c r="E546" s="69"/>
      <c r="F546" s="90"/>
      <c r="G546" s="90"/>
      <c r="H546" s="76"/>
      <c r="I546" s="69"/>
      <c r="J546" s="68"/>
      <c r="K546" s="68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</row>
    <row r="547">
      <c r="A547" s="14"/>
      <c r="B547" s="90"/>
      <c r="C547" s="90"/>
      <c r="D547" s="69"/>
      <c r="E547" s="69"/>
      <c r="F547" s="90"/>
      <c r="G547" s="90"/>
      <c r="H547" s="76"/>
      <c r="I547" s="69"/>
      <c r="J547" s="68"/>
      <c r="K547" s="68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</row>
    <row r="548">
      <c r="A548" s="14"/>
      <c r="B548" s="90"/>
      <c r="C548" s="90"/>
      <c r="D548" s="69"/>
      <c r="E548" s="69"/>
      <c r="F548" s="90"/>
      <c r="G548" s="90"/>
      <c r="H548" s="76"/>
      <c r="I548" s="69"/>
      <c r="J548" s="68"/>
      <c r="K548" s="68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</row>
    <row r="549">
      <c r="A549" s="14"/>
      <c r="B549" s="90"/>
      <c r="C549" s="90"/>
      <c r="D549" s="69"/>
      <c r="E549" s="69"/>
      <c r="F549" s="90"/>
      <c r="G549" s="90"/>
      <c r="H549" s="76"/>
      <c r="I549" s="69"/>
      <c r="J549" s="68"/>
      <c r="K549" s="68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</row>
    <row r="550">
      <c r="A550" s="14"/>
      <c r="B550" s="90"/>
      <c r="C550" s="90"/>
      <c r="D550" s="69"/>
      <c r="E550" s="69"/>
      <c r="F550" s="90"/>
      <c r="G550" s="90"/>
      <c r="H550" s="76"/>
      <c r="I550" s="69"/>
      <c r="J550" s="68"/>
      <c r="K550" s="68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</row>
    <row r="551">
      <c r="A551" s="14"/>
      <c r="B551" s="90"/>
      <c r="C551" s="90"/>
      <c r="D551" s="69"/>
      <c r="E551" s="69"/>
      <c r="F551" s="90"/>
      <c r="G551" s="90"/>
      <c r="H551" s="76"/>
      <c r="I551" s="69"/>
      <c r="J551" s="68"/>
      <c r="K551" s="68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</row>
    <row r="552">
      <c r="A552" s="14"/>
      <c r="B552" s="90"/>
      <c r="C552" s="90"/>
      <c r="D552" s="69"/>
      <c r="E552" s="69"/>
      <c r="F552" s="90"/>
      <c r="G552" s="90"/>
      <c r="H552" s="76"/>
      <c r="I552" s="69"/>
      <c r="J552" s="68"/>
      <c r="K552" s="68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</row>
    <row r="553">
      <c r="A553" s="14"/>
      <c r="B553" s="90"/>
      <c r="C553" s="90"/>
      <c r="D553" s="69"/>
      <c r="E553" s="69"/>
      <c r="F553" s="90"/>
      <c r="G553" s="90"/>
      <c r="H553" s="76"/>
      <c r="I553" s="69"/>
      <c r="J553" s="68"/>
      <c r="K553" s="68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</row>
    <row r="554">
      <c r="A554" s="14"/>
      <c r="B554" s="90"/>
      <c r="C554" s="90"/>
      <c r="D554" s="69"/>
      <c r="E554" s="69"/>
      <c r="F554" s="90"/>
      <c r="G554" s="90"/>
      <c r="H554" s="76"/>
      <c r="I554" s="69"/>
      <c r="J554" s="68"/>
      <c r="K554" s="68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</row>
    <row r="555">
      <c r="A555" s="14"/>
      <c r="B555" s="90"/>
      <c r="C555" s="90"/>
      <c r="D555" s="69"/>
      <c r="E555" s="69"/>
      <c r="F555" s="90"/>
      <c r="G555" s="90"/>
      <c r="H555" s="76"/>
      <c r="I555" s="69"/>
      <c r="J555" s="68"/>
      <c r="K555" s="68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</row>
    <row r="556">
      <c r="A556" s="14"/>
      <c r="B556" s="90"/>
      <c r="C556" s="90"/>
      <c r="D556" s="69"/>
      <c r="E556" s="69"/>
      <c r="F556" s="90"/>
      <c r="G556" s="90"/>
      <c r="H556" s="76"/>
      <c r="I556" s="69"/>
      <c r="J556" s="68"/>
      <c r="K556" s="68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</row>
    <row r="557">
      <c r="A557" s="14"/>
      <c r="B557" s="90"/>
      <c r="C557" s="90"/>
      <c r="D557" s="69"/>
      <c r="E557" s="69"/>
      <c r="F557" s="90"/>
      <c r="G557" s="90"/>
      <c r="H557" s="76"/>
      <c r="I557" s="69"/>
      <c r="J557" s="68"/>
      <c r="K557" s="68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</row>
    <row r="558">
      <c r="A558" s="14"/>
      <c r="B558" s="90"/>
      <c r="C558" s="90"/>
      <c r="D558" s="69"/>
      <c r="E558" s="69"/>
      <c r="F558" s="90"/>
      <c r="G558" s="90"/>
      <c r="H558" s="76"/>
      <c r="I558" s="69"/>
      <c r="J558" s="68"/>
      <c r="K558" s="68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</row>
    <row r="559">
      <c r="A559" s="14"/>
      <c r="B559" s="90"/>
      <c r="C559" s="90"/>
      <c r="D559" s="69"/>
      <c r="E559" s="69"/>
      <c r="F559" s="90"/>
      <c r="G559" s="90"/>
      <c r="H559" s="76"/>
      <c r="I559" s="69"/>
      <c r="J559" s="68"/>
      <c r="K559" s="68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</row>
    <row r="560">
      <c r="A560" s="14"/>
      <c r="B560" s="90"/>
      <c r="C560" s="90"/>
      <c r="D560" s="69"/>
      <c r="E560" s="69"/>
      <c r="F560" s="90"/>
      <c r="G560" s="90"/>
      <c r="H560" s="76"/>
      <c r="I560" s="69"/>
      <c r="J560" s="68"/>
      <c r="K560" s="68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</row>
    <row r="561">
      <c r="A561" s="14"/>
      <c r="B561" s="90"/>
      <c r="C561" s="90"/>
      <c r="D561" s="69"/>
      <c r="E561" s="69"/>
      <c r="F561" s="90"/>
      <c r="G561" s="90"/>
      <c r="H561" s="76"/>
      <c r="I561" s="69"/>
      <c r="J561" s="68"/>
      <c r="K561" s="68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</row>
    <row r="562">
      <c r="A562" s="14"/>
      <c r="B562" s="90"/>
      <c r="C562" s="90"/>
      <c r="D562" s="69"/>
      <c r="E562" s="69"/>
      <c r="F562" s="90"/>
      <c r="G562" s="90"/>
      <c r="H562" s="76"/>
      <c r="I562" s="69"/>
      <c r="J562" s="68"/>
      <c r="K562" s="68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</row>
    <row r="563">
      <c r="A563" s="14"/>
      <c r="B563" s="90"/>
      <c r="C563" s="90"/>
      <c r="D563" s="69"/>
      <c r="E563" s="69"/>
      <c r="F563" s="90"/>
      <c r="G563" s="90"/>
      <c r="H563" s="76"/>
      <c r="I563" s="69"/>
      <c r="J563" s="68"/>
      <c r="K563" s="68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</row>
    <row r="564">
      <c r="A564" s="14"/>
      <c r="B564" s="90"/>
      <c r="C564" s="90"/>
      <c r="D564" s="69"/>
      <c r="E564" s="69"/>
      <c r="F564" s="90"/>
      <c r="G564" s="90"/>
      <c r="H564" s="76"/>
      <c r="I564" s="69"/>
      <c r="J564" s="68"/>
      <c r="K564" s="68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</row>
    <row r="565">
      <c r="A565" s="14"/>
      <c r="B565" s="90"/>
      <c r="C565" s="90"/>
      <c r="D565" s="69"/>
      <c r="E565" s="69"/>
      <c r="F565" s="90"/>
      <c r="G565" s="90"/>
      <c r="H565" s="76"/>
      <c r="I565" s="69"/>
      <c r="J565" s="68"/>
      <c r="K565" s="68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</row>
    <row r="566">
      <c r="A566" s="14"/>
      <c r="B566" s="90"/>
      <c r="C566" s="90"/>
      <c r="D566" s="69"/>
      <c r="E566" s="69"/>
      <c r="F566" s="90"/>
      <c r="G566" s="90"/>
      <c r="H566" s="76"/>
      <c r="I566" s="69"/>
      <c r="J566" s="68"/>
      <c r="K566" s="68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</row>
    <row r="567">
      <c r="A567" s="14"/>
      <c r="B567" s="90"/>
      <c r="C567" s="90"/>
      <c r="D567" s="69"/>
      <c r="E567" s="69"/>
      <c r="F567" s="90"/>
      <c r="G567" s="90"/>
      <c r="H567" s="76"/>
      <c r="I567" s="69"/>
      <c r="J567" s="68"/>
      <c r="K567" s="68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</row>
    <row r="568">
      <c r="A568" s="14"/>
      <c r="B568" s="90"/>
      <c r="C568" s="90"/>
      <c r="D568" s="69"/>
      <c r="E568" s="69"/>
      <c r="F568" s="90"/>
      <c r="G568" s="90"/>
      <c r="H568" s="76"/>
      <c r="I568" s="69"/>
      <c r="J568" s="68"/>
      <c r="K568" s="68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</row>
    <row r="569">
      <c r="A569" s="14"/>
      <c r="B569" s="90"/>
      <c r="C569" s="90"/>
      <c r="D569" s="69"/>
      <c r="E569" s="69"/>
      <c r="F569" s="90"/>
      <c r="G569" s="90"/>
      <c r="H569" s="76"/>
      <c r="I569" s="69"/>
      <c r="J569" s="68"/>
      <c r="K569" s="68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</row>
    <row r="570">
      <c r="A570" s="14"/>
      <c r="B570" s="90"/>
      <c r="C570" s="90"/>
      <c r="D570" s="69"/>
      <c r="E570" s="69"/>
      <c r="F570" s="90"/>
      <c r="G570" s="90"/>
      <c r="H570" s="76"/>
      <c r="I570" s="69"/>
      <c r="J570" s="68"/>
      <c r="K570" s="68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</row>
    <row r="571">
      <c r="A571" s="14"/>
      <c r="B571" s="90"/>
      <c r="C571" s="90"/>
      <c r="D571" s="69"/>
      <c r="E571" s="69"/>
      <c r="F571" s="90"/>
      <c r="G571" s="90"/>
      <c r="H571" s="76"/>
      <c r="I571" s="69"/>
      <c r="J571" s="68"/>
      <c r="K571" s="68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</row>
    <row r="572">
      <c r="A572" s="14"/>
      <c r="B572" s="90"/>
      <c r="C572" s="90"/>
      <c r="D572" s="69"/>
      <c r="E572" s="69"/>
      <c r="F572" s="90"/>
      <c r="G572" s="90"/>
      <c r="H572" s="76"/>
      <c r="I572" s="69"/>
      <c r="J572" s="68"/>
      <c r="K572" s="68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</row>
    <row r="573">
      <c r="A573" s="14"/>
      <c r="B573" s="90"/>
      <c r="C573" s="90"/>
      <c r="D573" s="69"/>
      <c r="E573" s="69"/>
      <c r="F573" s="90"/>
      <c r="G573" s="90"/>
      <c r="H573" s="76"/>
      <c r="I573" s="69"/>
      <c r="J573" s="68"/>
      <c r="K573" s="68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</row>
    <row r="574">
      <c r="A574" s="14"/>
      <c r="B574" s="90"/>
      <c r="C574" s="90"/>
      <c r="D574" s="69"/>
      <c r="E574" s="69"/>
      <c r="F574" s="90"/>
      <c r="G574" s="90"/>
      <c r="H574" s="76"/>
      <c r="I574" s="69"/>
      <c r="J574" s="68"/>
      <c r="K574" s="68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</row>
    <row r="575">
      <c r="A575" s="14"/>
      <c r="B575" s="90"/>
      <c r="C575" s="90"/>
      <c r="D575" s="69"/>
      <c r="E575" s="69"/>
      <c r="F575" s="90"/>
      <c r="G575" s="90"/>
      <c r="H575" s="76"/>
      <c r="I575" s="69"/>
      <c r="J575" s="68"/>
      <c r="K575" s="68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</row>
    <row r="576">
      <c r="A576" s="14"/>
      <c r="B576" s="90"/>
      <c r="C576" s="90"/>
      <c r="D576" s="69"/>
      <c r="E576" s="69"/>
      <c r="F576" s="90"/>
      <c r="G576" s="90"/>
      <c r="H576" s="76"/>
      <c r="I576" s="69"/>
      <c r="J576" s="68"/>
      <c r="K576" s="68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</row>
    <row r="577">
      <c r="A577" s="14"/>
      <c r="B577" s="90"/>
      <c r="C577" s="90"/>
      <c r="D577" s="69"/>
      <c r="E577" s="69"/>
      <c r="F577" s="90"/>
      <c r="G577" s="90"/>
      <c r="H577" s="76"/>
      <c r="I577" s="69"/>
      <c r="J577" s="68"/>
      <c r="K577" s="68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</row>
    <row r="578">
      <c r="A578" s="14"/>
      <c r="B578" s="90"/>
      <c r="C578" s="90"/>
      <c r="D578" s="69"/>
      <c r="E578" s="69"/>
      <c r="F578" s="90"/>
      <c r="G578" s="90"/>
      <c r="H578" s="76"/>
      <c r="I578" s="69"/>
      <c r="J578" s="68"/>
      <c r="K578" s="68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</row>
    <row r="579">
      <c r="A579" s="14"/>
      <c r="B579" s="90"/>
      <c r="C579" s="90"/>
      <c r="D579" s="69"/>
      <c r="E579" s="69"/>
      <c r="F579" s="90"/>
      <c r="G579" s="90"/>
      <c r="H579" s="76"/>
      <c r="I579" s="69"/>
      <c r="J579" s="68"/>
      <c r="K579" s="68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</row>
    <row r="580">
      <c r="A580" s="14"/>
      <c r="B580" s="90"/>
      <c r="C580" s="90"/>
      <c r="D580" s="69"/>
      <c r="E580" s="69"/>
      <c r="F580" s="90"/>
      <c r="G580" s="90"/>
      <c r="H580" s="76"/>
      <c r="I580" s="69"/>
      <c r="J580" s="68"/>
      <c r="K580" s="68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</row>
    <row r="581">
      <c r="A581" s="14"/>
      <c r="B581" s="90"/>
      <c r="C581" s="90"/>
      <c r="D581" s="69"/>
      <c r="E581" s="69"/>
      <c r="F581" s="90"/>
      <c r="G581" s="90"/>
      <c r="H581" s="76"/>
      <c r="I581" s="69"/>
      <c r="J581" s="68"/>
      <c r="K581" s="68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</row>
    <row r="582">
      <c r="A582" s="14"/>
      <c r="B582" s="90"/>
      <c r="C582" s="90"/>
      <c r="D582" s="69"/>
      <c r="E582" s="69"/>
      <c r="F582" s="90"/>
      <c r="G582" s="90"/>
      <c r="H582" s="76"/>
      <c r="I582" s="69"/>
      <c r="J582" s="68"/>
      <c r="K582" s="68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</row>
    <row r="583">
      <c r="A583" s="14"/>
      <c r="B583" s="90"/>
      <c r="C583" s="90"/>
      <c r="D583" s="69"/>
      <c r="E583" s="69"/>
      <c r="F583" s="90"/>
      <c r="G583" s="90"/>
      <c r="H583" s="76"/>
      <c r="I583" s="69"/>
      <c r="J583" s="68"/>
      <c r="K583" s="68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</row>
    <row r="584">
      <c r="A584" s="14"/>
      <c r="B584" s="90"/>
      <c r="C584" s="90"/>
      <c r="D584" s="69"/>
      <c r="E584" s="69"/>
      <c r="F584" s="90"/>
      <c r="G584" s="90"/>
      <c r="H584" s="76"/>
      <c r="I584" s="69"/>
      <c r="J584" s="68"/>
      <c r="K584" s="68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</row>
    <row r="585">
      <c r="A585" s="14"/>
      <c r="B585" s="90"/>
      <c r="C585" s="90"/>
      <c r="D585" s="69"/>
      <c r="E585" s="69"/>
      <c r="F585" s="90"/>
      <c r="G585" s="90"/>
      <c r="H585" s="76"/>
      <c r="I585" s="69"/>
      <c r="J585" s="68"/>
      <c r="K585" s="68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</row>
    <row r="586">
      <c r="A586" s="14"/>
      <c r="B586" s="90"/>
      <c r="C586" s="90"/>
      <c r="D586" s="69"/>
      <c r="E586" s="69"/>
      <c r="F586" s="90"/>
      <c r="G586" s="90"/>
      <c r="H586" s="76"/>
      <c r="I586" s="69"/>
      <c r="J586" s="68"/>
      <c r="K586" s="68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</row>
    <row r="587">
      <c r="A587" s="14"/>
      <c r="B587" s="90"/>
      <c r="C587" s="90"/>
      <c r="D587" s="69"/>
      <c r="E587" s="69"/>
      <c r="F587" s="90"/>
      <c r="G587" s="90"/>
      <c r="H587" s="76"/>
      <c r="I587" s="69"/>
      <c r="J587" s="68"/>
      <c r="K587" s="68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</row>
    <row r="588">
      <c r="A588" s="14"/>
      <c r="B588" s="90"/>
      <c r="C588" s="90"/>
      <c r="D588" s="69"/>
      <c r="E588" s="69"/>
      <c r="F588" s="90"/>
      <c r="G588" s="90"/>
      <c r="H588" s="76"/>
      <c r="I588" s="69"/>
      <c r="J588" s="68"/>
      <c r="K588" s="68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</row>
    <row r="589">
      <c r="A589" s="14"/>
      <c r="B589" s="90"/>
      <c r="C589" s="90"/>
      <c r="D589" s="69"/>
      <c r="E589" s="69"/>
      <c r="F589" s="90"/>
      <c r="G589" s="90"/>
      <c r="H589" s="76"/>
      <c r="I589" s="69"/>
      <c r="J589" s="68"/>
      <c r="K589" s="68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</row>
    <row r="590">
      <c r="A590" s="14"/>
      <c r="B590" s="90"/>
      <c r="C590" s="90"/>
      <c r="D590" s="69"/>
      <c r="E590" s="69"/>
      <c r="F590" s="90"/>
      <c r="G590" s="90"/>
      <c r="H590" s="76"/>
      <c r="I590" s="69"/>
      <c r="J590" s="68"/>
      <c r="K590" s="68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</row>
    <row r="591">
      <c r="A591" s="14"/>
      <c r="B591" s="90"/>
      <c r="C591" s="90"/>
      <c r="D591" s="69"/>
      <c r="E591" s="69"/>
      <c r="F591" s="90"/>
      <c r="G591" s="90"/>
      <c r="H591" s="76"/>
      <c r="I591" s="69"/>
      <c r="J591" s="68"/>
      <c r="K591" s="68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</row>
    <row r="592">
      <c r="A592" s="14"/>
      <c r="B592" s="90"/>
      <c r="C592" s="90"/>
      <c r="D592" s="69"/>
      <c r="E592" s="69"/>
      <c r="F592" s="90"/>
      <c r="G592" s="90"/>
      <c r="H592" s="76"/>
      <c r="I592" s="69"/>
      <c r="J592" s="68"/>
      <c r="K592" s="68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</row>
    <row r="593">
      <c r="A593" s="14"/>
      <c r="B593" s="90"/>
      <c r="C593" s="90"/>
      <c r="D593" s="69"/>
      <c r="E593" s="69"/>
      <c r="F593" s="90"/>
      <c r="G593" s="90"/>
      <c r="H593" s="76"/>
      <c r="I593" s="69"/>
      <c r="J593" s="68"/>
      <c r="K593" s="68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</row>
    <row r="594">
      <c r="A594" s="14"/>
      <c r="B594" s="90"/>
      <c r="C594" s="90"/>
      <c r="D594" s="69"/>
      <c r="E594" s="69"/>
      <c r="F594" s="90"/>
      <c r="G594" s="90"/>
      <c r="H594" s="76"/>
      <c r="I594" s="69"/>
      <c r="J594" s="68"/>
      <c r="K594" s="68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</row>
    <row r="595">
      <c r="A595" s="14"/>
      <c r="B595" s="90"/>
      <c r="C595" s="90"/>
      <c r="D595" s="69"/>
      <c r="E595" s="69"/>
      <c r="F595" s="90"/>
      <c r="G595" s="90"/>
      <c r="H595" s="76"/>
      <c r="I595" s="69"/>
      <c r="J595" s="68"/>
      <c r="K595" s="68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</row>
    <row r="596">
      <c r="A596" s="14"/>
      <c r="B596" s="90"/>
      <c r="C596" s="90"/>
      <c r="D596" s="69"/>
      <c r="E596" s="69"/>
      <c r="F596" s="90"/>
      <c r="G596" s="90"/>
      <c r="H596" s="76"/>
      <c r="I596" s="69"/>
      <c r="J596" s="68"/>
      <c r="K596" s="68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</row>
    <row r="597">
      <c r="A597" s="14"/>
      <c r="B597" s="90"/>
      <c r="C597" s="90"/>
      <c r="D597" s="69"/>
      <c r="E597" s="69"/>
      <c r="F597" s="90"/>
      <c r="G597" s="90"/>
      <c r="H597" s="76"/>
      <c r="I597" s="69"/>
      <c r="J597" s="68"/>
      <c r="K597" s="68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</row>
    <row r="598">
      <c r="A598" s="14"/>
      <c r="B598" s="90"/>
      <c r="C598" s="90"/>
      <c r="D598" s="69"/>
      <c r="E598" s="69"/>
      <c r="F598" s="90"/>
      <c r="G598" s="90"/>
      <c r="H598" s="76"/>
      <c r="I598" s="69"/>
      <c r="J598" s="68"/>
      <c r="K598" s="68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</row>
    <row r="599">
      <c r="A599" s="14"/>
      <c r="B599" s="90"/>
      <c r="C599" s="90"/>
      <c r="D599" s="69"/>
      <c r="E599" s="69"/>
      <c r="F599" s="90"/>
      <c r="G599" s="90"/>
      <c r="H599" s="76"/>
      <c r="I599" s="69"/>
      <c r="J599" s="68"/>
      <c r="K599" s="68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</row>
    <row r="600">
      <c r="A600" s="14"/>
      <c r="B600" s="90"/>
      <c r="C600" s="90"/>
      <c r="D600" s="69"/>
      <c r="E600" s="69"/>
      <c r="F600" s="90"/>
      <c r="G600" s="90"/>
      <c r="H600" s="76"/>
      <c r="I600" s="69"/>
      <c r="J600" s="68"/>
      <c r="K600" s="68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</row>
    <row r="601">
      <c r="A601" s="14"/>
      <c r="B601" s="90"/>
      <c r="C601" s="90"/>
      <c r="D601" s="69"/>
      <c r="E601" s="69"/>
      <c r="F601" s="90"/>
      <c r="G601" s="90"/>
      <c r="H601" s="76"/>
      <c r="I601" s="69"/>
      <c r="J601" s="68"/>
      <c r="K601" s="68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</row>
    <row r="602">
      <c r="A602" s="14"/>
      <c r="B602" s="90"/>
      <c r="C602" s="90"/>
      <c r="D602" s="69"/>
      <c r="E602" s="69"/>
      <c r="F602" s="90"/>
      <c r="G602" s="90"/>
      <c r="H602" s="76"/>
      <c r="I602" s="69"/>
      <c r="J602" s="68"/>
      <c r="K602" s="68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</row>
    <row r="603">
      <c r="A603" s="14"/>
      <c r="B603" s="90"/>
      <c r="C603" s="90"/>
      <c r="D603" s="69"/>
      <c r="E603" s="69"/>
      <c r="F603" s="90"/>
      <c r="G603" s="90"/>
      <c r="H603" s="76"/>
      <c r="I603" s="69"/>
      <c r="J603" s="68"/>
      <c r="K603" s="68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</row>
    <row r="604">
      <c r="A604" s="14"/>
      <c r="B604" s="90"/>
      <c r="C604" s="90"/>
      <c r="D604" s="69"/>
      <c r="E604" s="69"/>
      <c r="F604" s="90"/>
      <c r="G604" s="90"/>
      <c r="H604" s="76"/>
      <c r="I604" s="69"/>
      <c r="J604" s="68"/>
      <c r="K604" s="68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</row>
    <row r="605">
      <c r="A605" s="14"/>
      <c r="B605" s="90"/>
      <c r="C605" s="90"/>
      <c r="D605" s="69"/>
      <c r="E605" s="69"/>
      <c r="F605" s="90"/>
      <c r="G605" s="90"/>
      <c r="H605" s="76"/>
      <c r="I605" s="69"/>
      <c r="J605" s="68"/>
      <c r="K605" s="68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</row>
    <row r="606">
      <c r="A606" s="14"/>
      <c r="B606" s="90"/>
      <c r="C606" s="90"/>
      <c r="D606" s="69"/>
      <c r="E606" s="69"/>
      <c r="F606" s="90"/>
      <c r="G606" s="90"/>
      <c r="H606" s="76"/>
      <c r="I606" s="69"/>
      <c r="J606" s="68"/>
      <c r="K606" s="68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</row>
    <row r="607">
      <c r="A607" s="14"/>
      <c r="B607" s="90"/>
      <c r="C607" s="90"/>
      <c r="D607" s="69"/>
      <c r="E607" s="69"/>
      <c r="F607" s="90"/>
      <c r="G607" s="90"/>
      <c r="H607" s="76"/>
      <c r="I607" s="69"/>
      <c r="J607" s="68"/>
      <c r="K607" s="68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</row>
    <row r="608">
      <c r="A608" s="14"/>
      <c r="B608" s="90"/>
      <c r="C608" s="90"/>
      <c r="D608" s="69"/>
      <c r="E608" s="69"/>
      <c r="F608" s="90"/>
      <c r="G608" s="90"/>
      <c r="H608" s="76"/>
      <c r="I608" s="69"/>
      <c r="J608" s="68"/>
      <c r="K608" s="68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</row>
    <row r="609">
      <c r="A609" s="14"/>
      <c r="B609" s="90"/>
      <c r="C609" s="90"/>
      <c r="D609" s="69"/>
      <c r="E609" s="69"/>
      <c r="F609" s="90"/>
      <c r="G609" s="90"/>
      <c r="H609" s="76"/>
      <c r="I609" s="69"/>
      <c r="J609" s="68"/>
      <c r="K609" s="68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</row>
    <row r="610">
      <c r="A610" s="14"/>
      <c r="B610" s="90"/>
      <c r="C610" s="90"/>
      <c r="D610" s="69"/>
      <c r="E610" s="69"/>
      <c r="F610" s="90"/>
      <c r="G610" s="90"/>
      <c r="H610" s="76"/>
      <c r="I610" s="69"/>
      <c r="J610" s="68"/>
      <c r="K610" s="68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</row>
    <row r="611">
      <c r="A611" s="14"/>
      <c r="B611" s="90"/>
      <c r="C611" s="90"/>
      <c r="D611" s="69"/>
      <c r="E611" s="69"/>
      <c r="F611" s="90"/>
      <c r="G611" s="90"/>
      <c r="H611" s="76"/>
      <c r="I611" s="69"/>
      <c r="J611" s="68"/>
      <c r="K611" s="68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</row>
    <row r="612">
      <c r="A612" s="14"/>
      <c r="B612" s="90"/>
      <c r="C612" s="90"/>
      <c r="D612" s="69"/>
      <c r="E612" s="69"/>
      <c r="F612" s="90"/>
      <c r="G612" s="90"/>
      <c r="H612" s="76"/>
      <c r="I612" s="69"/>
      <c r="J612" s="68"/>
      <c r="K612" s="68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</row>
    <row r="613">
      <c r="A613" s="14"/>
      <c r="B613" s="90"/>
      <c r="C613" s="90"/>
      <c r="D613" s="69"/>
      <c r="E613" s="69"/>
      <c r="F613" s="90"/>
      <c r="G613" s="90"/>
      <c r="H613" s="76"/>
      <c r="I613" s="69"/>
      <c r="J613" s="68"/>
      <c r="K613" s="68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</row>
    <row r="614">
      <c r="A614" s="14"/>
      <c r="B614" s="90"/>
      <c r="C614" s="90"/>
      <c r="D614" s="69"/>
      <c r="E614" s="69"/>
      <c r="F614" s="90"/>
      <c r="G614" s="90"/>
      <c r="H614" s="76"/>
      <c r="I614" s="69"/>
      <c r="J614" s="68"/>
      <c r="K614" s="68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</row>
    <row r="615">
      <c r="A615" s="14"/>
      <c r="B615" s="90"/>
      <c r="C615" s="90"/>
      <c r="D615" s="69"/>
      <c r="E615" s="69"/>
      <c r="F615" s="90"/>
      <c r="G615" s="90"/>
      <c r="H615" s="76"/>
      <c r="I615" s="69"/>
      <c r="J615" s="68"/>
      <c r="K615" s="68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</row>
    <row r="616">
      <c r="A616" s="14"/>
      <c r="B616" s="90"/>
      <c r="C616" s="90"/>
      <c r="D616" s="69"/>
      <c r="E616" s="69"/>
      <c r="F616" s="90"/>
      <c r="G616" s="90"/>
      <c r="H616" s="76"/>
      <c r="I616" s="69"/>
      <c r="J616" s="68"/>
      <c r="K616" s="68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</row>
    <row r="617">
      <c r="A617" s="14"/>
      <c r="B617" s="90"/>
      <c r="C617" s="90"/>
      <c r="D617" s="69"/>
      <c r="E617" s="69"/>
      <c r="F617" s="90"/>
      <c r="G617" s="90"/>
      <c r="H617" s="76"/>
      <c r="I617" s="69"/>
      <c r="J617" s="68"/>
      <c r="K617" s="68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</row>
    <row r="618">
      <c r="A618" s="14"/>
      <c r="B618" s="90"/>
      <c r="C618" s="90"/>
      <c r="D618" s="69"/>
      <c r="E618" s="69"/>
      <c r="F618" s="90"/>
      <c r="G618" s="90"/>
      <c r="H618" s="76"/>
      <c r="I618" s="69"/>
      <c r="J618" s="68"/>
      <c r="K618" s="68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</row>
    <row r="619">
      <c r="A619" s="14"/>
      <c r="B619" s="90"/>
      <c r="C619" s="90"/>
      <c r="D619" s="69"/>
      <c r="E619" s="69"/>
      <c r="F619" s="90"/>
      <c r="G619" s="90"/>
      <c r="H619" s="76"/>
      <c r="I619" s="69"/>
      <c r="J619" s="68"/>
      <c r="K619" s="68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</row>
    <row r="620">
      <c r="A620" s="14"/>
      <c r="B620" s="90"/>
      <c r="C620" s="90"/>
      <c r="D620" s="69"/>
      <c r="E620" s="69"/>
      <c r="F620" s="90"/>
      <c r="G620" s="90"/>
      <c r="H620" s="76"/>
      <c r="I620" s="69"/>
      <c r="J620" s="68"/>
      <c r="K620" s="68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</row>
    <row r="621">
      <c r="A621" s="14"/>
      <c r="B621" s="90"/>
      <c r="C621" s="90"/>
      <c r="D621" s="69"/>
      <c r="E621" s="69"/>
      <c r="F621" s="90"/>
      <c r="G621" s="90"/>
      <c r="H621" s="76"/>
      <c r="I621" s="69"/>
      <c r="J621" s="68"/>
      <c r="K621" s="68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</row>
    <row r="622">
      <c r="A622" s="14"/>
      <c r="B622" s="90"/>
      <c r="C622" s="90"/>
      <c r="D622" s="69"/>
      <c r="E622" s="69"/>
      <c r="F622" s="90"/>
      <c r="G622" s="90"/>
      <c r="H622" s="76"/>
      <c r="I622" s="69"/>
      <c r="J622" s="68"/>
      <c r="K622" s="68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</row>
    <row r="623">
      <c r="A623" s="14"/>
      <c r="B623" s="90"/>
      <c r="C623" s="90"/>
      <c r="D623" s="69"/>
      <c r="E623" s="69"/>
      <c r="F623" s="90"/>
      <c r="G623" s="90"/>
      <c r="H623" s="76"/>
      <c r="I623" s="69"/>
      <c r="J623" s="68"/>
      <c r="K623" s="68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</row>
    <row r="624">
      <c r="A624" s="14"/>
      <c r="B624" s="90"/>
      <c r="C624" s="90"/>
      <c r="D624" s="69"/>
      <c r="E624" s="69"/>
      <c r="F624" s="90"/>
      <c r="G624" s="90"/>
      <c r="H624" s="76"/>
      <c r="I624" s="69"/>
      <c r="J624" s="68"/>
      <c r="K624" s="68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</row>
    <row r="625">
      <c r="A625" s="14"/>
      <c r="B625" s="90"/>
      <c r="C625" s="90"/>
      <c r="D625" s="69"/>
      <c r="E625" s="69"/>
      <c r="F625" s="90"/>
      <c r="G625" s="90"/>
      <c r="H625" s="76"/>
      <c r="I625" s="69"/>
      <c r="J625" s="68"/>
      <c r="K625" s="68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</row>
    <row r="626">
      <c r="A626" s="14"/>
      <c r="B626" s="90"/>
      <c r="C626" s="90"/>
      <c r="D626" s="69"/>
      <c r="E626" s="69"/>
      <c r="F626" s="90"/>
      <c r="G626" s="90"/>
      <c r="H626" s="76"/>
      <c r="I626" s="69"/>
      <c r="J626" s="68"/>
      <c r="K626" s="68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</row>
    <row r="627">
      <c r="A627" s="14"/>
      <c r="B627" s="90"/>
      <c r="C627" s="90"/>
      <c r="D627" s="69"/>
      <c r="E627" s="69"/>
      <c r="F627" s="90"/>
      <c r="G627" s="90"/>
      <c r="H627" s="76"/>
      <c r="I627" s="69"/>
      <c r="J627" s="68"/>
      <c r="K627" s="68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</row>
    <row r="628">
      <c r="A628" s="14"/>
      <c r="B628" s="90"/>
      <c r="C628" s="90"/>
      <c r="D628" s="69"/>
      <c r="E628" s="69"/>
      <c r="F628" s="90"/>
      <c r="G628" s="90"/>
      <c r="H628" s="76"/>
      <c r="I628" s="69"/>
      <c r="J628" s="68"/>
      <c r="K628" s="68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</row>
    <row r="629">
      <c r="A629" s="14"/>
      <c r="B629" s="90"/>
      <c r="C629" s="90"/>
      <c r="D629" s="69"/>
      <c r="E629" s="69"/>
      <c r="F629" s="90"/>
      <c r="G629" s="90"/>
      <c r="H629" s="76"/>
      <c r="I629" s="69"/>
      <c r="J629" s="68"/>
      <c r="K629" s="68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</row>
    <row r="630">
      <c r="A630" s="14"/>
      <c r="B630" s="90"/>
      <c r="C630" s="90"/>
      <c r="D630" s="69"/>
      <c r="E630" s="69"/>
      <c r="F630" s="90"/>
      <c r="G630" s="90"/>
      <c r="H630" s="76"/>
      <c r="I630" s="69"/>
      <c r="J630" s="68"/>
      <c r="K630" s="68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</row>
    <row r="631">
      <c r="A631" s="14"/>
      <c r="B631" s="90"/>
      <c r="C631" s="90"/>
      <c r="D631" s="69"/>
      <c r="E631" s="69"/>
      <c r="F631" s="90"/>
      <c r="G631" s="90"/>
      <c r="H631" s="76"/>
      <c r="I631" s="69"/>
      <c r="J631" s="68"/>
      <c r="K631" s="68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</row>
    <row r="632">
      <c r="A632" s="14"/>
      <c r="B632" s="90"/>
      <c r="C632" s="90"/>
      <c r="D632" s="69"/>
      <c r="E632" s="69"/>
      <c r="F632" s="90"/>
      <c r="G632" s="90"/>
      <c r="H632" s="76"/>
      <c r="I632" s="69"/>
      <c r="J632" s="68"/>
      <c r="K632" s="68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</row>
    <row r="633">
      <c r="A633" s="14"/>
      <c r="B633" s="90"/>
      <c r="C633" s="90"/>
      <c r="D633" s="69"/>
      <c r="E633" s="69"/>
      <c r="F633" s="90"/>
      <c r="G633" s="90"/>
      <c r="H633" s="76"/>
      <c r="I633" s="69"/>
      <c r="J633" s="68"/>
      <c r="K633" s="68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</row>
    <row r="634">
      <c r="A634" s="14"/>
      <c r="B634" s="90"/>
      <c r="C634" s="90"/>
      <c r="D634" s="69"/>
      <c r="E634" s="69"/>
      <c r="F634" s="90"/>
      <c r="G634" s="90"/>
      <c r="H634" s="76"/>
      <c r="I634" s="69"/>
      <c r="J634" s="68"/>
      <c r="K634" s="68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</row>
    <row r="635">
      <c r="A635" s="14"/>
      <c r="B635" s="90"/>
      <c r="C635" s="90"/>
      <c r="D635" s="69"/>
      <c r="E635" s="69"/>
      <c r="F635" s="90"/>
      <c r="G635" s="90"/>
      <c r="H635" s="76"/>
      <c r="I635" s="69"/>
      <c r="J635" s="68"/>
      <c r="K635" s="68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</row>
    <row r="636">
      <c r="A636" s="14"/>
      <c r="B636" s="90"/>
      <c r="C636" s="90"/>
      <c r="D636" s="69"/>
      <c r="E636" s="69"/>
      <c r="F636" s="90"/>
      <c r="G636" s="90"/>
      <c r="H636" s="76"/>
      <c r="I636" s="69"/>
      <c r="J636" s="68"/>
      <c r="K636" s="68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</row>
    <row r="637">
      <c r="A637" s="14"/>
      <c r="B637" s="90"/>
      <c r="C637" s="90"/>
      <c r="D637" s="69"/>
      <c r="E637" s="69"/>
      <c r="F637" s="90"/>
      <c r="G637" s="90"/>
      <c r="H637" s="76"/>
      <c r="I637" s="69"/>
      <c r="J637" s="68"/>
      <c r="K637" s="68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</row>
    <row r="638">
      <c r="A638" s="14"/>
      <c r="B638" s="90"/>
      <c r="C638" s="90"/>
      <c r="D638" s="69"/>
      <c r="E638" s="69"/>
      <c r="F638" s="90"/>
      <c r="G638" s="90"/>
      <c r="H638" s="76"/>
      <c r="I638" s="69"/>
      <c r="J638" s="68"/>
      <c r="K638" s="68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</row>
    <row r="639">
      <c r="A639" s="14"/>
      <c r="B639" s="90"/>
      <c r="C639" s="90"/>
      <c r="D639" s="69"/>
      <c r="E639" s="69"/>
      <c r="F639" s="90"/>
      <c r="G639" s="90"/>
      <c r="H639" s="76"/>
      <c r="I639" s="69"/>
      <c r="J639" s="68"/>
      <c r="K639" s="68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</row>
    <row r="640">
      <c r="A640" s="14"/>
      <c r="B640" s="90"/>
      <c r="C640" s="90"/>
      <c r="D640" s="69"/>
      <c r="E640" s="69"/>
      <c r="F640" s="90"/>
      <c r="G640" s="90"/>
      <c r="H640" s="76"/>
      <c r="I640" s="69"/>
      <c r="J640" s="68"/>
      <c r="K640" s="68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</row>
    <row r="641">
      <c r="A641" s="14"/>
      <c r="B641" s="90"/>
      <c r="C641" s="90"/>
      <c r="D641" s="69"/>
      <c r="E641" s="69"/>
      <c r="F641" s="90"/>
      <c r="G641" s="90"/>
      <c r="H641" s="76"/>
      <c r="I641" s="69"/>
      <c r="J641" s="68"/>
      <c r="K641" s="68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</row>
    <row r="642">
      <c r="A642" s="14"/>
      <c r="B642" s="90"/>
      <c r="C642" s="90"/>
      <c r="D642" s="69"/>
      <c r="E642" s="69"/>
      <c r="F642" s="90"/>
      <c r="G642" s="90"/>
      <c r="H642" s="76"/>
      <c r="I642" s="69"/>
      <c r="J642" s="68"/>
      <c r="K642" s="68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</row>
    <row r="643">
      <c r="A643" s="14"/>
      <c r="B643" s="90"/>
      <c r="C643" s="90"/>
      <c r="D643" s="69"/>
      <c r="E643" s="69"/>
      <c r="F643" s="90"/>
      <c r="G643" s="90"/>
      <c r="H643" s="76"/>
      <c r="I643" s="69"/>
      <c r="J643" s="68"/>
      <c r="K643" s="68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</row>
    <row r="644">
      <c r="A644" s="14"/>
      <c r="B644" s="90"/>
      <c r="C644" s="90"/>
      <c r="D644" s="69"/>
      <c r="E644" s="69"/>
      <c r="F644" s="90"/>
      <c r="G644" s="90"/>
      <c r="H644" s="76"/>
      <c r="I644" s="69"/>
      <c r="J644" s="68"/>
      <c r="K644" s="68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</row>
    <row r="645">
      <c r="A645" s="14"/>
      <c r="B645" s="90"/>
      <c r="C645" s="90"/>
      <c r="D645" s="69"/>
      <c r="E645" s="69"/>
      <c r="F645" s="90"/>
      <c r="G645" s="90"/>
      <c r="H645" s="76"/>
      <c r="I645" s="69"/>
      <c r="J645" s="68"/>
      <c r="K645" s="68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</row>
    <row r="646">
      <c r="A646" s="14"/>
      <c r="B646" s="90"/>
      <c r="C646" s="90"/>
      <c r="D646" s="69"/>
      <c r="E646" s="69"/>
      <c r="F646" s="90"/>
      <c r="G646" s="90"/>
      <c r="H646" s="76"/>
      <c r="I646" s="69"/>
      <c r="J646" s="68"/>
      <c r="K646" s="68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</row>
    <row r="647">
      <c r="A647" s="14"/>
      <c r="B647" s="90"/>
      <c r="C647" s="90"/>
      <c r="D647" s="69"/>
      <c r="E647" s="69"/>
      <c r="F647" s="90"/>
      <c r="G647" s="90"/>
      <c r="H647" s="76"/>
      <c r="I647" s="69"/>
      <c r="J647" s="68"/>
      <c r="K647" s="68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</row>
    <row r="648">
      <c r="A648" s="14"/>
      <c r="B648" s="90"/>
      <c r="C648" s="90"/>
      <c r="D648" s="69"/>
      <c r="E648" s="69"/>
      <c r="F648" s="90"/>
      <c r="G648" s="90"/>
      <c r="H648" s="76"/>
      <c r="I648" s="69"/>
      <c r="J648" s="68"/>
      <c r="K648" s="68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</row>
    <row r="649">
      <c r="A649" s="14"/>
      <c r="B649" s="90"/>
      <c r="C649" s="90"/>
      <c r="D649" s="69"/>
      <c r="E649" s="69"/>
      <c r="F649" s="90"/>
      <c r="G649" s="90"/>
      <c r="H649" s="76"/>
      <c r="I649" s="69"/>
      <c r="J649" s="68"/>
      <c r="K649" s="68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</row>
    <row r="650">
      <c r="A650" s="14"/>
      <c r="B650" s="90"/>
      <c r="C650" s="90"/>
      <c r="D650" s="69"/>
      <c r="E650" s="69"/>
      <c r="F650" s="90"/>
      <c r="G650" s="90"/>
      <c r="H650" s="76"/>
      <c r="I650" s="69"/>
      <c r="J650" s="68"/>
      <c r="K650" s="68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</row>
    <row r="651">
      <c r="A651" s="14"/>
      <c r="B651" s="90"/>
      <c r="C651" s="90"/>
      <c r="D651" s="69"/>
      <c r="E651" s="69"/>
      <c r="F651" s="90"/>
      <c r="G651" s="90"/>
      <c r="H651" s="76"/>
      <c r="I651" s="69"/>
      <c r="J651" s="68"/>
      <c r="K651" s="68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</row>
    <row r="652">
      <c r="A652" s="14"/>
      <c r="B652" s="90"/>
      <c r="C652" s="90"/>
      <c r="D652" s="69"/>
      <c r="E652" s="69"/>
      <c r="F652" s="90"/>
      <c r="G652" s="90"/>
      <c r="H652" s="76"/>
      <c r="I652" s="69"/>
      <c r="J652" s="68"/>
      <c r="K652" s="68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</row>
    <row r="653">
      <c r="A653" s="14"/>
      <c r="B653" s="90"/>
      <c r="C653" s="90"/>
      <c r="D653" s="69"/>
      <c r="E653" s="69"/>
      <c r="F653" s="90"/>
      <c r="G653" s="90"/>
      <c r="H653" s="76"/>
      <c r="I653" s="69"/>
      <c r="J653" s="68"/>
      <c r="K653" s="68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</row>
    <row r="654">
      <c r="A654" s="14"/>
      <c r="B654" s="90"/>
      <c r="C654" s="90"/>
      <c r="D654" s="69"/>
      <c r="E654" s="69"/>
      <c r="F654" s="90"/>
      <c r="G654" s="90"/>
      <c r="H654" s="76"/>
      <c r="I654" s="69"/>
      <c r="J654" s="68"/>
      <c r="K654" s="68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</row>
    <row r="655">
      <c r="A655" s="14"/>
      <c r="B655" s="90"/>
      <c r="C655" s="90"/>
      <c r="D655" s="69"/>
      <c r="E655" s="69"/>
      <c r="F655" s="90"/>
      <c r="G655" s="90"/>
      <c r="H655" s="76"/>
      <c r="I655" s="69"/>
      <c r="J655" s="68"/>
      <c r="K655" s="68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</row>
    <row r="656">
      <c r="A656" s="14"/>
      <c r="B656" s="90"/>
      <c r="C656" s="90"/>
      <c r="D656" s="69"/>
      <c r="E656" s="69"/>
      <c r="F656" s="90"/>
      <c r="G656" s="90"/>
      <c r="H656" s="76"/>
      <c r="I656" s="69"/>
      <c r="J656" s="68"/>
      <c r="K656" s="68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</row>
    <row r="657">
      <c r="A657" s="14"/>
      <c r="B657" s="90"/>
      <c r="C657" s="90"/>
      <c r="D657" s="69"/>
      <c r="E657" s="69"/>
      <c r="F657" s="90"/>
      <c r="G657" s="90"/>
      <c r="H657" s="76"/>
      <c r="I657" s="69"/>
      <c r="J657" s="68"/>
      <c r="K657" s="68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</row>
    <row r="658">
      <c r="A658" s="14"/>
      <c r="B658" s="90"/>
      <c r="C658" s="90"/>
      <c r="D658" s="69"/>
      <c r="E658" s="69"/>
      <c r="F658" s="90"/>
      <c r="G658" s="90"/>
      <c r="H658" s="76"/>
      <c r="I658" s="69"/>
      <c r="J658" s="68"/>
      <c r="K658" s="68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</row>
    <row r="659">
      <c r="A659" s="14"/>
      <c r="B659" s="90"/>
      <c r="C659" s="90"/>
      <c r="D659" s="69"/>
      <c r="E659" s="69"/>
      <c r="F659" s="90"/>
      <c r="G659" s="90"/>
      <c r="H659" s="76"/>
      <c r="I659" s="69"/>
      <c r="J659" s="68"/>
      <c r="K659" s="68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</row>
    <row r="660">
      <c r="A660" s="14"/>
      <c r="B660" s="90"/>
      <c r="C660" s="90"/>
      <c r="D660" s="69"/>
      <c r="E660" s="69"/>
      <c r="F660" s="90"/>
      <c r="G660" s="90"/>
      <c r="H660" s="76"/>
      <c r="I660" s="69"/>
      <c r="J660" s="68"/>
      <c r="K660" s="68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</row>
    <row r="661">
      <c r="A661" s="14"/>
      <c r="B661" s="90"/>
      <c r="C661" s="90"/>
      <c r="D661" s="69"/>
      <c r="E661" s="69"/>
      <c r="F661" s="90"/>
      <c r="G661" s="90"/>
      <c r="H661" s="76"/>
      <c r="I661" s="69"/>
      <c r="J661" s="68"/>
      <c r="K661" s="68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</row>
    <row r="662">
      <c r="A662" s="14"/>
      <c r="B662" s="90"/>
      <c r="C662" s="90"/>
      <c r="D662" s="69"/>
      <c r="E662" s="69"/>
      <c r="F662" s="90"/>
      <c r="G662" s="90"/>
      <c r="H662" s="76"/>
      <c r="I662" s="69"/>
      <c r="J662" s="68"/>
      <c r="K662" s="68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</row>
    <row r="663">
      <c r="A663" s="14"/>
      <c r="B663" s="90"/>
      <c r="C663" s="90"/>
      <c r="D663" s="69"/>
      <c r="E663" s="69"/>
      <c r="F663" s="90"/>
      <c r="G663" s="90"/>
      <c r="H663" s="76"/>
      <c r="I663" s="69"/>
      <c r="J663" s="68"/>
      <c r="K663" s="68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</row>
    <row r="664">
      <c r="A664" s="14"/>
      <c r="B664" s="90"/>
      <c r="C664" s="90"/>
      <c r="D664" s="69"/>
      <c r="E664" s="69"/>
      <c r="F664" s="90"/>
      <c r="G664" s="90"/>
      <c r="H664" s="76"/>
      <c r="I664" s="69"/>
      <c r="J664" s="68"/>
      <c r="K664" s="68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</row>
    <row r="665">
      <c r="A665" s="14"/>
      <c r="B665" s="90"/>
      <c r="C665" s="90"/>
      <c r="D665" s="69"/>
      <c r="E665" s="69"/>
      <c r="F665" s="90"/>
      <c r="G665" s="90"/>
      <c r="H665" s="76"/>
      <c r="I665" s="69"/>
      <c r="J665" s="68"/>
      <c r="K665" s="68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</row>
    <row r="666">
      <c r="A666" s="14"/>
      <c r="B666" s="90"/>
      <c r="C666" s="90"/>
      <c r="D666" s="69"/>
      <c r="E666" s="69"/>
      <c r="F666" s="90"/>
      <c r="G666" s="90"/>
      <c r="H666" s="76"/>
      <c r="I666" s="69"/>
      <c r="J666" s="68"/>
      <c r="K666" s="68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</row>
    <row r="667">
      <c r="A667" s="14"/>
      <c r="B667" s="90"/>
      <c r="C667" s="90"/>
      <c r="D667" s="69"/>
      <c r="E667" s="69"/>
      <c r="F667" s="90"/>
      <c r="G667" s="90"/>
      <c r="H667" s="76"/>
      <c r="I667" s="69"/>
      <c r="J667" s="68"/>
      <c r="K667" s="68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</row>
    <row r="668">
      <c r="A668" s="14"/>
      <c r="B668" s="90"/>
      <c r="C668" s="90"/>
      <c r="D668" s="69"/>
      <c r="E668" s="69"/>
      <c r="F668" s="90"/>
      <c r="G668" s="90"/>
      <c r="H668" s="76"/>
      <c r="I668" s="69"/>
      <c r="J668" s="68"/>
      <c r="K668" s="68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</row>
    <row r="669">
      <c r="A669" s="14"/>
      <c r="B669" s="90"/>
      <c r="C669" s="90"/>
      <c r="D669" s="69"/>
      <c r="E669" s="69"/>
      <c r="F669" s="90"/>
      <c r="G669" s="90"/>
      <c r="H669" s="76"/>
      <c r="I669" s="69"/>
      <c r="J669" s="68"/>
      <c r="K669" s="68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</row>
    <row r="670">
      <c r="A670" s="14"/>
      <c r="B670" s="90"/>
      <c r="C670" s="90"/>
      <c r="D670" s="69"/>
      <c r="E670" s="69"/>
      <c r="F670" s="90"/>
      <c r="G670" s="90"/>
      <c r="H670" s="76"/>
      <c r="I670" s="69"/>
      <c r="J670" s="68"/>
      <c r="K670" s="68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</row>
    <row r="671">
      <c r="A671" s="14"/>
      <c r="B671" s="90"/>
      <c r="C671" s="90"/>
      <c r="D671" s="69"/>
      <c r="E671" s="69"/>
      <c r="F671" s="90"/>
      <c r="G671" s="90"/>
      <c r="H671" s="76"/>
      <c r="I671" s="69"/>
      <c r="J671" s="68"/>
      <c r="K671" s="68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</row>
    <row r="672">
      <c r="A672" s="14"/>
      <c r="B672" s="90"/>
      <c r="C672" s="90"/>
      <c r="D672" s="69"/>
      <c r="E672" s="69"/>
      <c r="F672" s="90"/>
      <c r="G672" s="90"/>
      <c r="H672" s="76"/>
      <c r="I672" s="69"/>
      <c r="J672" s="68"/>
      <c r="K672" s="68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</row>
    <row r="673">
      <c r="A673" s="14"/>
      <c r="B673" s="90"/>
      <c r="C673" s="90"/>
      <c r="D673" s="69"/>
      <c r="E673" s="69"/>
      <c r="F673" s="90"/>
      <c r="G673" s="90"/>
      <c r="H673" s="76"/>
      <c r="I673" s="69"/>
      <c r="J673" s="68"/>
      <c r="K673" s="68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</row>
    <row r="674">
      <c r="A674" s="14"/>
      <c r="B674" s="90"/>
      <c r="C674" s="90"/>
      <c r="D674" s="69"/>
      <c r="E674" s="69"/>
      <c r="F674" s="90"/>
      <c r="G674" s="90"/>
      <c r="H674" s="76"/>
      <c r="I674" s="69"/>
      <c r="J674" s="68"/>
      <c r="K674" s="68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</row>
    <row r="675">
      <c r="A675" s="14"/>
      <c r="B675" s="90"/>
      <c r="C675" s="90"/>
      <c r="D675" s="69"/>
      <c r="E675" s="69"/>
      <c r="F675" s="90"/>
      <c r="G675" s="90"/>
      <c r="H675" s="76"/>
      <c r="I675" s="69"/>
      <c r="J675" s="68"/>
      <c r="K675" s="68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</row>
    <row r="676">
      <c r="A676" s="14"/>
      <c r="B676" s="90"/>
      <c r="C676" s="90"/>
      <c r="D676" s="69"/>
      <c r="E676" s="69"/>
      <c r="F676" s="90"/>
      <c r="G676" s="90"/>
      <c r="H676" s="76"/>
      <c r="I676" s="69"/>
      <c r="J676" s="68"/>
      <c r="K676" s="68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</row>
    <row r="677">
      <c r="A677" s="14"/>
      <c r="B677" s="90"/>
      <c r="C677" s="90"/>
      <c r="D677" s="69"/>
      <c r="E677" s="69"/>
      <c r="F677" s="90"/>
      <c r="G677" s="90"/>
      <c r="H677" s="76"/>
      <c r="I677" s="69"/>
      <c r="J677" s="68"/>
      <c r="K677" s="68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</row>
    <row r="678">
      <c r="A678" s="14"/>
      <c r="B678" s="90"/>
      <c r="C678" s="90"/>
      <c r="D678" s="69"/>
      <c r="E678" s="69"/>
      <c r="F678" s="90"/>
      <c r="G678" s="90"/>
      <c r="H678" s="76"/>
      <c r="I678" s="69"/>
      <c r="J678" s="68"/>
      <c r="K678" s="68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</row>
    <row r="679">
      <c r="A679" s="14"/>
      <c r="B679" s="90"/>
      <c r="C679" s="90"/>
      <c r="D679" s="69"/>
      <c r="E679" s="69"/>
      <c r="F679" s="90"/>
      <c r="G679" s="90"/>
      <c r="H679" s="76"/>
      <c r="I679" s="69"/>
      <c r="J679" s="68"/>
      <c r="K679" s="68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</row>
    <row r="680">
      <c r="A680" s="14"/>
      <c r="B680" s="90"/>
      <c r="C680" s="90"/>
      <c r="D680" s="69"/>
      <c r="E680" s="69"/>
      <c r="F680" s="90"/>
      <c r="G680" s="90"/>
      <c r="H680" s="76"/>
      <c r="I680" s="69"/>
      <c r="J680" s="68"/>
      <c r="K680" s="68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</row>
    <row r="681">
      <c r="A681" s="14"/>
      <c r="B681" s="90"/>
      <c r="C681" s="90"/>
      <c r="D681" s="69"/>
      <c r="E681" s="69"/>
      <c r="F681" s="90"/>
      <c r="G681" s="90"/>
      <c r="H681" s="76"/>
      <c r="I681" s="69"/>
      <c r="J681" s="68"/>
      <c r="K681" s="68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</row>
    <row r="682">
      <c r="A682" s="14"/>
      <c r="B682" s="90"/>
      <c r="C682" s="90"/>
      <c r="D682" s="69"/>
      <c r="E682" s="69"/>
      <c r="F682" s="90"/>
      <c r="G682" s="90"/>
      <c r="H682" s="76"/>
      <c r="I682" s="69"/>
      <c r="J682" s="68"/>
      <c r="K682" s="68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</row>
    <row r="683">
      <c r="A683" s="14"/>
      <c r="B683" s="90"/>
      <c r="C683" s="90"/>
      <c r="D683" s="69"/>
      <c r="E683" s="69"/>
      <c r="F683" s="90"/>
      <c r="G683" s="90"/>
      <c r="H683" s="76"/>
      <c r="I683" s="69"/>
      <c r="J683" s="68"/>
      <c r="K683" s="68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</row>
    <row r="684">
      <c r="A684" s="14"/>
      <c r="B684" s="90"/>
      <c r="C684" s="90"/>
      <c r="D684" s="69"/>
      <c r="E684" s="69"/>
      <c r="F684" s="90"/>
      <c r="G684" s="90"/>
      <c r="H684" s="76"/>
      <c r="I684" s="69"/>
      <c r="J684" s="68"/>
      <c r="K684" s="68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</row>
    <row r="685">
      <c r="A685" s="14"/>
      <c r="B685" s="90"/>
      <c r="C685" s="90"/>
      <c r="D685" s="69"/>
      <c r="E685" s="69"/>
      <c r="F685" s="90"/>
      <c r="G685" s="90"/>
      <c r="H685" s="76"/>
      <c r="I685" s="69"/>
      <c r="J685" s="68"/>
      <c r="K685" s="68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</row>
    <row r="686">
      <c r="A686" s="14"/>
      <c r="B686" s="90"/>
      <c r="C686" s="90"/>
      <c r="D686" s="69"/>
      <c r="E686" s="69"/>
      <c r="F686" s="90"/>
      <c r="G686" s="90"/>
      <c r="H686" s="76"/>
      <c r="I686" s="69"/>
      <c r="J686" s="68"/>
      <c r="K686" s="68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</row>
    <row r="687">
      <c r="A687" s="14"/>
      <c r="B687" s="90"/>
      <c r="C687" s="90"/>
      <c r="D687" s="69"/>
      <c r="E687" s="69"/>
      <c r="F687" s="90"/>
      <c r="G687" s="90"/>
      <c r="H687" s="76"/>
      <c r="I687" s="69"/>
      <c r="J687" s="68"/>
      <c r="K687" s="68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</row>
    <row r="688">
      <c r="A688" s="14"/>
      <c r="B688" s="90"/>
      <c r="C688" s="90"/>
      <c r="D688" s="69"/>
      <c r="E688" s="69"/>
      <c r="F688" s="90"/>
      <c r="G688" s="90"/>
      <c r="H688" s="76"/>
      <c r="I688" s="69"/>
      <c r="J688" s="68"/>
      <c r="K688" s="68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</row>
    <row r="689">
      <c r="A689" s="14"/>
      <c r="B689" s="90"/>
      <c r="C689" s="90"/>
      <c r="D689" s="69"/>
      <c r="E689" s="69"/>
      <c r="F689" s="90"/>
      <c r="G689" s="90"/>
      <c r="H689" s="76"/>
      <c r="I689" s="69"/>
      <c r="J689" s="68"/>
      <c r="K689" s="68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</row>
    <row r="690">
      <c r="A690" s="14"/>
      <c r="B690" s="90"/>
      <c r="C690" s="90"/>
      <c r="D690" s="69"/>
      <c r="E690" s="69"/>
      <c r="F690" s="90"/>
      <c r="G690" s="90"/>
      <c r="H690" s="76"/>
      <c r="I690" s="69"/>
      <c r="J690" s="68"/>
      <c r="K690" s="68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</row>
    <row r="691">
      <c r="A691" s="14"/>
      <c r="B691" s="90"/>
      <c r="C691" s="90"/>
      <c r="D691" s="69"/>
      <c r="E691" s="69"/>
      <c r="F691" s="90"/>
      <c r="G691" s="90"/>
      <c r="H691" s="76"/>
      <c r="I691" s="69"/>
      <c r="J691" s="68"/>
      <c r="K691" s="68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</row>
    <row r="692">
      <c r="A692" s="14"/>
      <c r="B692" s="90"/>
      <c r="C692" s="90"/>
      <c r="D692" s="69"/>
      <c r="E692" s="69"/>
      <c r="F692" s="90"/>
      <c r="G692" s="90"/>
      <c r="H692" s="76"/>
      <c r="I692" s="69"/>
      <c r="J692" s="68"/>
      <c r="K692" s="68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</row>
    <row r="693">
      <c r="A693" s="14"/>
      <c r="B693" s="90"/>
      <c r="C693" s="90"/>
      <c r="D693" s="69"/>
      <c r="E693" s="69"/>
      <c r="F693" s="90"/>
      <c r="G693" s="90"/>
      <c r="H693" s="76"/>
      <c r="I693" s="69"/>
      <c r="J693" s="68"/>
      <c r="K693" s="68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</row>
    <row r="694">
      <c r="A694" s="14"/>
      <c r="B694" s="90"/>
      <c r="C694" s="90"/>
      <c r="D694" s="69"/>
      <c r="E694" s="69"/>
      <c r="F694" s="90"/>
      <c r="G694" s="90"/>
      <c r="H694" s="76"/>
      <c r="I694" s="69"/>
      <c r="J694" s="68"/>
      <c r="K694" s="68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</row>
    <row r="695">
      <c r="A695" s="14"/>
      <c r="B695" s="90"/>
      <c r="C695" s="90"/>
      <c r="D695" s="69"/>
      <c r="E695" s="69"/>
      <c r="F695" s="90"/>
      <c r="G695" s="90"/>
      <c r="H695" s="76"/>
      <c r="I695" s="69"/>
      <c r="J695" s="68"/>
      <c r="K695" s="68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</row>
    <row r="696">
      <c r="A696" s="14"/>
      <c r="B696" s="90"/>
      <c r="C696" s="90"/>
      <c r="D696" s="69"/>
      <c r="E696" s="69"/>
      <c r="F696" s="90"/>
      <c r="G696" s="90"/>
      <c r="H696" s="76"/>
      <c r="I696" s="69"/>
      <c r="J696" s="68"/>
      <c r="K696" s="68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</row>
    <row r="697">
      <c r="A697" s="14"/>
      <c r="B697" s="90"/>
      <c r="C697" s="90"/>
      <c r="D697" s="69"/>
      <c r="E697" s="69"/>
      <c r="F697" s="90"/>
      <c r="G697" s="90"/>
      <c r="H697" s="76"/>
      <c r="I697" s="69"/>
      <c r="J697" s="68"/>
      <c r="K697" s="68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</row>
    <row r="698">
      <c r="A698" s="14"/>
      <c r="B698" s="90"/>
      <c r="C698" s="90"/>
      <c r="D698" s="69"/>
      <c r="E698" s="69"/>
      <c r="F698" s="90"/>
      <c r="G698" s="90"/>
      <c r="H698" s="76"/>
      <c r="I698" s="69"/>
      <c r="J698" s="68"/>
      <c r="K698" s="68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</row>
    <row r="699">
      <c r="A699" s="14"/>
      <c r="B699" s="90"/>
      <c r="C699" s="90"/>
      <c r="D699" s="69"/>
      <c r="E699" s="69"/>
      <c r="F699" s="90"/>
      <c r="G699" s="90"/>
      <c r="H699" s="76"/>
      <c r="I699" s="69"/>
      <c r="J699" s="68"/>
      <c r="K699" s="68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</row>
    <row r="700">
      <c r="A700" s="14"/>
      <c r="B700" s="90"/>
      <c r="C700" s="90"/>
      <c r="D700" s="69"/>
      <c r="E700" s="69"/>
      <c r="F700" s="90"/>
      <c r="G700" s="90"/>
      <c r="H700" s="76"/>
      <c r="I700" s="69"/>
      <c r="J700" s="68"/>
      <c r="K700" s="68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</row>
    <row r="701">
      <c r="A701" s="14"/>
      <c r="B701" s="90"/>
      <c r="C701" s="90"/>
      <c r="D701" s="69"/>
      <c r="E701" s="69"/>
      <c r="F701" s="90"/>
      <c r="G701" s="90"/>
      <c r="H701" s="76"/>
      <c r="I701" s="69"/>
      <c r="J701" s="68"/>
      <c r="K701" s="68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</row>
    <row r="702">
      <c r="A702" s="14"/>
      <c r="B702" s="90"/>
      <c r="C702" s="90"/>
      <c r="D702" s="69"/>
      <c r="E702" s="69"/>
      <c r="F702" s="90"/>
      <c r="G702" s="90"/>
      <c r="H702" s="76"/>
      <c r="I702" s="69"/>
      <c r="J702" s="68"/>
      <c r="K702" s="68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</row>
    <row r="703">
      <c r="A703" s="14"/>
      <c r="B703" s="90"/>
      <c r="C703" s="90"/>
      <c r="D703" s="69"/>
      <c r="E703" s="69"/>
      <c r="F703" s="90"/>
      <c r="G703" s="90"/>
      <c r="H703" s="76"/>
      <c r="I703" s="69"/>
      <c r="J703" s="68"/>
      <c r="K703" s="68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</row>
    <row r="704">
      <c r="A704" s="14"/>
      <c r="B704" s="90"/>
      <c r="C704" s="90"/>
      <c r="D704" s="69"/>
      <c r="E704" s="69"/>
      <c r="F704" s="90"/>
      <c r="G704" s="90"/>
      <c r="H704" s="76"/>
      <c r="I704" s="69"/>
      <c r="J704" s="68"/>
      <c r="K704" s="68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</row>
    <row r="705">
      <c r="A705" s="14"/>
      <c r="B705" s="90"/>
      <c r="C705" s="90"/>
      <c r="D705" s="69"/>
      <c r="E705" s="69"/>
      <c r="F705" s="90"/>
      <c r="G705" s="90"/>
      <c r="H705" s="76"/>
      <c r="I705" s="69"/>
      <c r="J705" s="68"/>
      <c r="K705" s="68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</row>
    <row r="706">
      <c r="A706" s="14"/>
      <c r="B706" s="90"/>
      <c r="C706" s="90"/>
      <c r="D706" s="69"/>
      <c r="E706" s="69"/>
      <c r="F706" s="90"/>
      <c r="G706" s="90"/>
      <c r="H706" s="76"/>
      <c r="I706" s="69"/>
      <c r="J706" s="68"/>
      <c r="K706" s="68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</row>
    <row r="707">
      <c r="A707" s="14"/>
      <c r="B707" s="90"/>
      <c r="C707" s="90"/>
      <c r="D707" s="69"/>
      <c r="E707" s="69"/>
      <c r="F707" s="90"/>
      <c r="G707" s="90"/>
      <c r="H707" s="76"/>
      <c r="I707" s="69"/>
      <c r="J707" s="68"/>
      <c r="K707" s="68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</row>
    <row r="708">
      <c r="A708" s="14"/>
      <c r="B708" s="90"/>
      <c r="C708" s="90"/>
      <c r="D708" s="69"/>
      <c r="E708" s="69"/>
      <c r="F708" s="90"/>
      <c r="G708" s="90"/>
      <c r="H708" s="76"/>
      <c r="I708" s="69"/>
      <c r="J708" s="68"/>
      <c r="K708" s="68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</row>
    <row r="709">
      <c r="A709" s="14"/>
      <c r="B709" s="90"/>
      <c r="C709" s="90"/>
      <c r="D709" s="69"/>
      <c r="E709" s="69"/>
      <c r="F709" s="90"/>
      <c r="G709" s="90"/>
      <c r="H709" s="76"/>
      <c r="I709" s="69"/>
      <c r="J709" s="68"/>
      <c r="K709" s="68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</row>
    <row r="710">
      <c r="A710" s="14"/>
      <c r="B710" s="90"/>
      <c r="C710" s="90"/>
      <c r="D710" s="69"/>
      <c r="E710" s="69"/>
      <c r="F710" s="90"/>
      <c r="G710" s="90"/>
      <c r="H710" s="76"/>
      <c r="I710" s="69"/>
      <c r="J710" s="68"/>
      <c r="K710" s="68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</row>
    <row r="711">
      <c r="A711" s="14"/>
      <c r="B711" s="90"/>
      <c r="C711" s="90"/>
      <c r="D711" s="69"/>
      <c r="E711" s="69"/>
      <c r="F711" s="90"/>
      <c r="G711" s="90"/>
      <c r="H711" s="76"/>
      <c r="I711" s="69"/>
      <c r="J711" s="68"/>
      <c r="K711" s="68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</row>
    <row r="712">
      <c r="A712" s="14"/>
      <c r="B712" s="90"/>
      <c r="C712" s="90"/>
      <c r="D712" s="69"/>
      <c r="E712" s="69"/>
      <c r="F712" s="90"/>
      <c r="G712" s="90"/>
      <c r="H712" s="76"/>
      <c r="I712" s="69"/>
      <c r="J712" s="68"/>
      <c r="K712" s="68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</row>
    <row r="713">
      <c r="A713" s="14"/>
      <c r="B713" s="90"/>
      <c r="C713" s="90"/>
      <c r="D713" s="69"/>
      <c r="E713" s="69"/>
      <c r="F713" s="90"/>
      <c r="G713" s="90"/>
      <c r="H713" s="76"/>
      <c r="I713" s="69"/>
      <c r="J713" s="68"/>
      <c r="K713" s="68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</row>
    <row r="714">
      <c r="A714" s="14"/>
      <c r="B714" s="90"/>
      <c r="C714" s="90"/>
      <c r="D714" s="69"/>
      <c r="E714" s="69"/>
      <c r="F714" s="90"/>
      <c r="G714" s="90"/>
      <c r="H714" s="76"/>
      <c r="I714" s="69"/>
      <c r="J714" s="68"/>
      <c r="K714" s="68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</row>
    <row r="715">
      <c r="A715" s="14"/>
      <c r="B715" s="90"/>
      <c r="C715" s="90"/>
      <c r="D715" s="69"/>
      <c r="E715" s="69"/>
      <c r="F715" s="90"/>
      <c r="G715" s="90"/>
      <c r="H715" s="76"/>
      <c r="I715" s="69"/>
      <c r="J715" s="68"/>
      <c r="K715" s="68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</row>
    <row r="716">
      <c r="A716" s="14"/>
      <c r="B716" s="90"/>
      <c r="C716" s="90"/>
      <c r="D716" s="69"/>
      <c r="E716" s="69"/>
      <c r="F716" s="90"/>
      <c r="G716" s="90"/>
      <c r="H716" s="76"/>
      <c r="I716" s="69"/>
      <c r="J716" s="68"/>
      <c r="K716" s="68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</row>
    <row r="717">
      <c r="A717" s="14"/>
      <c r="B717" s="90"/>
      <c r="C717" s="90"/>
      <c r="D717" s="69"/>
      <c r="E717" s="69"/>
      <c r="F717" s="90"/>
      <c r="G717" s="90"/>
      <c r="H717" s="76"/>
      <c r="I717" s="69"/>
      <c r="J717" s="68"/>
      <c r="K717" s="68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</row>
    <row r="718">
      <c r="A718" s="14"/>
      <c r="B718" s="90"/>
      <c r="C718" s="90"/>
      <c r="D718" s="69"/>
      <c r="E718" s="69"/>
      <c r="F718" s="90"/>
      <c r="G718" s="90"/>
      <c r="H718" s="76"/>
      <c r="I718" s="69"/>
      <c r="J718" s="68"/>
      <c r="K718" s="68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</row>
    <row r="719">
      <c r="A719" s="14"/>
      <c r="B719" s="90"/>
      <c r="C719" s="90"/>
      <c r="D719" s="69"/>
      <c r="E719" s="69"/>
      <c r="F719" s="90"/>
      <c r="G719" s="90"/>
      <c r="H719" s="76"/>
      <c r="I719" s="69"/>
      <c r="J719" s="68"/>
      <c r="K719" s="68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</row>
    <row r="720">
      <c r="A720" s="14"/>
      <c r="B720" s="90"/>
      <c r="C720" s="90"/>
      <c r="D720" s="69"/>
      <c r="E720" s="69"/>
      <c r="F720" s="90"/>
      <c r="G720" s="90"/>
      <c r="H720" s="76"/>
      <c r="I720" s="69"/>
      <c r="J720" s="68"/>
      <c r="K720" s="68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</row>
    <row r="721">
      <c r="A721" s="14"/>
      <c r="B721" s="90"/>
      <c r="C721" s="90"/>
      <c r="D721" s="69"/>
      <c r="E721" s="69"/>
      <c r="F721" s="90"/>
      <c r="G721" s="90"/>
      <c r="H721" s="76"/>
      <c r="I721" s="69"/>
      <c r="J721" s="68"/>
      <c r="K721" s="68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</row>
    <row r="722">
      <c r="A722" s="14"/>
      <c r="B722" s="90"/>
      <c r="C722" s="90"/>
      <c r="D722" s="69"/>
      <c r="E722" s="69"/>
      <c r="F722" s="90"/>
      <c r="G722" s="90"/>
      <c r="H722" s="76"/>
      <c r="I722" s="69"/>
      <c r="J722" s="68"/>
      <c r="K722" s="68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</row>
    <row r="723">
      <c r="A723" s="14"/>
      <c r="B723" s="90"/>
      <c r="C723" s="90"/>
      <c r="D723" s="69"/>
      <c r="E723" s="69"/>
      <c r="F723" s="90"/>
      <c r="G723" s="90"/>
      <c r="H723" s="76"/>
      <c r="I723" s="69"/>
      <c r="J723" s="68"/>
      <c r="K723" s="68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</row>
    <row r="724">
      <c r="A724" s="14"/>
      <c r="B724" s="90"/>
      <c r="C724" s="90"/>
      <c r="D724" s="69"/>
      <c r="E724" s="69"/>
      <c r="F724" s="90"/>
      <c r="G724" s="90"/>
      <c r="H724" s="76"/>
      <c r="I724" s="69"/>
      <c r="J724" s="68"/>
      <c r="K724" s="68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</row>
    <row r="725">
      <c r="A725" s="14"/>
      <c r="B725" s="90"/>
      <c r="C725" s="90"/>
      <c r="D725" s="69"/>
      <c r="E725" s="69"/>
      <c r="F725" s="90"/>
      <c r="G725" s="90"/>
      <c r="H725" s="76"/>
      <c r="I725" s="69"/>
      <c r="J725" s="68"/>
      <c r="K725" s="68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</row>
    <row r="726">
      <c r="A726" s="14"/>
      <c r="B726" s="90"/>
      <c r="C726" s="90"/>
      <c r="D726" s="69"/>
      <c r="E726" s="69"/>
      <c r="F726" s="90"/>
      <c r="G726" s="90"/>
      <c r="H726" s="76"/>
      <c r="I726" s="69"/>
      <c r="J726" s="68"/>
      <c r="K726" s="68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</row>
    <row r="727">
      <c r="A727" s="14"/>
      <c r="B727" s="90"/>
      <c r="C727" s="90"/>
      <c r="D727" s="69"/>
      <c r="E727" s="69"/>
      <c r="F727" s="90"/>
      <c r="G727" s="90"/>
      <c r="H727" s="76"/>
      <c r="I727" s="69"/>
      <c r="J727" s="68"/>
      <c r="K727" s="68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</row>
    <row r="728">
      <c r="A728" s="14"/>
      <c r="B728" s="90"/>
      <c r="C728" s="90"/>
      <c r="D728" s="69"/>
      <c r="E728" s="69"/>
      <c r="F728" s="90"/>
      <c r="G728" s="90"/>
      <c r="H728" s="76"/>
      <c r="I728" s="69"/>
      <c r="J728" s="68"/>
      <c r="K728" s="68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</row>
    <row r="729">
      <c r="A729" s="14"/>
      <c r="B729" s="90"/>
      <c r="C729" s="90"/>
      <c r="D729" s="69"/>
      <c r="E729" s="69"/>
      <c r="F729" s="90"/>
      <c r="G729" s="90"/>
      <c r="H729" s="76"/>
      <c r="I729" s="69"/>
      <c r="J729" s="68"/>
      <c r="K729" s="68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</row>
    <row r="730">
      <c r="A730" s="14"/>
      <c r="B730" s="90"/>
      <c r="C730" s="90"/>
      <c r="D730" s="69"/>
      <c r="E730" s="69"/>
      <c r="F730" s="90"/>
      <c r="G730" s="90"/>
      <c r="H730" s="76"/>
      <c r="I730" s="69"/>
      <c r="J730" s="68"/>
      <c r="K730" s="68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</row>
    <row r="731">
      <c r="A731" s="14"/>
      <c r="B731" s="90"/>
      <c r="C731" s="90"/>
      <c r="D731" s="69"/>
      <c r="E731" s="69"/>
      <c r="F731" s="90"/>
      <c r="G731" s="90"/>
      <c r="H731" s="76"/>
      <c r="I731" s="69"/>
      <c r="J731" s="68"/>
      <c r="K731" s="68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</row>
    <row r="732">
      <c r="A732" s="14"/>
      <c r="B732" s="90"/>
      <c r="C732" s="90"/>
      <c r="D732" s="69"/>
      <c r="E732" s="69"/>
      <c r="F732" s="90"/>
      <c r="G732" s="90"/>
      <c r="H732" s="76"/>
      <c r="I732" s="69"/>
      <c r="J732" s="68"/>
      <c r="K732" s="68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</row>
    <row r="733">
      <c r="A733" s="14"/>
      <c r="B733" s="90"/>
      <c r="C733" s="90"/>
      <c r="D733" s="69"/>
      <c r="E733" s="69"/>
      <c r="F733" s="90"/>
      <c r="G733" s="90"/>
      <c r="H733" s="76"/>
      <c r="I733" s="69"/>
      <c r="J733" s="68"/>
      <c r="K733" s="68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</row>
    <row r="734">
      <c r="A734" s="14"/>
      <c r="B734" s="90"/>
      <c r="C734" s="90"/>
      <c r="D734" s="69"/>
      <c r="E734" s="69"/>
      <c r="F734" s="90"/>
      <c r="G734" s="90"/>
      <c r="H734" s="76"/>
      <c r="I734" s="69"/>
      <c r="J734" s="68"/>
      <c r="K734" s="68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</row>
    <row r="735">
      <c r="A735" s="14"/>
      <c r="B735" s="90"/>
      <c r="C735" s="90"/>
      <c r="D735" s="69"/>
      <c r="E735" s="69"/>
      <c r="F735" s="90"/>
      <c r="G735" s="90"/>
      <c r="H735" s="76"/>
      <c r="I735" s="69"/>
      <c r="J735" s="68"/>
      <c r="K735" s="68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</row>
    <row r="736">
      <c r="A736" s="14"/>
      <c r="B736" s="90"/>
      <c r="C736" s="90"/>
      <c r="D736" s="69"/>
      <c r="E736" s="69"/>
      <c r="F736" s="90"/>
      <c r="G736" s="90"/>
      <c r="H736" s="76"/>
      <c r="I736" s="69"/>
      <c r="J736" s="68"/>
      <c r="K736" s="68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</row>
    <row r="737">
      <c r="A737" s="14"/>
      <c r="B737" s="90"/>
      <c r="C737" s="90"/>
      <c r="D737" s="69"/>
      <c r="E737" s="69"/>
      <c r="F737" s="90"/>
      <c r="G737" s="90"/>
      <c r="H737" s="76"/>
      <c r="I737" s="69"/>
      <c r="J737" s="68"/>
      <c r="K737" s="68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</row>
    <row r="738">
      <c r="A738" s="14"/>
      <c r="B738" s="90"/>
      <c r="C738" s="90"/>
      <c r="D738" s="69"/>
      <c r="E738" s="69"/>
      <c r="F738" s="90"/>
      <c r="G738" s="90"/>
      <c r="H738" s="76"/>
      <c r="I738" s="69"/>
      <c r="J738" s="68"/>
      <c r="K738" s="68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</row>
    <row r="739">
      <c r="A739" s="14"/>
      <c r="B739" s="90"/>
      <c r="C739" s="90"/>
      <c r="D739" s="69"/>
      <c r="E739" s="69"/>
      <c r="F739" s="90"/>
      <c r="G739" s="90"/>
      <c r="H739" s="76"/>
      <c r="I739" s="69"/>
      <c r="J739" s="68"/>
      <c r="K739" s="68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</row>
    <row r="740">
      <c r="A740" s="14"/>
      <c r="B740" s="90"/>
      <c r="C740" s="90"/>
      <c r="D740" s="69"/>
      <c r="E740" s="69"/>
      <c r="F740" s="90"/>
      <c r="G740" s="90"/>
      <c r="H740" s="76"/>
      <c r="I740" s="69"/>
      <c r="J740" s="68"/>
      <c r="K740" s="68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</row>
    <row r="741">
      <c r="A741" s="14"/>
      <c r="B741" s="90"/>
      <c r="C741" s="90"/>
      <c r="D741" s="69"/>
      <c r="E741" s="69"/>
      <c r="F741" s="90"/>
      <c r="G741" s="90"/>
      <c r="H741" s="76"/>
      <c r="I741" s="69"/>
      <c r="J741" s="68"/>
      <c r="K741" s="68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</row>
    <row r="742">
      <c r="A742" s="14"/>
      <c r="B742" s="90"/>
      <c r="C742" s="90"/>
      <c r="D742" s="69"/>
      <c r="E742" s="69"/>
      <c r="F742" s="90"/>
      <c r="G742" s="90"/>
      <c r="H742" s="76"/>
      <c r="I742" s="69"/>
      <c r="J742" s="68"/>
      <c r="K742" s="68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</row>
    <row r="743">
      <c r="A743" s="14"/>
      <c r="B743" s="90"/>
      <c r="C743" s="90"/>
      <c r="D743" s="69"/>
      <c r="E743" s="69"/>
      <c r="F743" s="90"/>
      <c r="G743" s="90"/>
      <c r="H743" s="76"/>
      <c r="I743" s="69"/>
      <c r="J743" s="68"/>
      <c r="K743" s="68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</row>
    <row r="744">
      <c r="A744" s="14"/>
      <c r="B744" s="90"/>
      <c r="C744" s="90"/>
      <c r="D744" s="69"/>
      <c r="E744" s="69"/>
      <c r="F744" s="90"/>
      <c r="G744" s="90"/>
      <c r="H744" s="76"/>
      <c r="I744" s="69"/>
      <c r="J744" s="68"/>
      <c r="K744" s="68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</row>
    <row r="745">
      <c r="A745" s="14"/>
      <c r="B745" s="90"/>
      <c r="C745" s="90"/>
      <c r="D745" s="69"/>
      <c r="E745" s="69"/>
      <c r="F745" s="90"/>
      <c r="G745" s="90"/>
      <c r="H745" s="76"/>
      <c r="I745" s="69"/>
      <c r="J745" s="68"/>
      <c r="K745" s="68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</row>
    <row r="746">
      <c r="A746" s="14"/>
      <c r="B746" s="90"/>
      <c r="C746" s="90"/>
      <c r="D746" s="69"/>
      <c r="E746" s="69"/>
      <c r="F746" s="90"/>
      <c r="G746" s="90"/>
      <c r="H746" s="76"/>
      <c r="I746" s="69"/>
      <c r="J746" s="68"/>
      <c r="K746" s="68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</row>
    <row r="747">
      <c r="A747" s="14"/>
      <c r="B747" s="90"/>
      <c r="C747" s="90"/>
      <c r="D747" s="69"/>
      <c r="E747" s="69"/>
      <c r="F747" s="90"/>
      <c r="G747" s="90"/>
      <c r="H747" s="76"/>
      <c r="I747" s="69"/>
      <c r="J747" s="68"/>
      <c r="K747" s="68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</row>
    <row r="748">
      <c r="A748" s="14"/>
      <c r="B748" s="90"/>
      <c r="C748" s="90"/>
      <c r="D748" s="69"/>
      <c r="E748" s="69"/>
      <c r="F748" s="90"/>
      <c r="G748" s="90"/>
      <c r="H748" s="76"/>
      <c r="I748" s="69"/>
      <c r="J748" s="68"/>
      <c r="K748" s="68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</row>
    <row r="749">
      <c r="A749" s="14"/>
      <c r="B749" s="90"/>
      <c r="C749" s="90"/>
      <c r="D749" s="69"/>
      <c r="E749" s="69"/>
      <c r="F749" s="90"/>
      <c r="G749" s="90"/>
      <c r="H749" s="76"/>
      <c r="I749" s="69"/>
      <c r="J749" s="68"/>
      <c r="K749" s="68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</row>
    <row r="750">
      <c r="A750" s="14"/>
      <c r="B750" s="90"/>
      <c r="C750" s="90"/>
      <c r="D750" s="69"/>
      <c r="E750" s="69"/>
      <c r="F750" s="90"/>
      <c r="G750" s="90"/>
      <c r="H750" s="76"/>
      <c r="I750" s="69"/>
      <c r="J750" s="68"/>
      <c r="K750" s="68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</row>
    <row r="751">
      <c r="A751" s="14"/>
      <c r="B751" s="90"/>
      <c r="C751" s="90"/>
      <c r="D751" s="69"/>
      <c r="E751" s="69"/>
      <c r="F751" s="90"/>
      <c r="G751" s="90"/>
      <c r="H751" s="76"/>
      <c r="I751" s="69"/>
      <c r="J751" s="68"/>
      <c r="K751" s="68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</row>
    <row r="752">
      <c r="A752" s="14"/>
      <c r="B752" s="90"/>
      <c r="C752" s="90"/>
      <c r="D752" s="69"/>
      <c r="E752" s="69"/>
      <c r="F752" s="90"/>
      <c r="G752" s="90"/>
      <c r="H752" s="76"/>
      <c r="I752" s="69"/>
      <c r="J752" s="68"/>
      <c r="K752" s="68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</row>
    <row r="753">
      <c r="A753" s="14"/>
      <c r="B753" s="90"/>
      <c r="C753" s="90"/>
      <c r="D753" s="69"/>
      <c r="E753" s="69"/>
      <c r="F753" s="90"/>
      <c r="G753" s="90"/>
      <c r="H753" s="76"/>
      <c r="I753" s="69"/>
      <c r="J753" s="68"/>
      <c r="K753" s="68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</row>
    <row r="754">
      <c r="A754" s="14"/>
      <c r="B754" s="90"/>
      <c r="C754" s="90"/>
      <c r="D754" s="69"/>
      <c r="E754" s="69"/>
      <c r="F754" s="90"/>
      <c r="G754" s="90"/>
      <c r="H754" s="76"/>
      <c r="I754" s="69"/>
      <c r="J754" s="68"/>
      <c r="K754" s="68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</row>
    <row r="755">
      <c r="A755" s="14"/>
      <c r="B755" s="90"/>
      <c r="C755" s="90"/>
      <c r="D755" s="69"/>
      <c r="E755" s="69"/>
      <c r="F755" s="90"/>
      <c r="G755" s="90"/>
      <c r="H755" s="76"/>
      <c r="I755" s="69"/>
      <c r="J755" s="68"/>
      <c r="K755" s="68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</row>
    <row r="756">
      <c r="A756" s="14"/>
      <c r="B756" s="90"/>
      <c r="C756" s="90"/>
      <c r="D756" s="69"/>
      <c r="E756" s="69"/>
      <c r="F756" s="90"/>
      <c r="G756" s="90"/>
      <c r="H756" s="76"/>
      <c r="I756" s="69"/>
      <c r="J756" s="68"/>
      <c r="K756" s="68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</row>
    <row r="757">
      <c r="A757" s="14"/>
      <c r="B757" s="90"/>
      <c r="C757" s="90"/>
      <c r="D757" s="69"/>
      <c r="E757" s="69"/>
      <c r="F757" s="90"/>
      <c r="G757" s="90"/>
      <c r="H757" s="76"/>
      <c r="I757" s="69"/>
      <c r="J757" s="68"/>
      <c r="K757" s="68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</row>
    <row r="758">
      <c r="A758" s="14"/>
      <c r="B758" s="90"/>
      <c r="C758" s="90"/>
      <c r="D758" s="69"/>
      <c r="E758" s="69"/>
      <c r="F758" s="90"/>
      <c r="G758" s="90"/>
      <c r="H758" s="76"/>
      <c r="I758" s="69"/>
      <c r="J758" s="68"/>
      <c r="K758" s="68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</row>
    <row r="759">
      <c r="A759" s="14"/>
      <c r="B759" s="90"/>
      <c r="C759" s="90"/>
      <c r="D759" s="69"/>
      <c r="E759" s="69"/>
      <c r="F759" s="90"/>
      <c r="G759" s="90"/>
      <c r="H759" s="76"/>
      <c r="I759" s="69"/>
      <c r="J759" s="68"/>
      <c r="K759" s="68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</row>
    <row r="760">
      <c r="A760" s="14"/>
      <c r="B760" s="90"/>
      <c r="C760" s="90"/>
      <c r="D760" s="69"/>
      <c r="E760" s="69"/>
      <c r="F760" s="90"/>
      <c r="G760" s="90"/>
      <c r="H760" s="76"/>
      <c r="I760" s="69"/>
      <c r="J760" s="68"/>
      <c r="K760" s="68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</row>
    <row r="761">
      <c r="A761" s="14"/>
      <c r="B761" s="90"/>
      <c r="C761" s="90"/>
      <c r="D761" s="69"/>
      <c r="E761" s="69"/>
      <c r="F761" s="90"/>
      <c r="G761" s="90"/>
      <c r="H761" s="76"/>
      <c r="I761" s="69"/>
      <c r="J761" s="68"/>
      <c r="K761" s="68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</row>
    <row r="762">
      <c r="A762" s="14"/>
      <c r="B762" s="90"/>
      <c r="C762" s="90"/>
      <c r="D762" s="69"/>
      <c r="E762" s="69"/>
      <c r="F762" s="90"/>
      <c r="G762" s="90"/>
      <c r="H762" s="76"/>
      <c r="I762" s="69"/>
      <c r="J762" s="68"/>
      <c r="K762" s="68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</row>
    <row r="763">
      <c r="A763" s="14"/>
      <c r="B763" s="90"/>
      <c r="C763" s="90"/>
      <c r="D763" s="69"/>
      <c r="E763" s="69"/>
      <c r="F763" s="90"/>
      <c r="G763" s="90"/>
      <c r="H763" s="76"/>
      <c r="I763" s="69"/>
      <c r="J763" s="68"/>
      <c r="K763" s="68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</row>
    <row r="764">
      <c r="A764" s="14"/>
      <c r="B764" s="90"/>
      <c r="C764" s="90"/>
      <c r="D764" s="69"/>
      <c r="E764" s="69"/>
      <c r="F764" s="90"/>
      <c r="G764" s="90"/>
      <c r="H764" s="76"/>
      <c r="I764" s="69"/>
      <c r="J764" s="68"/>
      <c r="K764" s="68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</row>
    <row r="765">
      <c r="A765" s="14"/>
      <c r="B765" s="90"/>
      <c r="C765" s="90"/>
      <c r="D765" s="69"/>
      <c r="E765" s="69"/>
      <c r="F765" s="90"/>
      <c r="G765" s="90"/>
      <c r="H765" s="76"/>
      <c r="I765" s="69"/>
      <c r="J765" s="68"/>
      <c r="K765" s="68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</row>
    <row r="766">
      <c r="A766" s="14"/>
      <c r="B766" s="90"/>
      <c r="C766" s="90"/>
      <c r="D766" s="69"/>
      <c r="E766" s="69"/>
      <c r="F766" s="90"/>
      <c r="G766" s="90"/>
      <c r="H766" s="76"/>
      <c r="I766" s="69"/>
      <c r="J766" s="68"/>
      <c r="K766" s="68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</row>
    <row r="767">
      <c r="A767" s="14"/>
      <c r="B767" s="90"/>
      <c r="C767" s="90"/>
      <c r="D767" s="69"/>
      <c r="E767" s="69"/>
      <c r="F767" s="90"/>
      <c r="G767" s="90"/>
      <c r="H767" s="76"/>
      <c r="I767" s="69"/>
      <c r="J767" s="68"/>
      <c r="K767" s="68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</row>
    <row r="768">
      <c r="A768" s="14"/>
      <c r="B768" s="90"/>
      <c r="C768" s="90"/>
      <c r="D768" s="69"/>
      <c r="E768" s="69"/>
      <c r="F768" s="90"/>
      <c r="G768" s="90"/>
      <c r="H768" s="76"/>
      <c r="I768" s="69"/>
      <c r="J768" s="68"/>
      <c r="K768" s="68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</row>
    <row r="769">
      <c r="A769" s="14"/>
      <c r="B769" s="90"/>
      <c r="C769" s="90"/>
      <c r="D769" s="69"/>
      <c r="E769" s="69"/>
      <c r="F769" s="90"/>
      <c r="G769" s="90"/>
      <c r="H769" s="76"/>
      <c r="I769" s="69"/>
      <c r="J769" s="68"/>
      <c r="K769" s="68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</row>
    <row r="770">
      <c r="A770" s="14"/>
      <c r="B770" s="90"/>
      <c r="C770" s="90"/>
      <c r="D770" s="69"/>
      <c r="E770" s="69"/>
      <c r="F770" s="90"/>
      <c r="G770" s="90"/>
      <c r="H770" s="76"/>
      <c r="I770" s="69"/>
      <c r="J770" s="68"/>
      <c r="K770" s="68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</row>
    <row r="771">
      <c r="A771" s="14"/>
      <c r="B771" s="90"/>
      <c r="C771" s="90"/>
      <c r="D771" s="69"/>
      <c r="E771" s="69"/>
      <c r="F771" s="90"/>
      <c r="G771" s="90"/>
      <c r="H771" s="76"/>
      <c r="I771" s="69"/>
      <c r="J771" s="68"/>
      <c r="K771" s="68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</row>
    <row r="772">
      <c r="A772" s="14"/>
      <c r="B772" s="90"/>
      <c r="C772" s="90"/>
      <c r="D772" s="69"/>
      <c r="E772" s="69"/>
      <c r="F772" s="90"/>
      <c r="G772" s="90"/>
      <c r="H772" s="76"/>
      <c r="I772" s="69"/>
      <c r="J772" s="68"/>
      <c r="K772" s="68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</row>
    <row r="773">
      <c r="A773" s="14"/>
      <c r="B773" s="90"/>
      <c r="C773" s="90"/>
      <c r="D773" s="69"/>
      <c r="E773" s="69"/>
      <c r="F773" s="90"/>
      <c r="G773" s="90"/>
      <c r="H773" s="76"/>
      <c r="I773" s="69"/>
      <c r="J773" s="68"/>
      <c r="K773" s="68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</row>
    <row r="774">
      <c r="A774" s="14"/>
      <c r="B774" s="90"/>
      <c r="C774" s="90"/>
      <c r="D774" s="69"/>
      <c r="E774" s="69"/>
      <c r="F774" s="90"/>
      <c r="G774" s="90"/>
      <c r="H774" s="76"/>
      <c r="I774" s="69"/>
      <c r="J774" s="68"/>
      <c r="K774" s="68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</row>
    <row r="775">
      <c r="A775" s="14"/>
      <c r="B775" s="90"/>
      <c r="C775" s="90"/>
      <c r="D775" s="69"/>
      <c r="E775" s="69"/>
      <c r="F775" s="90"/>
      <c r="G775" s="90"/>
      <c r="H775" s="76"/>
      <c r="I775" s="69"/>
      <c r="J775" s="68"/>
      <c r="K775" s="68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</row>
    <row r="776">
      <c r="A776" s="14"/>
      <c r="B776" s="90"/>
      <c r="C776" s="90"/>
      <c r="D776" s="69"/>
      <c r="E776" s="69"/>
      <c r="F776" s="90"/>
      <c r="G776" s="90"/>
      <c r="H776" s="76"/>
      <c r="I776" s="69"/>
      <c r="J776" s="68"/>
      <c r="K776" s="68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</row>
    <row r="777">
      <c r="A777" s="14"/>
      <c r="B777" s="90"/>
      <c r="C777" s="90"/>
      <c r="D777" s="69"/>
      <c r="E777" s="69"/>
      <c r="F777" s="90"/>
      <c r="G777" s="90"/>
      <c r="H777" s="76"/>
      <c r="I777" s="69"/>
      <c r="J777" s="68"/>
      <c r="K777" s="68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</row>
    <row r="778">
      <c r="A778" s="14"/>
      <c r="B778" s="90"/>
      <c r="C778" s="90"/>
      <c r="D778" s="69"/>
      <c r="E778" s="69"/>
      <c r="F778" s="90"/>
      <c r="G778" s="90"/>
      <c r="H778" s="76"/>
      <c r="I778" s="69"/>
      <c r="J778" s="68"/>
      <c r="K778" s="68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</row>
    <row r="779">
      <c r="A779" s="14"/>
      <c r="B779" s="90"/>
      <c r="C779" s="90"/>
      <c r="D779" s="69"/>
      <c r="E779" s="69"/>
      <c r="F779" s="90"/>
      <c r="G779" s="90"/>
      <c r="H779" s="76"/>
      <c r="I779" s="69"/>
      <c r="J779" s="68"/>
      <c r="K779" s="68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</row>
    <row r="780">
      <c r="A780" s="14"/>
      <c r="B780" s="90"/>
      <c r="C780" s="90"/>
      <c r="D780" s="69"/>
      <c r="E780" s="69"/>
      <c r="F780" s="90"/>
      <c r="G780" s="90"/>
      <c r="H780" s="76"/>
      <c r="I780" s="69"/>
      <c r="J780" s="68"/>
      <c r="K780" s="68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</row>
    <row r="781">
      <c r="A781" s="14"/>
      <c r="B781" s="90"/>
      <c r="C781" s="90"/>
      <c r="D781" s="69"/>
      <c r="E781" s="69"/>
      <c r="F781" s="90"/>
      <c r="G781" s="90"/>
      <c r="H781" s="76"/>
      <c r="I781" s="69"/>
      <c r="J781" s="68"/>
      <c r="K781" s="68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</row>
    <row r="782">
      <c r="A782" s="14"/>
      <c r="B782" s="90"/>
      <c r="C782" s="90"/>
      <c r="D782" s="69"/>
      <c r="E782" s="69"/>
      <c r="F782" s="90"/>
      <c r="G782" s="90"/>
      <c r="H782" s="76"/>
      <c r="I782" s="69"/>
      <c r="J782" s="68"/>
      <c r="K782" s="68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</row>
    <row r="783">
      <c r="A783" s="14"/>
      <c r="B783" s="90"/>
      <c r="C783" s="90"/>
      <c r="D783" s="69"/>
      <c r="E783" s="69"/>
      <c r="F783" s="90"/>
      <c r="G783" s="90"/>
      <c r="H783" s="76"/>
      <c r="I783" s="69"/>
      <c r="J783" s="68"/>
      <c r="K783" s="68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</row>
    <row r="784">
      <c r="A784" s="14"/>
      <c r="B784" s="90"/>
      <c r="C784" s="90"/>
      <c r="D784" s="69"/>
      <c r="E784" s="69"/>
      <c r="F784" s="90"/>
      <c r="G784" s="90"/>
      <c r="H784" s="76"/>
      <c r="I784" s="69"/>
      <c r="J784" s="68"/>
      <c r="K784" s="68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</row>
    <row r="785">
      <c r="A785" s="14"/>
      <c r="B785" s="90"/>
      <c r="C785" s="90"/>
      <c r="D785" s="69"/>
      <c r="E785" s="69"/>
      <c r="F785" s="90"/>
      <c r="G785" s="90"/>
      <c r="H785" s="76"/>
      <c r="I785" s="69"/>
      <c r="J785" s="68"/>
      <c r="K785" s="68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</row>
    <row r="786">
      <c r="A786" s="14"/>
      <c r="B786" s="90"/>
      <c r="C786" s="90"/>
      <c r="D786" s="69"/>
      <c r="E786" s="69"/>
      <c r="F786" s="90"/>
      <c r="G786" s="90"/>
      <c r="H786" s="76"/>
      <c r="I786" s="69"/>
      <c r="J786" s="68"/>
      <c r="K786" s="68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</row>
    <row r="787">
      <c r="A787" s="14"/>
      <c r="B787" s="90"/>
      <c r="C787" s="90"/>
      <c r="D787" s="69"/>
      <c r="E787" s="69"/>
      <c r="F787" s="90"/>
      <c r="G787" s="90"/>
      <c r="H787" s="76"/>
      <c r="I787" s="69"/>
      <c r="J787" s="68"/>
      <c r="K787" s="68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</row>
    <row r="788">
      <c r="A788" s="14"/>
      <c r="B788" s="90"/>
      <c r="C788" s="90"/>
      <c r="D788" s="69"/>
      <c r="E788" s="69"/>
      <c r="F788" s="90"/>
      <c r="G788" s="90"/>
      <c r="H788" s="76"/>
      <c r="I788" s="69"/>
      <c r="J788" s="68"/>
      <c r="K788" s="68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</row>
    <row r="789">
      <c r="A789" s="14"/>
      <c r="B789" s="90"/>
      <c r="C789" s="90"/>
      <c r="D789" s="69"/>
      <c r="E789" s="69"/>
      <c r="F789" s="90"/>
      <c r="G789" s="90"/>
      <c r="H789" s="76"/>
      <c r="I789" s="69"/>
      <c r="J789" s="68"/>
      <c r="K789" s="68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</row>
    <row r="790">
      <c r="A790" s="14"/>
      <c r="B790" s="90"/>
      <c r="C790" s="90"/>
      <c r="D790" s="69"/>
      <c r="E790" s="69"/>
      <c r="F790" s="90"/>
      <c r="G790" s="90"/>
      <c r="H790" s="76"/>
      <c r="I790" s="69"/>
      <c r="J790" s="68"/>
      <c r="K790" s="68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</row>
    <row r="791">
      <c r="A791" s="14"/>
      <c r="B791" s="90"/>
      <c r="C791" s="90"/>
      <c r="D791" s="69"/>
      <c r="E791" s="69"/>
      <c r="F791" s="90"/>
      <c r="G791" s="90"/>
      <c r="H791" s="76"/>
      <c r="I791" s="69"/>
      <c r="J791" s="68"/>
      <c r="K791" s="68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</row>
    <row r="792">
      <c r="A792" s="14"/>
      <c r="B792" s="90"/>
      <c r="C792" s="90"/>
      <c r="D792" s="69"/>
      <c r="E792" s="69"/>
      <c r="F792" s="90"/>
      <c r="G792" s="90"/>
      <c r="H792" s="76"/>
      <c r="I792" s="69"/>
      <c r="J792" s="68"/>
      <c r="K792" s="68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</row>
    <row r="793">
      <c r="A793" s="14"/>
      <c r="B793" s="90"/>
      <c r="C793" s="90"/>
      <c r="D793" s="69"/>
      <c r="E793" s="69"/>
      <c r="F793" s="90"/>
      <c r="G793" s="90"/>
      <c r="H793" s="76"/>
      <c r="I793" s="69"/>
      <c r="J793" s="68"/>
      <c r="K793" s="68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</row>
    <row r="794">
      <c r="A794" s="14"/>
      <c r="B794" s="90"/>
      <c r="C794" s="90"/>
      <c r="D794" s="69"/>
      <c r="E794" s="69"/>
      <c r="F794" s="90"/>
      <c r="G794" s="90"/>
      <c r="H794" s="76"/>
      <c r="I794" s="69"/>
      <c r="J794" s="68"/>
      <c r="K794" s="68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</row>
    <row r="795">
      <c r="A795" s="14"/>
      <c r="B795" s="90"/>
      <c r="C795" s="90"/>
      <c r="D795" s="69"/>
      <c r="E795" s="69"/>
      <c r="F795" s="90"/>
      <c r="G795" s="90"/>
      <c r="H795" s="76"/>
      <c r="I795" s="69"/>
      <c r="J795" s="68"/>
      <c r="K795" s="68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</row>
    <row r="796">
      <c r="A796" s="14"/>
      <c r="B796" s="90"/>
      <c r="C796" s="90"/>
      <c r="D796" s="69"/>
      <c r="E796" s="69"/>
      <c r="F796" s="90"/>
      <c r="G796" s="90"/>
      <c r="H796" s="76"/>
      <c r="I796" s="69"/>
      <c r="J796" s="68"/>
      <c r="K796" s="68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</row>
    <row r="797">
      <c r="A797" s="14"/>
      <c r="B797" s="90"/>
      <c r="C797" s="90"/>
      <c r="D797" s="69"/>
      <c r="E797" s="69"/>
      <c r="F797" s="90"/>
      <c r="G797" s="90"/>
      <c r="H797" s="76"/>
      <c r="I797" s="69"/>
      <c r="J797" s="68"/>
      <c r="K797" s="68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</row>
    <row r="798">
      <c r="A798" s="14"/>
      <c r="B798" s="90"/>
      <c r="C798" s="90"/>
      <c r="D798" s="69"/>
      <c r="E798" s="69"/>
      <c r="F798" s="90"/>
      <c r="G798" s="90"/>
      <c r="H798" s="76"/>
      <c r="I798" s="69"/>
      <c r="J798" s="68"/>
      <c r="K798" s="68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</row>
    <row r="799">
      <c r="A799" s="14"/>
      <c r="B799" s="90"/>
      <c r="C799" s="90"/>
      <c r="D799" s="69"/>
      <c r="E799" s="69"/>
      <c r="F799" s="90"/>
      <c r="G799" s="90"/>
      <c r="H799" s="76"/>
      <c r="I799" s="69"/>
      <c r="J799" s="68"/>
      <c r="K799" s="68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</row>
    <row r="800">
      <c r="A800" s="14"/>
      <c r="B800" s="90"/>
      <c r="C800" s="90"/>
      <c r="D800" s="69"/>
      <c r="E800" s="69"/>
      <c r="F800" s="90"/>
      <c r="G800" s="90"/>
      <c r="H800" s="76"/>
      <c r="I800" s="69"/>
      <c r="J800" s="68"/>
      <c r="K800" s="68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</row>
    <row r="801">
      <c r="A801" s="14"/>
      <c r="B801" s="90"/>
      <c r="C801" s="90"/>
      <c r="D801" s="69"/>
      <c r="E801" s="69"/>
      <c r="F801" s="90"/>
      <c r="G801" s="90"/>
      <c r="H801" s="76"/>
      <c r="I801" s="69"/>
      <c r="J801" s="68"/>
      <c r="K801" s="68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</row>
    <row r="802">
      <c r="A802" s="14"/>
      <c r="B802" s="90"/>
      <c r="C802" s="90"/>
      <c r="D802" s="69"/>
      <c r="E802" s="69"/>
      <c r="F802" s="90"/>
      <c r="G802" s="90"/>
      <c r="H802" s="76"/>
      <c r="I802" s="69"/>
      <c r="J802" s="68"/>
      <c r="K802" s="68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</row>
    <row r="803">
      <c r="A803" s="14"/>
      <c r="B803" s="90"/>
      <c r="C803" s="90"/>
      <c r="D803" s="69"/>
      <c r="E803" s="69"/>
      <c r="F803" s="90"/>
      <c r="G803" s="90"/>
      <c r="H803" s="76"/>
      <c r="I803" s="69"/>
      <c r="J803" s="68"/>
      <c r="K803" s="68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</row>
    <row r="804">
      <c r="A804" s="14"/>
      <c r="B804" s="90"/>
      <c r="C804" s="90"/>
      <c r="D804" s="69"/>
      <c r="E804" s="69"/>
      <c r="F804" s="90"/>
      <c r="G804" s="90"/>
      <c r="H804" s="76"/>
      <c r="I804" s="69"/>
      <c r="J804" s="68"/>
      <c r="K804" s="68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</row>
    <row r="805">
      <c r="A805" s="14"/>
      <c r="B805" s="90"/>
      <c r="C805" s="90"/>
      <c r="D805" s="69"/>
      <c r="E805" s="69"/>
      <c r="F805" s="90"/>
      <c r="G805" s="90"/>
      <c r="H805" s="76"/>
      <c r="I805" s="69"/>
      <c r="J805" s="68"/>
      <c r="K805" s="68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</row>
    <row r="806">
      <c r="A806" s="14"/>
      <c r="B806" s="90"/>
      <c r="C806" s="90"/>
      <c r="D806" s="69"/>
      <c r="E806" s="69"/>
      <c r="F806" s="90"/>
      <c r="G806" s="90"/>
      <c r="H806" s="76"/>
      <c r="I806" s="69"/>
      <c r="J806" s="68"/>
      <c r="K806" s="68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</row>
    <row r="807">
      <c r="A807" s="14"/>
      <c r="B807" s="90"/>
      <c r="C807" s="90"/>
      <c r="D807" s="69"/>
      <c r="E807" s="69"/>
      <c r="F807" s="90"/>
      <c r="G807" s="90"/>
      <c r="H807" s="76"/>
      <c r="I807" s="69"/>
      <c r="J807" s="68"/>
      <c r="K807" s="68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</row>
    <row r="808">
      <c r="A808" s="14"/>
      <c r="B808" s="90"/>
      <c r="C808" s="90"/>
      <c r="D808" s="69"/>
      <c r="E808" s="69"/>
      <c r="F808" s="90"/>
      <c r="G808" s="90"/>
      <c r="H808" s="76"/>
      <c r="I808" s="69"/>
      <c r="J808" s="68"/>
      <c r="K808" s="68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</row>
    <row r="809">
      <c r="A809" s="14"/>
      <c r="B809" s="90"/>
      <c r="C809" s="90"/>
      <c r="D809" s="69"/>
      <c r="E809" s="69"/>
      <c r="F809" s="90"/>
      <c r="G809" s="90"/>
      <c r="H809" s="76"/>
      <c r="I809" s="69"/>
      <c r="J809" s="68"/>
      <c r="K809" s="68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</row>
    <row r="810">
      <c r="A810" s="14"/>
      <c r="B810" s="90"/>
      <c r="C810" s="90"/>
      <c r="D810" s="69"/>
      <c r="E810" s="69"/>
      <c r="F810" s="90"/>
      <c r="G810" s="90"/>
      <c r="H810" s="76"/>
      <c r="I810" s="69"/>
      <c r="J810" s="68"/>
      <c r="K810" s="68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</row>
    <row r="811">
      <c r="A811" s="14"/>
      <c r="B811" s="90"/>
      <c r="C811" s="90"/>
      <c r="D811" s="69"/>
      <c r="E811" s="69"/>
      <c r="F811" s="90"/>
      <c r="G811" s="90"/>
      <c r="H811" s="76"/>
      <c r="I811" s="69"/>
      <c r="J811" s="68"/>
      <c r="K811" s="68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</row>
    <row r="812">
      <c r="A812" s="14"/>
      <c r="B812" s="90"/>
      <c r="C812" s="90"/>
      <c r="D812" s="69"/>
      <c r="E812" s="69"/>
      <c r="F812" s="90"/>
      <c r="G812" s="90"/>
      <c r="H812" s="76"/>
      <c r="I812" s="69"/>
      <c r="J812" s="68"/>
      <c r="K812" s="68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</row>
    <row r="813">
      <c r="A813" s="14"/>
      <c r="B813" s="90"/>
      <c r="C813" s="90"/>
      <c r="D813" s="69"/>
      <c r="E813" s="69"/>
      <c r="F813" s="90"/>
      <c r="G813" s="90"/>
      <c r="H813" s="76"/>
      <c r="I813" s="69"/>
      <c r="J813" s="68"/>
      <c r="K813" s="68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</row>
    <row r="814">
      <c r="A814" s="14"/>
      <c r="B814" s="90"/>
      <c r="C814" s="90"/>
      <c r="D814" s="69"/>
      <c r="E814" s="69"/>
      <c r="F814" s="90"/>
      <c r="G814" s="90"/>
      <c r="H814" s="76"/>
      <c r="I814" s="69"/>
      <c r="J814" s="68"/>
      <c r="K814" s="68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</row>
    <row r="815">
      <c r="A815" s="14"/>
      <c r="B815" s="90"/>
      <c r="C815" s="90"/>
      <c r="D815" s="69"/>
      <c r="E815" s="69"/>
      <c r="F815" s="90"/>
      <c r="G815" s="90"/>
      <c r="H815" s="76"/>
      <c r="I815" s="69"/>
      <c r="J815" s="68"/>
      <c r="K815" s="68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</row>
    <row r="816">
      <c r="A816" s="14"/>
      <c r="B816" s="90"/>
      <c r="C816" s="90"/>
      <c r="D816" s="69"/>
      <c r="E816" s="69"/>
      <c r="F816" s="90"/>
      <c r="G816" s="90"/>
      <c r="H816" s="76"/>
      <c r="I816" s="69"/>
      <c r="J816" s="68"/>
      <c r="K816" s="68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</row>
    <row r="817">
      <c r="A817" s="14"/>
      <c r="B817" s="90"/>
      <c r="C817" s="90"/>
      <c r="D817" s="69"/>
      <c r="E817" s="69"/>
      <c r="F817" s="90"/>
      <c r="G817" s="90"/>
      <c r="H817" s="76"/>
      <c r="I817" s="69"/>
      <c r="J817" s="68"/>
      <c r="K817" s="68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</row>
    <row r="818">
      <c r="A818" s="14"/>
      <c r="B818" s="90"/>
      <c r="C818" s="90"/>
      <c r="D818" s="69"/>
      <c r="E818" s="69"/>
      <c r="F818" s="90"/>
      <c r="G818" s="90"/>
      <c r="H818" s="76"/>
      <c r="I818" s="69"/>
      <c r="J818" s="68"/>
      <c r="K818" s="68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</row>
    <row r="819">
      <c r="A819" s="14"/>
      <c r="B819" s="90"/>
      <c r="C819" s="90"/>
      <c r="D819" s="69"/>
      <c r="E819" s="69"/>
      <c r="F819" s="90"/>
      <c r="G819" s="90"/>
      <c r="H819" s="76"/>
      <c r="I819" s="69"/>
      <c r="J819" s="68"/>
      <c r="K819" s="68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</row>
    <row r="820">
      <c r="A820" s="14"/>
      <c r="B820" s="90"/>
      <c r="C820" s="90"/>
      <c r="D820" s="69"/>
      <c r="E820" s="69"/>
      <c r="F820" s="90"/>
      <c r="G820" s="90"/>
      <c r="H820" s="76"/>
      <c r="I820" s="69"/>
      <c r="J820" s="68"/>
      <c r="K820" s="68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</row>
    <row r="821">
      <c r="A821" s="14"/>
      <c r="B821" s="90"/>
      <c r="C821" s="90"/>
      <c r="D821" s="69"/>
      <c r="E821" s="69"/>
      <c r="F821" s="90"/>
      <c r="G821" s="90"/>
      <c r="H821" s="76"/>
      <c r="I821" s="69"/>
      <c r="J821" s="68"/>
      <c r="K821" s="68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</row>
    <row r="822">
      <c r="A822" s="14"/>
      <c r="B822" s="90"/>
      <c r="C822" s="90"/>
      <c r="D822" s="69"/>
      <c r="E822" s="69"/>
      <c r="F822" s="90"/>
      <c r="G822" s="90"/>
      <c r="H822" s="76"/>
      <c r="I822" s="69"/>
      <c r="J822" s="68"/>
      <c r="K822" s="68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</row>
    <row r="823">
      <c r="A823" s="14"/>
      <c r="B823" s="90"/>
      <c r="C823" s="90"/>
      <c r="D823" s="69"/>
      <c r="E823" s="69"/>
      <c r="F823" s="90"/>
      <c r="G823" s="90"/>
      <c r="H823" s="76"/>
      <c r="I823" s="69"/>
      <c r="J823" s="68"/>
      <c r="K823" s="68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</row>
    <row r="824">
      <c r="A824" s="14"/>
      <c r="B824" s="90"/>
      <c r="C824" s="90"/>
      <c r="D824" s="69"/>
      <c r="E824" s="69"/>
      <c r="F824" s="90"/>
      <c r="G824" s="90"/>
      <c r="H824" s="76"/>
      <c r="I824" s="69"/>
      <c r="J824" s="68"/>
      <c r="K824" s="68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</row>
    <row r="825">
      <c r="A825" s="14"/>
      <c r="B825" s="90"/>
      <c r="C825" s="90"/>
      <c r="D825" s="69"/>
      <c r="E825" s="69"/>
      <c r="F825" s="90"/>
      <c r="G825" s="90"/>
      <c r="H825" s="76"/>
      <c r="I825" s="69"/>
      <c r="J825" s="68"/>
      <c r="K825" s="68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</row>
    <row r="826">
      <c r="A826" s="14"/>
      <c r="B826" s="90"/>
      <c r="C826" s="90"/>
      <c r="D826" s="69"/>
      <c r="E826" s="69"/>
      <c r="F826" s="90"/>
      <c r="G826" s="90"/>
      <c r="H826" s="76"/>
      <c r="I826" s="69"/>
      <c r="J826" s="68"/>
      <c r="K826" s="68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</row>
    <row r="827">
      <c r="A827" s="14"/>
      <c r="B827" s="90"/>
      <c r="C827" s="90"/>
      <c r="D827" s="69"/>
      <c r="E827" s="69"/>
      <c r="F827" s="90"/>
      <c r="G827" s="90"/>
      <c r="H827" s="76"/>
      <c r="I827" s="69"/>
      <c r="J827" s="68"/>
      <c r="K827" s="68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</row>
    <row r="828">
      <c r="A828" s="14"/>
      <c r="B828" s="90"/>
      <c r="C828" s="90"/>
      <c r="D828" s="69"/>
      <c r="E828" s="69"/>
      <c r="F828" s="90"/>
      <c r="G828" s="90"/>
      <c r="H828" s="76"/>
      <c r="I828" s="69"/>
      <c r="J828" s="68"/>
      <c r="K828" s="68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</row>
    <row r="829">
      <c r="A829" s="14"/>
      <c r="B829" s="90"/>
      <c r="C829" s="90"/>
      <c r="D829" s="69"/>
      <c r="E829" s="69"/>
      <c r="F829" s="90"/>
      <c r="G829" s="90"/>
      <c r="H829" s="76"/>
      <c r="I829" s="69"/>
      <c r="J829" s="68"/>
      <c r="K829" s="68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</row>
    <row r="830">
      <c r="A830" s="14"/>
      <c r="B830" s="90"/>
      <c r="C830" s="90"/>
      <c r="D830" s="69"/>
      <c r="E830" s="69"/>
      <c r="F830" s="90"/>
      <c r="G830" s="90"/>
      <c r="H830" s="76"/>
      <c r="I830" s="69"/>
      <c r="J830" s="68"/>
      <c r="K830" s="68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</row>
    <row r="831">
      <c r="A831" s="14"/>
      <c r="B831" s="90"/>
      <c r="C831" s="90"/>
      <c r="D831" s="69"/>
      <c r="E831" s="69"/>
      <c r="F831" s="90"/>
      <c r="G831" s="90"/>
      <c r="H831" s="76"/>
      <c r="I831" s="69"/>
      <c r="J831" s="68"/>
      <c r="K831" s="68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</row>
    <row r="832">
      <c r="A832" s="14"/>
      <c r="B832" s="90"/>
      <c r="C832" s="90"/>
      <c r="D832" s="69"/>
      <c r="E832" s="69"/>
      <c r="F832" s="90"/>
      <c r="G832" s="90"/>
      <c r="H832" s="76"/>
      <c r="I832" s="69"/>
      <c r="J832" s="68"/>
      <c r="K832" s="68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</row>
    <row r="833">
      <c r="A833" s="14"/>
      <c r="B833" s="90"/>
      <c r="C833" s="90"/>
      <c r="D833" s="69"/>
      <c r="E833" s="69"/>
      <c r="F833" s="90"/>
      <c r="G833" s="90"/>
      <c r="H833" s="76"/>
      <c r="I833" s="69"/>
      <c r="J833" s="68"/>
      <c r="K833" s="68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</row>
    <row r="834">
      <c r="A834" s="14"/>
      <c r="B834" s="90"/>
      <c r="C834" s="90"/>
      <c r="D834" s="69"/>
      <c r="E834" s="69"/>
      <c r="F834" s="90"/>
      <c r="G834" s="90"/>
      <c r="H834" s="76"/>
      <c r="I834" s="69"/>
      <c r="J834" s="68"/>
      <c r="K834" s="68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</row>
    <row r="835">
      <c r="A835" s="14"/>
      <c r="B835" s="90"/>
      <c r="C835" s="90"/>
      <c r="D835" s="69"/>
      <c r="E835" s="69"/>
      <c r="F835" s="90"/>
      <c r="G835" s="90"/>
      <c r="H835" s="76"/>
      <c r="I835" s="69"/>
      <c r="J835" s="68"/>
      <c r="K835" s="68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</row>
    <row r="836">
      <c r="A836" s="14"/>
      <c r="B836" s="90"/>
      <c r="C836" s="90"/>
      <c r="D836" s="69"/>
      <c r="E836" s="69"/>
      <c r="F836" s="90"/>
      <c r="G836" s="90"/>
      <c r="H836" s="76"/>
      <c r="I836" s="69"/>
      <c r="J836" s="68"/>
      <c r="K836" s="68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</row>
    <row r="837">
      <c r="A837" s="14"/>
      <c r="B837" s="90"/>
      <c r="C837" s="90"/>
      <c r="D837" s="69"/>
      <c r="E837" s="69"/>
      <c r="F837" s="90"/>
      <c r="G837" s="90"/>
      <c r="H837" s="76"/>
      <c r="I837" s="69"/>
      <c r="J837" s="68"/>
      <c r="K837" s="68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</row>
    <row r="838">
      <c r="A838" s="14"/>
      <c r="B838" s="90"/>
      <c r="C838" s="90"/>
      <c r="D838" s="69"/>
      <c r="E838" s="69"/>
      <c r="F838" s="90"/>
      <c r="G838" s="90"/>
      <c r="H838" s="76"/>
      <c r="I838" s="69"/>
      <c r="J838" s="68"/>
      <c r="K838" s="68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</row>
    <row r="839">
      <c r="A839" s="14"/>
      <c r="B839" s="90"/>
      <c r="C839" s="90"/>
      <c r="D839" s="69"/>
      <c r="E839" s="69"/>
      <c r="F839" s="90"/>
      <c r="G839" s="90"/>
      <c r="H839" s="76"/>
      <c r="I839" s="69"/>
      <c r="J839" s="68"/>
      <c r="K839" s="68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</row>
    <row r="840">
      <c r="A840" s="14"/>
      <c r="B840" s="90"/>
      <c r="C840" s="90"/>
      <c r="D840" s="69"/>
      <c r="E840" s="69"/>
      <c r="F840" s="90"/>
      <c r="G840" s="90"/>
      <c r="H840" s="76"/>
      <c r="I840" s="69"/>
      <c r="J840" s="68"/>
      <c r="K840" s="68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</row>
    <row r="841">
      <c r="A841" s="14"/>
      <c r="B841" s="90"/>
      <c r="C841" s="90"/>
      <c r="D841" s="69"/>
      <c r="E841" s="69"/>
      <c r="F841" s="90"/>
      <c r="G841" s="90"/>
      <c r="H841" s="76"/>
      <c r="I841" s="69"/>
      <c r="J841" s="68"/>
      <c r="K841" s="68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</row>
    <row r="842">
      <c r="A842" s="14"/>
      <c r="B842" s="90"/>
      <c r="C842" s="90"/>
      <c r="D842" s="69"/>
      <c r="E842" s="69"/>
      <c r="F842" s="90"/>
      <c r="G842" s="90"/>
      <c r="H842" s="76"/>
      <c r="I842" s="69"/>
      <c r="J842" s="68"/>
      <c r="K842" s="68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</row>
    <row r="843">
      <c r="A843" s="14"/>
      <c r="B843" s="90"/>
      <c r="C843" s="90"/>
      <c r="D843" s="69"/>
      <c r="E843" s="69"/>
      <c r="F843" s="90"/>
      <c r="G843" s="90"/>
      <c r="H843" s="76"/>
      <c r="I843" s="69"/>
      <c r="J843" s="68"/>
      <c r="K843" s="68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</row>
    <row r="844">
      <c r="A844" s="14"/>
      <c r="B844" s="90"/>
      <c r="C844" s="90"/>
      <c r="D844" s="69"/>
      <c r="E844" s="69"/>
      <c r="F844" s="90"/>
      <c r="G844" s="90"/>
      <c r="H844" s="76"/>
      <c r="I844" s="69"/>
      <c r="J844" s="68"/>
      <c r="K844" s="68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</row>
    <row r="845">
      <c r="A845" s="14"/>
      <c r="B845" s="90"/>
      <c r="C845" s="90"/>
      <c r="D845" s="69"/>
      <c r="E845" s="69"/>
      <c r="F845" s="90"/>
      <c r="G845" s="90"/>
      <c r="H845" s="76"/>
      <c r="I845" s="69"/>
      <c r="J845" s="68"/>
      <c r="K845" s="68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</row>
    <row r="846">
      <c r="A846" s="14"/>
      <c r="B846" s="90"/>
      <c r="C846" s="90"/>
      <c r="D846" s="69"/>
      <c r="E846" s="69"/>
      <c r="F846" s="90"/>
      <c r="G846" s="90"/>
      <c r="H846" s="76"/>
      <c r="I846" s="69"/>
      <c r="J846" s="68"/>
      <c r="K846" s="68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</row>
    <row r="847">
      <c r="A847" s="14"/>
      <c r="B847" s="90"/>
      <c r="C847" s="90"/>
      <c r="D847" s="69"/>
      <c r="E847" s="69"/>
      <c r="F847" s="90"/>
      <c r="G847" s="90"/>
      <c r="H847" s="76"/>
      <c r="I847" s="69"/>
      <c r="J847" s="68"/>
      <c r="K847" s="68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</row>
    <row r="848">
      <c r="A848" s="14"/>
      <c r="B848" s="90"/>
      <c r="C848" s="90"/>
      <c r="D848" s="69"/>
      <c r="E848" s="69"/>
      <c r="F848" s="90"/>
      <c r="G848" s="90"/>
      <c r="H848" s="76"/>
      <c r="I848" s="69"/>
      <c r="J848" s="68"/>
      <c r="K848" s="68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</row>
    <row r="849">
      <c r="A849" s="14"/>
      <c r="B849" s="90"/>
      <c r="C849" s="90"/>
      <c r="D849" s="69"/>
      <c r="E849" s="69"/>
      <c r="F849" s="90"/>
      <c r="G849" s="90"/>
      <c r="H849" s="76"/>
      <c r="I849" s="69"/>
      <c r="J849" s="68"/>
      <c r="K849" s="68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</row>
    <row r="850">
      <c r="A850" s="14"/>
      <c r="B850" s="90"/>
      <c r="C850" s="90"/>
      <c r="D850" s="69"/>
      <c r="E850" s="69"/>
      <c r="F850" s="90"/>
      <c r="G850" s="90"/>
      <c r="H850" s="76"/>
      <c r="I850" s="69"/>
      <c r="J850" s="68"/>
      <c r="K850" s="68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</row>
    <row r="851">
      <c r="A851" s="14"/>
      <c r="B851" s="90"/>
      <c r="C851" s="90"/>
      <c r="D851" s="69"/>
      <c r="E851" s="69"/>
      <c r="F851" s="90"/>
      <c r="G851" s="90"/>
      <c r="H851" s="76"/>
      <c r="I851" s="69"/>
      <c r="J851" s="68"/>
      <c r="K851" s="68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</row>
    <row r="852">
      <c r="A852" s="14"/>
      <c r="B852" s="90"/>
      <c r="C852" s="90"/>
      <c r="D852" s="69"/>
      <c r="E852" s="69"/>
      <c r="F852" s="90"/>
      <c r="G852" s="90"/>
      <c r="H852" s="76"/>
      <c r="I852" s="69"/>
      <c r="J852" s="68"/>
      <c r="K852" s="68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</row>
    <row r="853">
      <c r="A853" s="14"/>
      <c r="B853" s="90"/>
      <c r="C853" s="90"/>
      <c r="D853" s="69"/>
      <c r="E853" s="69"/>
      <c r="F853" s="90"/>
      <c r="G853" s="90"/>
      <c r="H853" s="76"/>
      <c r="I853" s="69"/>
      <c r="J853" s="68"/>
      <c r="K853" s="68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</row>
    <row r="854">
      <c r="A854" s="14"/>
      <c r="B854" s="90"/>
      <c r="C854" s="90"/>
      <c r="D854" s="69"/>
      <c r="E854" s="69"/>
      <c r="F854" s="90"/>
      <c r="G854" s="90"/>
      <c r="H854" s="76"/>
      <c r="I854" s="69"/>
      <c r="J854" s="68"/>
      <c r="K854" s="68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</row>
    <row r="855">
      <c r="A855" s="14"/>
      <c r="B855" s="90"/>
      <c r="C855" s="90"/>
      <c r="D855" s="69"/>
      <c r="E855" s="69"/>
      <c r="F855" s="90"/>
      <c r="G855" s="90"/>
      <c r="H855" s="76"/>
      <c r="I855" s="69"/>
      <c r="J855" s="68"/>
      <c r="K855" s="68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</row>
    <row r="856">
      <c r="A856" s="14"/>
      <c r="B856" s="90"/>
      <c r="C856" s="90"/>
      <c r="D856" s="69"/>
      <c r="E856" s="69"/>
      <c r="F856" s="90"/>
      <c r="G856" s="90"/>
      <c r="H856" s="76"/>
      <c r="I856" s="69"/>
      <c r="J856" s="68"/>
      <c r="K856" s="68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</row>
    <row r="857">
      <c r="A857" s="14"/>
      <c r="B857" s="90"/>
      <c r="C857" s="90"/>
      <c r="D857" s="69"/>
      <c r="E857" s="69"/>
      <c r="F857" s="90"/>
      <c r="G857" s="90"/>
      <c r="H857" s="76"/>
      <c r="I857" s="69"/>
      <c r="J857" s="68"/>
      <c r="K857" s="68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</row>
    <row r="858">
      <c r="A858" s="14"/>
      <c r="B858" s="90"/>
      <c r="C858" s="90"/>
      <c r="D858" s="69"/>
      <c r="E858" s="69"/>
      <c r="F858" s="90"/>
      <c r="G858" s="90"/>
      <c r="H858" s="76"/>
      <c r="I858" s="69"/>
      <c r="J858" s="68"/>
      <c r="K858" s="68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</row>
    <row r="859">
      <c r="A859" s="14"/>
      <c r="B859" s="90"/>
      <c r="C859" s="90"/>
      <c r="D859" s="69"/>
      <c r="E859" s="69"/>
      <c r="F859" s="90"/>
      <c r="G859" s="90"/>
      <c r="H859" s="76"/>
      <c r="I859" s="69"/>
      <c r="J859" s="68"/>
      <c r="K859" s="68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</row>
    <row r="860">
      <c r="A860" s="14"/>
      <c r="B860" s="90"/>
      <c r="C860" s="90"/>
      <c r="D860" s="69"/>
      <c r="E860" s="69"/>
      <c r="F860" s="90"/>
      <c r="G860" s="90"/>
      <c r="H860" s="76"/>
      <c r="I860" s="69"/>
      <c r="J860" s="68"/>
      <c r="K860" s="68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</row>
    <row r="861">
      <c r="A861" s="14"/>
      <c r="B861" s="90"/>
      <c r="C861" s="90"/>
      <c r="D861" s="69"/>
      <c r="E861" s="69"/>
      <c r="F861" s="90"/>
      <c r="G861" s="90"/>
      <c r="H861" s="76"/>
      <c r="I861" s="69"/>
      <c r="J861" s="68"/>
      <c r="K861" s="68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</row>
    <row r="862">
      <c r="A862" s="14"/>
      <c r="B862" s="90"/>
      <c r="C862" s="90"/>
      <c r="D862" s="69"/>
      <c r="E862" s="69"/>
      <c r="F862" s="90"/>
      <c r="G862" s="90"/>
      <c r="H862" s="76"/>
      <c r="I862" s="69"/>
      <c r="J862" s="68"/>
      <c r="K862" s="68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</row>
    <row r="863">
      <c r="A863" s="14"/>
      <c r="B863" s="90"/>
      <c r="C863" s="90"/>
      <c r="D863" s="69"/>
      <c r="E863" s="69"/>
      <c r="F863" s="90"/>
      <c r="G863" s="90"/>
      <c r="H863" s="76"/>
      <c r="I863" s="69"/>
      <c r="J863" s="68"/>
      <c r="K863" s="68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</row>
    <row r="864">
      <c r="A864" s="14"/>
      <c r="B864" s="90"/>
      <c r="C864" s="90"/>
      <c r="D864" s="69"/>
      <c r="E864" s="69"/>
      <c r="F864" s="90"/>
      <c r="G864" s="90"/>
      <c r="H864" s="76"/>
      <c r="I864" s="69"/>
      <c r="J864" s="68"/>
      <c r="K864" s="68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</row>
    <row r="865">
      <c r="A865" s="14"/>
      <c r="B865" s="90"/>
      <c r="C865" s="90"/>
      <c r="D865" s="69"/>
      <c r="E865" s="69"/>
      <c r="F865" s="90"/>
      <c r="G865" s="90"/>
      <c r="H865" s="76"/>
      <c r="I865" s="69"/>
      <c r="J865" s="68"/>
      <c r="K865" s="68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</row>
    <row r="866">
      <c r="A866" s="14"/>
      <c r="B866" s="90"/>
      <c r="C866" s="90"/>
      <c r="D866" s="69"/>
      <c r="E866" s="69"/>
      <c r="F866" s="90"/>
      <c r="G866" s="90"/>
      <c r="H866" s="76"/>
      <c r="I866" s="69"/>
      <c r="J866" s="68"/>
      <c r="K866" s="68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</row>
    <row r="867">
      <c r="A867" s="14"/>
      <c r="B867" s="90"/>
      <c r="C867" s="90"/>
      <c r="D867" s="69"/>
      <c r="E867" s="69"/>
      <c r="F867" s="90"/>
      <c r="G867" s="90"/>
      <c r="H867" s="76"/>
      <c r="I867" s="69"/>
      <c r="J867" s="68"/>
      <c r="K867" s="68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</row>
    <row r="868">
      <c r="A868" s="14"/>
      <c r="B868" s="90"/>
      <c r="C868" s="90"/>
      <c r="D868" s="69"/>
      <c r="E868" s="69"/>
      <c r="F868" s="90"/>
      <c r="G868" s="90"/>
      <c r="H868" s="76"/>
      <c r="I868" s="69"/>
      <c r="J868" s="68"/>
      <c r="K868" s="68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</row>
    <row r="869">
      <c r="A869" s="14"/>
      <c r="B869" s="90"/>
      <c r="C869" s="90"/>
      <c r="D869" s="69"/>
      <c r="E869" s="69"/>
      <c r="F869" s="90"/>
      <c r="G869" s="90"/>
      <c r="H869" s="76"/>
      <c r="I869" s="69"/>
      <c r="J869" s="68"/>
      <c r="K869" s="68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</row>
    <row r="870">
      <c r="A870" s="14"/>
      <c r="B870" s="90"/>
      <c r="C870" s="90"/>
      <c r="D870" s="69"/>
      <c r="E870" s="69"/>
      <c r="F870" s="90"/>
      <c r="G870" s="90"/>
      <c r="H870" s="76"/>
      <c r="I870" s="69"/>
      <c r="J870" s="68"/>
      <c r="K870" s="68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</row>
    <row r="871">
      <c r="A871" s="14"/>
      <c r="B871" s="90"/>
      <c r="C871" s="90"/>
      <c r="D871" s="69"/>
      <c r="E871" s="69"/>
      <c r="F871" s="90"/>
      <c r="G871" s="90"/>
      <c r="H871" s="76"/>
      <c r="I871" s="69"/>
      <c r="J871" s="68"/>
      <c r="K871" s="68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</row>
    <row r="872">
      <c r="A872" s="14"/>
      <c r="B872" s="90"/>
      <c r="C872" s="90"/>
      <c r="D872" s="69"/>
      <c r="E872" s="69"/>
      <c r="F872" s="90"/>
      <c r="G872" s="90"/>
      <c r="H872" s="76"/>
      <c r="I872" s="69"/>
      <c r="J872" s="68"/>
      <c r="K872" s="68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</row>
    <row r="873">
      <c r="A873" s="14"/>
      <c r="B873" s="90"/>
      <c r="C873" s="90"/>
      <c r="D873" s="69"/>
      <c r="E873" s="69"/>
      <c r="F873" s="90"/>
      <c r="G873" s="90"/>
      <c r="H873" s="76"/>
      <c r="I873" s="69"/>
      <c r="J873" s="68"/>
      <c r="K873" s="68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</row>
    <row r="874">
      <c r="A874" s="14"/>
      <c r="B874" s="90"/>
      <c r="C874" s="90"/>
      <c r="D874" s="69"/>
      <c r="E874" s="69"/>
      <c r="F874" s="90"/>
      <c r="G874" s="90"/>
      <c r="H874" s="76"/>
      <c r="I874" s="69"/>
      <c r="J874" s="68"/>
      <c r="K874" s="68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</row>
    <row r="875">
      <c r="A875" s="14"/>
      <c r="B875" s="90"/>
      <c r="C875" s="90"/>
      <c r="D875" s="69"/>
      <c r="E875" s="69"/>
      <c r="F875" s="90"/>
      <c r="G875" s="90"/>
      <c r="H875" s="76"/>
      <c r="I875" s="69"/>
      <c r="J875" s="68"/>
      <c r="K875" s="68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</row>
    <row r="876">
      <c r="A876" s="14"/>
      <c r="B876" s="90"/>
      <c r="C876" s="90"/>
      <c r="D876" s="69"/>
      <c r="E876" s="69"/>
      <c r="F876" s="90"/>
      <c r="G876" s="90"/>
      <c r="H876" s="76"/>
      <c r="I876" s="69"/>
      <c r="J876" s="68"/>
      <c r="K876" s="68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</row>
    <row r="877">
      <c r="A877" s="14"/>
      <c r="B877" s="90"/>
      <c r="C877" s="90"/>
      <c r="D877" s="69"/>
      <c r="E877" s="69"/>
      <c r="F877" s="90"/>
      <c r="G877" s="90"/>
      <c r="H877" s="76"/>
      <c r="I877" s="69"/>
      <c r="J877" s="68"/>
      <c r="K877" s="68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</row>
    <row r="878">
      <c r="A878" s="14"/>
      <c r="B878" s="90"/>
      <c r="C878" s="90"/>
      <c r="D878" s="69"/>
      <c r="E878" s="69"/>
      <c r="F878" s="90"/>
      <c r="G878" s="90"/>
      <c r="H878" s="76"/>
      <c r="I878" s="69"/>
      <c r="J878" s="68"/>
      <c r="K878" s="68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</row>
    <row r="879">
      <c r="A879" s="14"/>
      <c r="B879" s="90"/>
      <c r="C879" s="90"/>
      <c r="D879" s="69"/>
      <c r="E879" s="69"/>
      <c r="F879" s="90"/>
      <c r="G879" s="90"/>
      <c r="H879" s="76"/>
      <c r="I879" s="69"/>
      <c r="J879" s="68"/>
      <c r="K879" s="68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</row>
    <row r="880">
      <c r="A880" s="14"/>
      <c r="B880" s="90"/>
      <c r="C880" s="90"/>
      <c r="D880" s="69"/>
      <c r="E880" s="69"/>
      <c r="F880" s="90"/>
      <c r="G880" s="90"/>
      <c r="H880" s="76"/>
      <c r="I880" s="69"/>
      <c r="J880" s="68"/>
      <c r="K880" s="68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</row>
    <row r="881">
      <c r="A881" s="14"/>
      <c r="B881" s="90"/>
      <c r="C881" s="90"/>
      <c r="D881" s="69"/>
      <c r="E881" s="69"/>
      <c r="F881" s="90"/>
      <c r="G881" s="90"/>
      <c r="H881" s="76"/>
      <c r="I881" s="69"/>
      <c r="J881" s="68"/>
      <c r="K881" s="68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</row>
    <row r="882">
      <c r="A882" s="14"/>
      <c r="B882" s="90"/>
      <c r="C882" s="90"/>
      <c r="D882" s="69"/>
      <c r="E882" s="69"/>
      <c r="F882" s="90"/>
      <c r="G882" s="90"/>
      <c r="H882" s="76"/>
      <c r="I882" s="69"/>
      <c r="J882" s="68"/>
      <c r="K882" s="68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</row>
    <row r="883">
      <c r="A883" s="14"/>
      <c r="B883" s="90"/>
      <c r="C883" s="90"/>
      <c r="D883" s="69"/>
      <c r="E883" s="69"/>
      <c r="F883" s="90"/>
      <c r="G883" s="90"/>
      <c r="H883" s="76"/>
      <c r="I883" s="69"/>
      <c r="J883" s="68"/>
      <c r="K883" s="68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</row>
    <row r="884">
      <c r="A884" s="14"/>
      <c r="B884" s="90"/>
      <c r="C884" s="90"/>
      <c r="D884" s="69"/>
      <c r="E884" s="69"/>
      <c r="F884" s="90"/>
      <c r="G884" s="90"/>
      <c r="H884" s="76"/>
      <c r="I884" s="69"/>
      <c r="J884" s="68"/>
      <c r="K884" s="68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</row>
    <row r="885">
      <c r="A885" s="14"/>
      <c r="B885" s="90"/>
      <c r="C885" s="90"/>
      <c r="D885" s="69"/>
      <c r="E885" s="69"/>
      <c r="F885" s="90"/>
      <c r="G885" s="90"/>
      <c r="H885" s="76"/>
      <c r="I885" s="69"/>
      <c r="J885" s="68"/>
      <c r="K885" s="68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</row>
    <row r="886">
      <c r="A886" s="14"/>
      <c r="B886" s="90"/>
      <c r="C886" s="90"/>
      <c r="D886" s="69"/>
      <c r="E886" s="69"/>
      <c r="F886" s="90"/>
      <c r="G886" s="90"/>
      <c r="H886" s="76"/>
      <c r="I886" s="69"/>
      <c r="J886" s="68"/>
      <c r="K886" s="68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</row>
    <row r="887">
      <c r="A887" s="14"/>
      <c r="B887" s="90"/>
      <c r="C887" s="90"/>
      <c r="D887" s="69"/>
      <c r="E887" s="69"/>
      <c r="F887" s="90"/>
      <c r="G887" s="90"/>
      <c r="H887" s="76"/>
      <c r="I887" s="69"/>
      <c r="J887" s="68"/>
      <c r="K887" s="68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</row>
    <row r="888">
      <c r="A888" s="14"/>
      <c r="B888" s="90"/>
      <c r="C888" s="90"/>
      <c r="D888" s="69"/>
      <c r="E888" s="69"/>
      <c r="F888" s="90"/>
      <c r="G888" s="90"/>
      <c r="H888" s="76"/>
      <c r="I888" s="69"/>
      <c r="J888" s="68"/>
      <c r="K888" s="68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</row>
    <row r="889">
      <c r="A889" s="14"/>
      <c r="B889" s="90"/>
      <c r="C889" s="90"/>
      <c r="D889" s="69"/>
      <c r="E889" s="69"/>
      <c r="F889" s="90"/>
      <c r="G889" s="90"/>
      <c r="H889" s="76"/>
      <c r="I889" s="69"/>
      <c r="J889" s="68"/>
      <c r="K889" s="68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</row>
    <row r="890">
      <c r="A890" s="14"/>
      <c r="B890" s="90"/>
      <c r="C890" s="90"/>
      <c r="D890" s="69"/>
      <c r="E890" s="69"/>
      <c r="F890" s="90"/>
      <c r="G890" s="90"/>
      <c r="H890" s="76"/>
      <c r="I890" s="69"/>
      <c r="J890" s="68"/>
      <c r="K890" s="68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</row>
    <row r="891">
      <c r="A891" s="14"/>
      <c r="B891" s="90"/>
      <c r="C891" s="90"/>
      <c r="D891" s="69"/>
      <c r="E891" s="69"/>
      <c r="F891" s="90"/>
      <c r="G891" s="90"/>
      <c r="H891" s="76"/>
      <c r="I891" s="69"/>
      <c r="J891" s="68"/>
      <c r="K891" s="68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</row>
    <row r="892">
      <c r="A892" s="14"/>
      <c r="B892" s="90"/>
      <c r="C892" s="90"/>
      <c r="D892" s="69"/>
      <c r="E892" s="69"/>
      <c r="F892" s="90"/>
      <c r="G892" s="90"/>
      <c r="H892" s="76"/>
      <c r="I892" s="69"/>
      <c r="J892" s="68"/>
      <c r="K892" s="68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</row>
    <row r="893">
      <c r="A893" s="14"/>
      <c r="B893" s="90"/>
      <c r="C893" s="90"/>
      <c r="D893" s="69"/>
      <c r="E893" s="69"/>
      <c r="F893" s="90"/>
      <c r="G893" s="90"/>
      <c r="H893" s="76"/>
      <c r="I893" s="69"/>
      <c r="J893" s="68"/>
      <c r="K893" s="68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</row>
    <row r="894">
      <c r="A894" s="14"/>
      <c r="B894" s="90"/>
      <c r="C894" s="90"/>
      <c r="D894" s="69"/>
      <c r="E894" s="69"/>
      <c r="F894" s="90"/>
      <c r="G894" s="90"/>
      <c r="H894" s="76"/>
      <c r="I894" s="69"/>
      <c r="J894" s="68"/>
      <c r="K894" s="68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</row>
    <row r="895">
      <c r="A895" s="14"/>
      <c r="B895" s="90"/>
      <c r="C895" s="90"/>
      <c r="D895" s="69"/>
      <c r="E895" s="69"/>
      <c r="F895" s="90"/>
      <c r="G895" s="90"/>
      <c r="H895" s="76"/>
      <c r="I895" s="69"/>
      <c r="J895" s="68"/>
      <c r="K895" s="68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</row>
    <row r="896">
      <c r="A896" s="14"/>
      <c r="B896" s="90"/>
      <c r="C896" s="90"/>
      <c r="D896" s="69"/>
      <c r="E896" s="69"/>
      <c r="F896" s="90"/>
      <c r="G896" s="90"/>
      <c r="H896" s="76"/>
      <c r="I896" s="69"/>
      <c r="J896" s="68"/>
      <c r="K896" s="68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</row>
    <row r="897">
      <c r="A897" s="14"/>
      <c r="B897" s="90"/>
      <c r="C897" s="90"/>
      <c r="D897" s="69"/>
      <c r="E897" s="69"/>
      <c r="F897" s="90"/>
      <c r="G897" s="90"/>
      <c r="H897" s="76"/>
      <c r="I897" s="69"/>
      <c r="J897" s="68"/>
      <c r="K897" s="68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</row>
    <row r="898">
      <c r="A898" s="14"/>
      <c r="B898" s="90"/>
      <c r="C898" s="90"/>
      <c r="D898" s="69"/>
      <c r="E898" s="69"/>
      <c r="F898" s="90"/>
      <c r="G898" s="90"/>
      <c r="H898" s="76"/>
      <c r="I898" s="69"/>
      <c r="J898" s="68"/>
      <c r="K898" s="68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</row>
    <row r="899">
      <c r="A899" s="14"/>
      <c r="B899" s="90"/>
      <c r="C899" s="90"/>
      <c r="D899" s="69"/>
      <c r="E899" s="69"/>
      <c r="F899" s="90"/>
      <c r="G899" s="90"/>
      <c r="H899" s="76"/>
      <c r="I899" s="69"/>
      <c r="J899" s="68"/>
      <c r="K899" s="68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</row>
    <row r="900">
      <c r="A900" s="14"/>
      <c r="B900" s="90"/>
      <c r="C900" s="90"/>
      <c r="D900" s="69"/>
      <c r="E900" s="69"/>
      <c r="F900" s="90"/>
      <c r="G900" s="90"/>
      <c r="H900" s="76"/>
      <c r="I900" s="69"/>
      <c r="J900" s="68"/>
      <c r="K900" s="68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</row>
    <row r="901">
      <c r="A901" s="14"/>
      <c r="B901" s="90"/>
      <c r="C901" s="90"/>
      <c r="D901" s="69"/>
      <c r="E901" s="69"/>
      <c r="F901" s="90"/>
      <c r="G901" s="90"/>
      <c r="H901" s="76"/>
      <c r="I901" s="69"/>
      <c r="J901" s="68"/>
      <c r="K901" s="68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</row>
    <row r="902">
      <c r="A902" s="14"/>
      <c r="B902" s="90"/>
      <c r="C902" s="90"/>
      <c r="D902" s="69"/>
      <c r="E902" s="69"/>
      <c r="F902" s="90"/>
      <c r="G902" s="90"/>
      <c r="H902" s="76"/>
      <c r="I902" s="69"/>
      <c r="J902" s="68"/>
      <c r="K902" s="68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</row>
    <row r="903">
      <c r="A903" s="14"/>
      <c r="B903" s="90"/>
      <c r="C903" s="90"/>
      <c r="D903" s="69"/>
      <c r="E903" s="69"/>
      <c r="F903" s="90"/>
      <c r="G903" s="90"/>
      <c r="H903" s="76"/>
      <c r="I903" s="69"/>
      <c r="J903" s="68"/>
      <c r="K903" s="68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</row>
    <row r="904">
      <c r="A904" s="14"/>
      <c r="B904" s="90"/>
      <c r="C904" s="90"/>
      <c r="D904" s="69"/>
      <c r="E904" s="69"/>
      <c r="F904" s="90"/>
      <c r="G904" s="90"/>
      <c r="H904" s="76"/>
      <c r="I904" s="69"/>
      <c r="J904" s="68"/>
      <c r="K904" s="68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</row>
    <row r="905">
      <c r="A905" s="14"/>
      <c r="B905" s="90"/>
      <c r="C905" s="90"/>
      <c r="D905" s="69"/>
      <c r="E905" s="69"/>
      <c r="F905" s="90"/>
      <c r="G905" s="90"/>
      <c r="H905" s="76"/>
      <c r="I905" s="69"/>
      <c r="J905" s="68"/>
      <c r="K905" s="68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</row>
    <row r="906">
      <c r="A906" s="14"/>
      <c r="B906" s="90"/>
      <c r="C906" s="90"/>
      <c r="D906" s="69"/>
      <c r="E906" s="69"/>
      <c r="F906" s="90"/>
      <c r="G906" s="90"/>
      <c r="H906" s="76"/>
      <c r="I906" s="69"/>
      <c r="J906" s="68"/>
      <c r="K906" s="68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</row>
    <row r="907">
      <c r="A907" s="14"/>
      <c r="B907" s="90"/>
      <c r="C907" s="90"/>
      <c r="D907" s="69"/>
      <c r="E907" s="69"/>
      <c r="F907" s="90"/>
      <c r="G907" s="90"/>
      <c r="H907" s="76"/>
      <c r="I907" s="69"/>
      <c r="J907" s="68"/>
      <c r="K907" s="68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</row>
    <row r="908">
      <c r="A908" s="14"/>
      <c r="B908" s="90"/>
      <c r="C908" s="90"/>
      <c r="D908" s="69"/>
      <c r="E908" s="69"/>
      <c r="F908" s="90"/>
      <c r="G908" s="90"/>
      <c r="H908" s="76"/>
      <c r="I908" s="69"/>
      <c r="J908" s="68"/>
      <c r="K908" s="68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</row>
    <row r="909">
      <c r="A909" s="14"/>
      <c r="B909" s="90"/>
      <c r="C909" s="90"/>
      <c r="D909" s="69"/>
      <c r="E909" s="69"/>
      <c r="F909" s="90"/>
      <c r="G909" s="90"/>
      <c r="H909" s="76"/>
      <c r="I909" s="69"/>
      <c r="J909" s="68"/>
      <c r="K909" s="68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</row>
    <row r="910">
      <c r="A910" s="14"/>
      <c r="B910" s="90"/>
      <c r="C910" s="90"/>
      <c r="D910" s="69"/>
      <c r="E910" s="69"/>
      <c r="F910" s="90"/>
      <c r="G910" s="90"/>
      <c r="H910" s="76"/>
      <c r="I910" s="69"/>
      <c r="J910" s="68"/>
      <c r="K910" s="68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</row>
    <row r="911">
      <c r="A911" s="14"/>
      <c r="B911" s="90"/>
      <c r="C911" s="90"/>
      <c r="D911" s="69"/>
      <c r="E911" s="69"/>
      <c r="F911" s="90"/>
      <c r="G911" s="90"/>
      <c r="H911" s="76"/>
      <c r="I911" s="69"/>
      <c r="J911" s="68"/>
      <c r="K911" s="68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</row>
    <row r="912">
      <c r="A912" s="14"/>
      <c r="B912" s="90"/>
      <c r="C912" s="90"/>
      <c r="D912" s="69"/>
      <c r="E912" s="69"/>
      <c r="F912" s="90"/>
      <c r="G912" s="90"/>
      <c r="H912" s="76"/>
      <c r="I912" s="69"/>
      <c r="J912" s="68"/>
      <c r="K912" s="68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</row>
    <row r="913">
      <c r="A913" s="14"/>
      <c r="B913" s="90"/>
      <c r="C913" s="90"/>
      <c r="D913" s="69"/>
      <c r="E913" s="69"/>
      <c r="F913" s="90"/>
      <c r="G913" s="90"/>
      <c r="H913" s="76"/>
      <c r="I913" s="69"/>
      <c r="J913" s="68"/>
      <c r="K913" s="68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</row>
    <row r="914">
      <c r="A914" s="14"/>
      <c r="B914" s="90"/>
      <c r="C914" s="90"/>
      <c r="D914" s="69"/>
      <c r="E914" s="69"/>
      <c r="F914" s="90"/>
      <c r="G914" s="90"/>
      <c r="H914" s="76"/>
      <c r="I914" s="69"/>
      <c r="J914" s="68"/>
      <c r="K914" s="68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</row>
    <row r="915">
      <c r="A915" s="14"/>
      <c r="B915" s="90"/>
      <c r="C915" s="90"/>
      <c r="D915" s="69"/>
      <c r="E915" s="69"/>
      <c r="F915" s="90"/>
      <c r="G915" s="90"/>
      <c r="H915" s="76"/>
      <c r="I915" s="69"/>
      <c r="J915" s="68"/>
      <c r="K915" s="68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</row>
    <row r="916">
      <c r="A916" s="14"/>
      <c r="B916" s="90"/>
      <c r="C916" s="90"/>
      <c r="D916" s="69"/>
      <c r="E916" s="69"/>
      <c r="F916" s="90"/>
      <c r="G916" s="90"/>
      <c r="H916" s="76"/>
      <c r="I916" s="69"/>
      <c r="J916" s="68"/>
      <c r="K916" s="68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</row>
    <row r="917">
      <c r="A917" s="14"/>
      <c r="B917" s="90"/>
      <c r="C917" s="90"/>
      <c r="D917" s="69"/>
      <c r="E917" s="69"/>
      <c r="F917" s="90"/>
      <c r="G917" s="90"/>
      <c r="H917" s="76"/>
      <c r="I917" s="69"/>
      <c r="J917" s="68"/>
      <c r="K917" s="68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</row>
    <row r="918">
      <c r="A918" s="14"/>
      <c r="B918" s="90"/>
      <c r="C918" s="90"/>
      <c r="D918" s="69"/>
      <c r="E918" s="69"/>
      <c r="F918" s="90"/>
      <c r="G918" s="90"/>
      <c r="H918" s="76"/>
      <c r="I918" s="69"/>
      <c r="J918" s="68"/>
      <c r="K918" s="68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</row>
    <row r="919">
      <c r="A919" s="14"/>
      <c r="B919" s="90"/>
      <c r="C919" s="90"/>
      <c r="D919" s="69"/>
      <c r="E919" s="69"/>
      <c r="F919" s="90"/>
      <c r="G919" s="90"/>
      <c r="H919" s="76"/>
      <c r="I919" s="69"/>
      <c r="J919" s="68"/>
      <c r="K919" s="68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</row>
    <row r="920">
      <c r="A920" s="14"/>
      <c r="B920" s="90"/>
      <c r="C920" s="90"/>
      <c r="D920" s="69"/>
      <c r="E920" s="69"/>
      <c r="F920" s="90"/>
      <c r="G920" s="90"/>
      <c r="H920" s="76"/>
      <c r="I920" s="69"/>
      <c r="J920" s="68"/>
      <c r="K920" s="68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</row>
    <row r="921">
      <c r="A921" s="14"/>
      <c r="B921" s="90"/>
      <c r="C921" s="90"/>
      <c r="D921" s="69"/>
      <c r="E921" s="69"/>
      <c r="F921" s="90"/>
      <c r="G921" s="90"/>
      <c r="H921" s="76"/>
      <c r="I921" s="69"/>
      <c r="J921" s="68"/>
      <c r="K921" s="68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</row>
    <row r="922">
      <c r="A922" s="14"/>
      <c r="B922" s="90"/>
      <c r="C922" s="90"/>
      <c r="D922" s="69"/>
      <c r="E922" s="69"/>
      <c r="F922" s="90"/>
      <c r="G922" s="90"/>
      <c r="H922" s="76"/>
      <c r="I922" s="69"/>
      <c r="J922" s="68"/>
      <c r="K922" s="68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</row>
    <row r="923">
      <c r="A923" s="14"/>
      <c r="B923" s="90"/>
      <c r="C923" s="90"/>
      <c r="D923" s="69"/>
      <c r="E923" s="69"/>
      <c r="F923" s="90"/>
      <c r="G923" s="90"/>
      <c r="H923" s="76"/>
      <c r="I923" s="69"/>
      <c r="J923" s="68"/>
      <c r="K923" s="68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</row>
    <row r="924">
      <c r="A924" s="14"/>
      <c r="B924" s="90"/>
      <c r="C924" s="90"/>
      <c r="D924" s="69"/>
      <c r="E924" s="69"/>
      <c r="F924" s="90"/>
      <c r="G924" s="90"/>
      <c r="H924" s="76"/>
      <c r="I924" s="69"/>
      <c r="J924" s="68"/>
      <c r="K924" s="68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</row>
    <row r="925">
      <c r="A925" s="14"/>
      <c r="B925" s="90"/>
      <c r="C925" s="90"/>
      <c r="D925" s="69"/>
      <c r="E925" s="69"/>
      <c r="F925" s="90"/>
      <c r="G925" s="90"/>
      <c r="H925" s="76"/>
      <c r="I925" s="69"/>
      <c r="J925" s="68"/>
      <c r="K925" s="68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</row>
    <row r="926">
      <c r="A926" s="14"/>
      <c r="B926" s="90"/>
      <c r="C926" s="90"/>
      <c r="D926" s="69"/>
      <c r="E926" s="69"/>
      <c r="F926" s="90"/>
      <c r="G926" s="90"/>
      <c r="H926" s="76"/>
      <c r="I926" s="69"/>
      <c r="J926" s="68"/>
      <c r="K926" s="68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</row>
    <row r="927">
      <c r="A927" s="14"/>
      <c r="B927" s="90"/>
      <c r="C927" s="90"/>
      <c r="D927" s="69"/>
      <c r="E927" s="69"/>
      <c r="F927" s="90"/>
      <c r="G927" s="90"/>
      <c r="H927" s="76"/>
      <c r="I927" s="69"/>
      <c r="J927" s="68"/>
      <c r="K927" s="68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</row>
    <row r="928">
      <c r="A928" s="14"/>
      <c r="B928" s="90"/>
      <c r="C928" s="90"/>
      <c r="D928" s="69"/>
      <c r="E928" s="69"/>
      <c r="F928" s="90"/>
      <c r="G928" s="90"/>
      <c r="H928" s="76"/>
      <c r="I928" s="69"/>
      <c r="J928" s="68"/>
      <c r="K928" s="68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</row>
    <row r="929">
      <c r="A929" s="14"/>
      <c r="B929" s="90"/>
      <c r="C929" s="90"/>
      <c r="D929" s="69"/>
      <c r="E929" s="69"/>
      <c r="F929" s="90"/>
      <c r="G929" s="90"/>
      <c r="H929" s="76"/>
      <c r="I929" s="69"/>
      <c r="J929" s="68"/>
      <c r="K929" s="68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</row>
    <row r="930">
      <c r="A930" s="14"/>
      <c r="B930" s="90"/>
      <c r="C930" s="90"/>
      <c r="D930" s="69"/>
      <c r="E930" s="69"/>
      <c r="F930" s="90"/>
      <c r="G930" s="90"/>
      <c r="H930" s="76"/>
      <c r="I930" s="69"/>
      <c r="J930" s="68"/>
      <c r="K930" s="68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</row>
    <row r="931">
      <c r="A931" s="14"/>
      <c r="B931" s="90"/>
      <c r="C931" s="90"/>
      <c r="D931" s="69"/>
      <c r="E931" s="69"/>
      <c r="F931" s="90"/>
      <c r="G931" s="90"/>
      <c r="H931" s="76"/>
      <c r="I931" s="69"/>
      <c r="J931" s="68"/>
      <c r="K931" s="68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</row>
    <row r="932">
      <c r="A932" s="14"/>
      <c r="B932" s="90"/>
      <c r="C932" s="90"/>
      <c r="D932" s="69"/>
      <c r="E932" s="69"/>
      <c r="F932" s="90"/>
      <c r="G932" s="90"/>
      <c r="H932" s="76"/>
      <c r="I932" s="69"/>
      <c r="J932" s="68"/>
      <c r="K932" s="68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</row>
    <row r="933">
      <c r="A933" s="14"/>
      <c r="B933" s="90"/>
      <c r="C933" s="90"/>
      <c r="D933" s="69"/>
      <c r="E933" s="69"/>
      <c r="F933" s="90"/>
      <c r="G933" s="90"/>
      <c r="H933" s="76"/>
      <c r="I933" s="69"/>
      <c r="J933" s="68"/>
      <c r="K933" s="68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</row>
    <row r="934">
      <c r="A934" s="14"/>
      <c r="B934" s="90"/>
      <c r="C934" s="90"/>
      <c r="D934" s="69"/>
      <c r="E934" s="69"/>
      <c r="F934" s="90"/>
      <c r="G934" s="90"/>
      <c r="H934" s="76"/>
      <c r="I934" s="69"/>
      <c r="J934" s="68"/>
      <c r="K934" s="68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</row>
    <row r="935">
      <c r="A935" s="14"/>
      <c r="B935" s="90"/>
      <c r="C935" s="90"/>
      <c r="D935" s="69"/>
      <c r="E935" s="69"/>
      <c r="F935" s="90"/>
      <c r="G935" s="90"/>
      <c r="H935" s="76"/>
      <c r="I935" s="69"/>
      <c r="J935" s="68"/>
      <c r="K935" s="68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</row>
    <row r="936">
      <c r="A936" s="14"/>
      <c r="B936" s="90"/>
      <c r="C936" s="90"/>
      <c r="D936" s="69"/>
      <c r="E936" s="69"/>
      <c r="F936" s="90"/>
      <c r="G936" s="90"/>
      <c r="H936" s="76"/>
      <c r="I936" s="69"/>
      <c r="J936" s="68"/>
      <c r="K936" s="68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</row>
    <row r="937">
      <c r="A937" s="14"/>
      <c r="B937" s="90"/>
      <c r="C937" s="90"/>
      <c r="D937" s="69"/>
      <c r="E937" s="69"/>
      <c r="F937" s="90"/>
      <c r="G937" s="90"/>
      <c r="H937" s="76"/>
      <c r="I937" s="69"/>
      <c r="J937" s="68"/>
      <c r="K937" s="68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</row>
    <row r="938">
      <c r="A938" s="14"/>
      <c r="B938" s="90"/>
      <c r="C938" s="90"/>
      <c r="D938" s="69"/>
      <c r="E938" s="69"/>
      <c r="F938" s="90"/>
      <c r="G938" s="90"/>
      <c r="H938" s="76"/>
      <c r="I938" s="69"/>
      <c r="J938" s="68"/>
      <c r="K938" s="68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</row>
    <row r="939">
      <c r="A939" s="14"/>
      <c r="B939" s="90"/>
      <c r="C939" s="90"/>
      <c r="D939" s="69"/>
      <c r="E939" s="69"/>
      <c r="F939" s="90"/>
      <c r="G939" s="90"/>
      <c r="H939" s="76"/>
      <c r="I939" s="69"/>
      <c r="J939" s="68"/>
      <c r="K939" s="68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</row>
    <row r="940">
      <c r="A940" s="14"/>
      <c r="B940" s="90"/>
      <c r="C940" s="90"/>
      <c r="D940" s="69"/>
      <c r="E940" s="69"/>
      <c r="F940" s="90"/>
      <c r="G940" s="90"/>
      <c r="H940" s="76"/>
      <c r="I940" s="69"/>
      <c r="J940" s="68"/>
      <c r="K940" s="68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</row>
    <row r="941">
      <c r="A941" s="14"/>
      <c r="B941" s="90"/>
      <c r="C941" s="90"/>
      <c r="D941" s="69"/>
      <c r="E941" s="69"/>
      <c r="F941" s="90"/>
      <c r="G941" s="90"/>
      <c r="H941" s="76"/>
      <c r="I941" s="69"/>
      <c r="J941" s="68"/>
      <c r="K941" s="68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</row>
    <row r="942">
      <c r="A942" s="14"/>
      <c r="B942" s="90"/>
      <c r="C942" s="90"/>
      <c r="D942" s="69"/>
      <c r="E942" s="69"/>
      <c r="F942" s="90"/>
      <c r="G942" s="90"/>
      <c r="H942" s="76"/>
      <c r="I942" s="69"/>
      <c r="J942" s="68"/>
      <c r="K942" s="68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</row>
    <row r="943">
      <c r="A943" s="14"/>
      <c r="B943" s="90"/>
      <c r="C943" s="90"/>
      <c r="D943" s="69"/>
      <c r="E943" s="69"/>
      <c r="F943" s="90"/>
      <c r="G943" s="90"/>
      <c r="H943" s="76"/>
      <c r="I943" s="69"/>
      <c r="J943" s="68"/>
      <c r="K943" s="68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</row>
    <row r="944">
      <c r="A944" s="14"/>
      <c r="B944" s="90"/>
      <c r="C944" s="90"/>
      <c r="D944" s="69"/>
      <c r="E944" s="69"/>
      <c r="F944" s="90"/>
      <c r="G944" s="90"/>
      <c r="H944" s="76"/>
      <c r="I944" s="69"/>
      <c r="J944" s="68"/>
      <c r="K944" s="68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</row>
    <row r="945">
      <c r="A945" s="14"/>
      <c r="B945" s="90"/>
      <c r="C945" s="90"/>
      <c r="D945" s="69"/>
      <c r="E945" s="69"/>
      <c r="F945" s="90"/>
      <c r="G945" s="90"/>
      <c r="H945" s="76"/>
      <c r="I945" s="69"/>
      <c r="J945" s="68"/>
      <c r="K945" s="68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</row>
    <row r="946">
      <c r="A946" s="14"/>
      <c r="B946" s="90"/>
      <c r="C946" s="90"/>
      <c r="D946" s="69"/>
      <c r="E946" s="69"/>
      <c r="F946" s="90"/>
      <c r="G946" s="90"/>
      <c r="H946" s="76"/>
      <c r="I946" s="69"/>
      <c r="J946" s="68"/>
      <c r="K946" s="68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</row>
    <row r="947">
      <c r="A947" s="14"/>
      <c r="B947" s="90"/>
      <c r="C947" s="90"/>
      <c r="D947" s="69"/>
      <c r="E947" s="69"/>
      <c r="F947" s="90"/>
      <c r="G947" s="90"/>
      <c r="H947" s="76"/>
      <c r="I947" s="69"/>
      <c r="J947" s="68"/>
      <c r="K947" s="68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</row>
    <row r="948">
      <c r="A948" s="14"/>
      <c r="B948" s="90"/>
      <c r="C948" s="90"/>
      <c r="D948" s="69"/>
      <c r="E948" s="69"/>
      <c r="F948" s="90"/>
      <c r="G948" s="90"/>
      <c r="H948" s="76"/>
      <c r="I948" s="69"/>
      <c r="J948" s="68"/>
      <c r="K948" s="68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</row>
    <row r="949">
      <c r="A949" s="14"/>
      <c r="B949" s="90"/>
      <c r="C949" s="90"/>
      <c r="D949" s="69"/>
      <c r="E949" s="69"/>
      <c r="F949" s="90"/>
      <c r="G949" s="90"/>
      <c r="H949" s="76"/>
      <c r="I949" s="69"/>
      <c r="J949" s="68"/>
      <c r="K949" s="68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</row>
    <row r="950">
      <c r="A950" s="14"/>
      <c r="B950" s="90"/>
      <c r="C950" s="90"/>
      <c r="D950" s="69"/>
      <c r="E950" s="69"/>
      <c r="F950" s="90"/>
      <c r="G950" s="90"/>
      <c r="H950" s="76"/>
      <c r="I950" s="69"/>
      <c r="J950" s="68"/>
      <c r="K950" s="68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</row>
    <row r="951">
      <c r="A951" s="14"/>
      <c r="B951" s="90"/>
      <c r="C951" s="90"/>
      <c r="D951" s="69"/>
      <c r="E951" s="69"/>
      <c r="F951" s="90"/>
      <c r="G951" s="90"/>
      <c r="H951" s="76"/>
      <c r="I951" s="69"/>
      <c r="J951" s="68"/>
      <c r="K951" s="68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</row>
    <row r="952">
      <c r="A952" s="14"/>
      <c r="B952" s="90"/>
      <c r="C952" s="90"/>
      <c r="D952" s="69"/>
      <c r="E952" s="69"/>
      <c r="F952" s="90"/>
      <c r="G952" s="90"/>
      <c r="H952" s="76"/>
      <c r="I952" s="69"/>
      <c r="J952" s="68"/>
      <c r="K952" s="68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</row>
    <row r="953">
      <c r="A953" s="14"/>
      <c r="B953" s="90"/>
      <c r="C953" s="90"/>
      <c r="D953" s="69"/>
      <c r="E953" s="69"/>
      <c r="F953" s="90"/>
      <c r="G953" s="90"/>
      <c r="H953" s="76"/>
      <c r="I953" s="69"/>
      <c r="J953" s="68"/>
      <c r="K953" s="68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</row>
    <row r="954">
      <c r="A954" s="14"/>
      <c r="B954" s="90"/>
      <c r="C954" s="90"/>
      <c r="D954" s="69"/>
      <c r="E954" s="69"/>
      <c r="F954" s="90"/>
      <c r="G954" s="90"/>
      <c r="H954" s="76"/>
      <c r="I954" s="69"/>
      <c r="J954" s="68"/>
      <c r="K954" s="68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</row>
    <row r="955">
      <c r="A955" s="14"/>
      <c r="B955" s="90"/>
      <c r="C955" s="90"/>
      <c r="D955" s="69"/>
      <c r="E955" s="69"/>
      <c r="F955" s="90"/>
      <c r="G955" s="90"/>
      <c r="H955" s="76"/>
      <c r="I955" s="69"/>
      <c r="J955" s="68"/>
      <c r="K955" s="68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</row>
    <row r="956">
      <c r="A956" s="14"/>
      <c r="B956" s="90"/>
      <c r="C956" s="90"/>
      <c r="D956" s="69"/>
      <c r="E956" s="69"/>
      <c r="F956" s="90"/>
      <c r="G956" s="90"/>
      <c r="H956" s="76"/>
      <c r="I956" s="69"/>
      <c r="J956" s="68"/>
      <c r="K956" s="68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</row>
    <row r="957">
      <c r="A957" s="14"/>
      <c r="B957" s="90"/>
      <c r="C957" s="90"/>
      <c r="D957" s="69"/>
      <c r="E957" s="69"/>
      <c r="F957" s="90"/>
      <c r="G957" s="90"/>
      <c r="H957" s="76"/>
      <c r="I957" s="69"/>
      <c r="J957" s="68"/>
      <c r="K957" s="68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</row>
    <row r="958">
      <c r="A958" s="14"/>
      <c r="B958" s="90"/>
      <c r="C958" s="90"/>
      <c r="D958" s="69"/>
      <c r="E958" s="69"/>
      <c r="F958" s="90"/>
      <c r="G958" s="90"/>
      <c r="H958" s="76"/>
      <c r="I958" s="69"/>
      <c r="J958" s="68"/>
      <c r="K958" s="68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</row>
    <row r="959">
      <c r="A959" s="14"/>
      <c r="B959" s="90"/>
      <c r="C959" s="90"/>
      <c r="D959" s="69"/>
      <c r="E959" s="69"/>
      <c r="F959" s="90"/>
      <c r="G959" s="90"/>
      <c r="H959" s="76"/>
      <c r="I959" s="69"/>
      <c r="J959" s="68"/>
      <c r="K959" s="68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</row>
    <row r="960">
      <c r="A960" s="14"/>
      <c r="B960" s="90"/>
      <c r="C960" s="90"/>
      <c r="D960" s="69"/>
      <c r="E960" s="69"/>
      <c r="F960" s="90"/>
      <c r="G960" s="90"/>
      <c r="H960" s="76"/>
      <c r="I960" s="69"/>
      <c r="J960" s="68"/>
      <c r="K960" s="68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</row>
    <row r="961">
      <c r="A961" s="14"/>
      <c r="B961" s="90"/>
      <c r="C961" s="90"/>
      <c r="D961" s="69"/>
      <c r="E961" s="69"/>
      <c r="F961" s="90"/>
      <c r="G961" s="90"/>
      <c r="H961" s="76"/>
      <c r="I961" s="69"/>
      <c r="J961" s="68"/>
      <c r="K961" s="68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</row>
    <row r="962">
      <c r="A962" s="14"/>
      <c r="B962" s="90"/>
      <c r="C962" s="90"/>
      <c r="D962" s="69"/>
      <c r="E962" s="69"/>
      <c r="F962" s="90"/>
      <c r="G962" s="90"/>
      <c r="H962" s="76"/>
      <c r="I962" s="69"/>
      <c r="J962" s="68"/>
      <c r="K962" s="68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</row>
    <row r="963">
      <c r="A963" s="14"/>
      <c r="B963" s="90"/>
      <c r="C963" s="90"/>
      <c r="D963" s="69"/>
      <c r="E963" s="69"/>
      <c r="F963" s="90"/>
      <c r="G963" s="90"/>
      <c r="H963" s="76"/>
      <c r="I963" s="69"/>
      <c r="J963" s="68"/>
      <c r="K963" s="68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</row>
    <row r="964">
      <c r="A964" s="14"/>
      <c r="B964" s="90"/>
      <c r="C964" s="90"/>
      <c r="D964" s="69"/>
      <c r="E964" s="69"/>
      <c r="F964" s="90"/>
      <c r="G964" s="90"/>
      <c r="H964" s="76"/>
      <c r="I964" s="69"/>
      <c r="J964" s="68"/>
      <c r="K964" s="68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</row>
    <row r="965">
      <c r="A965" s="14"/>
      <c r="B965" s="90"/>
      <c r="C965" s="90"/>
      <c r="D965" s="69"/>
      <c r="E965" s="69"/>
      <c r="F965" s="90"/>
      <c r="G965" s="90"/>
      <c r="H965" s="76"/>
      <c r="I965" s="69"/>
      <c r="J965" s="68"/>
      <c r="K965" s="68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</row>
    <row r="966">
      <c r="A966" s="14"/>
      <c r="B966" s="90"/>
      <c r="C966" s="90"/>
      <c r="D966" s="69"/>
      <c r="E966" s="69"/>
      <c r="F966" s="90"/>
      <c r="G966" s="90"/>
      <c r="H966" s="76"/>
      <c r="I966" s="69"/>
      <c r="J966" s="68"/>
      <c r="K966" s="68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</row>
    <row r="967">
      <c r="A967" s="14"/>
      <c r="B967" s="90"/>
      <c r="C967" s="90"/>
      <c r="D967" s="69"/>
      <c r="E967" s="69"/>
      <c r="F967" s="90"/>
      <c r="G967" s="90"/>
      <c r="H967" s="76"/>
      <c r="I967" s="69"/>
      <c r="J967" s="68"/>
      <c r="K967" s="68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</row>
    <row r="968">
      <c r="A968" s="14"/>
      <c r="B968" s="90"/>
      <c r="C968" s="90"/>
      <c r="D968" s="69"/>
      <c r="E968" s="69"/>
      <c r="F968" s="90"/>
      <c r="G968" s="90"/>
      <c r="H968" s="76"/>
      <c r="I968" s="69"/>
      <c r="J968" s="68"/>
      <c r="K968" s="68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</row>
    <row r="969">
      <c r="A969" s="14"/>
      <c r="B969" s="90"/>
      <c r="C969" s="90"/>
      <c r="D969" s="69"/>
      <c r="E969" s="69"/>
      <c r="F969" s="90"/>
      <c r="G969" s="90"/>
      <c r="H969" s="76"/>
      <c r="I969" s="69"/>
      <c r="J969" s="68"/>
      <c r="K969" s="68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</row>
    <row r="970">
      <c r="A970" s="14"/>
      <c r="B970" s="90"/>
      <c r="C970" s="90"/>
      <c r="D970" s="69"/>
      <c r="E970" s="69"/>
      <c r="F970" s="90"/>
      <c r="G970" s="90"/>
      <c r="H970" s="76"/>
      <c r="I970" s="69"/>
      <c r="J970" s="68"/>
      <c r="K970" s="68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</row>
    <row r="971">
      <c r="A971" s="14"/>
      <c r="B971" s="90"/>
      <c r="C971" s="90"/>
      <c r="D971" s="69"/>
      <c r="E971" s="69"/>
      <c r="F971" s="90"/>
      <c r="G971" s="90"/>
      <c r="H971" s="76"/>
      <c r="I971" s="69"/>
      <c r="J971" s="68"/>
      <c r="K971" s="68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</row>
    <row r="972">
      <c r="A972" s="14"/>
      <c r="B972" s="90"/>
      <c r="C972" s="90"/>
      <c r="D972" s="69"/>
      <c r="E972" s="69"/>
      <c r="F972" s="90"/>
      <c r="G972" s="90"/>
      <c r="H972" s="76"/>
      <c r="I972" s="69"/>
      <c r="J972" s="68"/>
      <c r="K972" s="68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</row>
    <row r="973">
      <c r="A973" s="14"/>
      <c r="B973" s="90"/>
      <c r="C973" s="90"/>
      <c r="D973" s="69"/>
      <c r="E973" s="69"/>
      <c r="F973" s="90"/>
      <c r="G973" s="90"/>
      <c r="H973" s="76"/>
      <c r="I973" s="69"/>
      <c r="J973" s="68"/>
      <c r="K973" s="68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</row>
    <row r="974">
      <c r="A974" s="14"/>
      <c r="B974" s="90"/>
      <c r="C974" s="90"/>
      <c r="D974" s="69"/>
      <c r="E974" s="69"/>
      <c r="F974" s="90"/>
      <c r="G974" s="90"/>
      <c r="H974" s="76"/>
      <c r="I974" s="69"/>
      <c r="J974" s="68"/>
      <c r="K974" s="68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</row>
    <row r="975">
      <c r="A975" s="14"/>
      <c r="B975" s="90"/>
      <c r="C975" s="90"/>
      <c r="D975" s="69"/>
      <c r="E975" s="69"/>
      <c r="F975" s="90"/>
      <c r="G975" s="90"/>
      <c r="H975" s="76"/>
      <c r="I975" s="69"/>
      <c r="J975" s="68"/>
      <c r="K975" s="68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</row>
    <row r="976">
      <c r="A976" s="14"/>
      <c r="B976" s="90"/>
      <c r="C976" s="90"/>
      <c r="D976" s="69"/>
      <c r="E976" s="69"/>
      <c r="F976" s="90"/>
      <c r="G976" s="90"/>
      <c r="H976" s="76"/>
      <c r="I976" s="69"/>
      <c r="J976" s="68"/>
      <c r="K976" s="68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</row>
    <row r="977">
      <c r="A977" s="14"/>
      <c r="B977" s="90"/>
      <c r="C977" s="90"/>
      <c r="D977" s="69"/>
      <c r="E977" s="69"/>
      <c r="F977" s="90"/>
      <c r="G977" s="90"/>
      <c r="H977" s="76"/>
      <c r="I977" s="69"/>
      <c r="J977" s="68"/>
      <c r="K977" s="68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</row>
    <row r="978">
      <c r="A978" s="14"/>
      <c r="B978" s="90"/>
      <c r="C978" s="90"/>
      <c r="D978" s="69"/>
      <c r="E978" s="69"/>
      <c r="F978" s="90"/>
      <c r="G978" s="90"/>
      <c r="H978" s="76"/>
      <c r="I978" s="69"/>
      <c r="J978" s="68"/>
      <c r="K978" s="68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</row>
    <row r="979">
      <c r="A979" s="14"/>
      <c r="B979" s="90"/>
      <c r="C979" s="90"/>
      <c r="D979" s="69"/>
      <c r="E979" s="69"/>
      <c r="F979" s="90"/>
      <c r="G979" s="90"/>
      <c r="H979" s="76"/>
      <c r="I979" s="69"/>
      <c r="J979" s="68"/>
      <c r="K979" s="68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</row>
    <row r="980">
      <c r="A980" s="14"/>
      <c r="B980" s="90"/>
      <c r="C980" s="90"/>
      <c r="D980" s="69"/>
      <c r="E980" s="69"/>
      <c r="F980" s="90"/>
      <c r="G980" s="90"/>
      <c r="H980" s="76"/>
      <c r="I980" s="69"/>
      <c r="J980" s="68"/>
      <c r="K980" s="68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</row>
    <row r="981">
      <c r="A981" s="14"/>
      <c r="B981" s="90"/>
      <c r="C981" s="90"/>
      <c r="D981" s="69"/>
      <c r="E981" s="69"/>
      <c r="F981" s="90"/>
      <c r="G981" s="90"/>
      <c r="H981" s="76"/>
      <c r="I981" s="69"/>
      <c r="J981" s="68"/>
      <c r="K981" s="68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</row>
    <row r="982">
      <c r="A982" s="14"/>
      <c r="B982" s="90"/>
      <c r="C982" s="90"/>
      <c r="D982" s="69"/>
      <c r="E982" s="69"/>
      <c r="F982" s="90"/>
      <c r="G982" s="90"/>
      <c r="H982" s="76"/>
      <c r="I982" s="69"/>
      <c r="J982" s="68"/>
      <c r="K982" s="68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</row>
    <row r="983">
      <c r="A983" s="14"/>
      <c r="B983" s="90"/>
      <c r="C983" s="90"/>
      <c r="D983" s="69"/>
      <c r="E983" s="69"/>
      <c r="F983" s="90"/>
      <c r="G983" s="90"/>
      <c r="H983" s="76"/>
      <c r="I983" s="69"/>
      <c r="J983" s="68"/>
      <c r="K983" s="68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</row>
    <row r="984">
      <c r="A984" s="14"/>
      <c r="B984" s="90"/>
      <c r="C984" s="90"/>
      <c r="D984" s="69"/>
      <c r="E984" s="69"/>
      <c r="F984" s="90"/>
      <c r="G984" s="90"/>
      <c r="H984" s="76"/>
      <c r="I984" s="69"/>
      <c r="J984" s="68"/>
      <c r="K984" s="68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</row>
    <row r="985">
      <c r="A985" s="14"/>
      <c r="B985" s="90"/>
      <c r="C985" s="90"/>
      <c r="D985" s="69"/>
      <c r="E985" s="69"/>
      <c r="F985" s="90"/>
      <c r="G985" s="90"/>
      <c r="H985" s="76"/>
      <c r="I985" s="69"/>
      <c r="J985" s="68"/>
      <c r="K985" s="68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</row>
    <row r="986">
      <c r="A986" s="14"/>
      <c r="B986" s="90"/>
      <c r="C986" s="90"/>
      <c r="D986" s="69"/>
      <c r="E986" s="69"/>
      <c r="F986" s="90"/>
      <c r="G986" s="90"/>
      <c r="H986" s="76"/>
      <c r="I986" s="69"/>
      <c r="J986" s="68"/>
      <c r="K986" s="68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</row>
    <row r="987">
      <c r="A987" s="14"/>
      <c r="B987" s="90"/>
      <c r="C987" s="90"/>
      <c r="D987" s="69"/>
      <c r="E987" s="69"/>
      <c r="F987" s="90"/>
      <c r="G987" s="90"/>
      <c r="H987" s="76"/>
      <c r="I987" s="69"/>
      <c r="J987" s="68"/>
      <c r="K987" s="68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</row>
    <row r="988">
      <c r="A988" s="14"/>
      <c r="B988" s="90"/>
      <c r="C988" s="90"/>
      <c r="D988" s="69"/>
      <c r="E988" s="69"/>
      <c r="F988" s="90"/>
      <c r="G988" s="90"/>
      <c r="H988" s="76"/>
      <c r="I988" s="69"/>
      <c r="J988" s="68"/>
      <c r="K988" s="68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</row>
    <row r="989">
      <c r="A989" s="14"/>
      <c r="B989" s="90"/>
      <c r="C989" s="90"/>
      <c r="D989" s="69"/>
      <c r="E989" s="69"/>
      <c r="F989" s="90"/>
      <c r="G989" s="90"/>
      <c r="H989" s="76"/>
      <c r="I989" s="69"/>
      <c r="J989" s="68"/>
      <c r="K989" s="68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</row>
    <row r="990">
      <c r="A990" s="14"/>
      <c r="B990" s="90"/>
      <c r="C990" s="90"/>
      <c r="D990" s="69"/>
      <c r="E990" s="69"/>
      <c r="F990" s="90"/>
      <c r="G990" s="90"/>
      <c r="H990" s="76"/>
      <c r="I990" s="69"/>
      <c r="J990" s="68"/>
      <c r="K990" s="68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</row>
    <row r="991">
      <c r="A991" s="14"/>
      <c r="B991" s="90"/>
      <c r="C991" s="90"/>
      <c r="D991" s="69"/>
      <c r="E991" s="69"/>
      <c r="F991" s="90"/>
      <c r="G991" s="90"/>
      <c r="H991" s="76"/>
      <c r="I991" s="69"/>
      <c r="J991" s="68"/>
      <c r="K991" s="68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</row>
    <row r="992">
      <c r="A992" s="14"/>
      <c r="B992" s="90"/>
      <c r="C992" s="90"/>
      <c r="D992" s="69"/>
      <c r="E992" s="69"/>
      <c r="F992" s="90"/>
      <c r="G992" s="90"/>
      <c r="H992" s="76"/>
      <c r="I992" s="69"/>
      <c r="J992" s="68"/>
      <c r="K992" s="68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</row>
    <row r="993">
      <c r="A993" s="14"/>
      <c r="B993" s="90"/>
      <c r="C993" s="90"/>
      <c r="D993" s="69"/>
      <c r="E993" s="69"/>
      <c r="F993" s="90"/>
      <c r="G993" s="90"/>
      <c r="H993" s="76"/>
      <c r="I993" s="69"/>
      <c r="J993" s="68"/>
      <c r="K993" s="68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</row>
    <row r="994">
      <c r="A994" s="14"/>
      <c r="B994" s="90"/>
      <c r="C994" s="90"/>
      <c r="D994" s="69"/>
      <c r="E994" s="69"/>
      <c r="F994" s="90"/>
      <c r="G994" s="90"/>
      <c r="H994" s="76"/>
      <c r="I994" s="69"/>
      <c r="J994" s="68"/>
      <c r="K994" s="68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</row>
    <row r="995">
      <c r="A995" s="14"/>
      <c r="B995" s="90"/>
      <c r="C995" s="90"/>
      <c r="D995" s="69"/>
      <c r="E995" s="69"/>
      <c r="F995" s="90"/>
      <c r="G995" s="90"/>
      <c r="H995" s="76"/>
      <c r="I995" s="69"/>
      <c r="J995" s="68"/>
      <c r="K995" s="68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4" max="4" width="15.38"/>
  </cols>
  <sheetData>
    <row r="1">
      <c r="A1" s="61" t="s">
        <v>460</v>
      </c>
      <c r="B1" s="63" t="s">
        <v>461</v>
      </c>
      <c r="C1" s="91" t="s">
        <v>524</v>
      </c>
      <c r="D1" s="91" t="s">
        <v>525</v>
      </c>
      <c r="F1" s="92"/>
      <c r="G1" s="76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</row>
    <row r="2">
      <c r="A2" s="70">
        <v>10101.0</v>
      </c>
      <c r="B2" s="63" t="s">
        <v>33</v>
      </c>
      <c r="C2" s="79">
        <v>28.713519473508907</v>
      </c>
      <c r="D2" s="79">
        <v>56.614073989202886</v>
      </c>
      <c r="E2" s="93"/>
      <c r="F2" s="92"/>
      <c r="G2" s="76"/>
      <c r="H2" s="76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</row>
    <row r="3">
      <c r="A3" s="70">
        <v>10102.0</v>
      </c>
      <c r="B3" s="63" t="s">
        <v>36</v>
      </c>
      <c r="C3" s="79">
        <v>0.0</v>
      </c>
      <c r="D3" s="79">
        <v>118.8418323249784</v>
      </c>
      <c r="E3" s="93"/>
      <c r="F3" s="92"/>
      <c r="G3" s="76"/>
      <c r="H3" s="76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</row>
    <row r="4">
      <c r="A4" s="70">
        <v>10103.0</v>
      </c>
      <c r="B4" s="63" t="s">
        <v>37</v>
      </c>
      <c r="C4" s="79">
        <v>126.6041318984865</v>
      </c>
      <c r="D4" s="79">
        <v>7.326544069162576</v>
      </c>
      <c r="E4" s="93"/>
      <c r="F4" s="92"/>
      <c r="G4" s="76"/>
      <c r="H4" s="76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</row>
    <row r="5">
      <c r="A5" s="70">
        <v>10201.0</v>
      </c>
      <c r="B5" s="63" t="s">
        <v>472</v>
      </c>
      <c r="C5" s="79">
        <v>28.16372512204281</v>
      </c>
      <c r="D5" s="79">
        <v>12.653422750854107</v>
      </c>
      <c r="E5" s="93"/>
      <c r="F5" s="92"/>
      <c r="G5" s="76"/>
      <c r="H5" s="76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</row>
    <row r="6">
      <c r="A6" s="70">
        <v>10202.0</v>
      </c>
      <c r="B6" s="63" t="s">
        <v>40</v>
      </c>
      <c r="C6" s="79">
        <v>42.07278591964098</v>
      </c>
      <c r="D6" s="79">
        <v>0.0</v>
      </c>
      <c r="E6" s="93"/>
      <c r="F6" s="92"/>
      <c r="G6" s="76"/>
      <c r="H6" s="76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</row>
    <row r="7">
      <c r="A7" s="70">
        <v>10301.0</v>
      </c>
      <c r="B7" s="63" t="s">
        <v>473</v>
      </c>
      <c r="C7" s="79">
        <v>35.205069530012324</v>
      </c>
      <c r="D7" s="79">
        <v>0.0</v>
      </c>
      <c r="E7" s="93"/>
      <c r="F7" s="92"/>
      <c r="G7" s="76"/>
      <c r="H7" s="76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</row>
    <row r="8">
      <c r="A8" s="70">
        <v>10302.0</v>
      </c>
      <c r="B8" s="63" t="s">
        <v>42</v>
      </c>
      <c r="C8" s="79">
        <v>24.222850222042794</v>
      </c>
      <c r="D8" s="79">
        <v>0.0</v>
      </c>
      <c r="E8" s="93"/>
      <c r="F8" s="92"/>
      <c r="G8" s="76"/>
      <c r="H8" s="76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</row>
    <row r="9">
      <c r="A9" s="70">
        <v>10303.0</v>
      </c>
      <c r="B9" s="63" t="s">
        <v>474</v>
      </c>
      <c r="C9" s="79">
        <v>0.0</v>
      </c>
      <c r="D9" s="79">
        <v>22.087244616234123</v>
      </c>
      <c r="E9" s="93"/>
      <c r="F9" s="92"/>
      <c r="G9" s="76"/>
      <c r="H9" s="76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</row>
    <row r="10">
      <c r="A10" s="70">
        <v>10304.0</v>
      </c>
      <c r="B10" s="63" t="s">
        <v>44</v>
      </c>
      <c r="C10" s="79">
        <v>0.0</v>
      </c>
      <c r="D10" s="79">
        <v>32.76897870016384</v>
      </c>
      <c r="E10" s="93"/>
      <c r="F10" s="92"/>
      <c r="G10" s="76"/>
      <c r="H10" s="76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</row>
    <row r="11">
      <c r="A11" s="70">
        <v>10401.0</v>
      </c>
      <c r="B11" s="63" t="s">
        <v>46</v>
      </c>
      <c r="C11" s="79">
        <v>0.0</v>
      </c>
      <c r="D11" s="79">
        <v>163.18537859007833</v>
      </c>
      <c r="E11" s="93"/>
      <c r="F11" s="92"/>
      <c r="G11" s="76"/>
      <c r="H11" s="76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</row>
    <row r="12">
      <c r="A12" s="70">
        <v>10402.0</v>
      </c>
      <c r="B12" s="63" t="s">
        <v>45</v>
      </c>
      <c r="C12" s="79">
        <v>47.09206498704968</v>
      </c>
      <c r="D12" s="79">
        <v>0.0</v>
      </c>
      <c r="E12" s="93"/>
      <c r="F12" s="92"/>
      <c r="G12" s="76"/>
      <c r="H12" s="76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</row>
    <row r="13">
      <c r="A13" s="70">
        <v>10403.0</v>
      </c>
      <c r="B13" s="63" t="s">
        <v>47</v>
      </c>
      <c r="C13" s="79">
        <v>13.676148796498905</v>
      </c>
      <c r="D13" s="79">
        <v>0.0</v>
      </c>
      <c r="E13" s="93"/>
      <c r="F13" s="92"/>
      <c r="G13" s="76"/>
      <c r="H13" s="76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</row>
    <row r="14">
      <c r="A14" s="70">
        <v>10404.0</v>
      </c>
      <c r="B14" s="63" t="s">
        <v>475</v>
      </c>
      <c r="C14" s="79">
        <v>20.39983680130559</v>
      </c>
      <c r="D14" s="79">
        <v>0.0</v>
      </c>
      <c r="E14" s="93"/>
      <c r="F14" s="92"/>
      <c r="G14" s="76"/>
      <c r="H14" s="76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</row>
    <row r="15">
      <c r="A15" s="70">
        <v>10405.0</v>
      </c>
      <c r="B15" s="63" t="s">
        <v>49</v>
      </c>
      <c r="C15" s="79">
        <v>0.0</v>
      </c>
      <c r="D15" s="79">
        <v>0.0</v>
      </c>
      <c r="E15" s="93"/>
      <c r="F15" s="92"/>
      <c r="G15" s="76"/>
      <c r="H15" s="76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</row>
    <row r="16">
      <c r="A16" s="70">
        <v>10501.0</v>
      </c>
      <c r="B16" s="63" t="s">
        <v>51</v>
      </c>
      <c r="C16" s="79">
        <v>53.491338517878454</v>
      </c>
      <c r="D16" s="79">
        <v>28.51788478774546</v>
      </c>
      <c r="E16" s="93"/>
      <c r="F16" s="92"/>
      <c r="G16" s="76"/>
      <c r="H16" s="76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</row>
    <row r="17">
      <c r="A17" s="70">
        <v>10502.0</v>
      </c>
      <c r="B17" s="63" t="s">
        <v>479</v>
      </c>
      <c r="C17" s="79">
        <v>95.81985866570847</v>
      </c>
      <c r="D17" s="79">
        <v>0.0</v>
      </c>
      <c r="E17" s="93"/>
      <c r="F17" s="92"/>
      <c r="G17" s="76"/>
      <c r="H17" s="76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</row>
    <row r="18">
      <c r="A18" s="70">
        <v>10601.0</v>
      </c>
      <c r="B18" s="63" t="s">
        <v>54</v>
      </c>
      <c r="C18" s="79">
        <v>17.705382436260624</v>
      </c>
      <c r="D18" s="79">
        <v>15.011634016362681</v>
      </c>
      <c r="E18" s="93"/>
      <c r="F18" s="92"/>
      <c r="G18" s="76"/>
      <c r="H18" s="76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</row>
    <row r="19">
      <c r="A19" s="70">
        <v>10602.0</v>
      </c>
      <c r="B19" s="63" t="s">
        <v>53</v>
      </c>
      <c r="C19" s="79">
        <v>49.45109286915241</v>
      </c>
      <c r="D19" s="79">
        <v>23.58490566037736</v>
      </c>
      <c r="E19" s="93"/>
      <c r="F19" s="92"/>
      <c r="G19" s="76"/>
      <c r="H19" s="76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</row>
    <row r="20">
      <c r="A20" s="70">
        <v>10701.0</v>
      </c>
      <c r="B20" s="63" t="s">
        <v>56</v>
      </c>
      <c r="C20" s="79">
        <v>25.568908207619536</v>
      </c>
      <c r="D20" s="79">
        <v>61.17039352953171</v>
      </c>
      <c r="E20" s="93"/>
      <c r="F20" s="92"/>
      <c r="G20" s="76"/>
      <c r="H20" s="76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</row>
    <row r="21">
      <c r="A21" s="70">
        <v>10702.0</v>
      </c>
      <c r="B21" s="63" t="s">
        <v>57</v>
      </c>
      <c r="C21" s="79">
        <v>24.600246002460025</v>
      </c>
      <c r="D21" s="79">
        <v>48.661800486618006</v>
      </c>
      <c r="E21" s="93"/>
      <c r="F21" s="92"/>
      <c r="G21" s="76"/>
      <c r="H21" s="76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</row>
    <row r="22">
      <c r="A22" s="70">
        <v>10703.0</v>
      </c>
      <c r="B22" s="63" t="s">
        <v>58</v>
      </c>
      <c r="C22" s="79">
        <v>0.0</v>
      </c>
      <c r="D22" s="79">
        <v>36.39893229798592</v>
      </c>
      <c r="E22" s="93"/>
      <c r="F22" s="92"/>
      <c r="G22" s="76"/>
      <c r="H22" s="76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</row>
    <row r="23">
      <c r="A23" s="70">
        <v>10704.0</v>
      </c>
      <c r="B23" s="63" t="s">
        <v>59</v>
      </c>
      <c r="C23" s="79">
        <v>6.191950464396285</v>
      </c>
      <c r="D23" s="79">
        <v>98.02548662652289</v>
      </c>
      <c r="E23" s="93"/>
      <c r="F23" s="92"/>
      <c r="G23" s="76"/>
      <c r="H23" s="76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</row>
    <row r="24">
      <c r="A24" s="70">
        <v>10801.0</v>
      </c>
      <c r="B24" s="63" t="s">
        <v>61</v>
      </c>
      <c r="C24" s="79">
        <v>71.678165038975</v>
      </c>
      <c r="D24" s="79">
        <v>21.961128802020426</v>
      </c>
      <c r="E24" s="93"/>
      <c r="F24" s="92"/>
      <c r="G24" s="76"/>
      <c r="H24" s="76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</row>
    <row r="25">
      <c r="A25" s="70">
        <v>10901.0</v>
      </c>
      <c r="B25" s="63" t="s">
        <v>63</v>
      </c>
      <c r="C25" s="79">
        <v>0.0</v>
      </c>
      <c r="D25" s="79">
        <v>0.0</v>
      </c>
      <c r="E25" s="93"/>
      <c r="F25" s="92"/>
      <c r="G25" s="76"/>
      <c r="H25" s="76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</row>
    <row r="26">
      <c r="A26" s="70">
        <v>10902.0</v>
      </c>
      <c r="B26" s="63" t="s">
        <v>64</v>
      </c>
      <c r="C26" s="79">
        <v>0.0</v>
      </c>
      <c r="D26" s="79">
        <v>0.0</v>
      </c>
      <c r="E26" s="93"/>
      <c r="F26" s="92"/>
      <c r="G26" s="76"/>
      <c r="H26" s="76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</row>
    <row r="27">
      <c r="A27" s="70">
        <v>10903.0</v>
      </c>
      <c r="B27" s="63" t="s">
        <v>65</v>
      </c>
      <c r="C27" s="79">
        <v>0.0</v>
      </c>
      <c r="D27" s="79">
        <v>0.0</v>
      </c>
      <c r="E27" s="93"/>
      <c r="F27" s="92"/>
      <c r="G27" s="76"/>
      <c r="H27" s="76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</row>
    <row r="28">
      <c r="A28" s="70">
        <v>11001.0</v>
      </c>
      <c r="B28" s="63" t="s">
        <v>483</v>
      </c>
      <c r="C28" s="79">
        <v>20.5761316872428</v>
      </c>
      <c r="D28" s="79">
        <v>180.69567836169253</v>
      </c>
      <c r="E28" s="93"/>
      <c r="F28" s="92"/>
      <c r="G28" s="76"/>
      <c r="H28" s="76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</row>
    <row r="29">
      <c r="A29" s="70">
        <v>11002.0</v>
      </c>
      <c r="B29" s="63" t="s">
        <v>484</v>
      </c>
      <c r="C29" s="79">
        <v>0.0</v>
      </c>
      <c r="D29" s="79">
        <v>39.2618767177071</v>
      </c>
      <c r="E29" s="93"/>
      <c r="F29" s="92"/>
      <c r="G29" s="76"/>
      <c r="H29" s="76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</row>
    <row r="30">
      <c r="A30" s="70">
        <v>11003.0</v>
      </c>
      <c r="B30" s="63" t="s">
        <v>69</v>
      </c>
      <c r="C30" s="79">
        <v>0.0</v>
      </c>
      <c r="D30" s="79">
        <v>55.286800276434</v>
      </c>
      <c r="E30" s="93"/>
      <c r="F30" s="92"/>
      <c r="G30" s="76"/>
      <c r="H30" s="76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</row>
    <row r="31">
      <c r="A31" s="70">
        <v>20101.0</v>
      </c>
      <c r="B31" s="63" t="s">
        <v>72</v>
      </c>
      <c r="C31" s="79">
        <v>16.960916828882613</v>
      </c>
      <c r="D31" s="79">
        <v>18.747582288023594</v>
      </c>
      <c r="E31" s="93"/>
      <c r="F31" s="92"/>
      <c r="G31" s="76"/>
      <c r="H31" s="76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</row>
    <row r="32">
      <c r="A32" s="70">
        <v>20102.0</v>
      </c>
      <c r="B32" s="63" t="s">
        <v>73</v>
      </c>
      <c r="C32" s="79">
        <v>12.03224642040669</v>
      </c>
      <c r="D32" s="79">
        <v>32.21501219568319</v>
      </c>
      <c r="E32" s="93"/>
      <c r="F32" s="92"/>
      <c r="G32" s="76"/>
      <c r="H32" s="76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</row>
    <row r="33">
      <c r="A33" s="70">
        <v>20103.0</v>
      </c>
      <c r="B33" s="63" t="s">
        <v>74</v>
      </c>
      <c r="C33" s="79">
        <v>31.082929255253013</v>
      </c>
      <c r="D33" s="79">
        <v>24.45466105839773</v>
      </c>
      <c r="E33" s="93"/>
      <c r="F33" s="92"/>
      <c r="G33" s="76"/>
      <c r="H33" s="76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</row>
    <row r="34">
      <c r="A34" s="70">
        <v>20104.0</v>
      </c>
      <c r="B34" s="63" t="s">
        <v>75</v>
      </c>
      <c r="C34" s="79">
        <v>76.6490824653952</v>
      </c>
      <c r="D34" s="79">
        <v>160.21477440027712</v>
      </c>
      <c r="E34" s="93"/>
      <c r="F34" s="92"/>
      <c r="G34" s="76"/>
      <c r="H34" s="76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</row>
    <row r="35">
      <c r="A35" s="70">
        <v>20105.0</v>
      </c>
      <c r="B35" s="63" t="s">
        <v>76</v>
      </c>
      <c r="C35" s="79">
        <v>34.2977563845686</v>
      </c>
      <c r="D35" s="79">
        <v>27.8836113227782</v>
      </c>
      <c r="E35" s="93"/>
      <c r="F35" s="92"/>
      <c r="G35" s="76"/>
      <c r="H35" s="76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</row>
    <row r="36">
      <c r="A36" s="70">
        <v>20201.0</v>
      </c>
      <c r="B36" s="63" t="s">
        <v>78</v>
      </c>
      <c r="C36" s="79">
        <v>8.684701897607365</v>
      </c>
      <c r="D36" s="79">
        <v>165.05491249973548</v>
      </c>
      <c r="E36" s="93"/>
      <c r="F36" s="92"/>
      <c r="G36" s="76"/>
      <c r="H36" s="76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</row>
    <row r="37">
      <c r="A37" s="70">
        <v>20202.0</v>
      </c>
      <c r="B37" s="63" t="s">
        <v>485</v>
      </c>
      <c r="C37" s="79">
        <v>68.51400730816079</v>
      </c>
      <c r="D37" s="79">
        <v>224.1491181501799</v>
      </c>
      <c r="E37" s="93"/>
      <c r="F37" s="92"/>
      <c r="G37" s="76"/>
      <c r="H37" s="76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</row>
    <row r="38">
      <c r="A38" s="70">
        <v>20203.0</v>
      </c>
      <c r="B38" s="63" t="s">
        <v>83</v>
      </c>
      <c r="C38" s="94">
        <v>19.98800719568259</v>
      </c>
      <c r="D38" s="94">
        <v>179.90589537780238</v>
      </c>
      <c r="E38" s="93"/>
      <c r="F38" s="92"/>
      <c r="G38" s="4"/>
      <c r="H38" s="4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</row>
    <row r="39">
      <c r="A39" s="70">
        <v>20204.0</v>
      </c>
      <c r="B39" s="63" t="s">
        <v>80</v>
      </c>
      <c r="C39" s="94">
        <v>0.0</v>
      </c>
      <c r="D39" s="94">
        <v>288.05161885009795</v>
      </c>
      <c r="E39" s="93"/>
      <c r="F39" s="92"/>
      <c r="G39" s="4"/>
      <c r="H39" s="4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</row>
    <row r="40">
      <c r="A40" s="70">
        <v>20205.0</v>
      </c>
      <c r="B40" s="63" t="s">
        <v>81</v>
      </c>
      <c r="C40" s="94">
        <v>11.6795141322121</v>
      </c>
      <c r="D40" s="94">
        <v>86.14191881124152</v>
      </c>
      <c r="E40" s="93"/>
      <c r="F40" s="92"/>
      <c r="G40" s="4"/>
      <c r="H40" s="4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</row>
    <row r="41">
      <c r="A41" s="70">
        <v>20206.0</v>
      </c>
      <c r="B41" s="63" t="s">
        <v>82</v>
      </c>
      <c r="C41" s="94">
        <v>0.0</v>
      </c>
      <c r="D41" s="94">
        <v>195.38882375928097</v>
      </c>
      <c r="E41" s="93"/>
      <c r="F41" s="92"/>
      <c r="G41" s="4"/>
      <c r="H41" s="4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</row>
    <row r="42">
      <c r="A42" s="70">
        <v>20301.0</v>
      </c>
      <c r="B42" s="63" t="s">
        <v>486</v>
      </c>
      <c r="C42" s="79">
        <v>9.392317084624777</v>
      </c>
      <c r="D42" s="79">
        <v>36.897645930189654</v>
      </c>
      <c r="E42" s="93"/>
      <c r="F42" s="92"/>
      <c r="G42" s="76"/>
      <c r="H42" s="76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</row>
    <row r="43">
      <c r="A43" s="70">
        <v>20302.0</v>
      </c>
      <c r="B43" s="63" t="s">
        <v>86</v>
      </c>
      <c r="C43" s="79">
        <v>6.808742425274052</v>
      </c>
      <c r="D43" s="79">
        <v>38.53564547206166</v>
      </c>
      <c r="E43" s="93"/>
      <c r="F43" s="92"/>
      <c r="G43" s="76"/>
      <c r="H43" s="76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</row>
    <row r="44">
      <c r="A44" s="70">
        <v>20303.0</v>
      </c>
      <c r="B44" s="63" t="s">
        <v>87</v>
      </c>
      <c r="C44" s="79">
        <v>30.367446097783176</v>
      </c>
      <c r="D44" s="79">
        <v>81.83975775431705</v>
      </c>
      <c r="E44" s="93"/>
      <c r="F44" s="92"/>
      <c r="G44" s="76"/>
      <c r="H44" s="76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</row>
    <row r="45">
      <c r="A45" s="70">
        <v>20304.0</v>
      </c>
      <c r="B45" s="63" t="s">
        <v>88</v>
      </c>
      <c r="C45" s="79">
        <v>180.41237113402062</v>
      </c>
      <c r="D45" s="79">
        <v>0.0</v>
      </c>
      <c r="E45" s="93"/>
      <c r="F45" s="92"/>
      <c r="G45" s="76"/>
      <c r="H45" s="76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</row>
    <row r="46">
      <c r="A46" s="70">
        <v>20305.0</v>
      </c>
      <c r="B46" s="63" t="s">
        <v>89</v>
      </c>
      <c r="C46" s="79">
        <v>0.0</v>
      </c>
      <c r="D46" s="79">
        <v>23.69106846718787</v>
      </c>
      <c r="E46" s="93"/>
      <c r="F46" s="92"/>
      <c r="G46" s="76"/>
      <c r="H46" s="76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</row>
    <row r="47">
      <c r="A47" s="70">
        <v>20306.0</v>
      </c>
      <c r="B47" s="63" t="s">
        <v>487</v>
      </c>
      <c r="C47" s="79">
        <v>0.0</v>
      </c>
      <c r="D47" s="79">
        <v>77.6156473144986</v>
      </c>
      <c r="E47" s="93"/>
      <c r="F47" s="92"/>
      <c r="G47" s="76"/>
      <c r="H47" s="76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</row>
    <row r="48">
      <c r="A48" s="70">
        <v>20307.0</v>
      </c>
      <c r="B48" s="63" t="s">
        <v>91</v>
      </c>
      <c r="C48" s="79">
        <v>161.55088852988692</v>
      </c>
      <c r="D48" s="79">
        <v>74.58975634012928</v>
      </c>
      <c r="E48" s="93"/>
      <c r="F48" s="92"/>
      <c r="G48" s="76"/>
      <c r="H48" s="76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</row>
    <row r="49">
      <c r="A49" s="70">
        <v>20308.0</v>
      </c>
      <c r="B49" s="63" t="s">
        <v>92</v>
      </c>
      <c r="C49" s="79">
        <v>13.719303059404583</v>
      </c>
      <c r="D49" s="79">
        <v>0.0</v>
      </c>
      <c r="E49" s="93"/>
      <c r="F49" s="92"/>
      <c r="G49" s="76"/>
      <c r="H49" s="76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</row>
    <row r="50">
      <c r="A50" s="70">
        <v>20401.0</v>
      </c>
      <c r="B50" s="63" t="s">
        <v>94</v>
      </c>
      <c r="C50" s="79">
        <v>35.4295837023915</v>
      </c>
      <c r="D50" s="79">
        <v>42.82043962318013</v>
      </c>
      <c r="E50" s="93"/>
      <c r="F50" s="92"/>
      <c r="G50" s="76"/>
      <c r="H50" s="76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</row>
    <row r="51">
      <c r="A51" s="70">
        <v>20402.0</v>
      </c>
      <c r="B51" s="63" t="s">
        <v>95</v>
      </c>
      <c r="C51" s="79">
        <v>12.767315671879988</v>
      </c>
      <c r="D51" s="79">
        <v>50.53057099545225</v>
      </c>
      <c r="E51" s="93"/>
      <c r="F51" s="92"/>
      <c r="G51" s="76"/>
      <c r="H51" s="76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</row>
    <row r="52">
      <c r="A52" s="70">
        <v>20403.0</v>
      </c>
      <c r="B52" s="63" t="s">
        <v>96</v>
      </c>
      <c r="C52" s="79">
        <v>54.83583521831517</v>
      </c>
      <c r="D52" s="79">
        <v>23.073373327180434</v>
      </c>
      <c r="E52" s="93"/>
      <c r="F52" s="92"/>
      <c r="G52" s="76"/>
      <c r="H52" s="76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</row>
    <row r="53">
      <c r="A53" s="70">
        <v>20404.0</v>
      </c>
      <c r="B53" s="63" t="s">
        <v>97</v>
      </c>
      <c r="C53" s="79">
        <v>0.0</v>
      </c>
      <c r="D53" s="79">
        <v>0.0</v>
      </c>
      <c r="E53" s="93"/>
      <c r="F53" s="92"/>
      <c r="G53" s="76"/>
      <c r="H53" s="76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</row>
    <row r="54">
      <c r="A54" s="70">
        <v>20405.0</v>
      </c>
      <c r="B54" s="63" t="s">
        <v>98</v>
      </c>
      <c r="C54" s="79">
        <v>13.915947676036739</v>
      </c>
      <c r="D54" s="79">
        <v>90.52845988457621</v>
      </c>
      <c r="E54" s="93"/>
      <c r="F54" s="92"/>
      <c r="G54" s="76"/>
      <c r="H54" s="76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</row>
    <row r="55">
      <c r="A55" s="70">
        <v>20501.0</v>
      </c>
      <c r="B55" s="63" t="s">
        <v>100</v>
      </c>
      <c r="C55" s="79">
        <v>8.716116098666435</v>
      </c>
      <c r="D55" s="79">
        <v>50.476724621424566</v>
      </c>
      <c r="E55" s="93"/>
      <c r="F55" s="92"/>
      <c r="G55" s="76"/>
      <c r="H55" s="76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</row>
    <row r="56">
      <c r="A56" s="70">
        <v>20502.0</v>
      </c>
      <c r="B56" s="63" t="s">
        <v>101</v>
      </c>
      <c r="C56" s="79">
        <v>11.890606420927467</v>
      </c>
      <c r="D56" s="79">
        <v>0.0</v>
      </c>
      <c r="E56" s="93"/>
      <c r="F56" s="92"/>
      <c r="G56" s="76"/>
      <c r="H56" s="76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</row>
    <row r="57">
      <c r="A57" s="70">
        <v>20503.0</v>
      </c>
      <c r="B57" s="63" t="s">
        <v>102</v>
      </c>
      <c r="C57" s="79">
        <v>36.39672429481347</v>
      </c>
      <c r="D57" s="79">
        <v>44.636214848980806</v>
      </c>
      <c r="E57" s="93"/>
      <c r="F57" s="92"/>
      <c r="G57" s="76"/>
      <c r="H57" s="76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</row>
    <row r="58">
      <c r="A58" s="70">
        <v>20601.0</v>
      </c>
      <c r="B58" s="63" t="s">
        <v>104</v>
      </c>
      <c r="C58" s="79">
        <v>4.253147329023477</v>
      </c>
      <c r="D58" s="79">
        <v>99.72409666589104</v>
      </c>
      <c r="E58" s="93"/>
      <c r="F58" s="92"/>
      <c r="G58" s="76"/>
      <c r="H58" s="76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</row>
    <row r="59">
      <c r="A59" s="70">
        <v>20602.0</v>
      </c>
      <c r="B59" s="63" t="s">
        <v>105</v>
      </c>
      <c r="C59" s="79">
        <v>0.0</v>
      </c>
      <c r="D59" s="79">
        <v>42.71939460515074</v>
      </c>
      <c r="E59" s="93"/>
      <c r="F59" s="92"/>
      <c r="G59" s="76"/>
      <c r="H59" s="76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</row>
    <row r="60">
      <c r="A60" s="70">
        <v>20603.0</v>
      </c>
      <c r="B60" s="63" t="s">
        <v>106</v>
      </c>
      <c r="C60" s="79">
        <v>24.443901246638962</v>
      </c>
      <c r="D60" s="79">
        <v>51.224259809445755</v>
      </c>
      <c r="E60" s="93"/>
      <c r="F60" s="92"/>
      <c r="G60" s="76"/>
      <c r="H60" s="76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</row>
    <row r="61">
      <c r="A61" s="70">
        <v>20604.0</v>
      </c>
      <c r="B61" s="63" t="s">
        <v>107</v>
      </c>
      <c r="C61" s="79">
        <v>633.3830104321908</v>
      </c>
      <c r="D61" s="79">
        <v>0.0</v>
      </c>
      <c r="E61" s="93"/>
      <c r="F61" s="92"/>
      <c r="G61" s="76"/>
      <c r="H61" s="76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</row>
    <row r="62">
      <c r="A62" s="70">
        <v>20605.0</v>
      </c>
      <c r="B62" s="63" t="s">
        <v>108</v>
      </c>
      <c r="C62" s="79">
        <v>53.60493165371214</v>
      </c>
      <c r="D62" s="79">
        <v>0.0</v>
      </c>
      <c r="E62" s="93"/>
      <c r="F62" s="92"/>
      <c r="G62" s="76"/>
      <c r="H62" s="76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</row>
    <row r="63">
      <c r="A63" s="70">
        <v>20606.0</v>
      </c>
      <c r="B63" s="63" t="s">
        <v>109</v>
      </c>
      <c r="C63" s="79">
        <v>50.0751126690035</v>
      </c>
      <c r="D63" s="79">
        <v>25.92016588906169</v>
      </c>
      <c r="E63" s="93"/>
      <c r="F63" s="92"/>
      <c r="G63" s="76"/>
      <c r="H63" s="76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</row>
    <row r="64">
      <c r="A64" s="70">
        <v>20607.0</v>
      </c>
      <c r="B64" s="63" t="s">
        <v>110</v>
      </c>
      <c r="C64" s="79">
        <v>0.0</v>
      </c>
      <c r="D64" s="79">
        <v>123.60939431396787</v>
      </c>
      <c r="E64" s="93"/>
      <c r="F64" s="92"/>
      <c r="G64" s="76"/>
      <c r="H64" s="76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</row>
    <row r="65">
      <c r="A65" s="70">
        <v>20608.0</v>
      </c>
      <c r="B65" s="63" t="s">
        <v>111</v>
      </c>
      <c r="C65" s="79">
        <v>32.08899347523799</v>
      </c>
      <c r="D65" s="79">
        <v>7.474400179385604</v>
      </c>
      <c r="E65" s="93"/>
      <c r="F65" s="92"/>
      <c r="G65" s="76"/>
      <c r="H65" s="76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</row>
    <row r="66">
      <c r="A66" s="70">
        <v>20701.0</v>
      </c>
      <c r="B66" s="63" t="s">
        <v>113</v>
      </c>
      <c r="C66" s="79">
        <v>14.77250344691747</v>
      </c>
      <c r="D66" s="79">
        <v>46.98266861557737</v>
      </c>
      <c r="E66" s="93"/>
      <c r="F66" s="92"/>
      <c r="G66" s="76"/>
      <c r="H66" s="76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</row>
    <row r="67">
      <c r="A67" s="70">
        <v>20702.0</v>
      </c>
      <c r="B67" s="63" t="s">
        <v>114</v>
      </c>
      <c r="C67" s="79">
        <v>0.0</v>
      </c>
      <c r="D67" s="79">
        <v>88.30022075055187</v>
      </c>
      <c r="E67" s="93"/>
      <c r="F67" s="92"/>
      <c r="G67" s="76"/>
      <c r="H67" s="76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</row>
    <row r="68">
      <c r="A68" s="70">
        <v>20801.0</v>
      </c>
      <c r="B68" s="63" t="s">
        <v>116</v>
      </c>
      <c r="C68" s="79">
        <v>38.40245775729647</v>
      </c>
      <c r="D68" s="79">
        <v>123.28936012822093</v>
      </c>
      <c r="E68" s="93"/>
      <c r="F68" s="92"/>
      <c r="G68" s="76"/>
      <c r="H68" s="76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</row>
    <row r="69">
      <c r="A69" s="70">
        <v>20802.0</v>
      </c>
      <c r="B69" s="63" t="s">
        <v>488</v>
      </c>
      <c r="C69" s="79">
        <v>0.0</v>
      </c>
      <c r="D69" s="79">
        <v>244.41340782122904</v>
      </c>
      <c r="E69" s="93"/>
      <c r="F69" s="92"/>
      <c r="G69" s="76"/>
      <c r="H69" s="76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</row>
    <row r="70">
      <c r="A70" s="70">
        <v>20803.0</v>
      </c>
      <c r="B70" s="63" t="s">
        <v>118</v>
      </c>
      <c r="C70" s="79">
        <v>0.0</v>
      </c>
      <c r="D70" s="79">
        <v>65.94372801875733</v>
      </c>
      <c r="E70" s="93"/>
      <c r="F70" s="92"/>
      <c r="G70" s="76"/>
      <c r="H70" s="76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</row>
    <row r="71">
      <c r="A71" s="70">
        <v>20804.0</v>
      </c>
      <c r="B71" s="63" t="s">
        <v>119</v>
      </c>
      <c r="C71" s="79">
        <v>0.0</v>
      </c>
      <c r="D71" s="79">
        <v>25.326073192351526</v>
      </c>
      <c r="E71" s="93"/>
      <c r="F71" s="92"/>
      <c r="G71" s="76"/>
      <c r="H71" s="76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</row>
    <row r="72">
      <c r="A72" s="70">
        <v>20805.0</v>
      </c>
      <c r="B72" s="63" t="s">
        <v>489</v>
      </c>
      <c r="C72" s="79">
        <v>0.0</v>
      </c>
      <c r="D72" s="79">
        <v>0.0</v>
      </c>
      <c r="E72" s="93"/>
      <c r="F72" s="92"/>
      <c r="G72" s="76"/>
      <c r="H72" s="76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</row>
    <row r="73">
      <c r="A73" s="70">
        <v>20806.0</v>
      </c>
      <c r="B73" s="63" t="s">
        <v>490</v>
      </c>
      <c r="C73" s="79">
        <v>13.298756566261055</v>
      </c>
      <c r="D73" s="79">
        <v>29.384109073812883</v>
      </c>
      <c r="E73" s="93"/>
      <c r="F73" s="92"/>
      <c r="G73" s="76"/>
      <c r="H73" s="76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</row>
    <row r="74">
      <c r="A74" s="70">
        <v>20807.0</v>
      </c>
      <c r="B74" s="63" t="s">
        <v>122</v>
      </c>
      <c r="C74" s="79">
        <v>30.289262456459184</v>
      </c>
      <c r="D74" s="79">
        <v>517.2413793103449</v>
      </c>
      <c r="E74" s="93"/>
      <c r="F74" s="92"/>
      <c r="G74" s="76"/>
      <c r="H74" s="76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</row>
    <row r="75">
      <c r="A75" s="70">
        <v>20901.0</v>
      </c>
      <c r="B75" s="63" t="s">
        <v>124</v>
      </c>
      <c r="C75" s="79">
        <v>0.0</v>
      </c>
      <c r="D75" s="79">
        <v>93.4317481080071</v>
      </c>
      <c r="E75" s="93"/>
      <c r="F75" s="92"/>
      <c r="G75" s="76"/>
      <c r="H75" s="76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</row>
    <row r="76">
      <c r="A76" s="70">
        <v>20902.0</v>
      </c>
      <c r="B76" s="63" t="s">
        <v>125</v>
      </c>
      <c r="C76" s="79">
        <v>192.24607497596924</v>
      </c>
      <c r="D76" s="79">
        <v>36.37024913620658</v>
      </c>
      <c r="E76" s="93"/>
      <c r="F76" s="92"/>
      <c r="G76" s="76"/>
      <c r="H76" s="76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</row>
    <row r="77">
      <c r="A77" s="70">
        <v>20903.0</v>
      </c>
      <c r="B77" s="63" t="s">
        <v>126</v>
      </c>
      <c r="C77" s="79">
        <v>13.67053998632946</v>
      </c>
      <c r="D77" s="79">
        <v>32.53090435914118</v>
      </c>
      <c r="E77" s="93"/>
      <c r="F77" s="92"/>
      <c r="G77" s="76"/>
      <c r="H77" s="76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</row>
    <row r="78">
      <c r="A78" s="70">
        <v>20904.0</v>
      </c>
      <c r="B78" s="63" t="s">
        <v>127</v>
      </c>
      <c r="C78" s="79">
        <v>38.61003861003861</v>
      </c>
      <c r="D78" s="79">
        <v>132.15027373985274</v>
      </c>
      <c r="E78" s="93"/>
      <c r="F78" s="92"/>
      <c r="G78" s="76"/>
      <c r="H78" s="76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</row>
    <row r="79">
      <c r="A79" s="70">
        <v>20905.0</v>
      </c>
      <c r="B79" s="63" t="s">
        <v>128</v>
      </c>
      <c r="C79" s="79">
        <v>61.646851607221485</v>
      </c>
      <c r="D79" s="79">
        <v>14.708045300779526</v>
      </c>
      <c r="E79" s="93"/>
      <c r="F79" s="92"/>
      <c r="G79" s="76"/>
      <c r="H79" s="76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</row>
    <row r="80">
      <c r="A80" s="70">
        <v>21001.0</v>
      </c>
      <c r="B80" s="63" t="s">
        <v>129</v>
      </c>
      <c r="C80" s="79">
        <v>13.589726167017735</v>
      </c>
      <c r="D80" s="79">
        <v>16.06081696022271</v>
      </c>
      <c r="E80" s="93"/>
      <c r="F80" s="92"/>
      <c r="G80" s="76"/>
      <c r="H80" s="76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</row>
    <row r="81">
      <c r="A81" s="70">
        <v>21002.0</v>
      </c>
      <c r="B81" s="63" t="s">
        <v>130</v>
      </c>
      <c r="C81" s="79">
        <v>84.68424872973627</v>
      </c>
      <c r="D81" s="79">
        <v>220.44640396803527</v>
      </c>
      <c r="E81" s="93"/>
      <c r="F81" s="92"/>
      <c r="G81" s="76"/>
      <c r="H81" s="76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</row>
    <row r="82">
      <c r="A82" s="70">
        <v>21003.0</v>
      </c>
      <c r="B82" s="63" t="s">
        <v>131</v>
      </c>
      <c r="C82" s="79">
        <v>9.562057754828839</v>
      </c>
      <c r="D82" s="79">
        <v>96.37006103437199</v>
      </c>
      <c r="E82" s="93"/>
      <c r="F82" s="92"/>
      <c r="G82" s="76"/>
      <c r="H82" s="76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</row>
    <row r="83">
      <c r="A83" s="70">
        <v>21004.0</v>
      </c>
      <c r="B83" s="63" t="s">
        <v>132</v>
      </c>
      <c r="C83" s="79">
        <v>5.096839959225281</v>
      </c>
      <c r="D83" s="79">
        <v>8.508827908955542</v>
      </c>
      <c r="E83" s="93"/>
      <c r="F83" s="92"/>
      <c r="G83" s="76"/>
      <c r="H83" s="76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</row>
    <row r="84">
      <c r="A84" s="70">
        <v>21005.0</v>
      </c>
      <c r="B84" s="63" t="s">
        <v>133</v>
      </c>
      <c r="C84" s="79">
        <v>0.0</v>
      </c>
      <c r="D84" s="79">
        <v>41.87604690117253</v>
      </c>
      <c r="E84" s="93"/>
      <c r="F84" s="92"/>
      <c r="G84" s="76"/>
      <c r="H84" s="76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</row>
    <row r="85">
      <c r="A85" s="70">
        <v>21006.0</v>
      </c>
      <c r="B85" s="63" t="s">
        <v>134</v>
      </c>
      <c r="C85" s="79">
        <v>72.8862973760933</v>
      </c>
      <c r="D85" s="79">
        <v>0.0</v>
      </c>
      <c r="E85" s="93"/>
      <c r="F85" s="92"/>
      <c r="G85" s="76"/>
      <c r="H85" s="76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</row>
    <row r="86">
      <c r="A86" s="70">
        <v>21101.0</v>
      </c>
      <c r="B86" s="63" t="s">
        <v>136</v>
      </c>
      <c r="C86" s="79">
        <v>39.27509397968917</v>
      </c>
      <c r="D86" s="79">
        <v>32.78151122766759</v>
      </c>
      <c r="E86" s="93"/>
      <c r="F86" s="92"/>
      <c r="G86" s="76"/>
      <c r="H86" s="76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</row>
    <row r="87">
      <c r="A87" s="70">
        <v>21102.0</v>
      </c>
      <c r="B87" s="63" t="s">
        <v>137</v>
      </c>
      <c r="C87" s="79">
        <v>532.5306783977773</v>
      </c>
      <c r="D87" s="79">
        <v>17.182868679926113</v>
      </c>
      <c r="E87" s="93"/>
      <c r="F87" s="92"/>
      <c r="G87" s="76"/>
      <c r="H87" s="76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</row>
    <row r="88">
      <c r="A88" s="70">
        <v>21103.0</v>
      </c>
      <c r="B88" s="63" t="s">
        <v>138</v>
      </c>
      <c r="C88" s="79">
        <v>15.576323987538942</v>
      </c>
      <c r="D88" s="79">
        <v>65.65988181221273</v>
      </c>
      <c r="E88" s="93"/>
      <c r="F88" s="92"/>
      <c r="G88" s="76"/>
      <c r="H88" s="76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</row>
    <row r="89">
      <c r="A89" s="70">
        <v>21104.0</v>
      </c>
      <c r="B89" s="63" t="s">
        <v>139</v>
      </c>
      <c r="C89" s="79">
        <v>8.087016295337834</v>
      </c>
      <c r="D89" s="79">
        <v>40.53506282934739</v>
      </c>
      <c r="E89" s="93"/>
      <c r="F89" s="92"/>
      <c r="G89" s="76"/>
      <c r="H89" s="76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</row>
    <row r="90">
      <c r="A90" s="70">
        <v>21105.0</v>
      </c>
      <c r="B90" s="63" t="s">
        <v>140</v>
      </c>
      <c r="C90" s="79">
        <v>29.8670914430783</v>
      </c>
      <c r="D90" s="79">
        <v>342.20282097966526</v>
      </c>
      <c r="E90" s="93"/>
      <c r="F90" s="92"/>
      <c r="G90" s="76"/>
      <c r="H90" s="76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</row>
    <row r="91">
      <c r="A91" s="70">
        <v>21201.0</v>
      </c>
      <c r="B91" s="63" t="s">
        <v>142</v>
      </c>
      <c r="C91" s="79">
        <v>7.026172492534692</v>
      </c>
      <c r="D91" s="79">
        <v>146.43931795386158</v>
      </c>
      <c r="E91" s="93"/>
      <c r="F91" s="92"/>
      <c r="G91" s="76"/>
      <c r="H91" s="76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</row>
    <row r="92">
      <c r="A92" s="70">
        <v>21202.0</v>
      </c>
      <c r="B92" s="63" t="s">
        <v>143</v>
      </c>
      <c r="C92" s="79">
        <v>0.0</v>
      </c>
      <c r="D92" s="79">
        <v>160.40567111663046</v>
      </c>
      <c r="E92" s="93"/>
      <c r="F92" s="92"/>
      <c r="G92" s="76"/>
      <c r="H92" s="76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</row>
    <row r="93">
      <c r="A93" s="70">
        <v>21203.0</v>
      </c>
      <c r="B93" s="63" t="s">
        <v>144</v>
      </c>
      <c r="C93" s="79">
        <v>68.86261907494548</v>
      </c>
      <c r="D93" s="79">
        <v>121.31799873829281</v>
      </c>
      <c r="E93" s="93"/>
      <c r="F93" s="92"/>
      <c r="G93" s="76"/>
      <c r="H93" s="76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</row>
    <row r="94">
      <c r="A94" s="70">
        <v>21204.0</v>
      </c>
      <c r="B94" s="63" t="s">
        <v>145</v>
      </c>
      <c r="C94" s="79">
        <v>12.25940909648155</v>
      </c>
      <c r="D94" s="79">
        <v>37.9746835443038</v>
      </c>
      <c r="E94" s="93"/>
      <c r="F94" s="92"/>
      <c r="G94" s="76"/>
      <c r="H94" s="76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</row>
    <row r="95">
      <c r="A95" s="70">
        <v>21301.0</v>
      </c>
      <c r="B95" s="63" t="s">
        <v>491</v>
      </c>
      <c r="C95" s="79">
        <v>22.355646397547265</v>
      </c>
      <c r="D95" s="79">
        <v>59.023166592887705</v>
      </c>
      <c r="E95" s="93"/>
      <c r="F95" s="92"/>
      <c r="G95" s="76"/>
      <c r="H95" s="76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</row>
    <row r="96">
      <c r="A96" s="70">
        <v>21302.0</v>
      </c>
      <c r="B96" s="63" t="s">
        <v>148</v>
      </c>
      <c r="C96" s="79">
        <v>0.0</v>
      </c>
      <c r="D96" s="79">
        <v>54.93298176225006</v>
      </c>
      <c r="E96" s="93"/>
      <c r="F96" s="92"/>
      <c r="G96" s="76"/>
      <c r="H96" s="76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</row>
    <row r="97">
      <c r="A97" s="70">
        <v>21303.0</v>
      </c>
      <c r="B97" s="63" t="s">
        <v>149</v>
      </c>
      <c r="C97" s="79">
        <v>25.647601949217748</v>
      </c>
      <c r="D97" s="79">
        <v>53.295434357790015</v>
      </c>
      <c r="E97" s="93"/>
      <c r="F97" s="92"/>
      <c r="G97" s="76"/>
      <c r="H97" s="76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</row>
    <row r="98">
      <c r="A98" s="70">
        <v>21304.0</v>
      </c>
      <c r="B98" s="63" t="s">
        <v>150</v>
      </c>
      <c r="C98" s="79">
        <v>80.5607024893257</v>
      </c>
      <c r="D98" s="79">
        <v>97.86651008025053</v>
      </c>
      <c r="E98" s="93"/>
      <c r="F98" s="92"/>
      <c r="G98" s="76"/>
      <c r="H98" s="76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</row>
    <row r="99">
      <c r="A99" s="70">
        <v>21305.0</v>
      </c>
      <c r="B99" s="63" t="s">
        <v>151</v>
      </c>
      <c r="C99" s="79">
        <v>17.49934377460845</v>
      </c>
      <c r="D99" s="79">
        <v>67.59980912995069</v>
      </c>
      <c r="E99" s="93"/>
      <c r="F99" s="92"/>
      <c r="G99" s="76"/>
      <c r="H99" s="76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</row>
    <row r="100">
      <c r="A100" s="70">
        <v>21306.0</v>
      </c>
      <c r="B100" s="63" t="s">
        <v>152</v>
      </c>
      <c r="C100" s="79">
        <v>0.0</v>
      </c>
      <c r="D100" s="79">
        <v>24.01921537229784</v>
      </c>
      <c r="E100" s="93"/>
      <c r="F100" s="92"/>
      <c r="G100" s="76"/>
      <c r="H100" s="76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</row>
    <row r="101">
      <c r="A101" s="70">
        <v>21307.0</v>
      </c>
      <c r="B101" s="63" t="s">
        <v>153</v>
      </c>
      <c r="C101" s="79">
        <v>99.16699722332407</v>
      </c>
      <c r="D101" s="79">
        <v>144.77017734346725</v>
      </c>
      <c r="E101" s="93"/>
      <c r="F101" s="92"/>
      <c r="G101" s="76"/>
      <c r="H101" s="76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</row>
    <row r="102">
      <c r="A102" s="70">
        <v>21401.0</v>
      </c>
      <c r="B102" s="63" t="s">
        <v>155</v>
      </c>
      <c r="C102" s="79">
        <v>5.155436407691911</v>
      </c>
      <c r="D102" s="79">
        <v>129.91230919129586</v>
      </c>
      <c r="E102" s="93"/>
      <c r="F102" s="92"/>
      <c r="G102" s="76"/>
      <c r="H102" s="76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</row>
    <row r="103">
      <c r="A103" s="70">
        <v>21402.0</v>
      </c>
      <c r="B103" s="63" t="s">
        <v>156</v>
      </c>
      <c r="C103" s="79">
        <v>41.34672179562906</v>
      </c>
      <c r="D103" s="79">
        <v>72.24819379515512</v>
      </c>
      <c r="E103" s="93"/>
      <c r="F103" s="92"/>
      <c r="G103" s="76"/>
      <c r="H103" s="76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</row>
    <row r="104">
      <c r="A104" s="70">
        <v>21501.0</v>
      </c>
      <c r="B104" s="63" t="s">
        <v>158</v>
      </c>
      <c r="C104" s="79">
        <v>0.0</v>
      </c>
      <c r="D104" s="79">
        <v>365.2242953552997</v>
      </c>
      <c r="E104" s="93"/>
      <c r="F104" s="92"/>
      <c r="G104" s="76"/>
      <c r="H104" s="76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</row>
    <row r="105">
      <c r="A105" s="70">
        <v>21502.0</v>
      </c>
      <c r="B105" s="63" t="s">
        <v>159</v>
      </c>
      <c r="C105" s="79">
        <v>68.87842957180577</v>
      </c>
      <c r="D105" s="79">
        <v>118.75309252845126</v>
      </c>
      <c r="E105" s="93"/>
      <c r="F105" s="92"/>
      <c r="G105" s="76"/>
      <c r="H105" s="76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</row>
    <row r="106">
      <c r="A106" s="70">
        <v>21601.0</v>
      </c>
      <c r="B106" s="63" t="s">
        <v>492</v>
      </c>
      <c r="C106" s="79">
        <v>76.78722260615834</v>
      </c>
      <c r="D106" s="79">
        <v>19.031910169384002</v>
      </c>
      <c r="E106" s="93"/>
      <c r="F106" s="92"/>
      <c r="G106" s="76"/>
      <c r="H106" s="76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</row>
    <row r="107">
      <c r="A107" s="70">
        <v>21602.0</v>
      </c>
      <c r="B107" s="63" t="s">
        <v>162</v>
      </c>
      <c r="C107" s="79">
        <v>213.08980213089802</v>
      </c>
      <c r="D107" s="79">
        <v>0.0</v>
      </c>
      <c r="E107" s="93"/>
      <c r="F107" s="92"/>
      <c r="G107" s="76"/>
      <c r="H107" s="76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</row>
    <row r="108">
      <c r="A108" s="70">
        <v>21701.0</v>
      </c>
      <c r="B108" s="63" t="s">
        <v>164</v>
      </c>
      <c r="C108" s="79">
        <v>6.697475051905432</v>
      </c>
      <c r="D108" s="79">
        <v>68.7167153410067</v>
      </c>
      <c r="E108" s="93"/>
      <c r="F108" s="92"/>
      <c r="G108" s="76"/>
      <c r="H108" s="76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</row>
    <row r="109">
      <c r="A109" s="70">
        <v>21702.0</v>
      </c>
      <c r="B109" s="63" t="s">
        <v>165</v>
      </c>
      <c r="C109" s="79">
        <v>0.0</v>
      </c>
      <c r="D109" s="79">
        <v>10.912265386294195</v>
      </c>
      <c r="E109" s="93"/>
      <c r="F109" s="92"/>
      <c r="G109" s="76"/>
      <c r="H109" s="76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</row>
    <row r="110">
      <c r="A110" s="70">
        <v>21703.0</v>
      </c>
      <c r="B110" s="63" t="s">
        <v>166</v>
      </c>
      <c r="C110" s="79">
        <v>127.77511579619869</v>
      </c>
      <c r="D110" s="79">
        <v>212.62458471760797</v>
      </c>
      <c r="E110" s="93"/>
      <c r="F110" s="92"/>
      <c r="G110" s="76"/>
      <c r="H110" s="76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</row>
    <row r="111">
      <c r="A111" s="70">
        <v>21801.0</v>
      </c>
      <c r="B111" s="63" t="s">
        <v>168</v>
      </c>
      <c r="C111" s="79">
        <v>0.0</v>
      </c>
      <c r="D111" s="79">
        <v>0.0</v>
      </c>
      <c r="E111" s="93"/>
      <c r="F111" s="92"/>
      <c r="G111" s="76"/>
      <c r="H111" s="76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</row>
    <row r="112">
      <c r="A112" s="70">
        <v>21802.0</v>
      </c>
      <c r="B112" s="63" t="s">
        <v>169</v>
      </c>
      <c r="C112" s="79">
        <v>0.0</v>
      </c>
      <c r="D112" s="79">
        <v>15.039855617386072</v>
      </c>
      <c r="E112" s="93"/>
      <c r="F112" s="92"/>
      <c r="G112" s="76"/>
      <c r="H112" s="76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</row>
    <row r="113">
      <c r="A113" s="70">
        <v>21803.0</v>
      </c>
      <c r="B113" s="63" t="s">
        <v>170</v>
      </c>
      <c r="C113" s="79">
        <v>0.0</v>
      </c>
      <c r="D113" s="79">
        <v>97.46588693957115</v>
      </c>
      <c r="E113" s="93"/>
      <c r="F113" s="92"/>
      <c r="G113" s="76"/>
      <c r="H113" s="76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</row>
    <row r="114">
      <c r="A114" s="70">
        <v>21901.0</v>
      </c>
      <c r="B114" s="63" t="s">
        <v>172</v>
      </c>
      <c r="C114" s="79">
        <v>0.0</v>
      </c>
      <c r="D114" s="79">
        <v>0.0</v>
      </c>
      <c r="E114" s="93"/>
      <c r="F114" s="92"/>
      <c r="G114" s="76"/>
      <c r="H114" s="76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</row>
    <row r="115">
      <c r="A115" s="70">
        <v>21902.0</v>
      </c>
      <c r="B115" s="63" t="s">
        <v>173</v>
      </c>
      <c r="C115" s="79">
        <v>0.0</v>
      </c>
      <c r="D115" s="79">
        <v>0.0</v>
      </c>
      <c r="E115" s="93"/>
      <c r="F115" s="92"/>
      <c r="G115" s="76"/>
      <c r="H115" s="76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</row>
    <row r="116">
      <c r="A116" s="70">
        <v>22001.0</v>
      </c>
      <c r="B116" s="63" t="s">
        <v>174</v>
      </c>
      <c r="C116" s="79">
        <v>41.72461752433936</v>
      </c>
      <c r="D116" s="79">
        <v>38.54145720222535</v>
      </c>
      <c r="E116" s="93"/>
      <c r="F116" s="92"/>
      <c r="G116" s="76"/>
      <c r="H116" s="76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</row>
    <row r="117">
      <c r="A117" s="70">
        <v>22002.0</v>
      </c>
      <c r="B117" s="63" t="s">
        <v>175</v>
      </c>
      <c r="C117" s="79">
        <v>0.0</v>
      </c>
      <c r="D117" s="79">
        <v>47.23665564478035</v>
      </c>
      <c r="E117" s="93"/>
      <c r="F117" s="92"/>
      <c r="G117" s="76"/>
      <c r="H117" s="76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</row>
    <row r="118">
      <c r="A118" s="70">
        <v>30101.0</v>
      </c>
      <c r="B118" s="63" t="s">
        <v>176</v>
      </c>
      <c r="C118" s="79">
        <v>29.587998981033618</v>
      </c>
      <c r="D118" s="79">
        <v>52.59164093432807</v>
      </c>
      <c r="E118" s="93"/>
      <c r="F118" s="92"/>
      <c r="G118" s="76"/>
      <c r="H118" s="76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</row>
    <row r="119">
      <c r="A119" s="70">
        <v>30201.0</v>
      </c>
      <c r="B119" s="63" t="s">
        <v>179</v>
      </c>
      <c r="C119" s="79">
        <v>47.27725963811407</v>
      </c>
      <c r="D119" s="79">
        <v>38.92228517060935</v>
      </c>
      <c r="E119" s="93"/>
      <c r="F119" s="92"/>
      <c r="G119" s="76"/>
      <c r="H119" s="76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</row>
    <row r="120">
      <c r="A120" s="70">
        <v>30202.0</v>
      </c>
      <c r="B120" s="63" t="s">
        <v>180</v>
      </c>
      <c r="C120" s="79">
        <v>0.0</v>
      </c>
      <c r="D120" s="79">
        <v>0.0</v>
      </c>
      <c r="E120" s="93"/>
      <c r="F120" s="92"/>
      <c r="G120" s="76"/>
      <c r="H120" s="76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</row>
    <row r="121">
      <c r="A121" s="70">
        <v>30203.0</v>
      </c>
      <c r="B121" s="63" t="s">
        <v>181</v>
      </c>
      <c r="C121" s="79">
        <v>53.1632110579479</v>
      </c>
      <c r="D121" s="79">
        <v>14.925373134328359</v>
      </c>
      <c r="E121" s="93"/>
      <c r="F121" s="92"/>
      <c r="G121" s="76"/>
      <c r="H121" s="76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</row>
    <row r="122">
      <c r="A122" s="70">
        <v>30301.0</v>
      </c>
      <c r="B122" s="63" t="s">
        <v>493</v>
      </c>
      <c r="C122" s="79">
        <v>38.0420999239158</v>
      </c>
      <c r="D122" s="79">
        <v>45.84001833600733</v>
      </c>
      <c r="E122" s="93"/>
      <c r="F122" s="92"/>
      <c r="G122" s="76"/>
      <c r="H122" s="76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</row>
    <row r="123">
      <c r="A123" s="70">
        <v>30302.0</v>
      </c>
      <c r="B123" s="63" t="s">
        <v>183</v>
      </c>
      <c r="C123" s="79">
        <v>125.02930374306479</v>
      </c>
      <c r="D123" s="79">
        <v>47.55434782608695</v>
      </c>
      <c r="E123" s="93"/>
      <c r="F123" s="92"/>
      <c r="G123" s="76"/>
      <c r="H123" s="76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</row>
    <row r="124">
      <c r="A124" s="70">
        <v>30303.0</v>
      </c>
      <c r="B124" s="63" t="s">
        <v>184</v>
      </c>
      <c r="C124" s="79">
        <v>71.91856605443682</v>
      </c>
      <c r="D124" s="79">
        <v>15.299877600979192</v>
      </c>
      <c r="E124" s="93"/>
      <c r="F124" s="92"/>
      <c r="G124" s="76"/>
      <c r="H124" s="76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</row>
    <row r="125">
      <c r="A125" s="70">
        <v>30401.0</v>
      </c>
      <c r="B125" s="63" t="s">
        <v>186</v>
      </c>
      <c r="C125" s="79">
        <v>12.132977432661976</v>
      </c>
      <c r="D125" s="79">
        <v>97.57828439634525</v>
      </c>
      <c r="E125" s="93"/>
      <c r="F125" s="92"/>
      <c r="G125" s="76"/>
      <c r="H125" s="76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</row>
    <row r="126">
      <c r="A126" s="70">
        <v>30402.0</v>
      </c>
      <c r="B126" s="63" t="s">
        <v>187</v>
      </c>
      <c r="C126" s="79">
        <v>55.61735261401557</v>
      </c>
      <c r="D126" s="79">
        <v>190.86571233810497</v>
      </c>
      <c r="E126" s="93"/>
      <c r="F126" s="92"/>
      <c r="G126" s="76"/>
      <c r="H126" s="76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</row>
    <row r="127">
      <c r="A127" s="70">
        <v>30403.0</v>
      </c>
      <c r="B127" s="63" t="s">
        <v>188</v>
      </c>
      <c r="C127" s="79">
        <v>275.1504729148753</v>
      </c>
      <c r="D127" s="79">
        <v>173.61702127659575</v>
      </c>
      <c r="E127" s="93"/>
      <c r="F127" s="92"/>
      <c r="G127" s="76"/>
      <c r="H127" s="76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</row>
    <row r="128">
      <c r="A128" s="70">
        <v>30404.0</v>
      </c>
      <c r="B128" s="63" t="s">
        <v>189</v>
      </c>
      <c r="C128" s="79">
        <v>22.904260192395785</v>
      </c>
      <c r="D128" s="79">
        <v>80.20854220974533</v>
      </c>
      <c r="E128" s="93"/>
      <c r="F128" s="92"/>
      <c r="G128" s="76"/>
      <c r="H128" s="76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</row>
    <row r="129">
      <c r="A129" s="70">
        <v>30501.0</v>
      </c>
      <c r="B129" s="63" t="s">
        <v>190</v>
      </c>
      <c r="C129" s="79">
        <v>31.565656565656564</v>
      </c>
      <c r="D129" s="79">
        <v>8.942144326209425</v>
      </c>
      <c r="E129" s="93"/>
      <c r="F129" s="92"/>
      <c r="G129" s="76"/>
      <c r="H129" s="76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</row>
    <row r="130">
      <c r="A130" s="70">
        <v>30502.0</v>
      </c>
      <c r="B130" s="63" t="s">
        <v>191</v>
      </c>
      <c r="C130" s="79">
        <v>11.185682326621924</v>
      </c>
      <c r="D130" s="79">
        <v>59.46010227137591</v>
      </c>
      <c r="E130" s="93"/>
      <c r="F130" s="92"/>
      <c r="G130" s="76"/>
      <c r="H130" s="76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</row>
    <row r="131">
      <c r="A131" s="70">
        <v>30601.0</v>
      </c>
      <c r="B131" s="63" t="s">
        <v>192</v>
      </c>
      <c r="C131" s="79">
        <v>28.3098990280268</v>
      </c>
      <c r="D131" s="79">
        <v>47.027840481565086</v>
      </c>
      <c r="E131" s="93"/>
      <c r="F131" s="92"/>
      <c r="G131" s="76"/>
      <c r="H131" s="76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</row>
    <row r="132">
      <c r="A132" s="70">
        <v>30602.0</v>
      </c>
      <c r="B132" s="63" t="s">
        <v>193</v>
      </c>
      <c r="C132" s="79">
        <v>9.753242953281966</v>
      </c>
      <c r="D132" s="79">
        <v>9.30232558139535</v>
      </c>
      <c r="E132" s="93"/>
      <c r="F132" s="92"/>
      <c r="G132" s="76"/>
      <c r="H132" s="76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</row>
    <row r="133">
      <c r="A133" s="70">
        <v>30701.0</v>
      </c>
      <c r="B133" s="63" t="s">
        <v>194</v>
      </c>
      <c r="C133" s="79">
        <v>0.0</v>
      </c>
      <c r="D133" s="79">
        <v>25.73737581716168</v>
      </c>
      <c r="E133" s="93"/>
      <c r="F133" s="92"/>
      <c r="G133" s="76"/>
      <c r="H133" s="76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</row>
    <row r="134">
      <c r="A134" s="70">
        <v>30702.0</v>
      </c>
      <c r="B134" s="63" t="s">
        <v>494</v>
      </c>
      <c r="C134" s="79">
        <v>168.5307185537</v>
      </c>
      <c r="D134" s="79">
        <v>264.4836272040302</v>
      </c>
      <c r="E134" s="93"/>
      <c r="F134" s="92"/>
      <c r="G134" s="76"/>
      <c r="H134" s="76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</row>
    <row r="135">
      <c r="A135" s="70">
        <v>30703.0</v>
      </c>
      <c r="B135" s="63" t="s">
        <v>196</v>
      </c>
      <c r="C135" s="79">
        <v>0.0</v>
      </c>
      <c r="D135" s="79">
        <v>351.75879396984925</v>
      </c>
      <c r="E135" s="93"/>
      <c r="F135" s="92"/>
      <c r="G135" s="76"/>
      <c r="H135" s="76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</row>
    <row r="136">
      <c r="A136" s="70">
        <v>30801.0</v>
      </c>
      <c r="B136" s="63" t="s">
        <v>198</v>
      </c>
      <c r="C136" s="79">
        <v>41.097767021325176</v>
      </c>
      <c r="D136" s="79">
        <v>42.54313401087214</v>
      </c>
      <c r="E136" s="93"/>
      <c r="F136" s="92"/>
      <c r="G136" s="76"/>
      <c r="H136" s="76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</row>
    <row r="137">
      <c r="A137" s="70">
        <v>30802.0</v>
      </c>
      <c r="B137" s="63" t="s">
        <v>199</v>
      </c>
      <c r="C137" s="79">
        <v>28.340654669122856</v>
      </c>
      <c r="D137" s="79">
        <v>13.546464372798699</v>
      </c>
      <c r="E137" s="93"/>
      <c r="F137" s="92"/>
      <c r="G137" s="76"/>
      <c r="H137" s="76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</row>
    <row r="138">
      <c r="A138" s="70">
        <v>30803.0</v>
      </c>
      <c r="B138" s="63" t="s">
        <v>200</v>
      </c>
      <c r="C138" s="79">
        <v>0.0</v>
      </c>
      <c r="D138" s="79">
        <v>207.2061701392886</v>
      </c>
      <c r="E138" s="93"/>
      <c r="F138" s="92"/>
      <c r="G138" s="76"/>
      <c r="H138" s="76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</row>
    <row r="139">
      <c r="A139" s="70">
        <v>30901.0</v>
      </c>
      <c r="B139" s="63" t="s">
        <v>201</v>
      </c>
      <c r="C139" s="79">
        <v>28.429385779475442</v>
      </c>
      <c r="D139" s="79">
        <v>23.389568252559357</v>
      </c>
      <c r="E139" s="93"/>
      <c r="F139" s="92"/>
      <c r="G139" s="76"/>
      <c r="H139" s="76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</row>
    <row r="140">
      <c r="A140" s="70">
        <v>30902.0</v>
      </c>
      <c r="B140" s="63" t="s">
        <v>495</v>
      </c>
      <c r="C140" s="79">
        <v>62.54360010584301</v>
      </c>
      <c r="D140" s="79">
        <v>10.73191672032625</v>
      </c>
      <c r="E140" s="93"/>
      <c r="F140" s="92"/>
      <c r="G140" s="76"/>
      <c r="H140" s="76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</row>
    <row r="141">
      <c r="A141" s="70">
        <v>30903.0</v>
      </c>
      <c r="B141" s="63" t="s">
        <v>203</v>
      </c>
      <c r="C141" s="79">
        <v>14.841199168892846</v>
      </c>
      <c r="D141" s="79">
        <v>0.0</v>
      </c>
      <c r="E141" s="93"/>
      <c r="F141" s="92"/>
      <c r="G141" s="76"/>
      <c r="H141" s="76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</row>
    <row r="142">
      <c r="A142" s="70">
        <v>30904.0</v>
      </c>
      <c r="B142" s="63" t="s">
        <v>204</v>
      </c>
      <c r="C142" s="79">
        <v>13.469827586206897</v>
      </c>
      <c r="D142" s="79">
        <v>7.134703196347032</v>
      </c>
      <c r="E142" s="93"/>
      <c r="F142" s="92"/>
      <c r="G142" s="76"/>
      <c r="H142" s="76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</row>
    <row r="143">
      <c r="A143" s="70">
        <v>30905.0</v>
      </c>
      <c r="B143" s="63" t="s">
        <v>205</v>
      </c>
      <c r="C143" s="79">
        <v>11.54068090017311</v>
      </c>
      <c r="D143" s="79">
        <v>4.510939027140816</v>
      </c>
      <c r="E143" s="93"/>
      <c r="F143" s="92"/>
      <c r="G143" s="76"/>
      <c r="H143" s="76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</row>
    <row r="144">
      <c r="A144" s="70">
        <v>31001.0</v>
      </c>
      <c r="B144" s="63" t="s">
        <v>207</v>
      </c>
      <c r="C144" s="79">
        <v>63.2008627787506</v>
      </c>
      <c r="D144" s="79">
        <v>54.771511511146</v>
      </c>
      <c r="E144" s="93"/>
      <c r="F144" s="92"/>
      <c r="G144" s="76"/>
      <c r="H144" s="76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</row>
    <row r="145">
      <c r="A145" s="70">
        <v>31002.0</v>
      </c>
      <c r="B145" s="63" t="s">
        <v>208</v>
      </c>
      <c r="C145" s="79">
        <v>31.1122634171636</v>
      </c>
      <c r="D145" s="79">
        <v>41.197473221642404</v>
      </c>
      <c r="E145" s="93"/>
      <c r="F145" s="92"/>
      <c r="G145" s="76"/>
      <c r="H145" s="76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</row>
    <row r="146">
      <c r="A146" s="70">
        <v>31003.0</v>
      </c>
      <c r="B146" s="63" t="s">
        <v>209</v>
      </c>
      <c r="C146" s="79">
        <v>81.2484240607402</v>
      </c>
      <c r="D146" s="79">
        <v>86.40276488847643</v>
      </c>
      <c r="E146" s="93"/>
      <c r="F146" s="92"/>
      <c r="G146" s="76"/>
      <c r="H146" s="76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</row>
    <row r="147">
      <c r="A147" s="70">
        <v>31101.0</v>
      </c>
      <c r="B147" s="63" t="s">
        <v>210</v>
      </c>
      <c r="C147" s="79">
        <v>73.09644670050761</v>
      </c>
      <c r="D147" s="79">
        <v>162.1665450417579</v>
      </c>
      <c r="E147" s="93"/>
      <c r="F147" s="92"/>
      <c r="G147" s="76"/>
      <c r="H147" s="76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</row>
    <row r="148">
      <c r="A148" s="70">
        <v>31201.0</v>
      </c>
      <c r="B148" s="63" t="s">
        <v>212</v>
      </c>
      <c r="C148" s="79">
        <v>20.456870098874873</v>
      </c>
      <c r="D148" s="79">
        <v>0.0</v>
      </c>
      <c r="E148" s="93"/>
      <c r="F148" s="92"/>
      <c r="G148" s="76"/>
      <c r="H148" s="76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</row>
    <row r="149">
      <c r="A149" s="70">
        <v>31202.0</v>
      </c>
      <c r="B149" s="63" t="s">
        <v>213</v>
      </c>
      <c r="C149" s="79">
        <v>9.846396218983852</v>
      </c>
      <c r="D149" s="79">
        <v>75.85335018963337</v>
      </c>
      <c r="E149" s="93"/>
      <c r="F149" s="92"/>
      <c r="G149" s="76"/>
      <c r="H149" s="76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</row>
    <row r="150">
      <c r="A150" s="70">
        <v>31203.0</v>
      </c>
      <c r="B150" s="63" t="s">
        <v>214</v>
      </c>
      <c r="C150" s="79">
        <v>18.6046511627907</v>
      </c>
      <c r="D150" s="79">
        <v>40.78968836678088</v>
      </c>
      <c r="E150" s="93"/>
      <c r="F150" s="92"/>
      <c r="G150" s="76"/>
      <c r="H150" s="76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</row>
    <row r="151">
      <c r="A151" s="70">
        <v>31204.0</v>
      </c>
      <c r="B151" s="63" t="s">
        <v>215</v>
      </c>
      <c r="C151" s="79">
        <v>46.006624953993374</v>
      </c>
      <c r="D151" s="79">
        <v>123.54202245557937</v>
      </c>
      <c r="E151" s="93"/>
      <c r="F151" s="92"/>
      <c r="G151" s="76"/>
      <c r="H151" s="76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</row>
    <row r="152">
      <c r="A152" s="70">
        <v>31205.0</v>
      </c>
      <c r="B152" s="63" t="s">
        <v>216</v>
      </c>
      <c r="C152" s="79">
        <v>57.90636326591889</v>
      </c>
      <c r="D152" s="79">
        <v>229.11990092112393</v>
      </c>
      <c r="E152" s="93"/>
      <c r="F152" s="92"/>
      <c r="G152" s="76"/>
      <c r="H152" s="76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</row>
    <row r="153">
      <c r="A153" s="70">
        <v>31206.0</v>
      </c>
      <c r="B153" s="63" t="s">
        <v>217</v>
      </c>
      <c r="C153" s="79">
        <v>101.42630744849446</v>
      </c>
      <c r="D153" s="79">
        <v>205.3298383573613</v>
      </c>
      <c r="E153" s="93"/>
      <c r="F153" s="92"/>
      <c r="G153" s="76"/>
      <c r="H153" s="76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</row>
    <row r="154">
      <c r="A154" s="70">
        <v>31301.0</v>
      </c>
      <c r="B154" s="63" t="s">
        <v>218</v>
      </c>
      <c r="C154" s="79">
        <v>3.717472118959108</v>
      </c>
      <c r="D154" s="79">
        <v>150.78407720144753</v>
      </c>
      <c r="E154" s="93"/>
      <c r="F154" s="92"/>
      <c r="G154" s="76"/>
      <c r="H154" s="76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</row>
    <row r="155">
      <c r="A155" s="70">
        <v>31302.0</v>
      </c>
      <c r="B155" s="63" t="s">
        <v>219</v>
      </c>
      <c r="C155" s="79">
        <v>146.54698662758747</v>
      </c>
      <c r="D155" s="79">
        <v>190.69412662090008</v>
      </c>
      <c r="E155" s="93"/>
      <c r="F155" s="92"/>
      <c r="G155" s="76"/>
      <c r="H155" s="76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</row>
    <row r="156">
      <c r="A156" s="70">
        <v>31303.0</v>
      </c>
      <c r="B156" s="63" t="s">
        <v>220</v>
      </c>
      <c r="C156" s="79">
        <v>0.0</v>
      </c>
      <c r="D156" s="79">
        <v>341.6856492027335</v>
      </c>
      <c r="E156" s="93"/>
      <c r="F156" s="92"/>
      <c r="G156" s="76"/>
      <c r="H156" s="76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</row>
    <row r="157">
      <c r="A157" s="70">
        <v>31304.0</v>
      </c>
      <c r="B157" s="63" t="s">
        <v>221</v>
      </c>
      <c r="C157" s="79">
        <v>0.0</v>
      </c>
      <c r="D157" s="79">
        <v>173.78351539225423</v>
      </c>
      <c r="E157" s="93"/>
      <c r="F157" s="92"/>
      <c r="G157" s="76"/>
      <c r="H157" s="76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</row>
    <row r="158">
      <c r="A158" s="70">
        <v>31401.0</v>
      </c>
      <c r="B158" s="63" t="s">
        <v>222</v>
      </c>
      <c r="C158" s="79">
        <v>3.461764807698965</v>
      </c>
      <c r="D158" s="79">
        <v>22.696323195642307</v>
      </c>
      <c r="E158" s="93"/>
      <c r="F158" s="92"/>
      <c r="G158" s="76"/>
      <c r="H158" s="76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</row>
    <row r="159">
      <c r="A159" s="70">
        <v>31402.0</v>
      </c>
      <c r="B159" s="63" t="s">
        <v>223</v>
      </c>
      <c r="C159" s="79">
        <v>24.585125998770742</v>
      </c>
      <c r="D159" s="79">
        <v>104.66333294569137</v>
      </c>
      <c r="E159" s="93"/>
      <c r="F159" s="92"/>
      <c r="G159" s="76"/>
      <c r="H159" s="76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</row>
    <row r="160">
      <c r="A160" s="70">
        <v>31403.0</v>
      </c>
      <c r="B160" s="63" t="s">
        <v>224</v>
      </c>
      <c r="C160" s="79">
        <v>0.0</v>
      </c>
      <c r="D160" s="79">
        <v>30.64194882794546</v>
      </c>
      <c r="E160" s="93"/>
      <c r="F160" s="92"/>
      <c r="G160" s="76"/>
      <c r="H160" s="76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</row>
    <row r="161">
      <c r="A161" s="70">
        <v>31404.0</v>
      </c>
      <c r="B161" s="63" t="s">
        <v>225</v>
      </c>
      <c r="C161" s="79">
        <v>0.0</v>
      </c>
      <c r="D161" s="79">
        <v>77.7000777000777</v>
      </c>
      <c r="E161" s="93"/>
      <c r="F161" s="92"/>
      <c r="G161" s="76"/>
      <c r="H161" s="76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</row>
    <row r="162">
      <c r="A162" s="70">
        <v>31405.0</v>
      </c>
      <c r="B162" s="63" t="s">
        <v>496</v>
      </c>
      <c r="C162" s="79">
        <v>36.127167630057805</v>
      </c>
      <c r="D162" s="79">
        <v>0.0</v>
      </c>
      <c r="E162" s="93"/>
      <c r="F162" s="92"/>
      <c r="G162" s="76"/>
      <c r="H162" s="76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</row>
    <row r="163">
      <c r="A163" s="70">
        <v>31501.0</v>
      </c>
      <c r="B163" s="63" t="s">
        <v>497</v>
      </c>
      <c r="C163" s="79">
        <v>0.0</v>
      </c>
      <c r="D163" s="79">
        <v>12.07437816952427</v>
      </c>
      <c r="E163" s="93"/>
      <c r="F163" s="92"/>
      <c r="G163" s="76"/>
      <c r="H163" s="76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</row>
    <row r="164">
      <c r="A164" s="70">
        <v>31601.0</v>
      </c>
      <c r="B164" s="63" t="s">
        <v>228</v>
      </c>
      <c r="C164" s="79">
        <v>18.840374923460978</v>
      </c>
      <c r="D164" s="79">
        <v>32.47631935047362</v>
      </c>
      <c r="E164" s="93"/>
      <c r="F164" s="92"/>
      <c r="G164" s="76"/>
      <c r="H164" s="76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</row>
    <row r="165">
      <c r="A165" s="70">
        <v>31602.0</v>
      </c>
      <c r="B165" s="63" t="s">
        <v>229</v>
      </c>
      <c r="C165" s="79">
        <v>91.16645074612542</v>
      </c>
      <c r="D165" s="79">
        <v>139.8498454291182</v>
      </c>
      <c r="E165" s="93"/>
      <c r="F165" s="92"/>
      <c r="G165" s="76"/>
      <c r="H165" s="76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</row>
    <row r="166">
      <c r="A166" s="70">
        <v>40101.0</v>
      </c>
      <c r="B166" s="63" t="s">
        <v>230</v>
      </c>
      <c r="C166" s="79">
        <v>15.475026703857056</v>
      </c>
      <c r="D166" s="79">
        <v>43.57298474945534</v>
      </c>
      <c r="E166" s="93"/>
      <c r="F166" s="92"/>
      <c r="G166" s="76"/>
      <c r="H166" s="76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</row>
    <row r="167">
      <c r="A167" s="70">
        <v>40102.0</v>
      </c>
      <c r="B167" s="63" t="s">
        <v>231</v>
      </c>
      <c r="C167" s="79">
        <v>0.0</v>
      </c>
      <c r="D167" s="79">
        <v>35.010940919037196</v>
      </c>
      <c r="E167" s="93"/>
      <c r="F167" s="92"/>
      <c r="G167" s="76"/>
      <c r="H167" s="76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</row>
    <row r="168">
      <c r="A168" s="70">
        <v>40103.0</v>
      </c>
      <c r="B168" s="63" t="s">
        <v>232</v>
      </c>
      <c r="C168" s="79">
        <v>0.0</v>
      </c>
      <c r="D168" s="79">
        <v>0.0</v>
      </c>
      <c r="E168" s="93"/>
      <c r="F168" s="92"/>
      <c r="G168" s="76"/>
      <c r="H168" s="76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</row>
    <row r="169">
      <c r="A169" s="70">
        <v>40104.0</v>
      </c>
      <c r="B169" s="63" t="s">
        <v>498</v>
      </c>
      <c r="C169" s="79">
        <v>0.0</v>
      </c>
      <c r="D169" s="79">
        <v>38.06140573458513</v>
      </c>
      <c r="E169" s="93"/>
      <c r="F169" s="92"/>
      <c r="G169" s="76"/>
      <c r="H169" s="76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</row>
    <row r="170">
      <c r="A170" s="70">
        <v>40201.0</v>
      </c>
      <c r="B170" s="63" t="s">
        <v>235</v>
      </c>
      <c r="C170" s="79">
        <v>10.599208592425098</v>
      </c>
      <c r="D170" s="79">
        <v>28.227058458238066</v>
      </c>
      <c r="E170" s="93"/>
      <c r="F170" s="92"/>
      <c r="G170" s="76"/>
      <c r="H170" s="76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</row>
    <row r="171">
      <c r="A171" s="70">
        <v>40202.0</v>
      </c>
      <c r="B171" s="63" t="s">
        <v>236</v>
      </c>
      <c r="C171" s="79">
        <v>148.1115773882992</v>
      </c>
      <c r="D171" s="79">
        <v>0.0</v>
      </c>
      <c r="E171" s="93"/>
      <c r="F171" s="92"/>
      <c r="G171" s="76"/>
      <c r="H171" s="76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</row>
    <row r="172">
      <c r="A172" s="70">
        <v>40301.0</v>
      </c>
      <c r="B172" s="63" t="s">
        <v>238</v>
      </c>
      <c r="C172" s="79">
        <v>43.37924303220909</v>
      </c>
      <c r="D172" s="79">
        <v>0.0</v>
      </c>
      <c r="E172" s="93"/>
      <c r="F172" s="92"/>
      <c r="G172" s="76"/>
      <c r="H172" s="76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</row>
    <row r="173">
      <c r="A173" s="70">
        <v>40302.0</v>
      </c>
      <c r="B173" s="63" t="s">
        <v>239</v>
      </c>
      <c r="C173" s="79">
        <v>0.0</v>
      </c>
      <c r="D173" s="79">
        <v>0.0</v>
      </c>
      <c r="E173" s="93"/>
      <c r="F173" s="92"/>
      <c r="G173" s="76"/>
      <c r="H173" s="76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</row>
    <row r="174">
      <c r="A174" s="70">
        <v>40401.0</v>
      </c>
      <c r="B174" s="63" t="s">
        <v>241</v>
      </c>
      <c r="C174" s="79">
        <v>0.0</v>
      </c>
      <c r="D174" s="79">
        <v>0.0</v>
      </c>
      <c r="E174" s="93"/>
      <c r="F174" s="92"/>
      <c r="G174" s="76"/>
      <c r="H174" s="76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</row>
    <row r="175">
      <c r="A175" s="70">
        <v>40402.0</v>
      </c>
      <c r="B175" s="63" t="s">
        <v>242</v>
      </c>
      <c r="C175" s="79">
        <v>0.0</v>
      </c>
      <c r="D175" s="79">
        <v>0.0</v>
      </c>
      <c r="E175" s="93"/>
      <c r="F175" s="92"/>
      <c r="G175" s="76"/>
      <c r="H175" s="76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</row>
    <row r="176">
      <c r="A176" s="70">
        <v>40501.0</v>
      </c>
      <c r="B176" s="63" t="s">
        <v>244</v>
      </c>
      <c r="C176" s="79">
        <v>0.0</v>
      </c>
      <c r="D176" s="79">
        <v>0.0</v>
      </c>
      <c r="E176" s="93"/>
      <c r="F176" s="92"/>
      <c r="G176" s="76"/>
      <c r="H176" s="76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</row>
    <row r="177">
      <c r="A177" s="70">
        <v>40502.0</v>
      </c>
      <c r="B177" s="63" t="s">
        <v>245</v>
      </c>
      <c r="C177" s="79">
        <v>0.0</v>
      </c>
      <c r="D177" s="79">
        <v>212.71567005436066</v>
      </c>
      <c r="E177" s="93"/>
      <c r="F177" s="92"/>
      <c r="G177" s="76"/>
      <c r="H177" s="76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</row>
    <row r="178">
      <c r="A178" s="70">
        <v>40503.0</v>
      </c>
      <c r="B178" s="63" t="s">
        <v>246</v>
      </c>
      <c r="C178" s="79">
        <v>0.0</v>
      </c>
      <c r="D178" s="79">
        <v>0.0</v>
      </c>
      <c r="E178" s="93"/>
      <c r="F178" s="92"/>
      <c r="G178" s="76"/>
      <c r="H178" s="76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</row>
    <row r="179">
      <c r="A179" s="70">
        <v>40504.0</v>
      </c>
      <c r="B179" s="63" t="s">
        <v>247</v>
      </c>
      <c r="C179" s="79">
        <v>0.0</v>
      </c>
      <c r="D179" s="79">
        <v>0.0</v>
      </c>
      <c r="E179" s="93"/>
      <c r="F179" s="92"/>
      <c r="G179" s="76"/>
      <c r="H179" s="76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</row>
    <row r="180">
      <c r="A180" s="70">
        <v>40505.0</v>
      </c>
      <c r="B180" s="63" t="s">
        <v>248</v>
      </c>
      <c r="C180" s="79">
        <v>0.0</v>
      </c>
      <c r="D180" s="79">
        <v>0.0</v>
      </c>
      <c r="E180" s="93"/>
      <c r="F180" s="92"/>
      <c r="G180" s="76"/>
      <c r="H180" s="76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</row>
    <row r="181">
      <c r="A181" s="70">
        <v>40601.0</v>
      </c>
      <c r="B181" s="63" t="s">
        <v>249</v>
      </c>
      <c r="C181" s="79">
        <v>65.90220113351786</v>
      </c>
      <c r="D181" s="79">
        <v>21.76515398846447</v>
      </c>
      <c r="E181" s="93"/>
      <c r="F181" s="92"/>
      <c r="G181" s="76"/>
      <c r="H181" s="76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</row>
    <row r="182">
      <c r="A182" s="70">
        <v>40602.0</v>
      </c>
      <c r="B182" s="63" t="s">
        <v>250</v>
      </c>
      <c r="C182" s="79">
        <v>0.0</v>
      </c>
      <c r="D182" s="79">
        <v>423.42978122794636</v>
      </c>
      <c r="E182" s="93"/>
      <c r="F182" s="92"/>
      <c r="G182" s="76"/>
      <c r="H182" s="76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</row>
    <row r="183">
      <c r="A183" s="70">
        <v>40603.0</v>
      </c>
      <c r="B183" s="63" t="s">
        <v>251</v>
      </c>
      <c r="C183" s="79">
        <v>0.0</v>
      </c>
      <c r="D183" s="79">
        <v>81.83306055646482</v>
      </c>
      <c r="E183" s="93"/>
      <c r="F183" s="92"/>
      <c r="G183" s="76"/>
      <c r="H183" s="76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</row>
    <row r="184">
      <c r="A184" s="70">
        <v>40701.0</v>
      </c>
      <c r="B184" s="63" t="s">
        <v>253</v>
      </c>
      <c r="C184" s="79">
        <v>8.104712890545853</v>
      </c>
      <c r="D184" s="79">
        <v>0.0</v>
      </c>
      <c r="E184" s="93"/>
      <c r="F184" s="92"/>
      <c r="G184" s="76"/>
      <c r="H184" s="76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</row>
    <row r="185">
      <c r="A185" s="70">
        <v>40702.0</v>
      </c>
      <c r="B185" s="63" t="s">
        <v>254</v>
      </c>
      <c r="C185" s="79">
        <v>0.0</v>
      </c>
      <c r="D185" s="79">
        <v>0.0</v>
      </c>
      <c r="E185" s="93"/>
      <c r="F185" s="92"/>
      <c r="G185" s="76"/>
      <c r="H185" s="76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</row>
    <row r="186">
      <c r="A186" s="70">
        <v>40801.0</v>
      </c>
      <c r="B186" s="63" t="s">
        <v>499</v>
      </c>
      <c r="C186" s="79">
        <v>151.5406634113487</v>
      </c>
      <c r="D186" s="79">
        <v>50.20710430525919</v>
      </c>
      <c r="E186" s="93"/>
      <c r="F186" s="92"/>
      <c r="G186" s="76"/>
      <c r="H186" s="76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</row>
    <row r="187">
      <c r="A187" s="70">
        <v>40802.0</v>
      </c>
      <c r="B187" s="63" t="s">
        <v>257</v>
      </c>
      <c r="C187" s="79">
        <v>0.0</v>
      </c>
      <c r="D187" s="79">
        <v>0.0</v>
      </c>
      <c r="E187" s="93"/>
      <c r="F187" s="92"/>
      <c r="G187" s="76"/>
      <c r="H187" s="76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</row>
    <row r="188">
      <c r="A188" s="70">
        <v>40901.0</v>
      </c>
      <c r="B188" s="63" t="s">
        <v>258</v>
      </c>
      <c r="C188" s="79">
        <v>0.0</v>
      </c>
      <c r="D188" s="79">
        <v>0.0</v>
      </c>
      <c r="E188" s="93"/>
      <c r="F188" s="92"/>
      <c r="G188" s="76"/>
      <c r="H188" s="76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</row>
    <row r="189">
      <c r="A189" s="70">
        <v>40902.0</v>
      </c>
      <c r="B189" s="63" t="s">
        <v>259</v>
      </c>
      <c r="C189" s="79">
        <v>0.0</v>
      </c>
      <c r="D189" s="79">
        <v>0.0</v>
      </c>
      <c r="E189" s="93"/>
      <c r="F189" s="92"/>
      <c r="G189" s="76"/>
      <c r="H189" s="76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</row>
    <row r="190">
      <c r="A190" s="70">
        <v>40903.0</v>
      </c>
      <c r="B190" s="63" t="s">
        <v>500</v>
      </c>
      <c r="C190" s="79">
        <v>0.0</v>
      </c>
      <c r="D190" s="79">
        <v>0.0</v>
      </c>
      <c r="E190" s="93"/>
      <c r="F190" s="92"/>
      <c r="G190" s="76"/>
      <c r="H190" s="76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</row>
    <row r="191">
      <c r="A191" s="70">
        <v>41001.0</v>
      </c>
      <c r="B191" s="63" t="s">
        <v>262</v>
      </c>
      <c r="C191" s="79">
        <v>0.0</v>
      </c>
      <c r="D191" s="79">
        <v>90.14915587608589</v>
      </c>
      <c r="E191" s="93"/>
      <c r="F191" s="92"/>
      <c r="G191" s="76"/>
      <c r="H191" s="76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</row>
    <row r="192">
      <c r="A192" s="70">
        <v>41101.0</v>
      </c>
      <c r="B192" s="63" t="s">
        <v>264</v>
      </c>
      <c r="C192" s="79">
        <v>0.0</v>
      </c>
      <c r="D192" s="79">
        <v>37.488284910965326</v>
      </c>
      <c r="E192" s="93"/>
      <c r="F192" s="92"/>
      <c r="G192" s="76"/>
      <c r="H192" s="76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</row>
    <row r="193">
      <c r="A193" s="70">
        <v>41201.0</v>
      </c>
      <c r="B193" s="63" t="s">
        <v>501</v>
      </c>
      <c r="C193" s="79">
        <v>0.0</v>
      </c>
      <c r="D193" s="79">
        <v>0.0</v>
      </c>
      <c r="E193" s="93"/>
      <c r="F193" s="92"/>
      <c r="G193" s="76"/>
      <c r="H193" s="76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</row>
    <row r="194">
      <c r="A194" s="70">
        <v>41202.0</v>
      </c>
      <c r="B194" s="63" t="s">
        <v>267</v>
      </c>
      <c r="C194" s="79">
        <v>0.0</v>
      </c>
      <c r="D194" s="79">
        <v>228.68343678536425</v>
      </c>
      <c r="E194" s="93"/>
      <c r="F194" s="92"/>
      <c r="G194" s="76"/>
      <c r="H194" s="76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</row>
    <row r="195">
      <c r="A195" s="70">
        <v>41301.0</v>
      </c>
      <c r="B195" s="63" t="s">
        <v>268</v>
      </c>
      <c r="C195" s="79">
        <v>18.07991321641656</v>
      </c>
      <c r="D195" s="79">
        <v>0.0</v>
      </c>
      <c r="E195" s="93"/>
      <c r="F195" s="92"/>
      <c r="G195" s="76"/>
      <c r="H195" s="76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</row>
    <row r="196">
      <c r="A196" s="70">
        <v>41401.0</v>
      </c>
      <c r="B196" s="63" t="s">
        <v>270</v>
      </c>
      <c r="C196" s="79">
        <v>0.0</v>
      </c>
      <c r="D196" s="79">
        <v>51.844171233891274</v>
      </c>
      <c r="E196" s="93"/>
      <c r="F196" s="92"/>
      <c r="G196" s="76"/>
      <c r="H196" s="76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</row>
    <row r="197">
      <c r="A197" s="70">
        <v>41501.0</v>
      </c>
      <c r="B197" s="63" t="s">
        <v>272</v>
      </c>
      <c r="C197" s="79">
        <v>0.0</v>
      </c>
      <c r="D197" s="79">
        <v>0.0</v>
      </c>
      <c r="E197" s="93"/>
      <c r="F197" s="92"/>
      <c r="G197" s="76"/>
      <c r="H197" s="76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</row>
    <row r="198">
      <c r="A198" s="70">
        <v>41502.0</v>
      </c>
      <c r="B198" s="63" t="s">
        <v>273</v>
      </c>
      <c r="C198" s="79">
        <v>0.0</v>
      </c>
      <c r="D198" s="79">
        <v>0.0</v>
      </c>
      <c r="E198" s="93"/>
      <c r="F198" s="92"/>
      <c r="G198" s="76"/>
      <c r="H198" s="76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</row>
    <row r="199">
      <c r="A199" s="70">
        <v>41503.0</v>
      </c>
      <c r="B199" s="63" t="s">
        <v>237</v>
      </c>
      <c r="C199" s="79">
        <v>0.0</v>
      </c>
      <c r="D199" s="79">
        <v>0.0</v>
      </c>
      <c r="E199" s="93"/>
      <c r="F199" s="92"/>
      <c r="G199" s="76"/>
      <c r="H199" s="76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</row>
    <row r="200">
      <c r="A200" s="70">
        <v>41601.0</v>
      </c>
      <c r="B200" s="63" t="s">
        <v>502</v>
      </c>
      <c r="C200" s="79">
        <v>0.0</v>
      </c>
      <c r="D200" s="79">
        <v>0.0</v>
      </c>
      <c r="E200" s="93"/>
      <c r="F200" s="92"/>
      <c r="G200" s="76"/>
      <c r="H200" s="76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</row>
    <row r="201">
      <c r="A201" s="70">
        <v>50101.0</v>
      </c>
      <c r="B201" s="63" t="s">
        <v>276</v>
      </c>
      <c r="C201" s="79">
        <v>88.8647269761947</v>
      </c>
      <c r="D201" s="79">
        <v>57.15539867033681</v>
      </c>
      <c r="E201" s="93"/>
      <c r="F201" s="92"/>
      <c r="G201" s="76"/>
      <c r="H201" s="76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</row>
    <row r="202">
      <c r="A202" s="70">
        <v>50102.0</v>
      </c>
      <c r="B202" s="63" t="s">
        <v>278</v>
      </c>
      <c r="C202" s="79">
        <v>0.0</v>
      </c>
      <c r="D202" s="79">
        <v>27.641489876304334</v>
      </c>
      <c r="E202" s="93"/>
      <c r="F202" s="92"/>
      <c r="G202" s="76"/>
      <c r="H202" s="76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</row>
    <row r="203">
      <c r="A203" s="70">
        <v>50103.0</v>
      </c>
      <c r="B203" s="63" t="s">
        <v>279</v>
      </c>
      <c r="C203" s="79">
        <v>11.137097672346586</v>
      </c>
      <c r="D203" s="79">
        <v>48.96759977148454</v>
      </c>
      <c r="E203" s="93"/>
      <c r="F203" s="92"/>
      <c r="G203" s="76"/>
      <c r="H203" s="76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</row>
    <row r="204">
      <c r="A204" s="70">
        <v>50104.0</v>
      </c>
      <c r="B204" s="63" t="s">
        <v>503</v>
      </c>
      <c r="C204" s="79">
        <v>0.0</v>
      </c>
      <c r="D204" s="79">
        <v>0.0</v>
      </c>
      <c r="E204" s="93"/>
      <c r="F204" s="92"/>
      <c r="G204" s="76"/>
      <c r="H204" s="76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</row>
    <row r="205">
      <c r="A205" s="70">
        <v>50201.0</v>
      </c>
      <c r="B205" s="63" t="s">
        <v>282</v>
      </c>
      <c r="C205" s="79">
        <v>0.0</v>
      </c>
      <c r="D205" s="79">
        <v>92.23471539002108</v>
      </c>
      <c r="E205" s="93"/>
      <c r="F205" s="92"/>
      <c r="G205" s="76"/>
      <c r="H205" s="76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</row>
    <row r="206">
      <c r="A206" s="70">
        <v>50202.0</v>
      </c>
      <c r="B206" s="63" t="s">
        <v>283</v>
      </c>
      <c r="C206" s="79">
        <v>43.400086800173604</v>
      </c>
      <c r="D206" s="79">
        <v>49.93446101991137</v>
      </c>
      <c r="E206" s="93"/>
      <c r="F206" s="92"/>
      <c r="G206" s="76"/>
      <c r="H206" s="76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</row>
    <row r="207">
      <c r="A207" s="70">
        <v>50203.0</v>
      </c>
      <c r="B207" s="63" t="s">
        <v>284</v>
      </c>
      <c r="C207" s="79">
        <v>121.64266251459712</v>
      </c>
      <c r="D207" s="79">
        <v>28.78664299764909</v>
      </c>
      <c r="E207" s="93"/>
      <c r="F207" s="92"/>
      <c r="G207" s="76"/>
      <c r="H207" s="76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</row>
    <row r="208">
      <c r="A208" s="70">
        <v>50204.0</v>
      </c>
      <c r="B208" s="63" t="s">
        <v>504</v>
      </c>
      <c r="C208" s="79">
        <v>1184.6863698715551</v>
      </c>
      <c r="D208" s="79">
        <v>72.99270072992701</v>
      </c>
      <c r="E208" s="93"/>
      <c r="F208" s="92"/>
      <c r="G208" s="76"/>
      <c r="H208" s="76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</row>
    <row r="209">
      <c r="A209" s="70">
        <v>50301.0</v>
      </c>
      <c r="B209" s="63" t="s">
        <v>287</v>
      </c>
      <c r="C209" s="79">
        <v>162.13666647013738</v>
      </c>
      <c r="D209" s="79">
        <v>62.688064192577734</v>
      </c>
      <c r="E209" s="93"/>
      <c r="F209" s="92"/>
      <c r="G209" s="76"/>
      <c r="H209" s="76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</row>
    <row r="210">
      <c r="A210" s="70">
        <v>50302.0</v>
      </c>
      <c r="B210" s="63" t="s">
        <v>288</v>
      </c>
      <c r="C210" s="79">
        <v>40.36326942482341</v>
      </c>
      <c r="D210" s="79">
        <v>161.55088852988692</v>
      </c>
      <c r="E210" s="93"/>
      <c r="F210" s="92"/>
      <c r="G210" s="76"/>
      <c r="H210" s="76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</row>
    <row r="211">
      <c r="A211" s="70">
        <v>50303.0</v>
      </c>
      <c r="B211" s="63" t="s">
        <v>289</v>
      </c>
      <c r="C211" s="79">
        <v>50.69708491761724</v>
      </c>
      <c r="D211" s="79">
        <v>97.45231797299179</v>
      </c>
      <c r="E211" s="93"/>
      <c r="F211" s="92"/>
      <c r="G211" s="76"/>
      <c r="H211" s="76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</row>
    <row r="212">
      <c r="A212" s="70">
        <v>50401.0</v>
      </c>
      <c r="B212" s="63" t="s">
        <v>290</v>
      </c>
      <c r="C212" s="79">
        <v>22.72791840677292</v>
      </c>
      <c r="D212" s="79">
        <v>42.779441422721995</v>
      </c>
      <c r="E212" s="93"/>
      <c r="F212" s="92"/>
      <c r="G212" s="76"/>
      <c r="H212" s="76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</row>
    <row r="213">
      <c r="A213" s="70">
        <v>50402.0</v>
      </c>
      <c r="B213" s="63" t="s">
        <v>291</v>
      </c>
      <c r="C213" s="79">
        <v>4.810236182596565</v>
      </c>
      <c r="D213" s="79">
        <v>118.2802058075581</v>
      </c>
      <c r="E213" s="93"/>
      <c r="F213" s="92"/>
      <c r="G213" s="76"/>
      <c r="H213" s="76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</row>
    <row r="214">
      <c r="A214" s="70">
        <v>50403.0</v>
      </c>
      <c r="B214" s="63" t="s">
        <v>292</v>
      </c>
      <c r="C214" s="79">
        <v>11.393847322445879</v>
      </c>
      <c r="D214" s="79">
        <v>79.65442235225636</v>
      </c>
      <c r="E214" s="93"/>
      <c r="F214" s="92"/>
      <c r="G214" s="76"/>
      <c r="H214" s="76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</row>
    <row r="215">
      <c r="A215" s="70">
        <v>50404.0</v>
      </c>
      <c r="B215" s="63" t="s">
        <v>293</v>
      </c>
      <c r="C215" s="79">
        <v>0.0</v>
      </c>
      <c r="D215" s="79">
        <v>48.16955684007707</v>
      </c>
      <c r="E215" s="93"/>
      <c r="F215" s="92"/>
      <c r="G215" s="76"/>
      <c r="H215" s="76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</row>
    <row r="216">
      <c r="A216" s="70">
        <v>50405.0</v>
      </c>
      <c r="B216" s="63" t="s">
        <v>294</v>
      </c>
      <c r="C216" s="79">
        <v>22.72791840677292</v>
      </c>
      <c r="D216" s="79">
        <v>14.278235210128027</v>
      </c>
      <c r="E216" s="93"/>
      <c r="F216" s="92"/>
      <c r="G216" s="76"/>
      <c r="H216" s="76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</row>
    <row r="217">
      <c r="A217" s="70">
        <v>50501.0</v>
      </c>
      <c r="B217" s="63" t="s">
        <v>505</v>
      </c>
      <c r="C217" s="79">
        <v>23.324003731840598</v>
      </c>
      <c r="D217" s="79">
        <v>56.306306306306304</v>
      </c>
      <c r="E217" s="93"/>
      <c r="F217" s="92"/>
      <c r="G217" s="76"/>
      <c r="H217" s="76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</row>
    <row r="218">
      <c r="A218" s="70">
        <v>50502.0</v>
      </c>
      <c r="B218" s="63" t="s">
        <v>297</v>
      </c>
      <c r="C218" s="79">
        <v>9.19963201471941</v>
      </c>
      <c r="D218" s="79">
        <v>177.3380623483293</v>
      </c>
      <c r="E218" s="93"/>
      <c r="F218" s="92"/>
      <c r="G218" s="76"/>
      <c r="H218" s="76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</row>
    <row r="219">
      <c r="A219" s="70">
        <v>50601.0</v>
      </c>
      <c r="B219" s="63" t="s">
        <v>299</v>
      </c>
      <c r="C219" s="79">
        <v>47.16832803999874</v>
      </c>
      <c r="D219" s="79">
        <v>88.97710550631395</v>
      </c>
      <c r="E219" s="93"/>
      <c r="F219" s="92"/>
      <c r="G219" s="76"/>
      <c r="H219" s="76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</row>
    <row r="220">
      <c r="A220" s="70">
        <v>50602.0</v>
      </c>
      <c r="B220" s="63" t="s">
        <v>300</v>
      </c>
      <c r="C220" s="79">
        <v>140.89798985534472</v>
      </c>
      <c r="D220" s="79">
        <v>39.27729772191673</v>
      </c>
      <c r="E220" s="93"/>
      <c r="F220" s="92"/>
      <c r="G220" s="76"/>
      <c r="H220" s="76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</row>
    <row r="221">
      <c r="A221" s="70">
        <v>50701.0</v>
      </c>
      <c r="B221" s="63" t="s">
        <v>506</v>
      </c>
      <c r="C221" s="79">
        <v>20.39671612870328</v>
      </c>
      <c r="D221" s="79">
        <v>5.812263876780006</v>
      </c>
      <c r="E221" s="93"/>
      <c r="F221" s="92"/>
      <c r="G221" s="76"/>
      <c r="H221" s="76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</row>
    <row r="222">
      <c r="A222" s="70">
        <v>50702.0</v>
      </c>
      <c r="B222" s="63" t="s">
        <v>303</v>
      </c>
      <c r="C222" s="79">
        <v>11.488970588235293</v>
      </c>
      <c r="D222" s="79">
        <v>23.646252069047055</v>
      </c>
      <c r="E222" s="93"/>
      <c r="F222" s="92"/>
      <c r="G222" s="76"/>
      <c r="H222" s="76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</row>
    <row r="223">
      <c r="A223" s="70">
        <v>50801.0</v>
      </c>
      <c r="B223" s="63" t="s">
        <v>305</v>
      </c>
      <c r="C223" s="79">
        <v>11.157227652073013</v>
      </c>
      <c r="D223" s="79">
        <v>109.67317394165387</v>
      </c>
      <c r="E223" s="93"/>
      <c r="F223" s="92"/>
      <c r="G223" s="76"/>
      <c r="H223" s="76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</row>
    <row r="224">
      <c r="A224" s="70">
        <v>50802.0</v>
      </c>
      <c r="B224" s="63" t="s">
        <v>306</v>
      </c>
      <c r="C224" s="79">
        <v>0.0</v>
      </c>
      <c r="D224" s="79">
        <v>145.68158168574402</v>
      </c>
      <c r="E224" s="93"/>
      <c r="F224" s="92"/>
      <c r="G224" s="76"/>
      <c r="H224" s="76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</row>
    <row r="225">
      <c r="A225" s="70">
        <v>50901.0</v>
      </c>
      <c r="B225" s="63" t="s">
        <v>507</v>
      </c>
      <c r="C225" s="79">
        <v>92.32899899976918</v>
      </c>
      <c r="D225" s="79">
        <v>70.6436420722135</v>
      </c>
      <c r="E225" s="93"/>
      <c r="F225" s="92"/>
      <c r="G225" s="76"/>
      <c r="H225" s="76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</row>
    <row r="226">
      <c r="A226" s="70">
        <v>50902.0</v>
      </c>
      <c r="B226" s="63" t="s">
        <v>309</v>
      </c>
      <c r="C226" s="79">
        <v>0.0</v>
      </c>
      <c r="D226" s="79">
        <v>0.0</v>
      </c>
      <c r="E226" s="93"/>
      <c r="F226" s="92"/>
      <c r="G226" s="76"/>
      <c r="H226" s="76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</row>
    <row r="227">
      <c r="A227" s="70">
        <v>51001.0</v>
      </c>
      <c r="B227" s="63" t="s">
        <v>508</v>
      </c>
      <c r="C227" s="79">
        <v>29.664787896766537</v>
      </c>
      <c r="D227" s="79">
        <v>63.492063492063494</v>
      </c>
      <c r="E227" s="93"/>
      <c r="F227" s="92"/>
      <c r="G227" s="76"/>
      <c r="H227" s="76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</row>
    <row r="228">
      <c r="A228" s="70">
        <v>51002.0</v>
      </c>
      <c r="B228" s="63" t="s">
        <v>312</v>
      </c>
      <c r="C228" s="79">
        <v>0.0</v>
      </c>
      <c r="D228" s="79">
        <v>682.9268292682926</v>
      </c>
      <c r="E228" s="93"/>
      <c r="F228" s="92"/>
      <c r="G228" s="76"/>
      <c r="H228" s="76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</row>
    <row r="229">
      <c r="A229" s="70">
        <v>51003.0</v>
      </c>
      <c r="B229" s="63" t="s">
        <v>313</v>
      </c>
      <c r="C229" s="79">
        <v>0.0</v>
      </c>
      <c r="D229" s="79">
        <v>0.0</v>
      </c>
      <c r="E229" s="93"/>
      <c r="F229" s="92"/>
      <c r="G229" s="76"/>
      <c r="H229" s="76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</row>
    <row r="230">
      <c r="A230" s="70">
        <v>51101.0</v>
      </c>
      <c r="B230" s="63" t="s">
        <v>315</v>
      </c>
      <c r="C230" s="79">
        <v>50.189350732308256</v>
      </c>
      <c r="D230" s="79">
        <v>146.4396851546769</v>
      </c>
      <c r="E230" s="93"/>
      <c r="F230" s="92"/>
      <c r="G230" s="76"/>
      <c r="H230" s="76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</row>
    <row r="231">
      <c r="A231" s="70">
        <v>51102.0</v>
      </c>
      <c r="B231" s="63" t="s">
        <v>316</v>
      </c>
      <c r="C231" s="79">
        <v>82.87063893262616</v>
      </c>
      <c r="D231" s="79">
        <v>107.70059235325795</v>
      </c>
      <c r="E231" s="93"/>
      <c r="F231" s="92"/>
      <c r="G231" s="76"/>
      <c r="H231" s="76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</row>
    <row r="232">
      <c r="A232" s="70">
        <v>51103.0</v>
      </c>
      <c r="B232" s="63" t="s">
        <v>317</v>
      </c>
      <c r="C232" s="79">
        <v>63.243106501391345</v>
      </c>
      <c r="D232" s="79">
        <v>13.948946854512485</v>
      </c>
      <c r="E232" s="93"/>
      <c r="F232" s="92"/>
      <c r="G232" s="76"/>
      <c r="H232" s="76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</row>
    <row r="233">
      <c r="A233" s="70">
        <v>51201.0</v>
      </c>
      <c r="B233" s="63" t="s">
        <v>319</v>
      </c>
      <c r="C233" s="79">
        <v>3.3701806416823943</v>
      </c>
      <c r="D233" s="79">
        <v>232.17622741944618</v>
      </c>
      <c r="E233" s="93"/>
      <c r="F233" s="92"/>
      <c r="G233" s="76"/>
      <c r="H233" s="76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</row>
    <row r="234">
      <c r="A234" s="70">
        <v>51202.0</v>
      </c>
      <c r="B234" s="63" t="s">
        <v>320</v>
      </c>
      <c r="C234" s="79">
        <v>13.52356481168436</v>
      </c>
      <c r="D234" s="79">
        <v>101.97578075207139</v>
      </c>
      <c r="E234" s="93"/>
      <c r="F234" s="92"/>
      <c r="G234" s="76"/>
      <c r="H234" s="76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</row>
    <row r="235">
      <c r="A235" s="70">
        <v>51203.0</v>
      </c>
      <c r="B235" s="63" t="s">
        <v>321</v>
      </c>
      <c r="C235" s="79">
        <v>0.0</v>
      </c>
      <c r="D235" s="79">
        <v>13.648150675583459</v>
      </c>
      <c r="E235" s="93"/>
      <c r="F235" s="92"/>
      <c r="G235" s="76"/>
      <c r="H235" s="76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</row>
    <row r="236">
      <c r="A236" s="70">
        <v>51204.0</v>
      </c>
      <c r="B236" s="63" t="s">
        <v>322</v>
      </c>
      <c r="C236" s="79">
        <v>0.0</v>
      </c>
      <c r="D236" s="79">
        <v>85.92541673827118</v>
      </c>
      <c r="E236" s="93"/>
      <c r="F236" s="92"/>
      <c r="G236" s="76"/>
      <c r="H236" s="76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</row>
    <row r="237">
      <c r="A237" s="70">
        <v>51301.0</v>
      </c>
      <c r="B237" s="63" t="s">
        <v>324</v>
      </c>
      <c r="C237" s="79">
        <v>0.0</v>
      </c>
      <c r="D237" s="79">
        <v>27.277686852154936</v>
      </c>
      <c r="E237" s="93"/>
      <c r="F237" s="92"/>
      <c r="G237" s="76"/>
      <c r="H237" s="76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</row>
    <row r="238">
      <c r="A238" s="70">
        <v>51302.0</v>
      </c>
      <c r="B238" s="63" t="s">
        <v>325</v>
      </c>
      <c r="C238" s="79">
        <v>0.0</v>
      </c>
      <c r="D238" s="79">
        <v>156.56452695146498</v>
      </c>
      <c r="E238" s="93"/>
      <c r="F238" s="92"/>
      <c r="G238" s="76"/>
      <c r="H238" s="76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</row>
    <row r="239">
      <c r="A239" s="70">
        <v>51401.0</v>
      </c>
      <c r="B239" s="63" t="s">
        <v>327</v>
      </c>
      <c r="C239" s="79">
        <v>0.0</v>
      </c>
      <c r="D239" s="79">
        <v>0.0</v>
      </c>
      <c r="E239" s="93"/>
      <c r="F239" s="92"/>
      <c r="G239" s="76"/>
      <c r="H239" s="76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</row>
    <row r="240">
      <c r="A240" s="70">
        <v>51402.0</v>
      </c>
      <c r="B240" s="63" t="s">
        <v>328</v>
      </c>
      <c r="C240" s="79">
        <v>0.0</v>
      </c>
      <c r="D240" s="79">
        <v>64.68305304010349</v>
      </c>
      <c r="E240" s="93"/>
      <c r="F240" s="92"/>
      <c r="G240" s="76"/>
      <c r="H240" s="76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</row>
    <row r="241">
      <c r="A241" s="70">
        <v>51501.0</v>
      </c>
      <c r="B241" s="63" t="s">
        <v>330</v>
      </c>
      <c r="C241" s="79">
        <v>51.218100031176235</v>
      </c>
      <c r="D241" s="79">
        <v>34.45480340494528</v>
      </c>
      <c r="E241" s="93"/>
      <c r="F241" s="92"/>
      <c r="G241" s="76"/>
      <c r="H241" s="76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</row>
    <row r="242">
      <c r="A242" s="70">
        <v>51601.0</v>
      </c>
      <c r="B242" s="63" t="s">
        <v>332</v>
      </c>
      <c r="C242" s="79">
        <v>0.0</v>
      </c>
      <c r="D242" s="79">
        <v>0.0</v>
      </c>
      <c r="E242" s="93"/>
      <c r="F242" s="92"/>
      <c r="G242" s="76"/>
      <c r="H242" s="76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</row>
    <row r="243">
      <c r="A243" s="70">
        <v>60101.0</v>
      </c>
      <c r="B243" s="63" t="s">
        <v>333</v>
      </c>
      <c r="C243" s="79">
        <v>28.72793670115642</v>
      </c>
      <c r="D243" s="79">
        <v>26.387545078722844</v>
      </c>
      <c r="E243" s="93"/>
      <c r="F243" s="92"/>
      <c r="G243" s="76"/>
      <c r="H243" s="76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</row>
    <row r="244">
      <c r="A244" s="70">
        <v>60201.0</v>
      </c>
      <c r="B244" s="63" t="s">
        <v>335</v>
      </c>
      <c r="C244" s="79">
        <v>0.0</v>
      </c>
      <c r="D244" s="79">
        <v>28.063085816916427</v>
      </c>
      <c r="E244" s="93"/>
      <c r="F244" s="92"/>
      <c r="G244" s="76"/>
      <c r="H244" s="76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</row>
    <row r="245">
      <c r="A245" s="70">
        <v>60202.0</v>
      </c>
      <c r="B245" s="63" t="s">
        <v>336</v>
      </c>
      <c r="C245" s="79">
        <v>26.083176351253442</v>
      </c>
      <c r="D245" s="79">
        <v>21.639166892074655</v>
      </c>
      <c r="E245" s="93"/>
      <c r="F245" s="92"/>
      <c r="G245" s="76"/>
      <c r="H245" s="76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</row>
    <row r="246">
      <c r="A246" s="70">
        <v>60301.0</v>
      </c>
      <c r="B246" s="63" t="s">
        <v>338</v>
      </c>
      <c r="C246" s="79">
        <v>9.756626375413301</v>
      </c>
      <c r="D246" s="79">
        <v>15.363500419935677</v>
      </c>
      <c r="E246" s="93"/>
      <c r="F246" s="92"/>
      <c r="G246" s="76"/>
      <c r="H246" s="76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</row>
    <row r="247">
      <c r="A247" s="70">
        <v>60302.0</v>
      </c>
      <c r="B247" s="63" t="s">
        <v>339</v>
      </c>
      <c r="C247" s="79">
        <v>91.11024339450735</v>
      </c>
      <c r="D247" s="79">
        <v>19.281444822932066</v>
      </c>
      <c r="E247" s="93"/>
      <c r="F247" s="92"/>
      <c r="G247" s="76"/>
      <c r="H247" s="76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</row>
    <row r="248">
      <c r="A248" s="70">
        <v>60303.0</v>
      </c>
      <c r="B248" s="63" t="s">
        <v>340</v>
      </c>
      <c r="C248" s="79">
        <v>27.591742543958663</v>
      </c>
      <c r="D248" s="79">
        <v>13.023376961646155</v>
      </c>
      <c r="E248" s="93"/>
      <c r="F248" s="92"/>
      <c r="G248" s="76"/>
      <c r="H248" s="76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</row>
    <row r="249">
      <c r="A249" s="70">
        <v>60401.0</v>
      </c>
      <c r="B249" s="63" t="s">
        <v>342</v>
      </c>
      <c r="C249" s="79">
        <v>54.12353697314119</v>
      </c>
      <c r="D249" s="79">
        <v>18.840670727877914</v>
      </c>
      <c r="E249" s="93"/>
      <c r="F249" s="92"/>
      <c r="G249" s="76"/>
      <c r="H249" s="76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</row>
    <row r="250">
      <c r="A250" s="70">
        <v>60402.0</v>
      </c>
      <c r="B250" s="63" t="s">
        <v>343</v>
      </c>
      <c r="C250" s="79">
        <v>0.0</v>
      </c>
      <c r="D250" s="79">
        <v>0.0</v>
      </c>
      <c r="E250" s="93"/>
      <c r="F250" s="92"/>
      <c r="G250" s="76"/>
      <c r="H250" s="76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</row>
    <row r="251">
      <c r="A251" s="70">
        <v>60501.0</v>
      </c>
      <c r="B251" s="63" t="s">
        <v>509</v>
      </c>
      <c r="C251" s="79">
        <v>20.95293969743955</v>
      </c>
      <c r="D251" s="79">
        <v>26.36261780794833</v>
      </c>
      <c r="E251" s="93"/>
      <c r="F251" s="92"/>
      <c r="G251" s="76"/>
      <c r="H251" s="76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</row>
    <row r="252">
      <c r="A252" s="70">
        <v>60502.0</v>
      </c>
      <c r="B252" s="63" t="s">
        <v>346</v>
      </c>
      <c r="C252" s="79">
        <v>8.807468733485996</v>
      </c>
      <c r="D252" s="79">
        <v>21.0017851517379</v>
      </c>
      <c r="E252" s="93"/>
      <c r="F252" s="92"/>
      <c r="G252" s="76"/>
      <c r="H252" s="76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</row>
    <row r="253">
      <c r="A253" s="70">
        <v>60601.0</v>
      </c>
      <c r="B253" s="63" t="s">
        <v>217</v>
      </c>
      <c r="C253" s="79">
        <v>27.28388886362603</v>
      </c>
      <c r="D253" s="79">
        <v>43.13650306748466</v>
      </c>
      <c r="E253" s="93"/>
      <c r="F253" s="92"/>
      <c r="G253" s="76"/>
      <c r="H253" s="76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</row>
    <row r="254">
      <c r="A254" s="70">
        <v>70101.0</v>
      </c>
      <c r="B254" s="63" t="s">
        <v>350</v>
      </c>
      <c r="C254" s="79">
        <v>22.550100066069042</v>
      </c>
      <c r="D254" s="79">
        <v>38.1133991565393</v>
      </c>
      <c r="E254" s="93"/>
      <c r="F254" s="92"/>
      <c r="G254" s="76"/>
      <c r="H254" s="76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</row>
    <row r="255">
      <c r="A255" s="70">
        <v>70102.0</v>
      </c>
      <c r="B255" s="63" t="s">
        <v>351</v>
      </c>
      <c r="C255" s="79">
        <v>46.13458116390957</v>
      </c>
      <c r="D255" s="79">
        <v>15.94701837659353</v>
      </c>
      <c r="E255" s="93"/>
      <c r="F255" s="92"/>
      <c r="G255" s="76"/>
      <c r="H255" s="76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</row>
    <row r="256">
      <c r="A256" s="70">
        <v>70103.0</v>
      </c>
      <c r="B256" s="63" t="s">
        <v>352</v>
      </c>
      <c r="C256" s="79">
        <v>0.0</v>
      </c>
      <c r="D256" s="79">
        <v>17.296549338406987</v>
      </c>
      <c r="E256" s="93"/>
      <c r="F256" s="92"/>
      <c r="G256" s="76"/>
      <c r="H256" s="76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</row>
    <row r="257">
      <c r="A257" s="70">
        <v>70104.0</v>
      </c>
      <c r="B257" s="63" t="s">
        <v>353</v>
      </c>
      <c r="C257" s="79">
        <v>8.960172035303078</v>
      </c>
      <c r="D257" s="79">
        <v>20.30786726777954</v>
      </c>
      <c r="E257" s="93"/>
      <c r="F257" s="92"/>
      <c r="G257" s="76"/>
      <c r="H257" s="76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</row>
    <row r="258">
      <c r="A258" s="70">
        <v>70105.0</v>
      </c>
      <c r="B258" s="63" t="s">
        <v>354</v>
      </c>
      <c r="C258" s="79">
        <v>16.11214049786514</v>
      </c>
      <c r="D258" s="79">
        <v>23.340574896313985</v>
      </c>
      <c r="E258" s="93"/>
      <c r="F258" s="92"/>
      <c r="G258" s="76"/>
      <c r="H258" s="76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</row>
    <row r="259">
      <c r="A259" s="70">
        <v>70201.0</v>
      </c>
      <c r="B259" s="63" t="s">
        <v>355</v>
      </c>
      <c r="C259" s="79">
        <v>17.633757235026867</v>
      </c>
      <c r="D259" s="79">
        <v>20.49613879191791</v>
      </c>
      <c r="E259" s="93"/>
      <c r="F259" s="92"/>
      <c r="G259" s="76"/>
      <c r="H259" s="76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</row>
    <row r="260">
      <c r="A260" s="70">
        <v>70202.0</v>
      </c>
      <c r="B260" s="63" t="s">
        <v>356</v>
      </c>
      <c r="C260" s="79">
        <v>88.12690273994552</v>
      </c>
      <c r="D260" s="79">
        <v>9.376465072667605</v>
      </c>
      <c r="E260" s="93"/>
      <c r="F260" s="92"/>
      <c r="G260" s="76"/>
      <c r="H260" s="76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</row>
    <row r="261">
      <c r="A261" s="70">
        <v>70301.0</v>
      </c>
      <c r="B261" s="63" t="s">
        <v>510</v>
      </c>
      <c r="C261" s="79">
        <v>24.827164737786944</v>
      </c>
      <c r="D261" s="79">
        <v>22.353695065794376</v>
      </c>
      <c r="E261" s="93"/>
      <c r="F261" s="92"/>
      <c r="G261" s="76"/>
      <c r="H261" s="76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</row>
    <row r="262">
      <c r="A262" s="70">
        <v>70302.0</v>
      </c>
      <c r="B262" s="63" t="s">
        <v>511</v>
      </c>
      <c r="C262" s="79">
        <v>0.0</v>
      </c>
      <c r="D262" s="79">
        <v>98.43165562044753</v>
      </c>
      <c r="E262" s="93"/>
      <c r="F262" s="92"/>
      <c r="G262" s="76"/>
      <c r="H262" s="76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</row>
    <row r="263">
      <c r="A263" s="70">
        <v>70303.0</v>
      </c>
      <c r="B263" s="63" t="s">
        <v>360</v>
      </c>
      <c r="C263" s="79">
        <v>81.44648965629581</v>
      </c>
      <c r="D263" s="79">
        <v>56.5482922415743</v>
      </c>
      <c r="E263" s="93"/>
      <c r="F263" s="92"/>
      <c r="G263" s="76"/>
      <c r="H263" s="76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</row>
    <row r="264">
      <c r="A264" s="70">
        <v>70401.0</v>
      </c>
      <c r="B264" s="63" t="s">
        <v>362</v>
      </c>
      <c r="C264" s="79">
        <v>23.293733985557886</v>
      </c>
      <c r="D264" s="79">
        <v>7.325470661490001</v>
      </c>
      <c r="E264" s="93"/>
      <c r="F264" s="92"/>
      <c r="G264" s="76"/>
      <c r="H264" s="76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</row>
    <row r="265">
      <c r="A265" s="70">
        <v>70402.0</v>
      </c>
      <c r="B265" s="63" t="s">
        <v>363</v>
      </c>
      <c r="C265" s="79">
        <v>0.0</v>
      </c>
      <c r="D265" s="79">
        <v>47.513462147608486</v>
      </c>
      <c r="E265" s="93"/>
      <c r="F265" s="92"/>
      <c r="G265" s="76"/>
      <c r="H265" s="76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</row>
    <row r="266">
      <c r="A266" s="70">
        <v>70403.0</v>
      </c>
      <c r="B266" s="63" t="s">
        <v>364</v>
      </c>
      <c r="C266" s="79">
        <v>15.823410736184185</v>
      </c>
      <c r="D266" s="79">
        <v>20.763401045091186</v>
      </c>
      <c r="E266" s="93"/>
      <c r="F266" s="92"/>
      <c r="G266" s="76"/>
      <c r="H266" s="76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</row>
    <row r="267">
      <c r="A267" s="70">
        <v>70404.0</v>
      </c>
      <c r="B267" s="63" t="s">
        <v>365</v>
      </c>
      <c r="C267" s="79">
        <v>141.44271570014143</v>
      </c>
      <c r="D267" s="79">
        <v>0.0</v>
      </c>
      <c r="E267" s="93"/>
      <c r="F267" s="92"/>
      <c r="G267" s="76"/>
      <c r="H267" s="76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</row>
    <row r="268">
      <c r="A268" s="70">
        <v>70501.0</v>
      </c>
      <c r="B268" s="63" t="s">
        <v>512</v>
      </c>
      <c r="C268" s="79">
        <v>13.830302192102897</v>
      </c>
      <c r="D268" s="79">
        <v>21.965148630839067</v>
      </c>
      <c r="E268" s="93"/>
      <c r="F268" s="92"/>
      <c r="G268" s="76"/>
      <c r="H268" s="76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</row>
    <row r="269">
      <c r="A269" s="70">
        <v>70502.0</v>
      </c>
      <c r="B269" s="63" t="s">
        <v>368</v>
      </c>
      <c r="C269" s="79">
        <v>7.922674694977024</v>
      </c>
      <c r="D269" s="79">
        <v>64.22607578676943</v>
      </c>
      <c r="E269" s="93"/>
      <c r="F269" s="92"/>
      <c r="G269" s="76"/>
      <c r="H269" s="76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</row>
    <row r="270">
      <c r="A270" s="70">
        <v>70503.0</v>
      </c>
      <c r="B270" s="63" t="s">
        <v>369</v>
      </c>
      <c r="C270" s="79">
        <v>6.393453104021482</v>
      </c>
      <c r="D270" s="79">
        <v>21.31855247028727</v>
      </c>
      <c r="E270" s="93"/>
      <c r="F270" s="92"/>
      <c r="G270" s="76"/>
      <c r="H270" s="76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</row>
    <row r="271">
      <c r="A271" s="70">
        <v>70601.0</v>
      </c>
      <c r="B271" s="63" t="s">
        <v>371</v>
      </c>
      <c r="C271" s="79">
        <v>0.0</v>
      </c>
      <c r="D271" s="79">
        <v>9.641806874608301</v>
      </c>
      <c r="E271" s="93"/>
      <c r="F271" s="92"/>
      <c r="G271" s="76"/>
      <c r="H271" s="76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</row>
    <row r="272">
      <c r="A272" s="70">
        <v>70602.0</v>
      </c>
      <c r="B272" s="63" t="s">
        <v>513</v>
      </c>
      <c r="C272" s="79">
        <v>10.407451735442576</v>
      </c>
      <c r="D272" s="79">
        <v>55.558642146785935</v>
      </c>
      <c r="E272" s="93"/>
      <c r="F272" s="92"/>
      <c r="G272" s="76"/>
      <c r="H272" s="76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</row>
    <row r="273">
      <c r="A273" s="70">
        <v>70603.0</v>
      </c>
      <c r="B273" s="63" t="s">
        <v>373</v>
      </c>
      <c r="C273" s="79">
        <v>0.0</v>
      </c>
      <c r="D273" s="79">
        <v>16.6472448809722</v>
      </c>
      <c r="E273" s="93"/>
      <c r="F273" s="92"/>
      <c r="G273" s="76"/>
      <c r="H273" s="76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</row>
    <row r="274">
      <c r="A274" s="70">
        <v>70701.0</v>
      </c>
      <c r="B274" s="63" t="s">
        <v>375</v>
      </c>
      <c r="C274" s="79">
        <v>37.27171077152441</v>
      </c>
      <c r="D274" s="79">
        <v>16.818028927009756</v>
      </c>
      <c r="E274" s="93"/>
      <c r="F274" s="92"/>
      <c r="G274" s="76"/>
      <c r="H274" s="76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</row>
    <row r="275">
      <c r="A275" s="70">
        <v>70702.0</v>
      </c>
      <c r="B275" s="63" t="s">
        <v>514</v>
      </c>
      <c r="C275" s="79">
        <v>86.9943453675511</v>
      </c>
      <c r="D275" s="79">
        <v>36.43935450286309</v>
      </c>
      <c r="E275" s="93"/>
      <c r="F275" s="92"/>
      <c r="G275" s="76"/>
      <c r="H275" s="76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</row>
    <row r="276">
      <c r="A276" s="70">
        <v>70703.0</v>
      </c>
      <c r="B276" s="63" t="s">
        <v>377</v>
      </c>
      <c r="C276" s="79">
        <v>0.0</v>
      </c>
      <c r="D276" s="79">
        <v>6.067777069870453</v>
      </c>
      <c r="E276" s="93"/>
      <c r="F276" s="92"/>
      <c r="G276" s="76"/>
      <c r="H276" s="76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</row>
    <row r="277">
      <c r="A277" s="70">
        <v>70704.0</v>
      </c>
      <c r="B277" s="63" t="s">
        <v>378</v>
      </c>
      <c r="C277" s="79">
        <v>138.55898653998418</v>
      </c>
      <c r="D277" s="79">
        <v>37.488284910965326</v>
      </c>
      <c r="E277" s="93"/>
      <c r="F277" s="92"/>
      <c r="G277" s="76"/>
      <c r="H277" s="76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</row>
    <row r="278">
      <c r="A278" s="70">
        <v>70705.0</v>
      </c>
      <c r="B278" s="63" t="s">
        <v>515</v>
      </c>
      <c r="C278" s="79">
        <v>48.887802493277924</v>
      </c>
      <c r="D278" s="79">
        <v>0.0</v>
      </c>
      <c r="E278" s="93"/>
      <c r="F278" s="92"/>
      <c r="G278" s="76"/>
      <c r="H278" s="76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</row>
    <row r="279">
      <c r="A279" s="70">
        <v>70706.0</v>
      </c>
      <c r="B279" s="63" t="s">
        <v>380</v>
      </c>
      <c r="C279" s="79">
        <v>26.59731662627815</v>
      </c>
      <c r="D279" s="79">
        <v>30.974136595942387</v>
      </c>
      <c r="E279" s="93"/>
      <c r="F279" s="92"/>
      <c r="G279" s="76"/>
      <c r="H279" s="76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</row>
    <row r="280">
      <c r="A280" s="70">
        <v>70707.0</v>
      </c>
      <c r="B280" s="63" t="s">
        <v>381</v>
      </c>
      <c r="C280" s="79">
        <v>39.315903282877926</v>
      </c>
      <c r="D280" s="79">
        <v>106.91375623663578</v>
      </c>
      <c r="E280" s="93"/>
      <c r="F280" s="92"/>
      <c r="G280" s="76"/>
      <c r="H280" s="76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</row>
    <row r="281">
      <c r="A281" s="70">
        <v>70801.0</v>
      </c>
      <c r="B281" s="63" t="s">
        <v>383</v>
      </c>
      <c r="C281" s="79">
        <v>17.433751743375176</v>
      </c>
      <c r="D281" s="79">
        <v>11.594875065221173</v>
      </c>
      <c r="E281" s="93"/>
      <c r="F281" s="92"/>
      <c r="G281" s="76"/>
      <c r="H281" s="76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</row>
    <row r="282">
      <c r="A282" s="70">
        <v>70802.0</v>
      </c>
      <c r="B282" s="63" t="s">
        <v>384</v>
      </c>
      <c r="C282" s="79">
        <v>0.0</v>
      </c>
      <c r="D282" s="79">
        <v>0.0</v>
      </c>
      <c r="E282" s="93"/>
      <c r="F282" s="92"/>
      <c r="G282" s="76"/>
      <c r="H282" s="76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</row>
    <row r="283">
      <c r="A283" s="70">
        <v>70803.0</v>
      </c>
      <c r="B283" s="63" t="s">
        <v>516</v>
      </c>
      <c r="C283" s="79">
        <v>36.14022406938923</v>
      </c>
      <c r="D283" s="79">
        <v>35.80379520229144</v>
      </c>
      <c r="E283" s="93"/>
      <c r="F283" s="92"/>
      <c r="G283" s="76"/>
      <c r="H283" s="76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</row>
    <row r="284">
      <c r="A284" s="70">
        <v>70804.0</v>
      </c>
      <c r="B284" s="63" t="s">
        <v>386</v>
      </c>
      <c r="C284" s="79">
        <v>0.0</v>
      </c>
      <c r="D284" s="79">
        <v>0.0</v>
      </c>
      <c r="E284" s="93"/>
      <c r="F284" s="92"/>
      <c r="G284" s="76"/>
      <c r="H284" s="76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</row>
    <row r="285">
      <c r="A285" s="70">
        <v>70805.0</v>
      </c>
      <c r="B285" s="63" t="s">
        <v>387</v>
      </c>
      <c r="C285" s="79">
        <v>0.0</v>
      </c>
      <c r="D285" s="79">
        <v>0.0</v>
      </c>
      <c r="E285" s="93"/>
      <c r="F285" s="92"/>
      <c r="G285" s="76"/>
      <c r="H285" s="76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</row>
    <row r="286">
      <c r="A286" s="70">
        <v>70901.0</v>
      </c>
      <c r="B286" s="63" t="s">
        <v>389</v>
      </c>
      <c r="C286" s="79">
        <v>19.098548510313215</v>
      </c>
      <c r="D286" s="79">
        <v>33.77522587182302</v>
      </c>
      <c r="E286" s="93"/>
      <c r="F286" s="92"/>
      <c r="G286" s="76"/>
      <c r="H286" s="76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</row>
    <row r="287">
      <c r="A287" s="70">
        <v>70902.0</v>
      </c>
      <c r="B287" s="63" t="s">
        <v>517</v>
      </c>
      <c r="C287" s="79">
        <v>21.743857360295717</v>
      </c>
      <c r="D287" s="79">
        <v>20.635575732562938</v>
      </c>
      <c r="E287" s="93"/>
      <c r="F287" s="92"/>
      <c r="G287" s="76"/>
      <c r="H287" s="76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</row>
    <row r="288">
      <c r="A288" s="70">
        <v>70903.0</v>
      </c>
      <c r="B288" s="63" t="s">
        <v>391</v>
      </c>
      <c r="C288" s="79">
        <v>29.478235236317186</v>
      </c>
      <c r="D288" s="79">
        <v>94.22850412249706</v>
      </c>
      <c r="E288" s="93"/>
      <c r="F288" s="92"/>
      <c r="G288" s="76"/>
      <c r="H288" s="76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</row>
    <row r="289">
      <c r="A289" s="70">
        <v>70904.0</v>
      </c>
      <c r="B289" s="63" t="s">
        <v>392</v>
      </c>
      <c r="C289" s="79">
        <v>0.0</v>
      </c>
      <c r="D289" s="79">
        <v>0.0</v>
      </c>
      <c r="E289" s="93"/>
      <c r="F289" s="92"/>
      <c r="G289" s="76"/>
      <c r="H289" s="76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</row>
    <row r="290">
      <c r="A290" s="70">
        <v>71001.0</v>
      </c>
      <c r="B290" s="63" t="s">
        <v>394</v>
      </c>
      <c r="C290" s="79">
        <v>43.82841176792856</v>
      </c>
      <c r="D290" s="79">
        <v>22.067052314676165</v>
      </c>
      <c r="E290" s="93"/>
      <c r="F290" s="92"/>
      <c r="G290" s="76"/>
      <c r="H290" s="76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</row>
    <row r="291">
      <c r="A291" s="70">
        <v>71002.0</v>
      </c>
      <c r="B291" s="63" t="s">
        <v>395</v>
      </c>
      <c r="C291" s="79">
        <v>0.0</v>
      </c>
      <c r="D291" s="79">
        <v>18.074466803229306</v>
      </c>
      <c r="E291" s="93"/>
      <c r="F291" s="92"/>
      <c r="G291" s="76"/>
      <c r="H291" s="76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</row>
    <row r="292">
      <c r="A292" s="70">
        <v>71003.0</v>
      </c>
      <c r="B292" s="63" t="s">
        <v>396</v>
      </c>
      <c r="C292" s="79">
        <v>4.3008902842888475</v>
      </c>
      <c r="D292" s="79">
        <v>38.944180008654264</v>
      </c>
      <c r="E292" s="93"/>
      <c r="F292" s="92"/>
      <c r="G292" s="76"/>
      <c r="H292" s="76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</row>
    <row r="293">
      <c r="A293" s="70">
        <v>71004.0</v>
      </c>
      <c r="B293" s="63" t="s">
        <v>397</v>
      </c>
      <c r="C293" s="79">
        <v>145.53152080439241</v>
      </c>
      <c r="D293" s="79">
        <v>0.0</v>
      </c>
      <c r="E293" s="93"/>
      <c r="F293" s="92"/>
      <c r="G293" s="76"/>
      <c r="H293" s="76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</row>
    <row r="294">
      <c r="A294" s="70">
        <v>71005.0</v>
      </c>
      <c r="B294" s="63" t="s">
        <v>296</v>
      </c>
      <c r="C294" s="79">
        <v>0.0</v>
      </c>
      <c r="D294" s="79">
        <v>6.559097468188377</v>
      </c>
      <c r="E294" s="93"/>
      <c r="F294" s="92"/>
      <c r="G294" s="76"/>
      <c r="H294" s="76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</row>
    <row r="295">
      <c r="A295" s="70">
        <v>71101.0</v>
      </c>
      <c r="B295" s="63" t="s">
        <v>399</v>
      </c>
      <c r="C295" s="79">
        <v>0.0</v>
      </c>
      <c r="D295" s="79">
        <v>16.601367952719304</v>
      </c>
      <c r="E295" s="93"/>
      <c r="F295" s="92"/>
      <c r="G295" s="76"/>
      <c r="H295" s="76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</row>
    <row r="296">
      <c r="A296" s="70">
        <v>71102.0</v>
      </c>
      <c r="B296" s="63" t="s">
        <v>400</v>
      </c>
      <c r="C296" s="79">
        <v>88.10572687224669</v>
      </c>
      <c r="D296" s="79">
        <v>73.8850080601827</v>
      </c>
      <c r="E296" s="93"/>
      <c r="F296" s="92"/>
      <c r="G296" s="76"/>
      <c r="H296" s="76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</row>
    <row r="297">
      <c r="A297" s="70">
        <v>71103.0</v>
      </c>
      <c r="B297" s="63" t="s">
        <v>403</v>
      </c>
      <c r="C297" s="94">
        <v>40.053404539385845</v>
      </c>
      <c r="D297" s="94">
        <v>11.708230886313078</v>
      </c>
      <c r="E297" s="93"/>
      <c r="F297" s="92"/>
      <c r="G297" s="4"/>
      <c r="H297" s="4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</row>
    <row r="298">
      <c r="A298" s="70">
        <v>71104.0</v>
      </c>
      <c r="B298" s="63" t="s">
        <v>401</v>
      </c>
      <c r="C298" s="94">
        <v>80.14172431246837</v>
      </c>
      <c r="D298" s="94">
        <v>71.25520497005054</v>
      </c>
      <c r="E298" s="93"/>
      <c r="F298" s="92"/>
      <c r="G298" s="4"/>
      <c r="H298" s="4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</row>
    <row r="299">
      <c r="A299" s="70">
        <v>71105.0</v>
      </c>
      <c r="B299" s="63" t="s">
        <v>402</v>
      </c>
      <c r="C299" s="94">
        <v>0.0</v>
      </c>
      <c r="D299" s="94">
        <v>267.12759270898806</v>
      </c>
      <c r="E299" s="93"/>
      <c r="F299" s="92"/>
      <c r="G299" s="4"/>
      <c r="H299" s="4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</row>
    <row r="300">
      <c r="A300" s="70">
        <v>71106.0</v>
      </c>
      <c r="B300" s="63" t="s">
        <v>404</v>
      </c>
      <c r="C300" s="79">
        <v>39.395929087327644</v>
      </c>
      <c r="D300" s="79">
        <v>11.87742497426558</v>
      </c>
      <c r="E300" s="93"/>
      <c r="F300" s="92"/>
      <c r="G300" s="76"/>
      <c r="H300" s="76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</row>
    <row r="301">
      <c r="A301" s="70">
        <v>71201.0</v>
      </c>
      <c r="B301" s="63" t="s">
        <v>406</v>
      </c>
      <c r="C301" s="79">
        <v>0.0</v>
      </c>
      <c r="D301" s="79">
        <v>0.0</v>
      </c>
      <c r="E301" s="93"/>
      <c r="F301" s="92"/>
      <c r="G301" s="76"/>
      <c r="H301" s="76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</row>
    <row r="302">
      <c r="A302" s="70">
        <v>71301.0</v>
      </c>
      <c r="B302" s="63" t="s">
        <v>408</v>
      </c>
      <c r="C302" s="79">
        <v>37.690809724228906</v>
      </c>
      <c r="D302" s="79">
        <v>52.340796743239316</v>
      </c>
      <c r="E302" s="93"/>
      <c r="F302" s="92"/>
      <c r="G302" s="76"/>
      <c r="H302" s="76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</row>
    <row r="303">
      <c r="A303" s="70">
        <v>71302.0</v>
      </c>
      <c r="B303" s="63" t="s">
        <v>409</v>
      </c>
      <c r="C303" s="79">
        <v>284.1677943166441</v>
      </c>
      <c r="D303" s="79">
        <v>66.13756613756614</v>
      </c>
      <c r="E303" s="93"/>
      <c r="F303" s="92"/>
      <c r="G303" s="76"/>
      <c r="H303" s="76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</row>
    <row r="304">
      <c r="A304" s="70">
        <v>71401.0</v>
      </c>
      <c r="B304" s="63" t="s">
        <v>518</v>
      </c>
      <c r="C304" s="79">
        <v>110.94861062080791</v>
      </c>
      <c r="D304" s="79">
        <v>11.483033817534592</v>
      </c>
      <c r="E304" s="93"/>
      <c r="F304" s="92"/>
      <c r="G304" s="76"/>
      <c r="H304" s="76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</row>
    <row r="305">
      <c r="A305" s="70">
        <v>71402.0</v>
      </c>
      <c r="B305" s="63" t="s">
        <v>412</v>
      </c>
      <c r="C305" s="79">
        <v>84.03865778257999</v>
      </c>
      <c r="D305" s="79">
        <v>133.5262045176366</v>
      </c>
      <c r="E305" s="93"/>
      <c r="F305" s="92"/>
      <c r="G305" s="76"/>
      <c r="H305" s="76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</row>
    <row r="306">
      <c r="A306" s="70">
        <v>71403.0</v>
      </c>
      <c r="B306" s="63" t="s">
        <v>413</v>
      </c>
      <c r="C306" s="79">
        <v>0.0</v>
      </c>
      <c r="D306" s="79">
        <v>22.686025408348456</v>
      </c>
      <c r="E306" s="93"/>
      <c r="F306" s="92"/>
      <c r="G306" s="76"/>
      <c r="H306" s="76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</row>
    <row r="307">
      <c r="A307" s="70">
        <v>71501.0</v>
      </c>
      <c r="B307" s="63" t="s">
        <v>415</v>
      </c>
      <c r="C307" s="79">
        <v>70.18840044329517</v>
      </c>
      <c r="D307" s="79">
        <v>55.75280964817043</v>
      </c>
      <c r="E307" s="93"/>
      <c r="F307" s="92"/>
      <c r="G307" s="76"/>
      <c r="H307" s="76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</row>
    <row r="308">
      <c r="A308" s="70">
        <v>71502.0</v>
      </c>
      <c r="B308" s="63" t="s">
        <v>416</v>
      </c>
      <c r="C308" s="79">
        <v>0.0</v>
      </c>
      <c r="D308" s="79">
        <v>61.02212051868803</v>
      </c>
      <c r="E308" s="93"/>
      <c r="F308" s="92"/>
      <c r="G308" s="76"/>
      <c r="H308" s="76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</row>
    <row r="309">
      <c r="A309" s="70">
        <v>71503.0</v>
      </c>
      <c r="B309" s="63" t="s">
        <v>346</v>
      </c>
      <c r="C309" s="79">
        <v>56.318197817669834</v>
      </c>
      <c r="D309" s="79">
        <v>11.56737998843262</v>
      </c>
      <c r="E309" s="93"/>
      <c r="F309" s="92"/>
      <c r="G309" s="76"/>
      <c r="H309" s="76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</row>
    <row r="310">
      <c r="A310" s="70">
        <v>80101.0</v>
      </c>
      <c r="B310" s="63" t="s">
        <v>418</v>
      </c>
      <c r="C310" s="79">
        <v>49.72043979136178</v>
      </c>
      <c r="D310" s="79">
        <v>71.54577763261243</v>
      </c>
      <c r="E310" s="93"/>
      <c r="F310" s="92"/>
      <c r="G310" s="76"/>
      <c r="H310" s="76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</row>
    <row r="311">
      <c r="A311" s="70">
        <v>80102.0</v>
      </c>
      <c r="B311" s="63" t="s">
        <v>400</v>
      </c>
      <c r="C311" s="79">
        <v>0.0</v>
      </c>
      <c r="D311" s="79">
        <v>0.0</v>
      </c>
      <c r="E311" s="93"/>
      <c r="F311" s="92"/>
      <c r="G311" s="76"/>
      <c r="H311" s="76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</row>
    <row r="312">
      <c r="A312" s="70">
        <v>80201.0</v>
      </c>
      <c r="B312" s="63" t="s">
        <v>420</v>
      </c>
      <c r="C312" s="79">
        <v>13.479813978567096</v>
      </c>
      <c r="D312" s="79">
        <v>34.45087124440173</v>
      </c>
      <c r="E312" s="93"/>
      <c r="F312" s="92"/>
      <c r="G312" s="76"/>
      <c r="H312" s="76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</row>
    <row r="313">
      <c r="A313" s="70">
        <v>80202.0</v>
      </c>
      <c r="B313" s="63" t="s">
        <v>421</v>
      </c>
      <c r="C313" s="79">
        <v>0.0</v>
      </c>
      <c r="D313" s="79">
        <v>59.47990768718327</v>
      </c>
      <c r="E313" s="93"/>
      <c r="F313" s="92"/>
      <c r="G313" s="76"/>
      <c r="H313" s="76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</row>
    <row r="314">
      <c r="A314" s="70">
        <v>80301.0</v>
      </c>
      <c r="B314" s="63" t="s">
        <v>423</v>
      </c>
      <c r="C314" s="79">
        <v>135.89008002415824</v>
      </c>
      <c r="D314" s="79">
        <v>69.69855375500958</v>
      </c>
      <c r="E314" s="93"/>
      <c r="F314" s="92"/>
      <c r="G314" s="76"/>
      <c r="H314" s="76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</row>
    <row r="315">
      <c r="A315" s="70">
        <v>80302.0</v>
      </c>
      <c r="B315" s="63" t="s">
        <v>424</v>
      </c>
      <c r="C315" s="79">
        <v>2.447141738449491</v>
      </c>
      <c r="D315" s="79">
        <v>120.0925804620289</v>
      </c>
      <c r="E315" s="93"/>
      <c r="F315" s="92"/>
      <c r="G315" s="76"/>
      <c r="H315" s="76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</row>
    <row r="316">
      <c r="A316" s="70">
        <v>80303.0</v>
      </c>
      <c r="B316" s="63" t="s">
        <v>372</v>
      </c>
      <c r="C316" s="79">
        <v>0.0</v>
      </c>
      <c r="D316" s="79">
        <v>26.973565905412695</v>
      </c>
      <c r="E316" s="93"/>
      <c r="F316" s="92"/>
      <c r="G316" s="76"/>
      <c r="H316" s="76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</row>
    <row r="317">
      <c r="A317" s="70">
        <v>80304.0</v>
      </c>
      <c r="B317" s="63" t="s">
        <v>519</v>
      </c>
      <c r="C317" s="79">
        <v>114.61318051575931</v>
      </c>
      <c r="D317" s="79">
        <v>18.832391713747647</v>
      </c>
      <c r="E317" s="93"/>
      <c r="F317" s="92"/>
      <c r="G317" s="76"/>
      <c r="H317" s="76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</row>
    <row r="318">
      <c r="A318" s="70">
        <v>80401.0</v>
      </c>
      <c r="B318" s="63" t="s">
        <v>520</v>
      </c>
      <c r="C318" s="79">
        <v>0.0</v>
      </c>
      <c r="D318" s="79">
        <v>38.69969040247678</v>
      </c>
      <c r="E318" s="93"/>
      <c r="F318" s="92"/>
      <c r="G318" s="76"/>
      <c r="H318" s="76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</row>
    <row r="319">
      <c r="A319" s="70">
        <v>80402.0</v>
      </c>
      <c r="B319" s="63" t="s">
        <v>428</v>
      </c>
      <c r="C319" s="79">
        <v>0.0</v>
      </c>
      <c r="D319" s="79">
        <v>74.88766849725413</v>
      </c>
      <c r="E319" s="93"/>
      <c r="F319" s="92"/>
      <c r="G319" s="76"/>
      <c r="H319" s="76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</row>
    <row r="320">
      <c r="A320" s="70">
        <v>80501.0</v>
      </c>
      <c r="B320" s="63" t="s">
        <v>358</v>
      </c>
      <c r="C320" s="79">
        <v>0.0</v>
      </c>
      <c r="D320" s="79">
        <v>0.0</v>
      </c>
      <c r="E320" s="93"/>
      <c r="F320" s="92"/>
      <c r="G320" s="76"/>
      <c r="H320" s="76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</row>
    <row r="321">
      <c r="A321" s="70">
        <v>80601.0</v>
      </c>
      <c r="B321" s="63" t="s">
        <v>431</v>
      </c>
      <c r="C321" s="79">
        <v>0.0</v>
      </c>
      <c r="D321" s="79">
        <v>0.0</v>
      </c>
      <c r="E321" s="93"/>
      <c r="F321" s="92"/>
      <c r="G321" s="76"/>
      <c r="H321" s="76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</row>
    <row r="322">
      <c r="A322" s="70">
        <v>80602.0</v>
      </c>
      <c r="B322" s="63" t="s">
        <v>432</v>
      </c>
      <c r="C322" s="79">
        <v>527.8733104055027</v>
      </c>
      <c r="D322" s="79">
        <v>96.33911368015414</v>
      </c>
      <c r="E322" s="93"/>
      <c r="F322" s="92"/>
      <c r="G322" s="76"/>
      <c r="H322" s="76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</row>
    <row r="323">
      <c r="A323" s="70">
        <v>80701.0</v>
      </c>
      <c r="B323" s="63" t="s">
        <v>434</v>
      </c>
      <c r="C323" s="79">
        <v>0.0</v>
      </c>
      <c r="D323" s="79">
        <v>0.0</v>
      </c>
      <c r="E323" s="93"/>
      <c r="F323" s="92"/>
      <c r="G323" s="76"/>
      <c r="H323" s="76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</row>
    <row r="324">
      <c r="A324" s="70">
        <v>80702.0</v>
      </c>
      <c r="B324" s="63" t="s">
        <v>403</v>
      </c>
      <c r="C324" s="79">
        <v>0.0</v>
      </c>
      <c r="D324" s="79">
        <v>54.65476407360175</v>
      </c>
      <c r="E324" s="93"/>
      <c r="F324" s="92"/>
      <c r="G324" s="76"/>
      <c r="H324" s="76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</row>
    <row r="325">
      <c r="A325" s="70">
        <v>80703.0</v>
      </c>
      <c r="B325" s="63" t="s">
        <v>435</v>
      </c>
      <c r="C325" s="79">
        <v>0.0</v>
      </c>
      <c r="D325" s="79">
        <v>183.3180568285976</v>
      </c>
      <c r="E325" s="93"/>
      <c r="F325" s="92"/>
      <c r="G325" s="76"/>
      <c r="H325" s="76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</row>
    <row r="326">
      <c r="A326" s="70">
        <v>80801.0</v>
      </c>
      <c r="B326" s="63" t="s">
        <v>437</v>
      </c>
      <c r="C326" s="79">
        <v>17.579326711786937</v>
      </c>
      <c r="D326" s="79">
        <v>23.464998044583496</v>
      </c>
      <c r="E326" s="93"/>
      <c r="F326" s="92"/>
      <c r="G326" s="76"/>
      <c r="H326" s="76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</row>
    <row r="327">
      <c r="A327" s="70">
        <v>80802.0</v>
      </c>
      <c r="B327" s="63" t="s">
        <v>438</v>
      </c>
      <c r="C327" s="79">
        <v>33.52891869237217</v>
      </c>
      <c r="D327" s="79">
        <v>26.70940170940171</v>
      </c>
      <c r="E327" s="93"/>
      <c r="F327" s="92"/>
      <c r="G327" s="76"/>
      <c r="H327" s="76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</row>
    <row r="328">
      <c r="A328" s="70">
        <v>80803.0</v>
      </c>
      <c r="B328" s="63" t="s">
        <v>439</v>
      </c>
      <c r="C328" s="79">
        <v>0.0</v>
      </c>
      <c r="D328" s="79">
        <v>0.0</v>
      </c>
      <c r="E328" s="93"/>
      <c r="F328" s="92"/>
      <c r="G328" s="76"/>
      <c r="H328" s="76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</row>
    <row r="329">
      <c r="A329" s="70">
        <v>80901.0</v>
      </c>
      <c r="B329" s="63" t="s">
        <v>521</v>
      </c>
      <c r="C329" s="79">
        <v>0.0</v>
      </c>
      <c r="D329" s="79">
        <v>0.0</v>
      </c>
      <c r="E329" s="93"/>
      <c r="F329" s="92"/>
      <c r="G329" s="76"/>
      <c r="H329" s="76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</row>
    <row r="330">
      <c r="A330" s="70">
        <v>90101.0</v>
      </c>
      <c r="B330" s="63" t="s">
        <v>444</v>
      </c>
      <c r="C330" s="79">
        <v>15.129573994423671</v>
      </c>
      <c r="D330" s="79">
        <v>1.8144210182530753</v>
      </c>
      <c r="E330" s="93"/>
      <c r="F330" s="92"/>
      <c r="G330" s="76"/>
      <c r="H330" s="76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</row>
    <row r="331">
      <c r="A331" s="70">
        <v>90102.0</v>
      </c>
      <c r="B331" s="63" t="s">
        <v>445</v>
      </c>
      <c r="C331" s="79">
        <v>0.0</v>
      </c>
      <c r="D331" s="79">
        <v>0.0</v>
      </c>
      <c r="E331" s="93"/>
      <c r="F331" s="92"/>
      <c r="G331" s="76"/>
      <c r="H331" s="76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</row>
    <row r="332">
      <c r="A332" s="70">
        <v>90103.0</v>
      </c>
      <c r="B332" s="63" t="s">
        <v>446</v>
      </c>
      <c r="C332" s="79">
        <v>0.0</v>
      </c>
      <c r="D332" s="79">
        <v>82.06811653672548</v>
      </c>
      <c r="E332" s="93"/>
      <c r="F332" s="92"/>
      <c r="G332" s="76"/>
      <c r="H332" s="76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</row>
    <row r="333">
      <c r="A333" s="70">
        <v>90104.0</v>
      </c>
      <c r="B333" s="63" t="s">
        <v>447</v>
      </c>
      <c r="C333" s="79">
        <v>0.0</v>
      </c>
      <c r="D333" s="79">
        <v>0.0</v>
      </c>
      <c r="E333" s="93"/>
      <c r="F333" s="92"/>
      <c r="G333" s="76"/>
      <c r="H333" s="76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</row>
    <row r="334">
      <c r="A334" s="70">
        <v>90201.0</v>
      </c>
      <c r="B334" s="63" t="s">
        <v>449</v>
      </c>
      <c r="C334" s="79">
        <v>0.0</v>
      </c>
      <c r="D334" s="79">
        <v>13.574046423238768</v>
      </c>
      <c r="E334" s="93"/>
      <c r="F334" s="92"/>
      <c r="G334" s="76"/>
      <c r="H334" s="76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</row>
    <row r="335">
      <c r="A335" s="70">
        <v>90202.0</v>
      </c>
      <c r="B335" s="63" t="s">
        <v>296</v>
      </c>
      <c r="C335" s="79">
        <v>0.0</v>
      </c>
      <c r="D335" s="79">
        <v>994.8834565093804</v>
      </c>
      <c r="E335" s="93"/>
      <c r="F335" s="92"/>
      <c r="G335" s="76"/>
      <c r="H335" s="76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</row>
    <row r="336">
      <c r="A336" s="70">
        <v>90203.0</v>
      </c>
      <c r="B336" s="63" t="s">
        <v>450</v>
      </c>
      <c r="C336" s="79">
        <v>0.0</v>
      </c>
      <c r="D336" s="79">
        <v>12.430080795525171</v>
      </c>
      <c r="E336" s="93"/>
      <c r="F336" s="92"/>
      <c r="G336" s="76"/>
      <c r="H336" s="76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</row>
    <row r="337">
      <c r="A337" s="70">
        <v>90301.0</v>
      </c>
      <c r="B337" s="63" t="s">
        <v>452</v>
      </c>
      <c r="C337" s="79">
        <v>625.0</v>
      </c>
      <c r="D337" s="79">
        <v>0.0</v>
      </c>
      <c r="E337" s="93"/>
      <c r="F337" s="92"/>
      <c r="G337" s="76"/>
      <c r="H337" s="76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</row>
    <row r="338">
      <c r="A338" s="70">
        <v>90302.0</v>
      </c>
      <c r="B338" s="63" t="s">
        <v>345</v>
      </c>
      <c r="C338" s="79">
        <v>0.0</v>
      </c>
      <c r="D338" s="79">
        <v>101.70870626525631</v>
      </c>
      <c r="E338" s="93"/>
      <c r="F338" s="92"/>
      <c r="G338" s="76"/>
      <c r="H338" s="76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</row>
    <row r="339">
      <c r="A339" s="70">
        <v>90303.0</v>
      </c>
      <c r="B339" s="63" t="s">
        <v>453</v>
      </c>
      <c r="C339" s="79">
        <v>0.0</v>
      </c>
      <c r="D339" s="79">
        <v>28.511689792815055</v>
      </c>
      <c r="E339" s="93"/>
      <c r="F339" s="92"/>
      <c r="G339" s="76"/>
      <c r="H339" s="76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</row>
    <row r="340">
      <c r="A340" s="70">
        <v>90401.0</v>
      </c>
      <c r="B340" s="63" t="s">
        <v>522</v>
      </c>
      <c r="C340" s="79">
        <v>83.50730688935282</v>
      </c>
      <c r="D340" s="79">
        <v>0.0</v>
      </c>
      <c r="E340" s="93"/>
      <c r="F340" s="92"/>
      <c r="G340" s="76"/>
      <c r="H340" s="76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</row>
    <row r="341">
      <c r="A341" s="70">
        <v>90402.0</v>
      </c>
      <c r="B341" s="63" t="s">
        <v>115</v>
      </c>
      <c r="C341" s="79">
        <v>362.7569528415961</v>
      </c>
      <c r="D341" s="79">
        <v>153.84615384615384</v>
      </c>
      <c r="E341" s="93"/>
      <c r="F341" s="92"/>
      <c r="G341" s="76"/>
      <c r="H341" s="76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</row>
    <row r="342">
      <c r="A342" s="70">
        <v>90501.0</v>
      </c>
      <c r="B342" s="63" t="s">
        <v>456</v>
      </c>
      <c r="C342" s="79">
        <v>290.1353965183752</v>
      </c>
      <c r="D342" s="79">
        <v>0.0</v>
      </c>
      <c r="E342" s="93"/>
      <c r="F342" s="92"/>
      <c r="G342" s="76"/>
      <c r="H342" s="76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</row>
    <row r="343">
      <c r="A343" s="70">
        <v>90502.0</v>
      </c>
      <c r="B343" s="63" t="s">
        <v>523</v>
      </c>
      <c r="C343" s="79">
        <v>0.0</v>
      </c>
      <c r="D343" s="79">
        <v>39.8247710075667</v>
      </c>
      <c r="E343" s="93"/>
      <c r="F343" s="92"/>
      <c r="G343" s="76"/>
      <c r="H343" s="76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</row>
    <row r="344">
      <c r="A344" s="70">
        <v>90503.0</v>
      </c>
      <c r="B344" s="63" t="s">
        <v>458</v>
      </c>
      <c r="C344" s="79">
        <v>0.0</v>
      </c>
      <c r="D344" s="79">
        <v>0.0</v>
      </c>
      <c r="E344" s="93"/>
      <c r="F344" s="92"/>
      <c r="G344" s="76"/>
      <c r="H344" s="76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</row>
    <row r="345">
      <c r="A345" s="14"/>
      <c r="B345" s="90"/>
      <c r="C345" s="75"/>
      <c r="D345" s="75"/>
      <c r="E345" s="76"/>
      <c r="F345" s="95"/>
      <c r="G345" s="76"/>
      <c r="H345" s="76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</row>
    <row r="346">
      <c r="A346" s="14"/>
      <c r="B346" s="90"/>
      <c r="C346" s="75"/>
      <c r="D346" s="75"/>
      <c r="E346" s="76"/>
      <c r="F346" s="95"/>
      <c r="G346" s="76"/>
      <c r="H346" s="76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</row>
    <row r="347">
      <c r="A347" s="14"/>
      <c r="B347" s="90"/>
      <c r="C347" s="75"/>
      <c r="D347" s="75"/>
      <c r="E347" s="76"/>
      <c r="F347" s="95"/>
      <c r="G347" s="76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</row>
    <row r="348">
      <c r="A348" s="14"/>
      <c r="B348" s="90"/>
      <c r="C348" s="75"/>
      <c r="D348" s="75"/>
      <c r="E348" s="76"/>
      <c r="F348" s="95"/>
      <c r="G348" s="76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</row>
    <row r="349">
      <c r="A349" s="14"/>
      <c r="B349" s="90"/>
      <c r="C349" s="75"/>
      <c r="D349" s="75"/>
      <c r="E349" s="76"/>
      <c r="F349" s="95"/>
      <c r="G349" s="76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</row>
    <row r="350">
      <c r="A350" s="14"/>
      <c r="B350" s="90"/>
      <c r="C350" s="75"/>
      <c r="D350" s="75"/>
      <c r="E350" s="76"/>
      <c r="F350" s="95"/>
      <c r="G350" s="76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</row>
    <row r="351">
      <c r="A351" s="14"/>
      <c r="B351" s="90"/>
      <c r="C351" s="75"/>
      <c r="D351" s="75"/>
      <c r="E351" s="76"/>
      <c r="F351" s="95"/>
      <c r="G351" s="76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</row>
    <row r="352">
      <c r="A352" s="14"/>
      <c r="B352" s="90"/>
      <c r="C352" s="75"/>
      <c r="D352" s="75"/>
      <c r="E352" s="76"/>
      <c r="F352" s="95"/>
      <c r="G352" s="76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</row>
    <row r="353">
      <c r="A353" s="14"/>
      <c r="B353" s="90"/>
      <c r="C353" s="75"/>
      <c r="D353" s="75"/>
      <c r="E353" s="76"/>
      <c r="F353" s="95"/>
      <c r="G353" s="76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</row>
    <row r="354">
      <c r="A354" s="14"/>
      <c r="B354" s="90"/>
      <c r="C354" s="75"/>
      <c r="D354" s="75"/>
      <c r="E354" s="76"/>
      <c r="F354" s="95"/>
      <c r="G354" s="76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</row>
    <row r="355">
      <c r="A355" s="14"/>
      <c r="B355" s="90"/>
      <c r="C355" s="75"/>
      <c r="D355" s="75"/>
      <c r="E355" s="76"/>
      <c r="F355" s="95"/>
      <c r="G355" s="76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</row>
    <row r="356">
      <c r="A356" s="14"/>
      <c r="B356" s="90"/>
      <c r="C356" s="75"/>
      <c r="D356" s="75"/>
      <c r="E356" s="76"/>
      <c r="F356" s="95"/>
      <c r="G356" s="76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</row>
    <row r="357">
      <c r="A357" s="14"/>
      <c r="B357" s="90"/>
      <c r="C357" s="75"/>
      <c r="D357" s="75"/>
      <c r="E357" s="76"/>
      <c r="F357" s="95"/>
      <c r="G357" s="76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</row>
    <row r="358">
      <c r="A358" s="14"/>
      <c r="B358" s="90"/>
      <c r="C358" s="75"/>
      <c r="D358" s="75"/>
      <c r="E358" s="76"/>
      <c r="F358" s="95"/>
      <c r="G358" s="76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</row>
    <row r="359">
      <c r="A359" s="14"/>
      <c r="B359" s="90"/>
      <c r="C359" s="75"/>
      <c r="D359" s="75"/>
      <c r="E359" s="76"/>
      <c r="F359" s="95"/>
      <c r="G359" s="76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</row>
    <row r="360">
      <c r="A360" s="14"/>
      <c r="B360" s="90"/>
      <c r="C360" s="75"/>
      <c r="D360" s="75"/>
      <c r="E360" s="76"/>
      <c r="F360" s="95"/>
      <c r="G360" s="76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</row>
    <row r="361">
      <c r="A361" s="14"/>
      <c r="B361" s="90"/>
      <c r="C361" s="75"/>
      <c r="D361" s="75"/>
      <c r="E361" s="76"/>
      <c r="F361" s="95"/>
      <c r="G361" s="76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</row>
    <row r="362">
      <c r="A362" s="14"/>
      <c r="B362" s="90"/>
      <c r="C362" s="75"/>
      <c r="D362" s="75"/>
      <c r="E362" s="76"/>
      <c r="F362" s="95"/>
      <c r="G362" s="76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</row>
    <row r="363">
      <c r="A363" s="14"/>
      <c r="B363" s="90"/>
      <c r="C363" s="75"/>
      <c r="D363" s="75"/>
      <c r="E363" s="76"/>
      <c r="F363" s="95"/>
      <c r="G363" s="76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</row>
    <row r="364">
      <c r="A364" s="14"/>
      <c r="B364" s="90"/>
      <c r="C364" s="75"/>
      <c r="D364" s="75"/>
      <c r="E364" s="76"/>
      <c r="F364" s="95"/>
      <c r="G364" s="76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</row>
    <row r="365">
      <c r="A365" s="14"/>
      <c r="B365" s="90"/>
      <c r="C365" s="75"/>
      <c r="D365" s="75"/>
      <c r="E365" s="76"/>
      <c r="F365" s="95"/>
      <c r="G365" s="76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</row>
    <row r="366">
      <c r="A366" s="14"/>
      <c r="B366" s="90"/>
      <c r="C366" s="75"/>
      <c r="D366" s="75"/>
      <c r="E366" s="76"/>
      <c r="F366" s="95"/>
      <c r="G366" s="76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</row>
    <row r="367">
      <c r="A367" s="14"/>
      <c r="B367" s="90"/>
      <c r="C367" s="75"/>
      <c r="D367" s="75"/>
      <c r="E367" s="76"/>
      <c r="F367" s="95"/>
      <c r="G367" s="76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</row>
    <row r="368">
      <c r="A368" s="14"/>
      <c r="B368" s="90"/>
      <c r="C368" s="75"/>
      <c r="D368" s="75"/>
      <c r="E368" s="76"/>
      <c r="F368" s="95"/>
      <c r="G368" s="76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</row>
    <row r="369">
      <c r="A369" s="14"/>
      <c r="B369" s="90"/>
      <c r="C369" s="75"/>
      <c r="D369" s="75"/>
      <c r="E369" s="76"/>
      <c r="F369" s="95"/>
      <c r="G369" s="76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</row>
    <row r="370">
      <c r="A370" s="14"/>
      <c r="B370" s="90"/>
      <c r="C370" s="75"/>
      <c r="D370" s="75"/>
      <c r="E370" s="76"/>
      <c r="F370" s="95"/>
      <c r="G370" s="76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</row>
    <row r="371">
      <c r="A371" s="14"/>
      <c r="B371" s="90"/>
      <c r="C371" s="75"/>
      <c r="D371" s="75"/>
      <c r="E371" s="76"/>
      <c r="F371" s="95"/>
      <c r="G371" s="76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</row>
    <row r="372">
      <c r="A372" s="14"/>
      <c r="B372" s="90"/>
      <c r="C372" s="75"/>
      <c r="D372" s="75"/>
      <c r="E372" s="76"/>
      <c r="F372" s="95"/>
      <c r="G372" s="76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</row>
    <row r="373">
      <c r="A373" s="14"/>
      <c r="B373" s="90"/>
      <c r="C373" s="75"/>
      <c r="D373" s="75"/>
      <c r="E373" s="76"/>
      <c r="F373" s="95"/>
      <c r="G373" s="76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</row>
    <row r="374">
      <c r="A374" s="14"/>
      <c r="B374" s="90"/>
      <c r="C374" s="75"/>
      <c r="D374" s="75"/>
      <c r="E374" s="76"/>
      <c r="F374" s="95"/>
      <c r="G374" s="76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</row>
    <row r="375">
      <c r="A375" s="14"/>
      <c r="B375" s="90"/>
      <c r="C375" s="75"/>
      <c r="D375" s="75"/>
      <c r="E375" s="76"/>
      <c r="F375" s="95"/>
      <c r="G375" s="76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</row>
    <row r="376">
      <c r="A376" s="14"/>
      <c r="B376" s="90"/>
      <c r="C376" s="75"/>
      <c r="D376" s="75"/>
      <c r="E376" s="76"/>
      <c r="F376" s="95"/>
      <c r="G376" s="76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</row>
    <row r="377">
      <c r="A377" s="14"/>
      <c r="B377" s="90"/>
      <c r="C377" s="75"/>
      <c r="D377" s="75"/>
      <c r="E377" s="76"/>
      <c r="F377" s="95"/>
      <c r="G377" s="76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</row>
    <row r="378">
      <c r="A378" s="14"/>
      <c r="B378" s="90"/>
      <c r="C378" s="75"/>
      <c r="D378" s="75"/>
      <c r="E378" s="76"/>
      <c r="F378" s="95"/>
      <c r="G378" s="76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</row>
    <row r="379">
      <c r="A379" s="14"/>
      <c r="B379" s="90"/>
      <c r="C379" s="75"/>
      <c r="D379" s="75"/>
      <c r="E379" s="76"/>
      <c r="F379" s="95"/>
      <c r="G379" s="76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</row>
    <row r="380">
      <c r="A380" s="14"/>
      <c r="B380" s="90"/>
      <c r="C380" s="75"/>
      <c r="D380" s="75"/>
      <c r="E380" s="76"/>
      <c r="F380" s="95"/>
      <c r="G380" s="76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</row>
    <row r="381">
      <c r="A381" s="14"/>
      <c r="B381" s="90"/>
      <c r="C381" s="75"/>
      <c r="D381" s="75"/>
      <c r="E381" s="76"/>
      <c r="F381" s="95"/>
      <c r="G381" s="76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</row>
    <row r="382">
      <c r="A382" s="14"/>
      <c r="B382" s="90"/>
      <c r="C382" s="75"/>
      <c r="D382" s="75"/>
      <c r="E382" s="76"/>
      <c r="F382" s="95"/>
      <c r="G382" s="76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</row>
    <row r="383">
      <c r="A383" s="14"/>
      <c r="B383" s="90"/>
      <c r="C383" s="75"/>
      <c r="D383" s="75"/>
      <c r="E383" s="76"/>
      <c r="F383" s="95"/>
      <c r="G383" s="76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</row>
    <row r="384">
      <c r="A384" s="14"/>
      <c r="B384" s="90"/>
      <c r="C384" s="75"/>
      <c r="D384" s="75"/>
      <c r="E384" s="76"/>
      <c r="F384" s="95"/>
      <c r="G384" s="76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</row>
    <row r="385">
      <c r="A385" s="14"/>
      <c r="B385" s="90"/>
      <c r="C385" s="75"/>
      <c r="D385" s="75"/>
      <c r="E385" s="76"/>
      <c r="F385" s="95"/>
      <c r="G385" s="76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</row>
    <row r="386">
      <c r="A386" s="14"/>
      <c r="B386" s="90"/>
      <c r="C386" s="75"/>
      <c r="D386" s="75"/>
      <c r="E386" s="76"/>
      <c r="F386" s="95"/>
      <c r="G386" s="76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</row>
    <row r="387">
      <c r="A387" s="14"/>
      <c r="B387" s="90"/>
      <c r="C387" s="75"/>
      <c r="D387" s="75"/>
      <c r="E387" s="76"/>
      <c r="F387" s="95"/>
      <c r="G387" s="76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</row>
    <row r="388">
      <c r="A388" s="14"/>
      <c r="B388" s="90"/>
      <c r="C388" s="75"/>
      <c r="D388" s="75"/>
      <c r="E388" s="76"/>
      <c r="F388" s="95"/>
      <c r="G388" s="76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</row>
    <row r="389">
      <c r="A389" s="14"/>
      <c r="B389" s="90"/>
      <c r="C389" s="75"/>
      <c r="D389" s="75"/>
      <c r="E389" s="76"/>
      <c r="F389" s="95"/>
      <c r="G389" s="76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</row>
    <row r="390">
      <c r="A390" s="14"/>
      <c r="B390" s="90"/>
      <c r="C390" s="75"/>
      <c r="D390" s="75"/>
      <c r="E390" s="76"/>
      <c r="F390" s="95"/>
      <c r="G390" s="76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</row>
    <row r="391">
      <c r="A391" s="14"/>
      <c r="B391" s="90"/>
      <c r="C391" s="75"/>
      <c r="D391" s="75"/>
      <c r="E391" s="76"/>
      <c r="F391" s="95"/>
      <c r="G391" s="76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</row>
    <row r="392">
      <c r="A392" s="14"/>
      <c r="B392" s="90"/>
      <c r="C392" s="75"/>
      <c r="D392" s="75"/>
      <c r="E392" s="76"/>
      <c r="F392" s="95"/>
      <c r="G392" s="76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</row>
    <row r="393">
      <c r="A393" s="14"/>
      <c r="B393" s="90"/>
      <c r="C393" s="75"/>
      <c r="D393" s="75"/>
      <c r="E393" s="76"/>
      <c r="F393" s="95"/>
      <c r="G393" s="76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</row>
    <row r="394">
      <c r="A394" s="14"/>
      <c r="B394" s="90"/>
      <c r="C394" s="75"/>
      <c r="D394" s="75"/>
      <c r="E394" s="76"/>
      <c r="F394" s="95"/>
      <c r="G394" s="76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</row>
    <row r="395">
      <c r="A395" s="14"/>
      <c r="B395" s="90"/>
      <c r="C395" s="75"/>
      <c r="D395" s="75"/>
      <c r="E395" s="76"/>
      <c r="F395" s="95"/>
      <c r="G395" s="76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</row>
    <row r="396">
      <c r="A396" s="14"/>
      <c r="B396" s="90"/>
      <c r="C396" s="75"/>
      <c r="D396" s="75"/>
      <c r="E396" s="76"/>
      <c r="F396" s="95"/>
      <c r="G396" s="76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</row>
    <row r="397">
      <c r="A397" s="14"/>
      <c r="B397" s="90"/>
      <c r="C397" s="75"/>
      <c r="D397" s="75"/>
      <c r="E397" s="76"/>
      <c r="F397" s="95"/>
      <c r="G397" s="76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</row>
    <row r="398">
      <c r="A398" s="14"/>
      <c r="B398" s="90"/>
      <c r="C398" s="75"/>
      <c r="D398" s="75"/>
      <c r="E398" s="76"/>
      <c r="F398" s="95"/>
      <c r="G398" s="76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</row>
    <row r="399">
      <c r="A399" s="14"/>
      <c r="B399" s="90"/>
      <c r="C399" s="75"/>
      <c r="D399" s="75"/>
      <c r="E399" s="76"/>
      <c r="F399" s="95"/>
      <c r="G399" s="76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</row>
    <row r="400">
      <c r="A400" s="14"/>
      <c r="B400" s="90"/>
      <c r="C400" s="75"/>
      <c r="D400" s="75"/>
      <c r="E400" s="76"/>
      <c r="F400" s="95"/>
      <c r="G400" s="76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</row>
    <row r="401">
      <c r="A401" s="14"/>
      <c r="B401" s="90"/>
      <c r="C401" s="75"/>
      <c r="D401" s="75"/>
      <c r="E401" s="76"/>
      <c r="F401" s="95"/>
      <c r="G401" s="76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</row>
    <row r="402">
      <c r="A402" s="14"/>
      <c r="B402" s="90"/>
      <c r="C402" s="75"/>
      <c r="D402" s="75"/>
      <c r="E402" s="76"/>
      <c r="F402" s="95"/>
      <c r="G402" s="76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</row>
    <row r="403">
      <c r="A403" s="14"/>
      <c r="B403" s="90"/>
      <c r="C403" s="75"/>
      <c r="D403" s="75"/>
      <c r="E403" s="76"/>
      <c r="F403" s="95"/>
      <c r="G403" s="76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</row>
    <row r="404">
      <c r="A404" s="14"/>
      <c r="B404" s="90"/>
      <c r="C404" s="75"/>
      <c r="D404" s="75"/>
      <c r="E404" s="76"/>
      <c r="F404" s="95"/>
      <c r="G404" s="76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</row>
    <row r="405">
      <c r="A405" s="14"/>
      <c r="B405" s="90"/>
      <c r="C405" s="75"/>
      <c r="D405" s="75"/>
      <c r="E405" s="76"/>
      <c r="F405" s="95"/>
      <c r="G405" s="76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</row>
    <row r="406">
      <c r="A406" s="14"/>
      <c r="B406" s="90"/>
      <c r="C406" s="75"/>
      <c r="D406" s="75"/>
      <c r="E406" s="76"/>
      <c r="F406" s="95"/>
      <c r="G406" s="76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</row>
    <row r="407">
      <c r="A407" s="14"/>
      <c r="B407" s="90"/>
      <c r="C407" s="75"/>
      <c r="D407" s="75"/>
      <c r="E407" s="76"/>
      <c r="F407" s="95"/>
      <c r="G407" s="76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</row>
    <row r="408">
      <c r="A408" s="14"/>
      <c r="B408" s="90"/>
      <c r="C408" s="75"/>
      <c r="D408" s="75"/>
      <c r="E408" s="76"/>
      <c r="F408" s="95"/>
      <c r="G408" s="76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</row>
    <row r="409">
      <c r="A409" s="14"/>
      <c r="B409" s="90"/>
      <c r="C409" s="75"/>
      <c r="D409" s="75"/>
      <c r="E409" s="76"/>
      <c r="F409" s="95"/>
      <c r="G409" s="76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</row>
    <row r="410">
      <c r="A410" s="14"/>
      <c r="B410" s="90"/>
      <c r="C410" s="75"/>
      <c r="D410" s="75"/>
      <c r="E410" s="76"/>
      <c r="F410" s="95"/>
      <c r="G410" s="76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</row>
    <row r="411">
      <c r="A411" s="14"/>
      <c r="B411" s="90"/>
      <c r="C411" s="75"/>
      <c r="D411" s="75"/>
      <c r="E411" s="76"/>
      <c r="F411" s="95"/>
      <c r="G411" s="76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</row>
    <row r="412">
      <c r="A412" s="14"/>
      <c r="B412" s="90"/>
      <c r="C412" s="75"/>
      <c r="D412" s="75"/>
      <c r="E412" s="76"/>
      <c r="F412" s="95"/>
      <c r="G412" s="76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</row>
    <row r="413">
      <c r="A413" s="14"/>
      <c r="B413" s="90"/>
      <c r="C413" s="75"/>
      <c r="D413" s="75"/>
      <c r="E413" s="76"/>
      <c r="F413" s="95"/>
      <c r="G413" s="76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</row>
    <row r="414">
      <c r="A414" s="14"/>
      <c r="B414" s="90"/>
      <c r="C414" s="75"/>
      <c r="D414" s="75"/>
      <c r="E414" s="76"/>
      <c r="F414" s="95"/>
      <c r="G414" s="76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</row>
    <row r="415">
      <c r="A415" s="14"/>
      <c r="B415" s="90"/>
      <c r="C415" s="75"/>
      <c r="D415" s="75"/>
      <c r="E415" s="76"/>
      <c r="F415" s="95"/>
      <c r="G415" s="76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</row>
    <row r="416">
      <c r="A416" s="14"/>
      <c r="B416" s="90"/>
      <c r="C416" s="75"/>
      <c r="D416" s="75"/>
      <c r="E416" s="76"/>
      <c r="F416" s="95"/>
      <c r="G416" s="76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</row>
    <row r="417">
      <c r="A417" s="14"/>
      <c r="B417" s="90"/>
      <c r="C417" s="75"/>
      <c r="D417" s="75"/>
      <c r="E417" s="76"/>
      <c r="F417" s="95"/>
      <c r="G417" s="76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</row>
    <row r="418">
      <c r="A418" s="14"/>
      <c r="B418" s="90"/>
      <c r="C418" s="75"/>
      <c r="D418" s="75"/>
      <c r="E418" s="76"/>
      <c r="F418" s="95"/>
      <c r="G418" s="76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</row>
    <row r="419">
      <c r="A419" s="14"/>
      <c r="B419" s="90"/>
      <c r="C419" s="75"/>
      <c r="D419" s="75"/>
      <c r="E419" s="76"/>
      <c r="F419" s="95"/>
      <c r="G419" s="76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</row>
    <row r="420">
      <c r="A420" s="14"/>
      <c r="B420" s="90"/>
      <c r="C420" s="75"/>
      <c r="D420" s="75"/>
      <c r="E420" s="76"/>
      <c r="F420" s="95"/>
      <c r="G420" s="76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</row>
    <row r="421">
      <c r="A421" s="14"/>
      <c r="B421" s="90"/>
      <c r="C421" s="75"/>
      <c r="D421" s="75"/>
      <c r="E421" s="76"/>
      <c r="F421" s="95"/>
      <c r="G421" s="76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</row>
    <row r="422">
      <c r="A422" s="14"/>
      <c r="B422" s="90"/>
      <c r="C422" s="75"/>
      <c r="D422" s="75"/>
      <c r="E422" s="76"/>
      <c r="F422" s="95"/>
      <c r="G422" s="76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</row>
    <row r="423">
      <c r="A423" s="14"/>
      <c r="B423" s="90"/>
      <c r="C423" s="75"/>
      <c r="D423" s="75"/>
      <c r="E423" s="76"/>
      <c r="F423" s="95"/>
      <c r="G423" s="76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</row>
    <row r="424">
      <c r="A424" s="14"/>
      <c r="B424" s="90"/>
      <c r="C424" s="75"/>
      <c r="D424" s="75"/>
      <c r="E424" s="76"/>
      <c r="F424" s="95"/>
      <c r="G424" s="76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</row>
    <row r="425">
      <c r="A425" s="14"/>
      <c r="B425" s="90"/>
      <c r="C425" s="75"/>
      <c r="D425" s="75"/>
      <c r="E425" s="76"/>
      <c r="F425" s="95"/>
      <c r="G425" s="76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</row>
    <row r="426">
      <c r="A426" s="14"/>
      <c r="B426" s="90"/>
      <c r="C426" s="75"/>
      <c r="D426" s="75"/>
      <c r="E426" s="76"/>
      <c r="F426" s="95"/>
      <c r="G426" s="76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</row>
    <row r="427">
      <c r="A427" s="14"/>
      <c r="B427" s="90"/>
      <c r="C427" s="75"/>
      <c r="D427" s="75"/>
      <c r="E427" s="76"/>
      <c r="F427" s="95"/>
      <c r="G427" s="76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</row>
    <row r="428">
      <c r="A428" s="14"/>
      <c r="B428" s="90"/>
      <c r="C428" s="75"/>
      <c r="D428" s="75"/>
      <c r="E428" s="76"/>
      <c r="F428" s="95"/>
      <c r="G428" s="76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</row>
    <row r="429">
      <c r="A429" s="14"/>
      <c r="B429" s="90"/>
      <c r="C429" s="75"/>
      <c r="D429" s="75"/>
      <c r="E429" s="76"/>
      <c r="F429" s="95"/>
      <c r="G429" s="76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</row>
    <row r="430">
      <c r="A430" s="14"/>
      <c r="B430" s="90"/>
      <c r="C430" s="75"/>
      <c r="D430" s="75"/>
      <c r="E430" s="76"/>
      <c r="F430" s="95"/>
      <c r="G430" s="76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</row>
    <row r="431">
      <c r="A431" s="14"/>
      <c r="B431" s="90"/>
      <c r="C431" s="75"/>
      <c r="D431" s="75"/>
      <c r="E431" s="76"/>
      <c r="F431" s="95"/>
      <c r="G431" s="76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</row>
    <row r="432">
      <c r="A432" s="14"/>
      <c r="B432" s="90"/>
      <c r="C432" s="75"/>
      <c r="D432" s="75"/>
      <c r="E432" s="76"/>
      <c r="F432" s="95"/>
      <c r="G432" s="76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</row>
    <row r="433">
      <c r="A433" s="14"/>
      <c r="B433" s="90"/>
      <c r="C433" s="75"/>
      <c r="D433" s="75"/>
      <c r="E433" s="76"/>
      <c r="F433" s="95"/>
      <c r="G433" s="76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</row>
    <row r="434">
      <c r="A434" s="14"/>
      <c r="B434" s="90"/>
      <c r="C434" s="75"/>
      <c r="D434" s="75"/>
      <c r="E434" s="76"/>
      <c r="F434" s="95"/>
      <c r="G434" s="76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</row>
    <row r="435">
      <c r="A435" s="14"/>
      <c r="B435" s="90"/>
      <c r="C435" s="75"/>
      <c r="D435" s="75"/>
      <c r="E435" s="76"/>
      <c r="F435" s="95"/>
      <c r="G435" s="76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</row>
    <row r="436">
      <c r="A436" s="14"/>
      <c r="B436" s="90"/>
      <c r="C436" s="75"/>
      <c r="D436" s="75"/>
      <c r="E436" s="76"/>
      <c r="F436" s="95"/>
      <c r="G436" s="76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</row>
    <row r="437">
      <c r="A437" s="14"/>
      <c r="B437" s="90"/>
      <c r="C437" s="75"/>
      <c r="D437" s="75"/>
      <c r="E437" s="76"/>
      <c r="F437" s="95"/>
      <c r="G437" s="76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</row>
    <row r="438">
      <c r="A438" s="14"/>
      <c r="B438" s="90"/>
      <c r="C438" s="75"/>
      <c r="D438" s="75"/>
      <c r="E438" s="76"/>
      <c r="F438" s="95"/>
      <c r="G438" s="76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</row>
    <row r="439">
      <c r="A439" s="14"/>
      <c r="B439" s="90"/>
      <c r="C439" s="75"/>
      <c r="D439" s="75"/>
      <c r="E439" s="76"/>
      <c r="F439" s="95"/>
      <c r="G439" s="76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</row>
    <row r="440">
      <c r="A440" s="14"/>
      <c r="B440" s="90"/>
      <c r="C440" s="75"/>
      <c r="D440" s="75"/>
      <c r="E440" s="76"/>
      <c r="F440" s="95"/>
      <c r="G440" s="76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</row>
    <row r="441">
      <c r="A441" s="14"/>
      <c r="B441" s="90"/>
      <c r="C441" s="75"/>
      <c r="D441" s="75"/>
      <c r="E441" s="76"/>
      <c r="F441" s="95"/>
      <c r="G441" s="76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</row>
    <row r="442">
      <c r="A442" s="14"/>
      <c r="B442" s="90"/>
      <c r="C442" s="75"/>
      <c r="D442" s="75"/>
      <c r="E442" s="76"/>
      <c r="F442" s="95"/>
      <c r="G442" s="76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</row>
    <row r="443">
      <c r="A443" s="14"/>
      <c r="B443" s="90"/>
      <c r="C443" s="75"/>
      <c r="D443" s="75"/>
      <c r="E443" s="76"/>
      <c r="F443" s="95"/>
      <c r="G443" s="76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</row>
    <row r="444">
      <c r="A444" s="14"/>
      <c r="B444" s="90"/>
      <c r="C444" s="75"/>
      <c r="D444" s="75"/>
      <c r="E444" s="76"/>
      <c r="F444" s="95"/>
      <c r="G444" s="76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</row>
    <row r="445">
      <c r="A445" s="14"/>
      <c r="B445" s="90"/>
      <c r="C445" s="75"/>
      <c r="D445" s="75"/>
      <c r="E445" s="76"/>
      <c r="F445" s="95"/>
      <c r="G445" s="76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</row>
    <row r="446">
      <c r="A446" s="14"/>
      <c r="B446" s="90"/>
      <c r="C446" s="75"/>
      <c r="D446" s="75"/>
      <c r="E446" s="76"/>
      <c r="F446" s="95"/>
      <c r="G446" s="76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</row>
    <row r="447">
      <c r="A447" s="14"/>
      <c r="B447" s="90"/>
      <c r="C447" s="75"/>
      <c r="D447" s="75"/>
      <c r="E447" s="76"/>
      <c r="F447" s="95"/>
      <c r="G447" s="76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</row>
    <row r="448">
      <c r="A448" s="14"/>
      <c r="B448" s="90"/>
      <c r="C448" s="75"/>
      <c r="D448" s="75"/>
      <c r="E448" s="76"/>
      <c r="F448" s="95"/>
      <c r="G448" s="76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</row>
    <row r="449">
      <c r="A449" s="14"/>
      <c r="B449" s="90"/>
      <c r="C449" s="75"/>
      <c r="D449" s="75"/>
      <c r="E449" s="76"/>
      <c r="F449" s="95"/>
      <c r="G449" s="76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</row>
    <row r="450">
      <c r="A450" s="14"/>
      <c r="B450" s="90"/>
      <c r="C450" s="75"/>
      <c r="D450" s="75"/>
      <c r="E450" s="76"/>
      <c r="F450" s="95"/>
      <c r="G450" s="76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</row>
    <row r="451">
      <c r="A451" s="14"/>
      <c r="B451" s="90"/>
      <c r="C451" s="75"/>
      <c r="D451" s="75"/>
      <c r="E451" s="76"/>
      <c r="F451" s="95"/>
      <c r="G451" s="76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</row>
    <row r="452">
      <c r="A452" s="14"/>
      <c r="B452" s="90"/>
      <c r="C452" s="75"/>
      <c r="D452" s="75"/>
      <c r="E452" s="76"/>
      <c r="F452" s="95"/>
      <c r="G452" s="76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</row>
    <row r="453">
      <c r="A453" s="14"/>
      <c r="B453" s="90"/>
      <c r="C453" s="75"/>
      <c r="D453" s="75"/>
      <c r="E453" s="76"/>
      <c r="F453" s="95"/>
      <c r="G453" s="76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</row>
    <row r="454">
      <c r="A454" s="14"/>
      <c r="B454" s="90"/>
      <c r="C454" s="75"/>
      <c r="D454" s="75"/>
      <c r="E454" s="76"/>
      <c r="F454" s="95"/>
      <c r="G454" s="76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</row>
    <row r="455">
      <c r="A455" s="14"/>
      <c r="B455" s="90"/>
      <c r="C455" s="75"/>
      <c r="D455" s="75"/>
      <c r="E455" s="76"/>
      <c r="F455" s="95"/>
      <c r="G455" s="76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</row>
    <row r="456">
      <c r="A456" s="14"/>
      <c r="B456" s="90"/>
      <c r="C456" s="75"/>
      <c r="D456" s="75"/>
      <c r="E456" s="76"/>
      <c r="F456" s="95"/>
      <c r="G456" s="76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</row>
    <row r="457">
      <c r="A457" s="14"/>
      <c r="B457" s="90"/>
      <c r="C457" s="75"/>
      <c r="D457" s="75"/>
      <c r="E457" s="76"/>
      <c r="F457" s="95"/>
      <c r="G457" s="76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</row>
    <row r="458">
      <c r="A458" s="14"/>
      <c r="B458" s="90"/>
      <c r="C458" s="75"/>
      <c r="D458" s="75"/>
      <c r="E458" s="76"/>
      <c r="F458" s="95"/>
      <c r="G458" s="76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</row>
    <row r="459">
      <c r="A459" s="14"/>
      <c r="B459" s="90"/>
      <c r="C459" s="75"/>
      <c r="D459" s="75"/>
      <c r="E459" s="76"/>
      <c r="F459" s="95"/>
      <c r="G459" s="76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</row>
    <row r="460">
      <c r="A460" s="14"/>
      <c r="B460" s="90"/>
      <c r="C460" s="75"/>
      <c r="D460" s="75"/>
      <c r="E460" s="76"/>
      <c r="F460" s="95"/>
      <c r="G460" s="76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</row>
    <row r="461">
      <c r="A461" s="14"/>
      <c r="B461" s="90"/>
      <c r="C461" s="75"/>
      <c r="D461" s="75"/>
      <c r="E461" s="76"/>
      <c r="F461" s="95"/>
      <c r="G461" s="76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</row>
    <row r="462">
      <c r="A462" s="14"/>
      <c r="B462" s="90"/>
      <c r="C462" s="75"/>
      <c r="D462" s="75"/>
      <c r="E462" s="76"/>
      <c r="F462" s="95"/>
      <c r="G462" s="76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</row>
    <row r="463">
      <c r="A463" s="14"/>
      <c r="B463" s="90"/>
      <c r="C463" s="75"/>
      <c r="D463" s="75"/>
      <c r="E463" s="76"/>
      <c r="F463" s="95"/>
      <c r="G463" s="76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</row>
    <row r="464">
      <c r="A464" s="14"/>
      <c r="B464" s="90"/>
      <c r="C464" s="75"/>
      <c r="D464" s="75"/>
      <c r="E464" s="76"/>
      <c r="F464" s="95"/>
      <c r="G464" s="76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</row>
    <row r="465">
      <c r="A465" s="14"/>
      <c r="B465" s="90"/>
      <c r="C465" s="75"/>
      <c r="D465" s="75"/>
      <c r="E465" s="76"/>
      <c r="F465" s="95"/>
      <c r="G465" s="76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</row>
    <row r="466">
      <c r="A466" s="14"/>
      <c r="B466" s="90"/>
      <c r="C466" s="75"/>
      <c r="D466" s="75"/>
      <c r="E466" s="76"/>
      <c r="F466" s="95"/>
      <c r="G466" s="76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</row>
    <row r="467">
      <c r="A467" s="14"/>
      <c r="B467" s="90"/>
      <c r="C467" s="75"/>
      <c r="D467" s="75"/>
      <c r="E467" s="76"/>
      <c r="F467" s="95"/>
      <c r="G467" s="76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</row>
    <row r="468">
      <c r="A468" s="14"/>
      <c r="B468" s="90"/>
      <c r="C468" s="75"/>
      <c r="D468" s="75"/>
      <c r="E468" s="76"/>
      <c r="F468" s="95"/>
      <c r="G468" s="76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</row>
    <row r="469">
      <c r="A469" s="14"/>
      <c r="B469" s="90"/>
      <c r="C469" s="75"/>
      <c r="D469" s="75"/>
      <c r="E469" s="76"/>
      <c r="F469" s="95"/>
      <c r="G469" s="76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</row>
    <row r="470">
      <c r="A470" s="14"/>
      <c r="B470" s="90"/>
      <c r="C470" s="75"/>
      <c r="D470" s="75"/>
      <c r="E470" s="76"/>
      <c r="F470" s="95"/>
      <c r="G470" s="76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</row>
    <row r="471">
      <c r="A471" s="14"/>
      <c r="B471" s="90"/>
      <c r="C471" s="75"/>
      <c r="D471" s="75"/>
      <c r="E471" s="76"/>
      <c r="F471" s="95"/>
      <c r="G471" s="76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</row>
    <row r="472">
      <c r="A472" s="14"/>
      <c r="B472" s="90"/>
      <c r="C472" s="75"/>
      <c r="D472" s="75"/>
      <c r="E472" s="76"/>
      <c r="F472" s="95"/>
      <c r="G472" s="76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</row>
    <row r="473">
      <c r="A473" s="14"/>
      <c r="B473" s="90"/>
      <c r="C473" s="75"/>
      <c r="D473" s="75"/>
      <c r="E473" s="76"/>
      <c r="F473" s="95"/>
      <c r="G473" s="76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</row>
    <row r="474">
      <c r="A474" s="14"/>
      <c r="B474" s="90"/>
      <c r="C474" s="75"/>
      <c r="D474" s="75"/>
      <c r="E474" s="76"/>
      <c r="F474" s="95"/>
      <c r="G474" s="76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</row>
    <row r="475">
      <c r="A475" s="14"/>
      <c r="B475" s="90"/>
      <c r="C475" s="75"/>
      <c r="D475" s="75"/>
      <c r="E475" s="76"/>
      <c r="F475" s="95"/>
      <c r="G475" s="76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</row>
    <row r="476">
      <c r="A476" s="14"/>
      <c r="B476" s="90"/>
      <c r="C476" s="75"/>
      <c r="D476" s="75"/>
      <c r="E476" s="76"/>
      <c r="F476" s="95"/>
      <c r="G476" s="76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</row>
    <row r="477">
      <c r="A477" s="14"/>
      <c r="B477" s="90"/>
      <c r="C477" s="75"/>
      <c r="D477" s="75"/>
      <c r="E477" s="76"/>
      <c r="F477" s="95"/>
      <c r="G477" s="76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</row>
    <row r="478">
      <c r="A478" s="14"/>
      <c r="B478" s="90"/>
      <c r="C478" s="75"/>
      <c r="D478" s="75"/>
      <c r="E478" s="76"/>
      <c r="F478" s="95"/>
      <c r="G478" s="76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</row>
    <row r="479">
      <c r="A479" s="14"/>
      <c r="B479" s="90"/>
      <c r="C479" s="75"/>
      <c r="D479" s="75"/>
      <c r="E479" s="76"/>
      <c r="F479" s="95"/>
      <c r="G479" s="76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</row>
    <row r="480">
      <c r="A480" s="14"/>
      <c r="B480" s="90"/>
      <c r="C480" s="75"/>
      <c r="D480" s="75"/>
      <c r="E480" s="76"/>
      <c r="F480" s="95"/>
      <c r="G480" s="76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</row>
    <row r="481">
      <c r="A481" s="14"/>
      <c r="B481" s="90"/>
      <c r="C481" s="75"/>
      <c r="D481" s="75"/>
      <c r="E481" s="76"/>
      <c r="F481" s="95"/>
      <c r="G481" s="76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</row>
    <row r="482">
      <c r="A482" s="14"/>
      <c r="B482" s="90"/>
      <c r="C482" s="75"/>
      <c r="D482" s="75"/>
      <c r="E482" s="76"/>
      <c r="F482" s="95"/>
      <c r="G482" s="76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</row>
    <row r="483">
      <c r="A483" s="14"/>
      <c r="B483" s="90"/>
      <c r="C483" s="75"/>
      <c r="D483" s="75"/>
      <c r="E483" s="76"/>
      <c r="F483" s="95"/>
      <c r="G483" s="76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</row>
    <row r="484">
      <c r="A484" s="14"/>
      <c r="B484" s="90"/>
      <c r="C484" s="75"/>
      <c r="D484" s="75"/>
      <c r="E484" s="76"/>
      <c r="F484" s="95"/>
      <c r="G484" s="76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</row>
    <row r="485">
      <c r="A485" s="14"/>
      <c r="B485" s="90"/>
      <c r="C485" s="75"/>
      <c r="D485" s="75"/>
      <c r="E485" s="76"/>
      <c r="F485" s="95"/>
      <c r="G485" s="76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</row>
    <row r="486">
      <c r="A486" s="14"/>
      <c r="B486" s="90"/>
      <c r="C486" s="75"/>
      <c r="D486" s="75"/>
      <c r="E486" s="76"/>
      <c r="F486" s="95"/>
      <c r="G486" s="76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</row>
    <row r="487">
      <c r="A487" s="14"/>
      <c r="B487" s="90"/>
      <c r="C487" s="75"/>
      <c r="D487" s="75"/>
      <c r="E487" s="76"/>
      <c r="F487" s="95"/>
      <c r="G487" s="76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</row>
    <row r="488">
      <c r="A488" s="14"/>
      <c r="B488" s="90"/>
      <c r="C488" s="75"/>
      <c r="D488" s="75"/>
      <c r="E488" s="76"/>
      <c r="F488" s="95"/>
      <c r="G488" s="76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</row>
    <row r="489">
      <c r="A489" s="14"/>
      <c r="B489" s="90"/>
      <c r="C489" s="75"/>
      <c r="D489" s="75"/>
      <c r="E489" s="76"/>
      <c r="F489" s="95"/>
      <c r="G489" s="76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</row>
    <row r="490">
      <c r="A490" s="14"/>
      <c r="B490" s="90"/>
      <c r="C490" s="75"/>
      <c r="D490" s="75"/>
      <c r="E490" s="76"/>
      <c r="F490" s="95"/>
      <c r="G490" s="76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</row>
    <row r="491">
      <c r="A491" s="14"/>
      <c r="B491" s="90"/>
      <c r="C491" s="75"/>
      <c r="D491" s="75"/>
      <c r="E491" s="76"/>
      <c r="F491" s="95"/>
      <c r="G491" s="76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</row>
    <row r="492">
      <c r="A492" s="14"/>
      <c r="B492" s="90"/>
      <c r="C492" s="75"/>
      <c r="D492" s="75"/>
      <c r="E492" s="76"/>
      <c r="F492" s="95"/>
      <c r="G492" s="76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</row>
    <row r="493">
      <c r="A493" s="14"/>
      <c r="B493" s="90"/>
      <c r="C493" s="75"/>
      <c r="D493" s="75"/>
      <c r="E493" s="76"/>
      <c r="F493" s="95"/>
      <c r="G493" s="76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</row>
    <row r="494">
      <c r="A494" s="14"/>
      <c r="B494" s="90"/>
      <c r="C494" s="75"/>
      <c r="D494" s="75"/>
      <c r="E494" s="76"/>
      <c r="F494" s="95"/>
      <c r="G494" s="76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</row>
    <row r="495">
      <c r="A495" s="14"/>
      <c r="B495" s="90"/>
      <c r="C495" s="75"/>
      <c r="D495" s="75"/>
      <c r="E495" s="76"/>
      <c r="F495" s="95"/>
      <c r="G495" s="76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</row>
    <row r="496">
      <c r="A496" s="14"/>
      <c r="B496" s="90"/>
      <c r="C496" s="75"/>
      <c r="D496" s="75"/>
      <c r="E496" s="76"/>
      <c r="F496" s="95"/>
      <c r="G496" s="76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</row>
    <row r="497">
      <c r="A497" s="14"/>
      <c r="B497" s="90"/>
      <c r="C497" s="75"/>
      <c r="D497" s="75"/>
      <c r="E497" s="76"/>
      <c r="F497" s="95"/>
      <c r="G497" s="76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</row>
    <row r="498">
      <c r="A498" s="14"/>
      <c r="B498" s="90"/>
      <c r="C498" s="75"/>
      <c r="D498" s="75"/>
      <c r="E498" s="76"/>
      <c r="F498" s="95"/>
      <c r="G498" s="76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</row>
    <row r="499">
      <c r="A499" s="14"/>
      <c r="B499" s="90"/>
      <c r="C499" s="75"/>
      <c r="D499" s="75"/>
      <c r="E499" s="76"/>
      <c r="F499" s="95"/>
      <c r="G499" s="76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</row>
    <row r="500">
      <c r="A500" s="14"/>
      <c r="B500" s="90"/>
      <c r="C500" s="75"/>
      <c r="D500" s="75"/>
      <c r="E500" s="76"/>
      <c r="F500" s="95"/>
      <c r="G500" s="76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</row>
    <row r="501">
      <c r="A501" s="14"/>
      <c r="B501" s="90"/>
      <c r="C501" s="75"/>
      <c r="D501" s="75"/>
      <c r="E501" s="76"/>
      <c r="F501" s="95"/>
      <c r="G501" s="76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</row>
    <row r="502">
      <c r="A502" s="14"/>
      <c r="B502" s="90"/>
      <c r="C502" s="75"/>
      <c r="D502" s="75"/>
      <c r="E502" s="76"/>
      <c r="F502" s="95"/>
      <c r="G502" s="76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</row>
    <row r="503">
      <c r="A503" s="14"/>
      <c r="B503" s="90"/>
      <c r="C503" s="75"/>
      <c r="D503" s="75"/>
      <c r="E503" s="76"/>
      <c r="F503" s="95"/>
      <c r="G503" s="76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</row>
    <row r="504">
      <c r="A504" s="14"/>
      <c r="B504" s="90"/>
      <c r="C504" s="75"/>
      <c r="D504" s="75"/>
      <c r="E504" s="76"/>
      <c r="F504" s="95"/>
      <c r="G504" s="76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</row>
    <row r="505">
      <c r="A505" s="14"/>
      <c r="B505" s="90"/>
      <c r="C505" s="75"/>
      <c r="D505" s="75"/>
      <c r="E505" s="76"/>
      <c r="F505" s="95"/>
      <c r="G505" s="76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</row>
    <row r="506">
      <c r="A506" s="14"/>
      <c r="B506" s="90"/>
      <c r="C506" s="75"/>
      <c r="D506" s="75"/>
      <c r="E506" s="76"/>
      <c r="F506" s="95"/>
      <c r="G506" s="76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</row>
    <row r="507">
      <c r="A507" s="14"/>
      <c r="B507" s="90"/>
      <c r="C507" s="75"/>
      <c r="D507" s="75"/>
      <c r="E507" s="76"/>
      <c r="F507" s="95"/>
      <c r="G507" s="76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</row>
    <row r="508">
      <c r="A508" s="14"/>
      <c r="B508" s="90"/>
      <c r="C508" s="75"/>
      <c r="D508" s="75"/>
      <c r="E508" s="76"/>
      <c r="F508" s="95"/>
      <c r="G508" s="76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</row>
    <row r="509">
      <c r="A509" s="14"/>
      <c r="B509" s="90"/>
      <c r="C509" s="75"/>
      <c r="D509" s="75"/>
      <c r="E509" s="76"/>
      <c r="F509" s="95"/>
      <c r="G509" s="76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</row>
    <row r="510">
      <c r="A510" s="14"/>
      <c r="B510" s="90"/>
      <c r="C510" s="75"/>
      <c r="D510" s="75"/>
      <c r="E510" s="76"/>
      <c r="F510" s="95"/>
      <c r="G510" s="76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</row>
    <row r="511">
      <c r="A511" s="14"/>
      <c r="B511" s="90"/>
      <c r="C511" s="75"/>
      <c r="D511" s="75"/>
      <c r="E511" s="76"/>
      <c r="F511" s="95"/>
      <c r="G511" s="76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</row>
    <row r="512">
      <c r="A512" s="14"/>
      <c r="B512" s="90"/>
      <c r="C512" s="75"/>
      <c r="D512" s="75"/>
      <c r="E512" s="76"/>
      <c r="F512" s="95"/>
      <c r="G512" s="76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</row>
    <row r="513">
      <c r="A513" s="14"/>
      <c r="B513" s="90"/>
      <c r="C513" s="75"/>
      <c r="D513" s="75"/>
      <c r="E513" s="76"/>
      <c r="F513" s="95"/>
      <c r="G513" s="76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</row>
    <row r="514">
      <c r="A514" s="14"/>
      <c r="B514" s="90"/>
      <c r="C514" s="75"/>
      <c r="D514" s="75"/>
      <c r="E514" s="76"/>
      <c r="F514" s="95"/>
      <c r="G514" s="76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</row>
    <row r="515">
      <c r="A515" s="14"/>
      <c r="B515" s="90"/>
      <c r="C515" s="75"/>
      <c r="D515" s="75"/>
      <c r="E515" s="76"/>
      <c r="F515" s="95"/>
      <c r="G515" s="76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</row>
    <row r="516">
      <c r="A516" s="14"/>
      <c r="B516" s="90"/>
      <c r="C516" s="75"/>
      <c r="D516" s="75"/>
      <c r="E516" s="76"/>
      <c r="F516" s="95"/>
      <c r="G516" s="76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</row>
    <row r="517">
      <c r="A517" s="14"/>
      <c r="B517" s="90"/>
      <c r="C517" s="75"/>
      <c r="D517" s="75"/>
      <c r="E517" s="76"/>
      <c r="F517" s="95"/>
      <c r="G517" s="76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</row>
    <row r="518">
      <c r="A518" s="14"/>
      <c r="B518" s="90"/>
      <c r="C518" s="75"/>
      <c r="D518" s="75"/>
      <c r="E518" s="76"/>
      <c r="F518" s="95"/>
      <c r="G518" s="76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</row>
    <row r="519">
      <c r="A519" s="14"/>
      <c r="B519" s="90"/>
      <c r="C519" s="75"/>
      <c r="D519" s="75"/>
      <c r="E519" s="76"/>
      <c r="F519" s="95"/>
      <c r="G519" s="76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</row>
    <row r="520">
      <c r="A520" s="14"/>
      <c r="B520" s="90"/>
      <c r="C520" s="75"/>
      <c r="D520" s="75"/>
      <c r="E520" s="76"/>
      <c r="F520" s="95"/>
      <c r="G520" s="76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</row>
    <row r="521">
      <c r="A521" s="14"/>
      <c r="B521" s="90"/>
      <c r="C521" s="75"/>
      <c r="D521" s="75"/>
      <c r="E521" s="76"/>
      <c r="F521" s="95"/>
      <c r="G521" s="76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</row>
    <row r="522">
      <c r="A522" s="14"/>
      <c r="B522" s="90"/>
      <c r="C522" s="75"/>
      <c r="D522" s="75"/>
      <c r="E522" s="76"/>
      <c r="F522" s="95"/>
      <c r="G522" s="76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</row>
    <row r="523">
      <c r="A523" s="14"/>
      <c r="B523" s="90"/>
      <c r="C523" s="75"/>
      <c r="D523" s="75"/>
      <c r="E523" s="76"/>
      <c r="F523" s="95"/>
      <c r="G523" s="76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</row>
    <row r="524">
      <c r="A524" s="14"/>
      <c r="B524" s="90"/>
      <c r="C524" s="75"/>
      <c r="D524" s="75"/>
      <c r="E524" s="76"/>
      <c r="F524" s="95"/>
      <c r="G524" s="76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</row>
    <row r="525">
      <c r="A525" s="14"/>
      <c r="B525" s="90"/>
      <c r="C525" s="75"/>
      <c r="D525" s="75"/>
      <c r="E525" s="76"/>
      <c r="F525" s="95"/>
      <c r="G525" s="76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</row>
    <row r="526">
      <c r="A526" s="14"/>
      <c r="B526" s="90"/>
      <c r="C526" s="75"/>
      <c r="D526" s="75"/>
      <c r="E526" s="76"/>
      <c r="F526" s="95"/>
      <c r="G526" s="76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</row>
    <row r="527">
      <c r="A527" s="14"/>
      <c r="B527" s="90"/>
      <c r="C527" s="75"/>
      <c r="D527" s="75"/>
      <c r="E527" s="76"/>
      <c r="F527" s="95"/>
      <c r="G527" s="76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</row>
    <row r="528">
      <c r="A528" s="14"/>
      <c r="B528" s="90"/>
      <c r="C528" s="75"/>
      <c r="D528" s="75"/>
      <c r="E528" s="76"/>
      <c r="F528" s="95"/>
      <c r="G528" s="76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</row>
    <row r="529">
      <c r="A529" s="14"/>
      <c r="B529" s="90"/>
      <c r="C529" s="75"/>
      <c r="D529" s="75"/>
      <c r="E529" s="76"/>
      <c r="F529" s="95"/>
      <c r="G529" s="76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</row>
    <row r="530">
      <c r="A530" s="14"/>
      <c r="B530" s="90"/>
      <c r="C530" s="75"/>
      <c r="D530" s="75"/>
      <c r="E530" s="76"/>
      <c r="F530" s="95"/>
      <c r="G530" s="76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</row>
    <row r="531">
      <c r="A531" s="14"/>
      <c r="B531" s="90"/>
      <c r="C531" s="75"/>
      <c r="D531" s="75"/>
      <c r="E531" s="76"/>
      <c r="F531" s="95"/>
      <c r="G531" s="76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</row>
    <row r="532">
      <c r="A532" s="14"/>
      <c r="B532" s="90"/>
      <c r="C532" s="75"/>
      <c r="D532" s="75"/>
      <c r="E532" s="76"/>
      <c r="F532" s="95"/>
      <c r="G532" s="76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</row>
    <row r="533">
      <c r="A533" s="14"/>
      <c r="B533" s="90"/>
      <c r="C533" s="75"/>
      <c r="D533" s="75"/>
      <c r="E533" s="76"/>
      <c r="F533" s="95"/>
      <c r="G533" s="76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</row>
    <row r="534">
      <c r="A534" s="14"/>
      <c r="B534" s="90"/>
      <c r="C534" s="75"/>
      <c r="D534" s="75"/>
      <c r="E534" s="76"/>
      <c r="F534" s="95"/>
      <c r="G534" s="76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</row>
    <row r="535">
      <c r="A535" s="14"/>
      <c r="B535" s="90"/>
      <c r="C535" s="75"/>
      <c r="D535" s="75"/>
      <c r="E535" s="76"/>
      <c r="F535" s="95"/>
      <c r="G535" s="76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</row>
    <row r="536">
      <c r="A536" s="14"/>
      <c r="B536" s="90"/>
      <c r="C536" s="75"/>
      <c r="D536" s="75"/>
      <c r="E536" s="76"/>
      <c r="F536" s="95"/>
      <c r="G536" s="76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</row>
    <row r="537">
      <c r="A537" s="14"/>
      <c r="B537" s="90"/>
      <c r="C537" s="75"/>
      <c r="D537" s="75"/>
      <c r="E537" s="76"/>
      <c r="F537" s="95"/>
      <c r="G537" s="76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</row>
    <row r="538">
      <c r="A538" s="14"/>
      <c r="B538" s="90"/>
      <c r="C538" s="75"/>
      <c r="D538" s="75"/>
      <c r="E538" s="76"/>
      <c r="F538" s="95"/>
      <c r="G538" s="76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</row>
    <row r="539">
      <c r="A539" s="14"/>
      <c r="B539" s="90"/>
      <c r="C539" s="75"/>
      <c r="D539" s="75"/>
      <c r="E539" s="76"/>
      <c r="F539" s="95"/>
      <c r="G539" s="76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</row>
    <row r="540">
      <c r="A540" s="14"/>
      <c r="B540" s="90"/>
      <c r="C540" s="75"/>
      <c r="D540" s="75"/>
      <c r="E540" s="76"/>
      <c r="F540" s="95"/>
      <c r="G540" s="76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</row>
    <row r="541">
      <c r="A541" s="14"/>
      <c r="B541" s="90"/>
      <c r="C541" s="75"/>
      <c r="D541" s="75"/>
      <c r="E541" s="76"/>
      <c r="F541" s="95"/>
      <c r="G541" s="76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</row>
    <row r="542">
      <c r="A542" s="14"/>
      <c r="B542" s="90"/>
      <c r="C542" s="75"/>
      <c r="D542" s="75"/>
      <c r="E542" s="76"/>
      <c r="F542" s="95"/>
      <c r="G542" s="76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</row>
    <row r="543">
      <c r="A543" s="14"/>
      <c r="B543" s="90"/>
      <c r="C543" s="75"/>
      <c r="D543" s="75"/>
      <c r="E543" s="76"/>
      <c r="F543" s="95"/>
      <c r="G543" s="76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</row>
    <row r="544">
      <c r="A544" s="14"/>
      <c r="B544" s="90"/>
      <c r="C544" s="75"/>
      <c r="D544" s="75"/>
      <c r="E544" s="76"/>
      <c r="F544" s="95"/>
      <c r="G544" s="76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</row>
    <row r="545">
      <c r="A545" s="14"/>
      <c r="B545" s="90"/>
      <c r="C545" s="75"/>
      <c r="D545" s="75"/>
      <c r="E545" s="76"/>
      <c r="F545" s="95"/>
      <c r="G545" s="76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</row>
    <row r="546">
      <c r="A546" s="14"/>
      <c r="B546" s="90"/>
      <c r="C546" s="75"/>
      <c r="D546" s="75"/>
      <c r="E546" s="76"/>
      <c r="F546" s="95"/>
      <c r="G546" s="76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</row>
    <row r="547">
      <c r="A547" s="14"/>
      <c r="B547" s="90"/>
      <c r="C547" s="75"/>
      <c r="D547" s="75"/>
      <c r="E547" s="76"/>
      <c r="F547" s="95"/>
      <c r="G547" s="76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</row>
    <row r="548">
      <c r="A548" s="14"/>
      <c r="B548" s="90"/>
      <c r="C548" s="75"/>
      <c r="D548" s="75"/>
      <c r="E548" s="76"/>
      <c r="F548" s="95"/>
      <c r="G548" s="76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</row>
    <row r="549">
      <c r="A549" s="14"/>
      <c r="B549" s="90"/>
      <c r="C549" s="75"/>
      <c r="D549" s="75"/>
      <c r="E549" s="76"/>
      <c r="F549" s="95"/>
      <c r="G549" s="76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</row>
    <row r="550">
      <c r="A550" s="14"/>
      <c r="B550" s="90"/>
      <c r="C550" s="75"/>
      <c r="D550" s="75"/>
      <c r="E550" s="76"/>
      <c r="F550" s="95"/>
      <c r="G550" s="76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</row>
    <row r="551">
      <c r="A551" s="14"/>
      <c r="B551" s="90"/>
      <c r="C551" s="75"/>
      <c r="D551" s="75"/>
      <c r="E551" s="76"/>
      <c r="F551" s="95"/>
      <c r="G551" s="76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</row>
    <row r="552">
      <c r="A552" s="14"/>
      <c r="B552" s="90"/>
      <c r="C552" s="75"/>
      <c r="D552" s="75"/>
      <c r="E552" s="76"/>
      <c r="F552" s="95"/>
      <c r="G552" s="76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</row>
    <row r="553">
      <c r="A553" s="14"/>
      <c r="B553" s="90"/>
      <c r="C553" s="75"/>
      <c r="D553" s="75"/>
      <c r="E553" s="76"/>
      <c r="F553" s="95"/>
      <c r="G553" s="76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</row>
    <row r="554">
      <c r="A554" s="14"/>
      <c r="B554" s="90"/>
      <c r="C554" s="75"/>
      <c r="D554" s="75"/>
      <c r="E554" s="76"/>
      <c r="F554" s="95"/>
      <c r="G554" s="76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</row>
    <row r="555">
      <c r="A555" s="14"/>
      <c r="B555" s="90"/>
      <c r="C555" s="75"/>
      <c r="D555" s="75"/>
      <c r="E555" s="76"/>
      <c r="F555" s="95"/>
      <c r="G555" s="76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</row>
    <row r="556">
      <c r="A556" s="14"/>
      <c r="B556" s="90"/>
      <c r="C556" s="75"/>
      <c r="D556" s="75"/>
      <c r="E556" s="76"/>
      <c r="F556" s="95"/>
      <c r="G556" s="76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</row>
    <row r="557">
      <c r="A557" s="14"/>
      <c r="B557" s="90"/>
      <c r="C557" s="75"/>
      <c r="D557" s="75"/>
      <c r="E557" s="76"/>
      <c r="F557" s="95"/>
      <c r="G557" s="76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</row>
    <row r="558">
      <c r="A558" s="14"/>
      <c r="B558" s="90"/>
      <c r="C558" s="75"/>
      <c r="D558" s="75"/>
      <c r="E558" s="76"/>
      <c r="F558" s="95"/>
      <c r="G558" s="76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</row>
    <row r="559">
      <c r="A559" s="14"/>
      <c r="B559" s="90"/>
      <c r="C559" s="75"/>
      <c r="D559" s="75"/>
      <c r="E559" s="76"/>
      <c r="F559" s="95"/>
      <c r="G559" s="76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</row>
    <row r="560">
      <c r="A560" s="14"/>
      <c r="B560" s="90"/>
      <c r="C560" s="75"/>
      <c r="D560" s="75"/>
      <c r="E560" s="76"/>
      <c r="F560" s="95"/>
      <c r="G560" s="76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</row>
    <row r="561">
      <c r="A561" s="14"/>
      <c r="B561" s="90"/>
      <c r="C561" s="75"/>
      <c r="D561" s="75"/>
      <c r="E561" s="76"/>
      <c r="F561" s="95"/>
      <c r="G561" s="76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</row>
    <row r="562">
      <c r="A562" s="14"/>
      <c r="B562" s="90"/>
      <c r="C562" s="75"/>
      <c r="D562" s="75"/>
      <c r="E562" s="76"/>
      <c r="F562" s="95"/>
      <c r="G562" s="76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</row>
    <row r="563">
      <c r="A563" s="14"/>
      <c r="B563" s="90"/>
      <c r="C563" s="75"/>
      <c r="D563" s="75"/>
      <c r="E563" s="76"/>
      <c r="F563" s="95"/>
      <c r="G563" s="76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</row>
    <row r="564">
      <c r="A564" s="14"/>
      <c r="B564" s="90"/>
      <c r="C564" s="75"/>
      <c r="D564" s="75"/>
      <c r="E564" s="76"/>
      <c r="F564" s="95"/>
      <c r="G564" s="76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</row>
    <row r="565">
      <c r="A565" s="14"/>
      <c r="B565" s="90"/>
      <c r="C565" s="75"/>
      <c r="D565" s="75"/>
      <c r="E565" s="76"/>
      <c r="F565" s="95"/>
      <c r="G565" s="76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</row>
    <row r="566">
      <c r="A566" s="14"/>
      <c r="B566" s="90"/>
      <c r="C566" s="75"/>
      <c r="D566" s="75"/>
      <c r="E566" s="76"/>
      <c r="F566" s="95"/>
      <c r="G566" s="76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</row>
    <row r="567">
      <c r="A567" s="14"/>
      <c r="B567" s="90"/>
      <c r="C567" s="75"/>
      <c r="D567" s="75"/>
      <c r="E567" s="76"/>
      <c r="F567" s="95"/>
      <c r="G567" s="76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</row>
    <row r="568">
      <c r="A568" s="14"/>
      <c r="B568" s="90"/>
      <c r="C568" s="75"/>
      <c r="D568" s="75"/>
      <c r="E568" s="76"/>
      <c r="F568" s="95"/>
      <c r="G568" s="76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</row>
    <row r="569">
      <c r="A569" s="14"/>
      <c r="B569" s="90"/>
      <c r="C569" s="75"/>
      <c r="D569" s="75"/>
      <c r="E569" s="76"/>
      <c r="F569" s="95"/>
      <c r="G569" s="76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</row>
    <row r="570">
      <c r="A570" s="14"/>
      <c r="B570" s="90"/>
      <c r="C570" s="75"/>
      <c r="D570" s="75"/>
      <c r="E570" s="76"/>
      <c r="F570" s="95"/>
      <c r="G570" s="76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</row>
    <row r="571">
      <c r="A571" s="14"/>
      <c r="B571" s="90"/>
      <c r="C571" s="75"/>
      <c r="D571" s="75"/>
      <c r="E571" s="76"/>
      <c r="F571" s="95"/>
      <c r="G571" s="76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</row>
    <row r="572">
      <c r="A572" s="14"/>
      <c r="B572" s="90"/>
      <c r="C572" s="75"/>
      <c r="D572" s="75"/>
      <c r="E572" s="76"/>
      <c r="F572" s="95"/>
      <c r="G572" s="76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</row>
    <row r="573">
      <c r="A573" s="14"/>
      <c r="B573" s="90"/>
      <c r="C573" s="75"/>
      <c r="D573" s="75"/>
      <c r="E573" s="76"/>
      <c r="F573" s="95"/>
      <c r="G573" s="76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</row>
    <row r="574">
      <c r="A574" s="14"/>
      <c r="B574" s="90"/>
      <c r="C574" s="75"/>
      <c r="D574" s="75"/>
      <c r="E574" s="76"/>
      <c r="F574" s="95"/>
      <c r="G574" s="76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</row>
    <row r="575">
      <c r="A575" s="14"/>
      <c r="B575" s="90"/>
      <c r="C575" s="75"/>
      <c r="D575" s="75"/>
      <c r="E575" s="76"/>
      <c r="F575" s="95"/>
      <c r="G575" s="76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</row>
    <row r="576">
      <c r="A576" s="14"/>
      <c r="B576" s="90"/>
      <c r="C576" s="75"/>
      <c r="D576" s="75"/>
      <c r="E576" s="76"/>
      <c r="F576" s="95"/>
      <c r="G576" s="76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</row>
    <row r="577">
      <c r="A577" s="14"/>
      <c r="B577" s="90"/>
      <c r="C577" s="75"/>
      <c r="D577" s="75"/>
      <c r="E577" s="76"/>
      <c r="F577" s="95"/>
      <c r="G577" s="76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</row>
    <row r="578">
      <c r="A578" s="14"/>
      <c r="B578" s="90"/>
      <c r="C578" s="75"/>
      <c r="D578" s="75"/>
      <c r="E578" s="76"/>
      <c r="F578" s="95"/>
      <c r="G578" s="76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</row>
    <row r="579">
      <c r="A579" s="14"/>
      <c r="B579" s="90"/>
      <c r="C579" s="75"/>
      <c r="D579" s="75"/>
      <c r="E579" s="76"/>
      <c r="F579" s="95"/>
      <c r="G579" s="76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</row>
    <row r="580">
      <c r="A580" s="14"/>
      <c r="B580" s="90"/>
      <c r="C580" s="75"/>
      <c r="D580" s="75"/>
      <c r="E580" s="76"/>
      <c r="F580" s="95"/>
      <c r="G580" s="76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</row>
    <row r="581">
      <c r="A581" s="14"/>
      <c r="B581" s="90"/>
      <c r="C581" s="75"/>
      <c r="D581" s="75"/>
      <c r="E581" s="76"/>
      <c r="F581" s="95"/>
      <c r="G581" s="76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</row>
    <row r="582">
      <c r="A582" s="14"/>
      <c r="B582" s="90"/>
      <c r="C582" s="75"/>
      <c r="D582" s="75"/>
      <c r="E582" s="76"/>
      <c r="F582" s="95"/>
      <c r="G582" s="76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</row>
    <row r="583">
      <c r="A583" s="14"/>
      <c r="B583" s="90"/>
      <c r="C583" s="75"/>
      <c r="D583" s="75"/>
      <c r="E583" s="76"/>
      <c r="F583" s="95"/>
      <c r="G583" s="76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</row>
    <row r="584">
      <c r="A584" s="14"/>
      <c r="B584" s="90"/>
      <c r="C584" s="75"/>
      <c r="D584" s="75"/>
      <c r="E584" s="76"/>
      <c r="F584" s="95"/>
      <c r="G584" s="76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</row>
    <row r="585">
      <c r="A585" s="14"/>
      <c r="B585" s="90"/>
      <c r="C585" s="75"/>
      <c r="D585" s="75"/>
      <c r="E585" s="76"/>
      <c r="F585" s="95"/>
      <c r="G585" s="76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</row>
    <row r="586">
      <c r="A586" s="14"/>
      <c r="B586" s="90"/>
      <c r="C586" s="75"/>
      <c r="D586" s="75"/>
      <c r="E586" s="76"/>
      <c r="F586" s="95"/>
      <c r="G586" s="76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</row>
    <row r="587">
      <c r="A587" s="14"/>
      <c r="B587" s="90"/>
      <c r="C587" s="75"/>
      <c r="D587" s="75"/>
      <c r="E587" s="76"/>
      <c r="F587" s="95"/>
      <c r="G587" s="76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</row>
    <row r="588">
      <c r="A588" s="14"/>
      <c r="B588" s="90"/>
      <c r="C588" s="75"/>
      <c r="D588" s="75"/>
      <c r="E588" s="76"/>
      <c r="F588" s="95"/>
      <c r="G588" s="76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</row>
    <row r="589">
      <c r="A589" s="14"/>
      <c r="B589" s="90"/>
      <c r="C589" s="75"/>
      <c r="D589" s="75"/>
      <c r="E589" s="76"/>
      <c r="F589" s="95"/>
      <c r="G589" s="76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</row>
    <row r="590">
      <c r="A590" s="14"/>
      <c r="B590" s="90"/>
      <c r="C590" s="75"/>
      <c r="D590" s="75"/>
      <c r="E590" s="76"/>
      <c r="F590" s="95"/>
      <c r="G590" s="76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</row>
    <row r="591">
      <c r="A591" s="14"/>
      <c r="B591" s="90"/>
      <c r="C591" s="75"/>
      <c r="D591" s="75"/>
      <c r="E591" s="76"/>
      <c r="F591" s="95"/>
      <c r="G591" s="76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</row>
    <row r="592">
      <c r="A592" s="14"/>
      <c r="B592" s="90"/>
      <c r="C592" s="75"/>
      <c r="D592" s="75"/>
      <c r="E592" s="76"/>
      <c r="F592" s="95"/>
      <c r="G592" s="76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</row>
    <row r="593">
      <c r="A593" s="14"/>
      <c r="B593" s="90"/>
      <c r="C593" s="75"/>
      <c r="D593" s="75"/>
      <c r="E593" s="76"/>
      <c r="F593" s="95"/>
      <c r="G593" s="76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</row>
    <row r="594">
      <c r="A594" s="14"/>
      <c r="B594" s="90"/>
      <c r="C594" s="75"/>
      <c r="D594" s="75"/>
      <c r="E594" s="76"/>
      <c r="F594" s="95"/>
      <c r="G594" s="76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</row>
    <row r="595">
      <c r="A595" s="14"/>
      <c r="B595" s="90"/>
      <c r="C595" s="75"/>
      <c r="D595" s="75"/>
      <c r="E595" s="76"/>
      <c r="F595" s="95"/>
      <c r="G595" s="76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</row>
    <row r="596">
      <c r="A596" s="14"/>
      <c r="B596" s="90"/>
      <c r="C596" s="75"/>
      <c r="D596" s="75"/>
      <c r="E596" s="76"/>
      <c r="F596" s="95"/>
      <c r="G596" s="76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</row>
    <row r="597">
      <c r="A597" s="14"/>
      <c r="B597" s="90"/>
      <c r="C597" s="75"/>
      <c r="D597" s="75"/>
      <c r="E597" s="76"/>
      <c r="F597" s="95"/>
      <c r="G597" s="76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</row>
    <row r="598">
      <c r="A598" s="14"/>
      <c r="B598" s="90"/>
      <c r="C598" s="75"/>
      <c r="D598" s="75"/>
      <c r="E598" s="76"/>
      <c r="F598" s="95"/>
      <c r="G598" s="76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</row>
    <row r="599">
      <c r="A599" s="14"/>
      <c r="B599" s="90"/>
      <c r="C599" s="75"/>
      <c r="D599" s="75"/>
      <c r="E599" s="76"/>
      <c r="F599" s="95"/>
      <c r="G599" s="76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</row>
    <row r="600">
      <c r="A600" s="14"/>
      <c r="B600" s="90"/>
      <c r="C600" s="75"/>
      <c r="D600" s="75"/>
      <c r="E600" s="76"/>
      <c r="F600" s="95"/>
      <c r="G600" s="76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</row>
    <row r="601">
      <c r="A601" s="14"/>
      <c r="B601" s="90"/>
      <c r="C601" s="75"/>
      <c r="D601" s="75"/>
      <c r="E601" s="76"/>
      <c r="F601" s="95"/>
      <c r="G601" s="76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</row>
    <row r="602">
      <c r="A602" s="14"/>
      <c r="B602" s="90"/>
      <c r="C602" s="75"/>
      <c r="D602" s="75"/>
      <c r="E602" s="76"/>
      <c r="F602" s="95"/>
      <c r="G602" s="76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</row>
    <row r="603">
      <c r="A603" s="14"/>
      <c r="B603" s="90"/>
      <c r="C603" s="75"/>
      <c r="D603" s="75"/>
      <c r="E603" s="76"/>
      <c r="F603" s="95"/>
      <c r="G603" s="76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</row>
    <row r="604">
      <c r="A604" s="14"/>
      <c r="B604" s="90"/>
      <c r="C604" s="75"/>
      <c r="D604" s="75"/>
      <c r="E604" s="76"/>
      <c r="F604" s="95"/>
      <c r="G604" s="76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</row>
    <row r="605">
      <c r="A605" s="14"/>
      <c r="B605" s="90"/>
      <c r="C605" s="75"/>
      <c r="D605" s="75"/>
      <c r="E605" s="76"/>
      <c r="F605" s="95"/>
      <c r="G605" s="76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</row>
    <row r="606">
      <c r="A606" s="14"/>
      <c r="B606" s="90"/>
      <c r="C606" s="75"/>
      <c r="D606" s="75"/>
      <c r="E606" s="76"/>
      <c r="F606" s="95"/>
      <c r="G606" s="76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</row>
    <row r="607">
      <c r="A607" s="14"/>
      <c r="B607" s="90"/>
      <c r="C607" s="75"/>
      <c r="D607" s="75"/>
      <c r="E607" s="76"/>
      <c r="F607" s="95"/>
      <c r="G607" s="76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</row>
    <row r="608">
      <c r="A608" s="14"/>
      <c r="B608" s="90"/>
      <c r="C608" s="75"/>
      <c r="D608" s="75"/>
      <c r="E608" s="76"/>
      <c r="F608" s="95"/>
      <c r="G608" s="76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</row>
    <row r="609">
      <c r="A609" s="14"/>
      <c r="B609" s="90"/>
      <c r="C609" s="75"/>
      <c r="D609" s="75"/>
      <c r="E609" s="76"/>
      <c r="F609" s="95"/>
      <c r="G609" s="76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</row>
    <row r="610">
      <c r="A610" s="14"/>
      <c r="B610" s="90"/>
      <c r="C610" s="75"/>
      <c r="D610" s="75"/>
      <c r="E610" s="76"/>
      <c r="F610" s="95"/>
      <c r="G610" s="76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</row>
    <row r="611">
      <c r="A611" s="14"/>
      <c r="B611" s="90"/>
      <c r="C611" s="75"/>
      <c r="D611" s="75"/>
      <c r="E611" s="76"/>
      <c r="F611" s="95"/>
      <c r="G611" s="76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</row>
    <row r="612">
      <c r="A612" s="14"/>
      <c r="B612" s="90"/>
      <c r="C612" s="75"/>
      <c r="D612" s="75"/>
      <c r="E612" s="76"/>
      <c r="F612" s="95"/>
      <c r="G612" s="76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</row>
    <row r="613">
      <c r="A613" s="14"/>
      <c r="B613" s="90"/>
      <c r="C613" s="75"/>
      <c r="D613" s="75"/>
      <c r="E613" s="76"/>
      <c r="F613" s="95"/>
      <c r="G613" s="76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</row>
    <row r="614">
      <c r="A614" s="14"/>
      <c r="B614" s="90"/>
      <c r="C614" s="75"/>
      <c r="D614" s="75"/>
      <c r="E614" s="76"/>
      <c r="F614" s="95"/>
      <c r="G614" s="76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</row>
    <row r="615">
      <c r="A615" s="14"/>
      <c r="B615" s="90"/>
      <c r="C615" s="75"/>
      <c r="D615" s="75"/>
      <c r="E615" s="76"/>
      <c r="F615" s="95"/>
      <c r="G615" s="76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</row>
    <row r="616">
      <c r="A616" s="14"/>
      <c r="B616" s="90"/>
      <c r="C616" s="75"/>
      <c r="D616" s="75"/>
      <c r="E616" s="76"/>
      <c r="F616" s="95"/>
      <c r="G616" s="76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</row>
    <row r="617">
      <c r="A617" s="14"/>
      <c r="B617" s="90"/>
      <c r="C617" s="75"/>
      <c r="D617" s="75"/>
      <c r="E617" s="76"/>
      <c r="F617" s="95"/>
      <c r="G617" s="76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</row>
    <row r="618">
      <c r="A618" s="14"/>
      <c r="B618" s="90"/>
      <c r="C618" s="75"/>
      <c r="D618" s="75"/>
      <c r="E618" s="76"/>
      <c r="F618" s="95"/>
      <c r="G618" s="76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</row>
    <row r="619">
      <c r="A619" s="14"/>
      <c r="B619" s="90"/>
      <c r="C619" s="75"/>
      <c r="D619" s="75"/>
      <c r="E619" s="76"/>
      <c r="F619" s="95"/>
      <c r="G619" s="76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</row>
    <row r="620">
      <c r="A620" s="14"/>
      <c r="B620" s="90"/>
      <c r="C620" s="75"/>
      <c r="D620" s="75"/>
      <c r="E620" s="76"/>
      <c r="F620" s="95"/>
      <c r="G620" s="76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</row>
    <row r="621">
      <c r="A621" s="14"/>
      <c r="B621" s="90"/>
      <c r="C621" s="75"/>
      <c r="D621" s="75"/>
      <c r="E621" s="76"/>
      <c r="F621" s="95"/>
      <c r="G621" s="76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</row>
    <row r="622">
      <c r="A622" s="14"/>
      <c r="B622" s="90"/>
      <c r="C622" s="75"/>
      <c r="D622" s="75"/>
      <c r="E622" s="76"/>
      <c r="F622" s="95"/>
      <c r="G622" s="76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</row>
    <row r="623">
      <c r="A623" s="14"/>
      <c r="B623" s="90"/>
      <c r="C623" s="75"/>
      <c r="D623" s="75"/>
      <c r="E623" s="76"/>
      <c r="F623" s="95"/>
      <c r="G623" s="76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</row>
    <row r="624">
      <c r="A624" s="14"/>
      <c r="B624" s="90"/>
      <c r="C624" s="75"/>
      <c r="D624" s="75"/>
      <c r="E624" s="76"/>
      <c r="F624" s="95"/>
      <c r="G624" s="76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</row>
    <row r="625">
      <c r="A625" s="14"/>
      <c r="B625" s="90"/>
      <c r="C625" s="75"/>
      <c r="D625" s="75"/>
      <c r="E625" s="76"/>
      <c r="F625" s="95"/>
      <c r="G625" s="76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</row>
    <row r="626">
      <c r="A626" s="14"/>
      <c r="B626" s="90"/>
      <c r="C626" s="75"/>
      <c r="D626" s="75"/>
      <c r="E626" s="76"/>
      <c r="F626" s="95"/>
      <c r="G626" s="76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</row>
    <row r="627">
      <c r="A627" s="14"/>
      <c r="B627" s="90"/>
      <c r="C627" s="75"/>
      <c r="D627" s="75"/>
      <c r="E627" s="76"/>
      <c r="F627" s="95"/>
      <c r="G627" s="76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</row>
    <row r="628">
      <c r="A628" s="14"/>
      <c r="B628" s="90"/>
      <c r="C628" s="75"/>
      <c r="D628" s="75"/>
      <c r="E628" s="76"/>
      <c r="F628" s="95"/>
      <c r="G628" s="76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</row>
    <row r="629">
      <c r="A629" s="14"/>
      <c r="B629" s="90"/>
      <c r="C629" s="75"/>
      <c r="D629" s="75"/>
      <c r="E629" s="76"/>
      <c r="F629" s="95"/>
      <c r="G629" s="76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</row>
    <row r="630">
      <c r="A630" s="14"/>
      <c r="B630" s="90"/>
      <c r="C630" s="75"/>
      <c r="D630" s="75"/>
      <c r="E630" s="76"/>
      <c r="F630" s="95"/>
      <c r="G630" s="76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</row>
    <row r="631">
      <c r="A631" s="14"/>
      <c r="B631" s="90"/>
      <c r="C631" s="75"/>
      <c r="D631" s="75"/>
      <c r="E631" s="76"/>
      <c r="F631" s="95"/>
      <c r="G631" s="76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</row>
    <row r="632">
      <c r="A632" s="14"/>
      <c r="B632" s="90"/>
      <c r="C632" s="75"/>
      <c r="D632" s="75"/>
      <c r="E632" s="76"/>
      <c r="F632" s="95"/>
      <c r="G632" s="76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</row>
    <row r="633">
      <c r="A633" s="14"/>
      <c r="B633" s="90"/>
      <c r="C633" s="75"/>
      <c r="D633" s="75"/>
      <c r="E633" s="76"/>
      <c r="F633" s="95"/>
      <c r="G633" s="76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</row>
    <row r="634">
      <c r="A634" s="14"/>
      <c r="B634" s="90"/>
      <c r="C634" s="75"/>
      <c r="D634" s="75"/>
      <c r="E634" s="76"/>
      <c r="F634" s="95"/>
      <c r="G634" s="76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</row>
    <row r="635">
      <c r="A635" s="14"/>
      <c r="B635" s="90"/>
      <c r="C635" s="75"/>
      <c r="D635" s="75"/>
      <c r="E635" s="76"/>
      <c r="F635" s="95"/>
      <c r="G635" s="76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</row>
    <row r="636">
      <c r="A636" s="14"/>
      <c r="B636" s="90"/>
      <c r="C636" s="75"/>
      <c r="D636" s="75"/>
      <c r="E636" s="76"/>
      <c r="F636" s="95"/>
      <c r="G636" s="76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</row>
    <row r="637">
      <c r="A637" s="14"/>
      <c r="B637" s="90"/>
      <c r="C637" s="75"/>
      <c r="D637" s="75"/>
      <c r="E637" s="76"/>
      <c r="F637" s="95"/>
      <c r="G637" s="76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</row>
    <row r="638">
      <c r="A638" s="14"/>
      <c r="B638" s="90"/>
      <c r="C638" s="75"/>
      <c r="D638" s="75"/>
      <c r="E638" s="76"/>
      <c r="F638" s="95"/>
      <c r="G638" s="76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</row>
    <row r="639">
      <c r="A639" s="14"/>
      <c r="B639" s="90"/>
      <c r="C639" s="75"/>
      <c r="D639" s="75"/>
      <c r="E639" s="76"/>
      <c r="F639" s="95"/>
      <c r="G639" s="76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</row>
    <row r="640">
      <c r="A640" s="14"/>
      <c r="B640" s="90"/>
      <c r="C640" s="75"/>
      <c r="D640" s="75"/>
      <c r="E640" s="76"/>
      <c r="F640" s="95"/>
      <c r="G640" s="76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</row>
    <row r="641">
      <c r="A641" s="14"/>
      <c r="B641" s="90"/>
      <c r="C641" s="75"/>
      <c r="D641" s="75"/>
      <c r="E641" s="76"/>
      <c r="F641" s="95"/>
      <c r="G641" s="76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</row>
    <row r="642">
      <c r="A642" s="14"/>
      <c r="B642" s="90"/>
      <c r="C642" s="75"/>
      <c r="D642" s="75"/>
      <c r="E642" s="76"/>
      <c r="F642" s="95"/>
      <c r="G642" s="76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</row>
    <row r="643">
      <c r="A643" s="14"/>
      <c r="B643" s="90"/>
      <c r="C643" s="75"/>
      <c r="D643" s="75"/>
      <c r="E643" s="76"/>
      <c r="F643" s="95"/>
      <c r="G643" s="76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</row>
    <row r="644">
      <c r="A644" s="14"/>
      <c r="B644" s="90"/>
      <c r="C644" s="75"/>
      <c r="D644" s="75"/>
      <c r="E644" s="76"/>
      <c r="F644" s="95"/>
      <c r="G644" s="76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</row>
    <row r="645">
      <c r="A645" s="14"/>
      <c r="B645" s="90"/>
      <c r="C645" s="75"/>
      <c r="D645" s="75"/>
      <c r="E645" s="76"/>
      <c r="F645" s="95"/>
      <c r="G645" s="76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</row>
    <row r="646">
      <c r="A646" s="14"/>
      <c r="B646" s="90"/>
      <c r="C646" s="75"/>
      <c r="D646" s="75"/>
      <c r="E646" s="76"/>
      <c r="F646" s="95"/>
      <c r="G646" s="76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</row>
    <row r="647">
      <c r="A647" s="14"/>
      <c r="B647" s="90"/>
      <c r="C647" s="75"/>
      <c r="D647" s="75"/>
      <c r="E647" s="76"/>
      <c r="F647" s="95"/>
      <c r="G647" s="76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</row>
    <row r="648">
      <c r="A648" s="14"/>
      <c r="B648" s="90"/>
      <c r="C648" s="75"/>
      <c r="D648" s="75"/>
      <c r="E648" s="76"/>
      <c r="F648" s="95"/>
      <c r="G648" s="76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</row>
    <row r="649">
      <c r="A649" s="14"/>
      <c r="B649" s="90"/>
      <c r="C649" s="75"/>
      <c r="D649" s="75"/>
      <c r="E649" s="76"/>
      <c r="F649" s="95"/>
      <c r="G649" s="76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</row>
    <row r="650">
      <c r="A650" s="14"/>
      <c r="B650" s="90"/>
      <c r="C650" s="75"/>
      <c r="D650" s="75"/>
      <c r="E650" s="76"/>
      <c r="F650" s="95"/>
      <c r="G650" s="76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</row>
    <row r="651">
      <c r="A651" s="14"/>
      <c r="B651" s="90"/>
      <c r="C651" s="75"/>
      <c r="D651" s="75"/>
      <c r="E651" s="76"/>
      <c r="F651" s="95"/>
      <c r="G651" s="76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</row>
    <row r="652">
      <c r="A652" s="14"/>
      <c r="B652" s="90"/>
      <c r="C652" s="75"/>
      <c r="D652" s="75"/>
      <c r="E652" s="76"/>
      <c r="F652" s="95"/>
      <c r="G652" s="76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</row>
    <row r="653">
      <c r="A653" s="14"/>
      <c r="B653" s="90"/>
      <c r="C653" s="75"/>
      <c r="D653" s="75"/>
      <c r="E653" s="76"/>
      <c r="F653" s="95"/>
      <c r="G653" s="76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</row>
    <row r="654">
      <c r="A654" s="14"/>
      <c r="B654" s="90"/>
      <c r="C654" s="75"/>
      <c r="D654" s="75"/>
      <c r="E654" s="76"/>
      <c r="F654" s="95"/>
      <c r="G654" s="76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</row>
    <row r="655">
      <c r="A655" s="14"/>
      <c r="B655" s="90"/>
      <c r="C655" s="75"/>
      <c r="D655" s="75"/>
      <c r="E655" s="76"/>
      <c r="F655" s="95"/>
      <c r="G655" s="76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</row>
    <row r="656">
      <c r="A656" s="14"/>
      <c r="B656" s="90"/>
      <c r="C656" s="75"/>
      <c r="D656" s="75"/>
      <c r="E656" s="76"/>
      <c r="F656" s="95"/>
      <c r="G656" s="76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</row>
    <row r="657">
      <c r="A657" s="14"/>
      <c r="B657" s="90"/>
      <c r="C657" s="75"/>
      <c r="D657" s="75"/>
      <c r="E657" s="76"/>
      <c r="F657" s="95"/>
      <c r="G657" s="76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</row>
    <row r="658">
      <c r="A658" s="14"/>
      <c r="B658" s="90"/>
      <c r="C658" s="75"/>
      <c r="D658" s="75"/>
      <c r="E658" s="76"/>
      <c r="F658" s="95"/>
      <c r="G658" s="76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</row>
    <row r="659">
      <c r="A659" s="14"/>
      <c r="B659" s="90"/>
      <c r="C659" s="75"/>
      <c r="D659" s="75"/>
      <c r="E659" s="76"/>
      <c r="F659" s="95"/>
      <c r="G659" s="76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</row>
    <row r="660">
      <c r="A660" s="14"/>
      <c r="B660" s="90"/>
      <c r="C660" s="75"/>
      <c r="D660" s="75"/>
      <c r="E660" s="76"/>
      <c r="F660" s="95"/>
      <c r="G660" s="76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</row>
    <row r="661">
      <c r="A661" s="14"/>
      <c r="B661" s="90"/>
      <c r="C661" s="75"/>
      <c r="D661" s="75"/>
      <c r="E661" s="76"/>
      <c r="F661" s="95"/>
      <c r="G661" s="76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</row>
    <row r="662">
      <c r="A662" s="14"/>
      <c r="B662" s="90"/>
      <c r="C662" s="75"/>
      <c r="D662" s="75"/>
      <c r="E662" s="76"/>
      <c r="F662" s="95"/>
      <c r="G662" s="76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</row>
    <row r="663">
      <c r="A663" s="14"/>
      <c r="B663" s="90"/>
      <c r="C663" s="75"/>
      <c r="D663" s="75"/>
      <c r="E663" s="76"/>
      <c r="F663" s="95"/>
      <c r="G663" s="76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</row>
    <row r="664">
      <c r="A664" s="14"/>
      <c r="B664" s="90"/>
      <c r="C664" s="75"/>
      <c r="D664" s="75"/>
      <c r="E664" s="76"/>
      <c r="F664" s="95"/>
      <c r="G664" s="76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</row>
    <row r="665">
      <c r="A665" s="14"/>
      <c r="B665" s="90"/>
      <c r="C665" s="75"/>
      <c r="D665" s="75"/>
      <c r="E665" s="76"/>
      <c r="F665" s="95"/>
      <c r="G665" s="76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</row>
    <row r="666">
      <c r="A666" s="14"/>
      <c r="B666" s="90"/>
      <c r="C666" s="75"/>
      <c r="D666" s="75"/>
      <c r="E666" s="76"/>
      <c r="F666" s="95"/>
      <c r="G666" s="76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</row>
    <row r="667">
      <c r="A667" s="14"/>
      <c r="B667" s="90"/>
      <c r="C667" s="75"/>
      <c r="D667" s="75"/>
      <c r="E667" s="76"/>
      <c r="F667" s="95"/>
      <c r="G667" s="76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</row>
    <row r="668">
      <c r="A668" s="14"/>
      <c r="B668" s="90"/>
      <c r="C668" s="75"/>
      <c r="D668" s="75"/>
      <c r="E668" s="76"/>
      <c r="F668" s="95"/>
      <c r="G668" s="76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</row>
    <row r="669">
      <c r="A669" s="14"/>
      <c r="B669" s="90"/>
      <c r="C669" s="75"/>
      <c r="D669" s="75"/>
      <c r="E669" s="76"/>
      <c r="F669" s="95"/>
      <c r="G669" s="76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</row>
    <row r="670">
      <c r="A670" s="14"/>
      <c r="B670" s="90"/>
      <c r="C670" s="75"/>
      <c r="D670" s="75"/>
      <c r="E670" s="76"/>
      <c r="F670" s="95"/>
      <c r="G670" s="76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</row>
    <row r="671">
      <c r="A671" s="14"/>
      <c r="B671" s="90"/>
      <c r="C671" s="75"/>
      <c r="D671" s="75"/>
      <c r="E671" s="76"/>
      <c r="F671" s="95"/>
      <c r="G671" s="76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</row>
    <row r="672">
      <c r="A672" s="14"/>
      <c r="B672" s="90"/>
      <c r="C672" s="75"/>
      <c r="D672" s="75"/>
      <c r="E672" s="76"/>
      <c r="F672" s="95"/>
      <c r="G672" s="76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</row>
    <row r="673">
      <c r="A673" s="14"/>
      <c r="B673" s="90"/>
      <c r="C673" s="75"/>
      <c r="D673" s="75"/>
      <c r="E673" s="76"/>
      <c r="F673" s="95"/>
      <c r="G673" s="76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</row>
    <row r="674">
      <c r="A674" s="14"/>
      <c r="B674" s="90"/>
      <c r="C674" s="75"/>
      <c r="D674" s="75"/>
      <c r="E674" s="76"/>
      <c r="F674" s="95"/>
      <c r="G674" s="76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</row>
    <row r="675">
      <c r="A675" s="14"/>
      <c r="B675" s="90"/>
      <c r="C675" s="75"/>
      <c r="D675" s="75"/>
      <c r="E675" s="76"/>
      <c r="F675" s="95"/>
      <c r="G675" s="76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</row>
    <row r="676">
      <c r="A676" s="14"/>
      <c r="B676" s="90"/>
      <c r="C676" s="75"/>
      <c r="D676" s="75"/>
      <c r="E676" s="76"/>
      <c r="F676" s="95"/>
      <c r="G676" s="76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</row>
    <row r="677">
      <c r="A677" s="14"/>
      <c r="B677" s="90"/>
      <c r="C677" s="75"/>
      <c r="D677" s="75"/>
      <c r="E677" s="76"/>
      <c r="F677" s="95"/>
      <c r="G677" s="76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</row>
    <row r="678">
      <c r="A678" s="14"/>
      <c r="B678" s="90"/>
      <c r="C678" s="75"/>
      <c r="D678" s="75"/>
      <c r="E678" s="76"/>
      <c r="F678" s="95"/>
      <c r="G678" s="76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</row>
    <row r="679">
      <c r="A679" s="14"/>
      <c r="B679" s="90"/>
      <c r="C679" s="75"/>
      <c r="D679" s="75"/>
      <c r="E679" s="76"/>
      <c r="F679" s="95"/>
      <c r="G679" s="76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</row>
    <row r="680">
      <c r="A680" s="14"/>
      <c r="B680" s="90"/>
      <c r="C680" s="75"/>
      <c r="D680" s="75"/>
      <c r="E680" s="76"/>
      <c r="F680" s="95"/>
      <c r="G680" s="76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</row>
    <row r="681">
      <c r="A681" s="14"/>
      <c r="B681" s="90"/>
      <c r="C681" s="75"/>
      <c r="D681" s="75"/>
      <c r="E681" s="76"/>
      <c r="F681" s="95"/>
      <c r="G681" s="76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</row>
    <row r="682">
      <c r="A682" s="14"/>
      <c r="B682" s="90"/>
      <c r="C682" s="75"/>
      <c r="D682" s="75"/>
      <c r="E682" s="76"/>
      <c r="F682" s="95"/>
      <c r="G682" s="76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</row>
    <row r="683">
      <c r="A683" s="14"/>
      <c r="B683" s="90"/>
      <c r="C683" s="75"/>
      <c r="D683" s="75"/>
      <c r="E683" s="76"/>
      <c r="F683" s="95"/>
      <c r="G683" s="76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</row>
    <row r="684">
      <c r="A684" s="14"/>
      <c r="B684" s="90"/>
      <c r="C684" s="75"/>
      <c r="D684" s="75"/>
      <c r="E684" s="76"/>
      <c r="F684" s="95"/>
      <c r="G684" s="76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</row>
    <row r="685">
      <c r="A685" s="14"/>
      <c r="B685" s="90"/>
      <c r="C685" s="75"/>
      <c r="D685" s="75"/>
      <c r="E685" s="76"/>
      <c r="F685" s="95"/>
      <c r="G685" s="76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</row>
    <row r="686">
      <c r="A686" s="14"/>
      <c r="B686" s="90"/>
      <c r="C686" s="75"/>
      <c r="D686" s="75"/>
      <c r="E686" s="76"/>
      <c r="F686" s="95"/>
      <c r="G686" s="76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</row>
    <row r="687">
      <c r="A687" s="14"/>
      <c r="B687" s="90"/>
      <c r="C687" s="75"/>
      <c r="D687" s="75"/>
      <c r="E687" s="76"/>
      <c r="F687" s="95"/>
      <c r="G687" s="76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</row>
    <row r="688">
      <c r="A688" s="14"/>
      <c r="B688" s="90"/>
      <c r="C688" s="75"/>
      <c r="D688" s="75"/>
      <c r="E688" s="76"/>
      <c r="F688" s="95"/>
      <c r="G688" s="76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</row>
    <row r="689">
      <c r="A689" s="14"/>
      <c r="B689" s="90"/>
      <c r="C689" s="75"/>
      <c r="D689" s="75"/>
      <c r="E689" s="76"/>
      <c r="F689" s="95"/>
      <c r="G689" s="76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</row>
    <row r="690">
      <c r="A690" s="14"/>
      <c r="B690" s="90"/>
      <c r="C690" s="75"/>
      <c r="D690" s="75"/>
      <c r="E690" s="76"/>
      <c r="F690" s="95"/>
      <c r="G690" s="76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</row>
    <row r="691">
      <c r="A691" s="14"/>
      <c r="B691" s="90"/>
      <c r="C691" s="75"/>
      <c r="D691" s="75"/>
      <c r="E691" s="76"/>
      <c r="F691" s="95"/>
      <c r="G691" s="76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</row>
    <row r="692">
      <c r="A692" s="14"/>
      <c r="B692" s="90"/>
      <c r="C692" s="75"/>
      <c r="D692" s="75"/>
      <c r="E692" s="76"/>
      <c r="F692" s="95"/>
      <c r="G692" s="76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</row>
    <row r="693">
      <c r="A693" s="14"/>
      <c r="B693" s="90"/>
      <c r="C693" s="75"/>
      <c r="D693" s="75"/>
      <c r="E693" s="76"/>
      <c r="F693" s="95"/>
      <c r="G693" s="76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</row>
    <row r="694">
      <c r="A694" s="14"/>
      <c r="B694" s="90"/>
      <c r="C694" s="75"/>
      <c r="D694" s="75"/>
      <c r="E694" s="76"/>
      <c r="F694" s="95"/>
      <c r="G694" s="76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</row>
    <row r="695">
      <c r="A695" s="14"/>
      <c r="B695" s="90"/>
      <c r="C695" s="75"/>
      <c r="D695" s="75"/>
      <c r="E695" s="76"/>
      <c r="F695" s="95"/>
      <c r="G695" s="76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</row>
    <row r="696">
      <c r="A696" s="14"/>
      <c r="B696" s="90"/>
      <c r="C696" s="75"/>
      <c r="D696" s="75"/>
      <c r="E696" s="76"/>
      <c r="F696" s="95"/>
      <c r="G696" s="76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</row>
    <row r="697">
      <c r="A697" s="14"/>
      <c r="B697" s="90"/>
      <c r="C697" s="75"/>
      <c r="D697" s="75"/>
      <c r="E697" s="76"/>
      <c r="F697" s="95"/>
      <c r="G697" s="76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</row>
    <row r="698">
      <c r="A698" s="14"/>
      <c r="B698" s="90"/>
      <c r="C698" s="75"/>
      <c r="D698" s="75"/>
      <c r="E698" s="76"/>
      <c r="F698" s="95"/>
      <c r="G698" s="76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</row>
    <row r="699">
      <c r="A699" s="14"/>
      <c r="B699" s="90"/>
      <c r="C699" s="75"/>
      <c r="D699" s="75"/>
      <c r="E699" s="76"/>
      <c r="F699" s="95"/>
      <c r="G699" s="76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</row>
    <row r="700">
      <c r="A700" s="14"/>
      <c r="B700" s="90"/>
      <c r="C700" s="75"/>
      <c r="D700" s="75"/>
      <c r="E700" s="76"/>
      <c r="F700" s="95"/>
      <c r="G700" s="76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</row>
    <row r="701">
      <c r="A701" s="14"/>
      <c r="B701" s="90"/>
      <c r="C701" s="75"/>
      <c r="D701" s="75"/>
      <c r="E701" s="76"/>
      <c r="F701" s="95"/>
      <c r="G701" s="76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</row>
    <row r="702">
      <c r="A702" s="14"/>
      <c r="B702" s="90"/>
      <c r="C702" s="75"/>
      <c r="D702" s="75"/>
      <c r="E702" s="76"/>
      <c r="F702" s="95"/>
      <c r="G702" s="76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</row>
    <row r="703">
      <c r="A703" s="14"/>
      <c r="B703" s="90"/>
      <c r="C703" s="75"/>
      <c r="D703" s="75"/>
      <c r="E703" s="76"/>
      <c r="F703" s="95"/>
      <c r="G703" s="76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</row>
    <row r="704">
      <c r="A704" s="14"/>
      <c r="B704" s="90"/>
      <c r="C704" s="75"/>
      <c r="D704" s="75"/>
      <c r="E704" s="76"/>
      <c r="F704" s="95"/>
      <c r="G704" s="76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</row>
    <row r="705">
      <c r="A705" s="14"/>
      <c r="B705" s="90"/>
      <c r="C705" s="75"/>
      <c r="D705" s="75"/>
      <c r="E705" s="76"/>
      <c r="F705" s="95"/>
      <c r="G705" s="76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</row>
    <row r="706">
      <c r="A706" s="14"/>
      <c r="B706" s="90"/>
      <c r="C706" s="75"/>
      <c r="D706" s="75"/>
      <c r="E706" s="76"/>
      <c r="F706" s="95"/>
      <c r="G706" s="76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</row>
    <row r="707">
      <c r="A707" s="14"/>
      <c r="B707" s="90"/>
      <c r="C707" s="75"/>
      <c r="D707" s="75"/>
      <c r="E707" s="76"/>
      <c r="F707" s="95"/>
      <c r="G707" s="76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</row>
    <row r="708">
      <c r="A708" s="14"/>
      <c r="B708" s="90"/>
      <c r="C708" s="75"/>
      <c r="D708" s="75"/>
      <c r="E708" s="76"/>
      <c r="F708" s="95"/>
      <c r="G708" s="76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</row>
    <row r="709">
      <c r="A709" s="14"/>
      <c r="B709" s="90"/>
      <c r="C709" s="75"/>
      <c r="D709" s="75"/>
      <c r="E709" s="76"/>
      <c r="F709" s="95"/>
      <c r="G709" s="76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</row>
    <row r="710">
      <c r="A710" s="14"/>
      <c r="B710" s="90"/>
      <c r="C710" s="75"/>
      <c r="D710" s="75"/>
      <c r="E710" s="76"/>
      <c r="F710" s="95"/>
      <c r="G710" s="76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</row>
    <row r="711">
      <c r="A711" s="14"/>
      <c r="B711" s="90"/>
      <c r="C711" s="75"/>
      <c r="D711" s="75"/>
      <c r="E711" s="76"/>
      <c r="F711" s="95"/>
      <c r="G711" s="76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</row>
    <row r="712">
      <c r="A712" s="14"/>
      <c r="B712" s="90"/>
      <c r="C712" s="75"/>
      <c r="D712" s="75"/>
      <c r="E712" s="76"/>
      <c r="F712" s="95"/>
      <c r="G712" s="76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</row>
    <row r="713">
      <c r="A713" s="14"/>
      <c r="B713" s="90"/>
      <c r="C713" s="75"/>
      <c r="D713" s="75"/>
      <c r="E713" s="76"/>
      <c r="F713" s="95"/>
      <c r="G713" s="76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</row>
    <row r="714">
      <c r="A714" s="14"/>
      <c r="B714" s="90"/>
      <c r="C714" s="75"/>
      <c r="D714" s="75"/>
      <c r="E714" s="76"/>
      <c r="F714" s="95"/>
      <c r="G714" s="76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</row>
    <row r="715">
      <c r="A715" s="14"/>
      <c r="B715" s="90"/>
      <c r="C715" s="75"/>
      <c r="D715" s="75"/>
      <c r="E715" s="76"/>
      <c r="F715" s="95"/>
      <c r="G715" s="76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</row>
    <row r="716">
      <c r="A716" s="14"/>
      <c r="B716" s="90"/>
      <c r="C716" s="75"/>
      <c r="D716" s="75"/>
      <c r="E716" s="76"/>
      <c r="F716" s="95"/>
      <c r="G716" s="76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</row>
    <row r="717">
      <c r="A717" s="14"/>
      <c r="B717" s="90"/>
      <c r="C717" s="75"/>
      <c r="D717" s="75"/>
      <c r="E717" s="76"/>
      <c r="F717" s="95"/>
      <c r="G717" s="76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</row>
    <row r="718">
      <c r="A718" s="14"/>
      <c r="B718" s="90"/>
      <c r="C718" s="75"/>
      <c r="D718" s="75"/>
      <c r="E718" s="76"/>
      <c r="F718" s="95"/>
      <c r="G718" s="76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</row>
    <row r="719">
      <c r="A719" s="14"/>
      <c r="B719" s="90"/>
      <c r="C719" s="75"/>
      <c r="D719" s="75"/>
      <c r="E719" s="76"/>
      <c r="F719" s="95"/>
      <c r="G719" s="76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</row>
    <row r="720">
      <c r="A720" s="14"/>
      <c r="B720" s="90"/>
      <c r="C720" s="75"/>
      <c r="D720" s="75"/>
      <c r="E720" s="76"/>
      <c r="F720" s="95"/>
      <c r="G720" s="76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</row>
    <row r="721">
      <c r="A721" s="14"/>
      <c r="B721" s="90"/>
      <c r="C721" s="75"/>
      <c r="D721" s="75"/>
      <c r="E721" s="76"/>
      <c r="F721" s="95"/>
      <c r="G721" s="76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</row>
    <row r="722">
      <c r="A722" s="14"/>
      <c r="B722" s="90"/>
      <c r="C722" s="75"/>
      <c r="D722" s="75"/>
      <c r="E722" s="76"/>
      <c r="F722" s="95"/>
      <c r="G722" s="76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</row>
    <row r="723">
      <c r="A723" s="14"/>
      <c r="B723" s="90"/>
      <c r="C723" s="75"/>
      <c r="D723" s="75"/>
      <c r="E723" s="76"/>
      <c r="F723" s="95"/>
      <c r="G723" s="76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</row>
    <row r="724">
      <c r="A724" s="14"/>
      <c r="B724" s="90"/>
      <c r="C724" s="75"/>
      <c r="D724" s="75"/>
      <c r="E724" s="76"/>
      <c r="F724" s="95"/>
      <c r="G724" s="76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</row>
    <row r="725">
      <c r="A725" s="14"/>
      <c r="B725" s="90"/>
      <c r="C725" s="75"/>
      <c r="D725" s="75"/>
      <c r="E725" s="76"/>
      <c r="F725" s="95"/>
      <c r="G725" s="76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</row>
    <row r="726">
      <c r="A726" s="14"/>
      <c r="B726" s="90"/>
      <c r="C726" s="75"/>
      <c r="D726" s="75"/>
      <c r="E726" s="76"/>
      <c r="F726" s="95"/>
      <c r="G726" s="76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</row>
    <row r="727">
      <c r="A727" s="14"/>
      <c r="B727" s="90"/>
      <c r="C727" s="75"/>
      <c r="D727" s="75"/>
      <c r="E727" s="76"/>
      <c r="F727" s="95"/>
      <c r="G727" s="76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</row>
    <row r="728">
      <c r="A728" s="14"/>
      <c r="B728" s="90"/>
      <c r="C728" s="75"/>
      <c r="D728" s="75"/>
      <c r="E728" s="76"/>
      <c r="F728" s="95"/>
      <c r="G728" s="76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</row>
    <row r="729">
      <c r="A729" s="14"/>
      <c r="B729" s="90"/>
      <c r="C729" s="75"/>
      <c r="D729" s="75"/>
      <c r="E729" s="76"/>
      <c r="F729" s="95"/>
      <c r="G729" s="76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</row>
    <row r="730">
      <c r="A730" s="14"/>
      <c r="B730" s="90"/>
      <c r="C730" s="75"/>
      <c r="D730" s="75"/>
      <c r="E730" s="76"/>
      <c r="F730" s="95"/>
      <c r="G730" s="76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</row>
    <row r="731">
      <c r="A731" s="14"/>
      <c r="B731" s="90"/>
      <c r="C731" s="75"/>
      <c r="D731" s="75"/>
      <c r="E731" s="76"/>
      <c r="F731" s="95"/>
      <c r="G731" s="76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</row>
    <row r="732">
      <c r="A732" s="14"/>
      <c r="B732" s="90"/>
      <c r="C732" s="75"/>
      <c r="D732" s="75"/>
      <c r="E732" s="76"/>
      <c r="F732" s="95"/>
      <c r="G732" s="76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</row>
    <row r="733">
      <c r="A733" s="14"/>
      <c r="B733" s="90"/>
      <c r="C733" s="75"/>
      <c r="D733" s="75"/>
      <c r="E733" s="76"/>
      <c r="F733" s="95"/>
      <c r="G733" s="76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</row>
    <row r="734">
      <c r="A734" s="14"/>
      <c r="B734" s="90"/>
      <c r="C734" s="75"/>
      <c r="D734" s="75"/>
      <c r="E734" s="76"/>
      <c r="F734" s="95"/>
      <c r="G734" s="76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</row>
    <row r="735">
      <c r="A735" s="14"/>
      <c r="B735" s="90"/>
      <c r="C735" s="75"/>
      <c r="D735" s="75"/>
      <c r="E735" s="76"/>
      <c r="F735" s="95"/>
      <c r="G735" s="76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</row>
    <row r="736">
      <c r="A736" s="14"/>
      <c r="B736" s="90"/>
      <c r="C736" s="75"/>
      <c r="D736" s="75"/>
      <c r="E736" s="76"/>
      <c r="F736" s="95"/>
      <c r="G736" s="76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</row>
    <row r="737">
      <c r="A737" s="14"/>
      <c r="B737" s="90"/>
      <c r="C737" s="75"/>
      <c r="D737" s="75"/>
      <c r="E737" s="76"/>
      <c r="F737" s="95"/>
      <c r="G737" s="76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</row>
    <row r="738">
      <c r="A738" s="14"/>
      <c r="B738" s="90"/>
      <c r="C738" s="75"/>
      <c r="D738" s="75"/>
      <c r="E738" s="76"/>
      <c r="F738" s="95"/>
      <c r="G738" s="76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</row>
    <row r="739">
      <c r="A739" s="14"/>
      <c r="B739" s="90"/>
      <c r="C739" s="75"/>
      <c r="D739" s="75"/>
      <c r="E739" s="76"/>
      <c r="F739" s="95"/>
      <c r="G739" s="76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</row>
    <row r="740">
      <c r="A740" s="14"/>
      <c r="B740" s="90"/>
      <c r="C740" s="75"/>
      <c r="D740" s="75"/>
      <c r="E740" s="76"/>
      <c r="F740" s="95"/>
      <c r="G740" s="76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</row>
    <row r="741">
      <c r="A741" s="14"/>
      <c r="B741" s="90"/>
      <c r="C741" s="75"/>
      <c r="D741" s="75"/>
      <c r="E741" s="76"/>
      <c r="F741" s="95"/>
      <c r="G741" s="76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</row>
    <row r="742">
      <c r="A742" s="14"/>
      <c r="B742" s="90"/>
      <c r="C742" s="75"/>
      <c r="D742" s="75"/>
      <c r="E742" s="76"/>
      <c r="F742" s="95"/>
      <c r="G742" s="76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</row>
    <row r="743">
      <c r="A743" s="14"/>
      <c r="B743" s="90"/>
      <c r="C743" s="75"/>
      <c r="D743" s="75"/>
      <c r="E743" s="76"/>
      <c r="F743" s="95"/>
      <c r="G743" s="76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</row>
    <row r="744">
      <c r="A744" s="14"/>
      <c r="B744" s="90"/>
      <c r="C744" s="75"/>
      <c r="D744" s="75"/>
      <c r="E744" s="76"/>
      <c r="F744" s="95"/>
      <c r="G744" s="76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</row>
    <row r="745">
      <c r="A745" s="14"/>
      <c r="B745" s="90"/>
      <c r="C745" s="75"/>
      <c r="D745" s="75"/>
      <c r="E745" s="76"/>
      <c r="F745" s="95"/>
      <c r="G745" s="76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</row>
    <row r="746">
      <c r="A746" s="14"/>
      <c r="B746" s="90"/>
      <c r="C746" s="75"/>
      <c r="D746" s="75"/>
      <c r="E746" s="76"/>
      <c r="F746" s="95"/>
      <c r="G746" s="76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</row>
    <row r="747">
      <c r="A747" s="14"/>
      <c r="B747" s="90"/>
      <c r="C747" s="75"/>
      <c r="D747" s="75"/>
      <c r="E747" s="76"/>
      <c r="F747" s="95"/>
      <c r="G747" s="76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</row>
    <row r="748">
      <c r="A748" s="14"/>
      <c r="B748" s="90"/>
      <c r="C748" s="75"/>
      <c r="D748" s="75"/>
      <c r="E748" s="76"/>
      <c r="F748" s="95"/>
      <c r="G748" s="76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</row>
    <row r="749">
      <c r="A749" s="14"/>
      <c r="B749" s="90"/>
      <c r="C749" s="75"/>
      <c r="D749" s="75"/>
      <c r="E749" s="76"/>
      <c r="F749" s="95"/>
      <c r="G749" s="76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</row>
    <row r="750">
      <c r="A750" s="14"/>
      <c r="B750" s="90"/>
      <c r="C750" s="75"/>
      <c r="D750" s="75"/>
      <c r="E750" s="76"/>
      <c r="F750" s="95"/>
      <c r="G750" s="76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</row>
    <row r="751">
      <c r="A751" s="14"/>
      <c r="B751" s="90"/>
      <c r="C751" s="75"/>
      <c r="D751" s="75"/>
      <c r="E751" s="76"/>
      <c r="F751" s="95"/>
      <c r="G751" s="76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</row>
    <row r="752">
      <c r="A752" s="14"/>
      <c r="B752" s="90"/>
      <c r="C752" s="75"/>
      <c r="D752" s="75"/>
      <c r="E752" s="76"/>
      <c r="F752" s="95"/>
      <c r="G752" s="76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</row>
    <row r="753">
      <c r="A753" s="14"/>
      <c r="B753" s="90"/>
      <c r="C753" s="75"/>
      <c r="D753" s="75"/>
      <c r="E753" s="76"/>
      <c r="F753" s="95"/>
      <c r="G753" s="76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</row>
    <row r="754">
      <c r="A754" s="14"/>
      <c r="B754" s="90"/>
      <c r="C754" s="75"/>
      <c r="D754" s="75"/>
      <c r="E754" s="76"/>
      <c r="F754" s="95"/>
      <c r="G754" s="76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</row>
    <row r="755">
      <c r="A755" s="14"/>
      <c r="B755" s="90"/>
      <c r="C755" s="75"/>
      <c r="D755" s="75"/>
      <c r="E755" s="76"/>
      <c r="F755" s="95"/>
      <c r="G755" s="76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</row>
    <row r="756">
      <c r="A756" s="14"/>
      <c r="B756" s="90"/>
      <c r="C756" s="75"/>
      <c r="D756" s="75"/>
      <c r="E756" s="76"/>
      <c r="F756" s="95"/>
      <c r="G756" s="76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</row>
    <row r="757">
      <c r="A757" s="14"/>
      <c r="B757" s="90"/>
      <c r="C757" s="75"/>
      <c r="D757" s="75"/>
      <c r="E757" s="76"/>
      <c r="F757" s="95"/>
      <c r="G757" s="76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</row>
    <row r="758">
      <c r="A758" s="14"/>
      <c r="B758" s="90"/>
      <c r="C758" s="75"/>
      <c r="D758" s="75"/>
      <c r="E758" s="76"/>
      <c r="F758" s="95"/>
      <c r="G758" s="76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</row>
    <row r="759">
      <c r="A759" s="14"/>
      <c r="B759" s="90"/>
      <c r="C759" s="75"/>
      <c r="D759" s="75"/>
      <c r="E759" s="76"/>
      <c r="F759" s="95"/>
      <c r="G759" s="76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</row>
    <row r="760">
      <c r="A760" s="14"/>
      <c r="B760" s="90"/>
      <c r="C760" s="75"/>
      <c r="D760" s="75"/>
      <c r="E760" s="76"/>
      <c r="F760" s="95"/>
      <c r="G760" s="76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</row>
    <row r="761">
      <c r="A761" s="14"/>
      <c r="B761" s="90"/>
      <c r="C761" s="75"/>
      <c r="D761" s="75"/>
      <c r="E761" s="76"/>
      <c r="F761" s="95"/>
      <c r="G761" s="76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</row>
    <row r="762">
      <c r="A762" s="14"/>
      <c r="B762" s="90"/>
      <c r="C762" s="75"/>
      <c r="D762" s="75"/>
      <c r="E762" s="76"/>
      <c r="F762" s="95"/>
      <c r="G762" s="76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</row>
    <row r="763">
      <c r="A763" s="14"/>
      <c r="B763" s="90"/>
      <c r="C763" s="75"/>
      <c r="D763" s="75"/>
      <c r="E763" s="76"/>
      <c r="F763" s="95"/>
      <c r="G763" s="76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</row>
    <row r="764">
      <c r="A764" s="14"/>
      <c r="B764" s="90"/>
      <c r="C764" s="75"/>
      <c r="D764" s="75"/>
      <c r="E764" s="76"/>
      <c r="F764" s="95"/>
      <c r="G764" s="76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</row>
    <row r="765">
      <c r="A765" s="14"/>
      <c r="B765" s="90"/>
      <c r="C765" s="75"/>
      <c r="D765" s="75"/>
      <c r="E765" s="76"/>
      <c r="F765" s="95"/>
      <c r="G765" s="76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</row>
    <row r="766">
      <c r="A766" s="14"/>
      <c r="B766" s="90"/>
      <c r="C766" s="75"/>
      <c r="D766" s="75"/>
      <c r="E766" s="76"/>
      <c r="F766" s="95"/>
      <c r="G766" s="76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</row>
    <row r="767">
      <c r="A767" s="14"/>
      <c r="B767" s="90"/>
      <c r="C767" s="75"/>
      <c r="D767" s="75"/>
      <c r="E767" s="76"/>
      <c r="F767" s="95"/>
      <c r="G767" s="76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</row>
    <row r="768">
      <c r="A768" s="14"/>
      <c r="B768" s="90"/>
      <c r="C768" s="75"/>
      <c r="D768" s="75"/>
      <c r="E768" s="76"/>
      <c r="F768" s="95"/>
      <c r="G768" s="76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</row>
    <row r="769">
      <c r="A769" s="14"/>
      <c r="B769" s="90"/>
      <c r="C769" s="75"/>
      <c r="D769" s="75"/>
      <c r="E769" s="76"/>
      <c r="F769" s="95"/>
      <c r="G769" s="76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</row>
    <row r="770">
      <c r="A770" s="14"/>
      <c r="B770" s="90"/>
      <c r="C770" s="75"/>
      <c r="D770" s="75"/>
      <c r="E770" s="76"/>
      <c r="F770" s="95"/>
      <c r="G770" s="76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</row>
    <row r="771">
      <c r="A771" s="14"/>
      <c r="B771" s="90"/>
      <c r="C771" s="75"/>
      <c r="D771" s="75"/>
      <c r="E771" s="76"/>
      <c r="F771" s="95"/>
      <c r="G771" s="76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</row>
    <row r="772">
      <c r="A772" s="14"/>
      <c r="B772" s="90"/>
      <c r="C772" s="75"/>
      <c r="D772" s="75"/>
      <c r="E772" s="76"/>
      <c r="F772" s="95"/>
      <c r="G772" s="76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</row>
    <row r="773">
      <c r="A773" s="14"/>
      <c r="B773" s="90"/>
      <c r="C773" s="75"/>
      <c r="D773" s="75"/>
      <c r="E773" s="76"/>
      <c r="F773" s="95"/>
      <c r="G773" s="76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</row>
    <row r="774">
      <c r="A774" s="14"/>
      <c r="B774" s="90"/>
      <c r="C774" s="75"/>
      <c r="D774" s="75"/>
      <c r="E774" s="76"/>
      <c r="F774" s="95"/>
      <c r="G774" s="76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</row>
    <row r="775">
      <c r="A775" s="14"/>
      <c r="B775" s="90"/>
      <c r="C775" s="75"/>
      <c r="D775" s="75"/>
      <c r="E775" s="76"/>
      <c r="F775" s="95"/>
      <c r="G775" s="76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</row>
    <row r="776">
      <c r="A776" s="14"/>
      <c r="B776" s="90"/>
      <c r="C776" s="75"/>
      <c r="D776" s="75"/>
      <c r="E776" s="76"/>
      <c r="F776" s="95"/>
      <c r="G776" s="76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</row>
    <row r="777">
      <c r="A777" s="14"/>
      <c r="B777" s="90"/>
      <c r="C777" s="75"/>
      <c r="D777" s="75"/>
      <c r="E777" s="76"/>
      <c r="F777" s="95"/>
      <c r="G777" s="76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</row>
    <row r="778">
      <c r="A778" s="14"/>
      <c r="B778" s="90"/>
      <c r="C778" s="75"/>
      <c r="D778" s="75"/>
      <c r="E778" s="76"/>
      <c r="F778" s="95"/>
      <c r="G778" s="76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</row>
    <row r="779">
      <c r="A779" s="14"/>
      <c r="B779" s="90"/>
      <c r="C779" s="75"/>
      <c r="D779" s="75"/>
      <c r="E779" s="76"/>
      <c r="F779" s="95"/>
      <c r="G779" s="76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</row>
    <row r="780">
      <c r="A780" s="14"/>
      <c r="B780" s="90"/>
      <c r="C780" s="75"/>
      <c r="D780" s="75"/>
      <c r="E780" s="76"/>
      <c r="F780" s="95"/>
      <c r="G780" s="76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</row>
    <row r="781">
      <c r="A781" s="14"/>
      <c r="B781" s="90"/>
      <c r="C781" s="75"/>
      <c r="D781" s="75"/>
      <c r="E781" s="76"/>
      <c r="F781" s="95"/>
      <c r="G781" s="76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</row>
    <row r="782">
      <c r="A782" s="14"/>
      <c r="B782" s="90"/>
      <c r="C782" s="75"/>
      <c r="D782" s="75"/>
      <c r="E782" s="76"/>
      <c r="F782" s="95"/>
      <c r="G782" s="76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</row>
    <row r="783">
      <c r="A783" s="14"/>
      <c r="B783" s="90"/>
      <c r="C783" s="75"/>
      <c r="D783" s="75"/>
      <c r="E783" s="76"/>
      <c r="F783" s="95"/>
      <c r="G783" s="76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</row>
    <row r="784">
      <c r="A784" s="14"/>
      <c r="B784" s="90"/>
      <c r="C784" s="75"/>
      <c r="D784" s="75"/>
      <c r="E784" s="76"/>
      <c r="F784" s="95"/>
      <c r="G784" s="76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</row>
    <row r="785">
      <c r="A785" s="14"/>
      <c r="B785" s="90"/>
      <c r="C785" s="75"/>
      <c r="D785" s="75"/>
      <c r="E785" s="76"/>
      <c r="F785" s="95"/>
      <c r="G785" s="76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</row>
    <row r="786">
      <c r="A786" s="14"/>
      <c r="B786" s="90"/>
      <c r="C786" s="75"/>
      <c r="D786" s="75"/>
      <c r="E786" s="76"/>
      <c r="F786" s="95"/>
      <c r="G786" s="76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</row>
    <row r="787">
      <c r="A787" s="14"/>
      <c r="B787" s="90"/>
      <c r="C787" s="75"/>
      <c r="D787" s="75"/>
      <c r="E787" s="76"/>
      <c r="F787" s="95"/>
      <c r="G787" s="76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</row>
    <row r="788">
      <c r="A788" s="14"/>
      <c r="B788" s="90"/>
      <c r="C788" s="75"/>
      <c r="D788" s="75"/>
      <c r="E788" s="76"/>
      <c r="F788" s="95"/>
      <c r="G788" s="76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</row>
    <row r="789">
      <c r="A789" s="14"/>
      <c r="B789" s="90"/>
      <c r="C789" s="75"/>
      <c r="D789" s="75"/>
      <c r="E789" s="76"/>
      <c r="F789" s="95"/>
      <c r="G789" s="76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</row>
    <row r="790">
      <c r="A790" s="14"/>
      <c r="B790" s="90"/>
      <c r="C790" s="75"/>
      <c r="D790" s="75"/>
      <c r="E790" s="76"/>
      <c r="F790" s="95"/>
      <c r="G790" s="76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</row>
    <row r="791">
      <c r="A791" s="14"/>
      <c r="B791" s="90"/>
      <c r="C791" s="75"/>
      <c r="D791" s="75"/>
      <c r="E791" s="76"/>
      <c r="F791" s="95"/>
      <c r="G791" s="76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</row>
    <row r="792">
      <c r="A792" s="14"/>
      <c r="B792" s="90"/>
      <c r="C792" s="75"/>
      <c r="D792" s="75"/>
      <c r="E792" s="76"/>
      <c r="F792" s="95"/>
      <c r="G792" s="76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</row>
    <row r="793">
      <c r="A793" s="14"/>
      <c r="B793" s="90"/>
      <c r="C793" s="75"/>
      <c r="D793" s="75"/>
      <c r="E793" s="76"/>
      <c r="F793" s="95"/>
      <c r="G793" s="76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</row>
    <row r="794">
      <c r="A794" s="14"/>
      <c r="B794" s="90"/>
      <c r="C794" s="75"/>
      <c r="D794" s="75"/>
      <c r="E794" s="76"/>
      <c r="F794" s="95"/>
      <c r="G794" s="76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</row>
    <row r="795">
      <c r="A795" s="14"/>
      <c r="B795" s="90"/>
      <c r="C795" s="75"/>
      <c r="D795" s="75"/>
      <c r="E795" s="76"/>
      <c r="F795" s="95"/>
      <c r="G795" s="76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</row>
    <row r="796">
      <c r="A796" s="14"/>
      <c r="B796" s="90"/>
      <c r="C796" s="75"/>
      <c r="D796" s="75"/>
      <c r="E796" s="76"/>
      <c r="F796" s="95"/>
      <c r="G796" s="76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</row>
    <row r="797">
      <c r="A797" s="14"/>
      <c r="B797" s="90"/>
      <c r="C797" s="75"/>
      <c r="D797" s="75"/>
      <c r="E797" s="76"/>
      <c r="F797" s="95"/>
      <c r="G797" s="76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</row>
    <row r="798">
      <c r="A798" s="14"/>
      <c r="B798" s="90"/>
      <c r="C798" s="75"/>
      <c r="D798" s="75"/>
      <c r="E798" s="76"/>
      <c r="F798" s="95"/>
      <c r="G798" s="76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</row>
    <row r="799">
      <c r="A799" s="14"/>
      <c r="B799" s="90"/>
      <c r="C799" s="75"/>
      <c r="D799" s="75"/>
      <c r="E799" s="76"/>
      <c r="F799" s="95"/>
      <c r="G799" s="76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</row>
    <row r="800">
      <c r="A800" s="14"/>
      <c r="B800" s="90"/>
      <c r="C800" s="75"/>
      <c r="D800" s="75"/>
      <c r="E800" s="76"/>
      <c r="F800" s="95"/>
      <c r="G800" s="76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</row>
    <row r="801">
      <c r="A801" s="14"/>
      <c r="B801" s="90"/>
      <c r="C801" s="75"/>
      <c r="D801" s="75"/>
      <c r="E801" s="76"/>
      <c r="F801" s="95"/>
      <c r="G801" s="76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</row>
    <row r="802">
      <c r="A802" s="14"/>
      <c r="B802" s="90"/>
      <c r="C802" s="75"/>
      <c r="D802" s="75"/>
      <c r="E802" s="76"/>
      <c r="F802" s="95"/>
      <c r="G802" s="76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</row>
    <row r="803">
      <c r="A803" s="14"/>
      <c r="B803" s="90"/>
      <c r="C803" s="75"/>
      <c r="D803" s="75"/>
      <c r="E803" s="76"/>
      <c r="F803" s="95"/>
      <c r="G803" s="76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</row>
    <row r="804">
      <c r="A804" s="14"/>
      <c r="B804" s="90"/>
      <c r="C804" s="75"/>
      <c r="D804" s="75"/>
      <c r="E804" s="76"/>
      <c r="F804" s="95"/>
      <c r="G804" s="76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</row>
    <row r="805">
      <c r="A805" s="14"/>
      <c r="B805" s="90"/>
      <c r="C805" s="75"/>
      <c r="D805" s="75"/>
      <c r="E805" s="76"/>
      <c r="F805" s="95"/>
      <c r="G805" s="76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</row>
    <row r="806">
      <c r="A806" s="14"/>
      <c r="B806" s="90"/>
      <c r="C806" s="75"/>
      <c r="D806" s="75"/>
      <c r="E806" s="76"/>
      <c r="F806" s="95"/>
      <c r="G806" s="76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</row>
    <row r="807">
      <c r="A807" s="14"/>
      <c r="B807" s="90"/>
      <c r="C807" s="75"/>
      <c r="D807" s="75"/>
      <c r="E807" s="76"/>
      <c r="F807" s="95"/>
      <c r="G807" s="76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</row>
    <row r="808">
      <c r="A808" s="14"/>
      <c r="B808" s="90"/>
      <c r="C808" s="75"/>
      <c r="D808" s="75"/>
      <c r="E808" s="76"/>
      <c r="F808" s="95"/>
      <c r="G808" s="76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</row>
    <row r="809">
      <c r="A809" s="14"/>
      <c r="B809" s="90"/>
      <c r="C809" s="75"/>
      <c r="D809" s="75"/>
      <c r="E809" s="76"/>
      <c r="F809" s="95"/>
      <c r="G809" s="76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</row>
    <row r="810">
      <c r="A810" s="14"/>
      <c r="B810" s="90"/>
      <c r="C810" s="75"/>
      <c r="D810" s="75"/>
      <c r="E810" s="76"/>
      <c r="F810" s="95"/>
      <c r="G810" s="76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</row>
    <row r="811">
      <c r="A811" s="14"/>
      <c r="B811" s="90"/>
      <c r="C811" s="75"/>
      <c r="D811" s="75"/>
      <c r="E811" s="76"/>
      <c r="F811" s="95"/>
      <c r="G811" s="76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</row>
    <row r="812">
      <c r="A812" s="14"/>
      <c r="B812" s="90"/>
      <c r="C812" s="75"/>
      <c r="D812" s="75"/>
      <c r="E812" s="76"/>
      <c r="F812" s="95"/>
      <c r="G812" s="76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</row>
    <row r="813">
      <c r="A813" s="14"/>
      <c r="B813" s="90"/>
      <c r="C813" s="75"/>
      <c r="D813" s="75"/>
      <c r="E813" s="76"/>
      <c r="F813" s="95"/>
      <c r="G813" s="76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</row>
    <row r="814">
      <c r="A814" s="14"/>
      <c r="B814" s="90"/>
      <c r="C814" s="75"/>
      <c r="D814" s="75"/>
      <c r="E814" s="76"/>
      <c r="F814" s="95"/>
      <c r="G814" s="76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</row>
    <row r="815">
      <c r="A815" s="14"/>
      <c r="B815" s="90"/>
      <c r="C815" s="75"/>
      <c r="D815" s="75"/>
      <c r="E815" s="76"/>
      <c r="F815" s="95"/>
      <c r="G815" s="76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</row>
    <row r="816">
      <c r="A816" s="14"/>
      <c r="B816" s="90"/>
      <c r="C816" s="75"/>
      <c r="D816" s="75"/>
      <c r="E816" s="76"/>
      <c r="F816" s="95"/>
      <c r="G816" s="76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</row>
    <row r="817">
      <c r="A817" s="14"/>
      <c r="B817" s="90"/>
      <c r="C817" s="75"/>
      <c r="D817" s="75"/>
      <c r="E817" s="76"/>
      <c r="F817" s="95"/>
      <c r="G817" s="76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</row>
    <row r="818">
      <c r="A818" s="14"/>
      <c r="B818" s="90"/>
      <c r="C818" s="75"/>
      <c r="D818" s="75"/>
      <c r="E818" s="76"/>
      <c r="F818" s="95"/>
      <c r="G818" s="76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</row>
    <row r="819">
      <c r="A819" s="14"/>
      <c r="B819" s="90"/>
      <c r="C819" s="75"/>
      <c r="D819" s="75"/>
      <c r="E819" s="76"/>
      <c r="F819" s="95"/>
      <c r="G819" s="76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</row>
    <row r="820">
      <c r="A820" s="14"/>
      <c r="B820" s="90"/>
      <c r="C820" s="75"/>
      <c r="D820" s="75"/>
      <c r="E820" s="76"/>
      <c r="F820" s="95"/>
      <c r="G820" s="76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</row>
    <row r="821">
      <c r="A821" s="14"/>
      <c r="B821" s="90"/>
      <c r="C821" s="75"/>
      <c r="D821" s="75"/>
      <c r="E821" s="76"/>
      <c r="F821" s="95"/>
      <c r="G821" s="76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</row>
    <row r="822">
      <c r="A822" s="14"/>
      <c r="B822" s="90"/>
      <c r="C822" s="75"/>
      <c r="D822" s="75"/>
      <c r="E822" s="76"/>
      <c r="F822" s="95"/>
      <c r="G822" s="76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</row>
    <row r="823">
      <c r="A823" s="14"/>
      <c r="B823" s="90"/>
      <c r="C823" s="75"/>
      <c r="D823" s="75"/>
      <c r="E823" s="76"/>
      <c r="F823" s="95"/>
      <c r="G823" s="76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</row>
    <row r="824">
      <c r="A824" s="14"/>
      <c r="B824" s="90"/>
      <c r="C824" s="75"/>
      <c r="D824" s="75"/>
      <c r="E824" s="76"/>
      <c r="F824" s="95"/>
      <c r="G824" s="76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</row>
    <row r="825">
      <c r="A825" s="14"/>
      <c r="B825" s="90"/>
      <c r="C825" s="75"/>
      <c r="D825" s="75"/>
      <c r="E825" s="76"/>
      <c r="F825" s="95"/>
      <c r="G825" s="76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</row>
    <row r="826">
      <c r="A826" s="14"/>
      <c r="B826" s="90"/>
      <c r="C826" s="75"/>
      <c r="D826" s="75"/>
      <c r="E826" s="76"/>
      <c r="F826" s="95"/>
      <c r="G826" s="76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</row>
    <row r="827">
      <c r="A827" s="14"/>
      <c r="B827" s="90"/>
      <c r="C827" s="75"/>
      <c r="D827" s="75"/>
      <c r="E827" s="76"/>
      <c r="F827" s="95"/>
      <c r="G827" s="76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</row>
    <row r="828">
      <c r="A828" s="14"/>
      <c r="B828" s="90"/>
      <c r="C828" s="75"/>
      <c r="D828" s="75"/>
      <c r="E828" s="76"/>
      <c r="F828" s="95"/>
      <c r="G828" s="76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</row>
    <row r="829">
      <c r="A829" s="14"/>
      <c r="B829" s="90"/>
      <c r="C829" s="75"/>
      <c r="D829" s="75"/>
      <c r="E829" s="76"/>
      <c r="F829" s="95"/>
      <c r="G829" s="76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</row>
    <row r="830">
      <c r="A830" s="14"/>
      <c r="B830" s="90"/>
      <c r="C830" s="75"/>
      <c r="D830" s="75"/>
      <c r="E830" s="76"/>
      <c r="F830" s="95"/>
      <c r="G830" s="76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</row>
    <row r="831">
      <c r="A831" s="14"/>
      <c r="B831" s="90"/>
      <c r="C831" s="75"/>
      <c r="D831" s="75"/>
      <c r="E831" s="76"/>
      <c r="F831" s="95"/>
      <c r="G831" s="76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</row>
    <row r="832">
      <c r="A832" s="14"/>
      <c r="B832" s="90"/>
      <c r="C832" s="75"/>
      <c r="D832" s="75"/>
      <c r="E832" s="76"/>
      <c r="F832" s="95"/>
      <c r="G832" s="76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</row>
    <row r="833">
      <c r="A833" s="14"/>
      <c r="B833" s="90"/>
      <c r="C833" s="75"/>
      <c r="D833" s="75"/>
      <c r="E833" s="76"/>
      <c r="F833" s="95"/>
      <c r="G833" s="76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</row>
    <row r="834">
      <c r="A834" s="14"/>
      <c r="B834" s="90"/>
      <c r="C834" s="75"/>
      <c r="D834" s="75"/>
      <c r="E834" s="76"/>
      <c r="F834" s="95"/>
      <c r="G834" s="76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</row>
    <row r="835">
      <c r="A835" s="14"/>
      <c r="B835" s="90"/>
      <c r="C835" s="75"/>
      <c r="D835" s="75"/>
      <c r="E835" s="76"/>
      <c r="F835" s="95"/>
      <c r="G835" s="76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</row>
    <row r="836">
      <c r="A836" s="14"/>
      <c r="B836" s="90"/>
      <c r="C836" s="75"/>
      <c r="D836" s="75"/>
      <c r="E836" s="76"/>
      <c r="F836" s="95"/>
      <c r="G836" s="76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</row>
    <row r="837">
      <c r="A837" s="14"/>
      <c r="B837" s="90"/>
      <c r="C837" s="75"/>
      <c r="D837" s="75"/>
      <c r="E837" s="76"/>
      <c r="F837" s="95"/>
      <c r="G837" s="76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</row>
    <row r="838">
      <c r="A838" s="14"/>
      <c r="B838" s="90"/>
      <c r="C838" s="75"/>
      <c r="D838" s="75"/>
      <c r="E838" s="76"/>
      <c r="F838" s="95"/>
      <c r="G838" s="76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</row>
    <row r="839">
      <c r="A839" s="14"/>
      <c r="B839" s="90"/>
      <c r="C839" s="75"/>
      <c r="D839" s="75"/>
      <c r="E839" s="76"/>
      <c r="F839" s="95"/>
      <c r="G839" s="76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</row>
    <row r="840">
      <c r="A840" s="14"/>
      <c r="B840" s="90"/>
      <c r="C840" s="75"/>
      <c r="D840" s="75"/>
      <c r="E840" s="76"/>
      <c r="F840" s="95"/>
      <c r="G840" s="76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</row>
    <row r="841">
      <c r="A841" s="14"/>
      <c r="B841" s="90"/>
      <c r="C841" s="75"/>
      <c r="D841" s="75"/>
      <c r="E841" s="76"/>
      <c r="F841" s="95"/>
      <c r="G841" s="76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</row>
    <row r="842">
      <c r="A842" s="14"/>
      <c r="B842" s="90"/>
      <c r="C842" s="75"/>
      <c r="D842" s="75"/>
      <c r="E842" s="76"/>
      <c r="F842" s="95"/>
      <c r="G842" s="76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</row>
    <row r="843">
      <c r="A843" s="14"/>
      <c r="B843" s="90"/>
      <c r="C843" s="75"/>
      <c r="D843" s="75"/>
      <c r="E843" s="76"/>
      <c r="F843" s="95"/>
      <c r="G843" s="76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</row>
    <row r="844">
      <c r="A844" s="14"/>
      <c r="B844" s="90"/>
      <c r="C844" s="75"/>
      <c r="D844" s="75"/>
      <c r="E844" s="76"/>
      <c r="F844" s="95"/>
      <c r="G844" s="76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</row>
    <row r="845">
      <c r="A845" s="14"/>
      <c r="B845" s="90"/>
      <c r="C845" s="75"/>
      <c r="D845" s="75"/>
      <c r="E845" s="76"/>
      <c r="F845" s="95"/>
      <c r="G845" s="76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</row>
    <row r="846">
      <c r="A846" s="14"/>
      <c r="B846" s="90"/>
      <c r="C846" s="75"/>
      <c r="D846" s="75"/>
      <c r="E846" s="76"/>
      <c r="F846" s="95"/>
      <c r="G846" s="76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</row>
    <row r="847">
      <c r="A847" s="14"/>
      <c r="B847" s="90"/>
      <c r="C847" s="75"/>
      <c r="D847" s="75"/>
      <c r="E847" s="76"/>
      <c r="F847" s="95"/>
      <c r="G847" s="76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</row>
    <row r="848">
      <c r="A848" s="14"/>
      <c r="B848" s="90"/>
      <c r="C848" s="75"/>
      <c r="D848" s="75"/>
      <c r="E848" s="76"/>
      <c r="F848" s="95"/>
      <c r="G848" s="76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</row>
    <row r="849">
      <c r="A849" s="14"/>
      <c r="B849" s="90"/>
      <c r="C849" s="75"/>
      <c r="D849" s="75"/>
      <c r="E849" s="76"/>
      <c r="F849" s="95"/>
      <c r="G849" s="76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</row>
    <row r="850">
      <c r="A850" s="14"/>
      <c r="B850" s="90"/>
      <c r="C850" s="75"/>
      <c r="D850" s="75"/>
      <c r="E850" s="76"/>
      <c r="F850" s="95"/>
      <c r="G850" s="76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</row>
    <row r="851">
      <c r="A851" s="14"/>
      <c r="B851" s="90"/>
      <c r="C851" s="75"/>
      <c r="D851" s="75"/>
      <c r="E851" s="76"/>
      <c r="F851" s="95"/>
      <c r="G851" s="76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</row>
    <row r="852">
      <c r="A852" s="14"/>
      <c r="B852" s="90"/>
      <c r="C852" s="75"/>
      <c r="D852" s="75"/>
      <c r="E852" s="76"/>
      <c r="F852" s="95"/>
      <c r="G852" s="76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</row>
    <row r="853">
      <c r="A853" s="14"/>
      <c r="B853" s="90"/>
      <c r="C853" s="75"/>
      <c r="D853" s="75"/>
      <c r="E853" s="76"/>
      <c r="F853" s="95"/>
      <c r="G853" s="76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</row>
    <row r="854">
      <c r="A854" s="14"/>
      <c r="B854" s="90"/>
      <c r="C854" s="75"/>
      <c r="D854" s="75"/>
      <c r="E854" s="76"/>
      <c r="F854" s="95"/>
      <c r="G854" s="76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</row>
    <row r="855">
      <c r="A855" s="14"/>
      <c r="B855" s="90"/>
      <c r="C855" s="75"/>
      <c r="D855" s="75"/>
      <c r="E855" s="76"/>
      <c r="F855" s="95"/>
      <c r="G855" s="76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</row>
    <row r="856">
      <c r="A856" s="14"/>
      <c r="B856" s="90"/>
      <c r="C856" s="75"/>
      <c r="D856" s="75"/>
      <c r="E856" s="76"/>
      <c r="F856" s="95"/>
      <c r="G856" s="76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</row>
    <row r="857">
      <c r="A857" s="14"/>
      <c r="B857" s="90"/>
      <c r="C857" s="75"/>
      <c r="D857" s="75"/>
      <c r="E857" s="76"/>
      <c r="F857" s="95"/>
      <c r="G857" s="76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</row>
    <row r="858">
      <c r="A858" s="14"/>
      <c r="B858" s="90"/>
      <c r="C858" s="75"/>
      <c r="D858" s="75"/>
      <c r="E858" s="76"/>
      <c r="F858" s="95"/>
      <c r="G858" s="76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</row>
    <row r="859">
      <c r="A859" s="14"/>
      <c r="B859" s="90"/>
      <c r="C859" s="75"/>
      <c r="D859" s="75"/>
      <c r="E859" s="76"/>
      <c r="F859" s="95"/>
      <c r="G859" s="76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</row>
    <row r="860">
      <c r="A860" s="14"/>
      <c r="B860" s="90"/>
      <c r="C860" s="75"/>
      <c r="D860" s="75"/>
      <c r="E860" s="76"/>
      <c r="F860" s="95"/>
      <c r="G860" s="76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</row>
    <row r="861">
      <c r="A861" s="14"/>
      <c r="B861" s="90"/>
      <c r="C861" s="75"/>
      <c r="D861" s="75"/>
      <c r="E861" s="76"/>
      <c r="F861" s="95"/>
      <c r="G861" s="76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</row>
    <row r="862">
      <c r="A862" s="14"/>
      <c r="B862" s="90"/>
      <c r="C862" s="75"/>
      <c r="D862" s="75"/>
      <c r="E862" s="76"/>
      <c r="F862" s="95"/>
      <c r="G862" s="76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</row>
    <row r="863">
      <c r="A863" s="14"/>
      <c r="B863" s="90"/>
      <c r="C863" s="75"/>
      <c r="D863" s="75"/>
      <c r="E863" s="76"/>
      <c r="F863" s="95"/>
      <c r="G863" s="76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</row>
    <row r="864">
      <c r="A864" s="14"/>
      <c r="B864" s="90"/>
      <c r="C864" s="75"/>
      <c r="D864" s="75"/>
      <c r="E864" s="76"/>
      <c r="F864" s="95"/>
      <c r="G864" s="76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</row>
    <row r="865">
      <c r="A865" s="14"/>
      <c r="B865" s="90"/>
      <c r="C865" s="75"/>
      <c r="D865" s="75"/>
      <c r="E865" s="76"/>
      <c r="F865" s="95"/>
      <c r="G865" s="76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</row>
    <row r="866">
      <c r="A866" s="14"/>
      <c r="B866" s="90"/>
      <c r="C866" s="75"/>
      <c r="D866" s="75"/>
      <c r="E866" s="76"/>
      <c r="F866" s="95"/>
      <c r="G866" s="76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</row>
    <row r="867">
      <c r="A867" s="14"/>
      <c r="B867" s="90"/>
      <c r="C867" s="75"/>
      <c r="D867" s="75"/>
      <c r="E867" s="76"/>
      <c r="F867" s="95"/>
      <c r="G867" s="76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</row>
    <row r="868">
      <c r="A868" s="14"/>
      <c r="B868" s="90"/>
      <c r="C868" s="75"/>
      <c r="D868" s="75"/>
      <c r="E868" s="76"/>
      <c r="F868" s="95"/>
      <c r="G868" s="76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</row>
    <row r="869">
      <c r="A869" s="14"/>
      <c r="B869" s="90"/>
      <c r="C869" s="75"/>
      <c r="D869" s="75"/>
      <c r="E869" s="76"/>
      <c r="F869" s="95"/>
      <c r="G869" s="76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</row>
    <row r="870">
      <c r="A870" s="14"/>
      <c r="B870" s="90"/>
      <c r="C870" s="75"/>
      <c r="D870" s="75"/>
      <c r="E870" s="76"/>
      <c r="F870" s="95"/>
      <c r="G870" s="76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</row>
    <row r="871">
      <c r="A871" s="14"/>
      <c r="B871" s="90"/>
      <c r="C871" s="75"/>
      <c r="D871" s="75"/>
      <c r="E871" s="76"/>
      <c r="F871" s="95"/>
      <c r="G871" s="76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</row>
    <row r="872">
      <c r="A872" s="14"/>
      <c r="B872" s="90"/>
      <c r="C872" s="75"/>
      <c r="D872" s="75"/>
      <c r="E872" s="76"/>
      <c r="F872" s="95"/>
      <c r="G872" s="76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</row>
    <row r="873">
      <c r="A873" s="14"/>
      <c r="B873" s="90"/>
      <c r="C873" s="75"/>
      <c r="D873" s="75"/>
      <c r="E873" s="76"/>
      <c r="F873" s="95"/>
      <c r="G873" s="76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</row>
    <row r="874">
      <c r="A874" s="14"/>
      <c r="B874" s="90"/>
      <c r="C874" s="75"/>
      <c r="D874" s="75"/>
      <c r="E874" s="76"/>
      <c r="F874" s="95"/>
      <c r="G874" s="76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</row>
    <row r="875">
      <c r="A875" s="14"/>
      <c r="B875" s="90"/>
      <c r="C875" s="75"/>
      <c r="D875" s="75"/>
      <c r="E875" s="76"/>
      <c r="F875" s="95"/>
      <c r="G875" s="76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</row>
    <row r="876">
      <c r="A876" s="14"/>
      <c r="B876" s="90"/>
      <c r="C876" s="75"/>
      <c r="D876" s="75"/>
      <c r="E876" s="76"/>
      <c r="F876" s="95"/>
      <c r="G876" s="76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</row>
    <row r="877">
      <c r="A877" s="14"/>
      <c r="B877" s="90"/>
      <c r="C877" s="75"/>
      <c r="D877" s="75"/>
      <c r="E877" s="76"/>
      <c r="F877" s="95"/>
      <c r="G877" s="76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</row>
    <row r="878">
      <c r="A878" s="14"/>
      <c r="B878" s="90"/>
      <c r="C878" s="75"/>
      <c r="D878" s="75"/>
      <c r="E878" s="76"/>
      <c r="F878" s="95"/>
      <c r="G878" s="76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</row>
    <row r="879">
      <c r="A879" s="14"/>
      <c r="B879" s="90"/>
      <c r="C879" s="75"/>
      <c r="D879" s="75"/>
      <c r="E879" s="76"/>
      <c r="F879" s="95"/>
      <c r="G879" s="76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</row>
    <row r="880">
      <c r="A880" s="14"/>
      <c r="B880" s="90"/>
      <c r="C880" s="75"/>
      <c r="D880" s="75"/>
      <c r="E880" s="76"/>
      <c r="F880" s="95"/>
      <c r="G880" s="76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</row>
    <row r="881">
      <c r="A881" s="14"/>
      <c r="B881" s="90"/>
      <c r="C881" s="75"/>
      <c r="D881" s="75"/>
      <c r="E881" s="76"/>
      <c r="F881" s="95"/>
      <c r="G881" s="76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</row>
    <row r="882">
      <c r="A882" s="14"/>
      <c r="B882" s="90"/>
      <c r="C882" s="75"/>
      <c r="D882" s="75"/>
      <c r="E882" s="76"/>
      <c r="F882" s="95"/>
      <c r="G882" s="76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</row>
    <row r="883">
      <c r="A883" s="14"/>
      <c r="B883" s="90"/>
      <c r="C883" s="75"/>
      <c r="D883" s="75"/>
      <c r="E883" s="76"/>
      <c r="F883" s="95"/>
      <c r="G883" s="76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</row>
    <row r="884">
      <c r="A884" s="14"/>
      <c r="B884" s="90"/>
      <c r="C884" s="75"/>
      <c r="D884" s="75"/>
      <c r="E884" s="76"/>
      <c r="F884" s="95"/>
      <c r="G884" s="76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</row>
    <row r="885">
      <c r="A885" s="14"/>
      <c r="B885" s="90"/>
      <c r="C885" s="75"/>
      <c r="D885" s="75"/>
      <c r="E885" s="76"/>
      <c r="F885" s="95"/>
      <c r="G885" s="76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</row>
    <row r="886">
      <c r="A886" s="14"/>
      <c r="B886" s="90"/>
      <c r="C886" s="75"/>
      <c r="D886" s="75"/>
      <c r="E886" s="76"/>
      <c r="F886" s="95"/>
      <c r="G886" s="76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</row>
    <row r="887">
      <c r="A887" s="14"/>
      <c r="B887" s="90"/>
      <c r="C887" s="75"/>
      <c r="D887" s="75"/>
      <c r="E887" s="76"/>
      <c r="F887" s="95"/>
      <c r="G887" s="76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</row>
    <row r="888">
      <c r="A888" s="14"/>
      <c r="B888" s="90"/>
      <c r="C888" s="75"/>
      <c r="D888" s="75"/>
      <c r="E888" s="76"/>
      <c r="F888" s="95"/>
      <c r="G888" s="76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</row>
    <row r="889">
      <c r="A889" s="14"/>
      <c r="B889" s="90"/>
      <c r="C889" s="75"/>
      <c r="D889" s="75"/>
      <c r="E889" s="76"/>
      <c r="F889" s="95"/>
      <c r="G889" s="76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</row>
    <row r="890">
      <c r="A890" s="14"/>
      <c r="B890" s="90"/>
      <c r="C890" s="75"/>
      <c r="D890" s="75"/>
      <c r="E890" s="76"/>
      <c r="F890" s="95"/>
      <c r="G890" s="76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</row>
    <row r="891">
      <c r="A891" s="14"/>
      <c r="B891" s="90"/>
      <c r="C891" s="75"/>
      <c r="D891" s="75"/>
      <c r="E891" s="76"/>
      <c r="F891" s="95"/>
      <c r="G891" s="76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</row>
    <row r="892">
      <c r="A892" s="14"/>
      <c r="B892" s="90"/>
      <c r="C892" s="75"/>
      <c r="D892" s="75"/>
      <c r="E892" s="76"/>
      <c r="F892" s="95"/>
      <c r="G892" s="76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</row>
    <row r="893">
      <c r="A893" s="14"/>
      <c r="B893" s="90"/>
      <c r="C893" s="75"/>
      <c r="D893" s="75"/>
      <c r="E893" s="76"/>
      <c r="F893" s="95"/>
      <c r="G893" s="76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</row>
    <row r="894">
      <c r="A894" s="14"/>
      <c r="B894" s="90"/>
      <c r="C894" s="75"/>
      <c r="D894" s="75"/>
      <c r="E894" s="76"/>
      <c r="F894" s="95"/>
      <c r="G894" s="76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</row>
    <row r="895">
      <c r="A895" s="14"/>
      <c r="B895" s="90"/>
      <c r="C895" s="75"/>
      <c r="D895" s="75"/>
      <c r="E895" s="76"/>
      <c r="F895" s="95"/>
      <c r="G895" s="76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</row>
    <row r="896">
      <c r="A896" s="14"/>
      <c r="B896" s="90"/>
      <c r="C896" s="75"/>
      <c r="D896" s="75"/>
      <c r="E896" s="76"/>
      <c r="F896" s="95"/>
      <c r="G896" s="76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</row>
    <row r="897">
      <c r="A897" s="14"/>
      <c r="B897" s="90"/>
      <c r="C897" s="75"/>
      <c r="D897" s="75"/>
      <c r="E897" s="76"/>
      <c r="F897" s="95"/>
      <c r="G897" s="76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</row>
    <row r="898">
      <c r="A898" s="14"/>
      <c r="B898" s="90"/>
      <c r="C898" s="75"/>
      <c r="D898" s="75"/>
      <c r="E898" s="76"/>
      <c r="F898" s="95"/>
      <c r="G898" s="76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</row>
    <row r="899">
      <c r="A899" s="14"/>
      <c r="B899" s="90"/>
      <c r="C899" s="75"/>
      <c r="D899" s="75"/>
      <c r="E899" s="76"/>
      <c r="F899" s="95"/>
      <c r="G899" s="76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</row>
    <row r="900">
      <c r="A900" s="14"/>
      <c r="B900" s="90"/>
      <c r="C900" s="75"/>
      <c r="D900" s="75"/>
      <c r="E900" s="76"/>
      <c r="F900" s="95"/>
      <c r="G900" s="76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</row>
    <row r="901">
      <c r="A901" s="14"/>
      <c r="B901" s="90"/>
      <c r="C901" s="75"/>
      <c r="D901" s="75"/>
      <c r="E901" s="76"/>
      <c r="F901" s="95"/>
      <c r="G901" s="76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</row>
    <row r="902">
      <c r="A902" s="14"/>
      <c r="B902" s="90"/>
      <c r="C902" s="75"/>
      <c r="D902" s="75"/>
      <c r="E902" s="76"/>
      <c r="F902" s="95"/>
      <c r="G902" s="76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</row>
    <row r="903">
      <c r="A903" s="14"/>
      <c r="B903" s="90"/>
      <c r="C903" s="75"/>
      <c r="D903" s="75"/>
      <c r="E903" s="76"/>
      <c r="F903" s="95"/>
      <c r="G903" s="76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</row>
    <row r="904">
      <c r="A904" s="14"/>
      <c r="B904" s="90"/>
      <c r="C904" s="75"/>
      <c r="D904" s="75"/>
      <c r="E904" s="76"/>
      <c r="F904" s="95"/>
      <c r="G904" s="76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</row>
    <row r="905">
      <c r="A905" s="14"/>
      <c r="B905" s="90"/>
      <c r="C905" s="75"/>
      <c r="D905" s="75"/>
      <c r="E905" s="76"/>
      <c r="F905" s="95"/>
      <c r="G905" s="76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</row>
    <row r="906">
      <c r="A906" s="14"/>
      <c r="B906" s="90"/>
      <c r="C906" s="75"/>
      <c r="D906" s="75"/>
      <c r="E906" s="76"/>
      <c r="F906" s="95"/>
      <c r="G906" s="76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</row>
    <row r="907">
      <c r="A907" s="14"/>
      <c r="B907" s="90"/>
      <c r="C907" s="75"/>
      <c r="D907" s="75"/>
      <c r="E907" s="76"/>
      <c r="F907" s="95"/>
      <c r="G907" s="76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</row>
    <row r="908">
      <c r="A908" s="14"/>
      <c r="B908" s="90"/>
      <c r="C908" s="75"/>
      <c r="D908" s="75"/>
      <c r="E908" s="76"/>
      <c r="F908" s="95"/>
      <c r="G908" s="76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</row>
    <row r="909">
      <c r="A909" s="14"/>
      <c r="B909" s="90"/>
      <c r="C909" s="75"/>
      <c r="D909" s="75"/>
      <c r="E909" s="76"/>
      <c r="F909" s="95"/>
      <c r="G909" s="76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</row>
    <row r="910">
      <c r="A910" s="14"/>
      <c r="B910" s="90"/>
      <c r="C910" s="75"/>
      <c r="D910" s="75"/>
      <c r="E910" s="76"/>
      <c r="F910" s="95"/>
      <c r="G910" s="76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</row>
    <row r="911">
      <c r="A911" s="14"/>
      <c r="B911" s="90"/>
      <c r="C911" s="75"/>
      <c r="D911" s="75"/>
      <c r="E911" s="76"/>
      <c r="F911" s="95"/>
      <c r="G911" s="76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</row>
    <row r="912">
      <c r="A912" s="14"/>
      <c r="B912" s="90"/>
      <c r="C912" s="75"/>
      <c r="D912" s="75"/>
      <c r="E912" s="76"/>
      <c r="F912" s="95"/>
      <c r="G912" s="76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</row>
    <row r="913">
      <c r="A913" s="14"/>
      <c r="B913" s="90"/>
      <c r="C913" s="75"/>
      <c r="D913" s="75"/>
      <c r="E913" s="76"/>
      <c r="F913" s="95"/>
      <c r="G913" s="76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</row>
    <row r="914">
      <c r="A914" s="14"/>
      <c r="B914" s="90"/>
      <c r="C914" s="75"/>
      <c r="D914" s="75"/>
      <c r="E914" s="76"/>
      <c r="F914" s="95"/>
      <c r="G914" s="76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</row>
    <row r="915">
      <c r="A915" s="14"/>
      <c r="B915" s="90"/>
      <c r="C915" s="75"/>
      <c r="D915" s="75"/>
      <c r="E915" s="76"/>
      <c r="F915" s="95"/>
      <c r="G915" s="76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</row>
    <row r="916">
      <c r="A916" s="14"/>
      <c r="B916" s="90"/>
      <c r="C916" s="75"/>
      <c r="D916" s="75"/>
      <c r="E916" s="76"/>
      <c r="F916" s="95"/>
      <c r="G916" s="76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</row>
    <row r="917">
      <c r="A917" s="14"/>
      <c r="B917" s="90"/>
      <c r="C917" s="75"/>
      <c r="D917" s="75"/>
      <c r="E917" s="76"/>
      <c r="F917" s="95"/>
      <c r="G917" s="76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</row>
    <row r="918">
      <c r="A918" s="14"/>
      <c r="B918" s="90"/>
      <c r="C918" s="75"/>
      <c r="D918" s="75"/>
      <c r="E918" s="76"/>
      <c r="F918" s="95"/>
      <c r="G918" s="76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</row>
    <row r="919">
      <c r="A919" s="14"/>
      <c r="B919" s="90"/>
      <c r="C919" s="75"/>
      <c r="D919" s="75"/>
      <c r="E919" s="76"/>
      <c r="F919" s="95"/>
      <c r="G919" s="76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</row>
    <row r="920">
      <c r="A920" s="14"/>
      <c r="B920" s="90"/>
      <c r="C920" s="75"/>
      <c r="D920" s="75"/>
      <c r="E920" s="76"/>
      <c r="F920" s="95"/>
      <c r="G920" s="76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</row>
    <row r="921">
      <c r="A921" s="14"/>
      <c r="B921" s="90"/>
      <c r="C921" s="75"/>
      <c r="D921" s="75"/>
      <c r="E921" s="76"/>
      <c r="F921" s="95"/>
      <c r="G921" s="76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</row>
    <row r="922">
      <c r="A922" s="14"/>
      <c r="B922" s="90"/>
      <c r="C922" s="75"/>
      <c r="D922" s="75"/>
      <c r="E922" s="76"/>
      <c r="F922" s="95"/>
      <c r="G922" s="76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</row>
    <row r="923">
      <c r="A923" s="14"/>
      <c r="B923" s="90"/>
      <c r="C923" s="75"/>
      <c r="D923" s="75"/>
      <c r="E923" s="76"/>
      <c r="F923" s="95"/>
      <c r="G923" s="76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</row>
    <row r="924">
      <c r="A924" s="14"/>
      <c r="B924" s="90"/>
      <c r="C924" s="75"/>
      <c r="D924" s="75"/>
      <c r="E924" s="76"/>
      <c r="F924" s="95"/>
      <c r="G924" s="76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</row>
    <row r="925">
      <c r="A925" s="14"/>
      <c r="B925" s="90"/>
      <c r="C925" s="75"/>
      <c r="D925" s="75"/>
      <c r="E925" s="76"/>
      <c r="F925" s="95"/>
      <c r="G925" s="76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</row>
    <row r="926">
      <c r="A926" s="14"/>
      <c r="B926" s="90"/>
      <c r="C926" s="75"/>
      <c r="D926" s="75"/>
      <c r="E926" s="76"/>
      <c r="F926" s="95"/>
      <c r="G926" s="76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</row>
    <row r="927">
      <c r="A927" s="14"/>
      <c r="B927" s="90"/>
      <c r="C927" s="75"/>
      <c r="D927" s="75"/>
      <c r="E927" s="76"/>
      <c r="F927" s="95"/>
      <c r="G927" s="76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</row>
    <row r="928">
      <c r="A928" s="14"/>
      <c r="B928" s="90"/>
      <c r="C928" s="75"/>
      <c r="D928" s="75"/>
      <c r="E928" s="76"/>
      <c r="F928" s="95"/>
      <c r="G928" s="76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</row>
    <row r="929">
      <c r="A929" s="14"/>
      <c r="B929" s="90"/>
      <c r="C929" s="75"/>
      <c r="D929" s="75"/>
      <c r="E929" s="76"/>
      <c r="F929" s="95"/>
      <c r="G929" s="76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</row>
    <row r="930">
      <c r="A930" s="14"/>
      <c r="B930" s="90"/>
      <c r="C930" s="75"/>
      <c r="D930" s="75"/>
      <c r="E930" s="76"/>
      <c r="F930" s="95"/>
      <c r="G930" s="76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</row>
    <row r="931">
      <c r="A931" s="14"/>
      <c r="B931" s="90"/>
      <c r="C931" s="75"/>
      <c r="D931" s="75"/>
      <c r="E931" s="76"/>
      <c r="F931" s="95"/>
      <c r="G931" s="76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</row>
    <row r="932">
      <c r="A932" s="14"/>
      <c r="B932" s="90"/>
      <c r="C932" s="75"/>
      <c r="D932" s="75"/>
      <c r="E932" s="76"/>
      <c r="F932" s="95"/>
      <c r="G932" s="76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</row>
    <row r="933">
      <c r="A933" s="14"/>
      <c r="B933" s="90"/>
      <c r="C933" s="75"/>
      <c r="D933" s="75"/>
      <c r="E933" s="76"/>
      <c r="F933" s="95"/>
      <c r="G933" s="76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</row>
    <row r="934">
      <c r="A934" s="14"/>
      <c r="B934" s="90"/>
      <c r="C934" s="75"/>
      <c r="D934" s="75"/>
      <c r="E934" s="76"/>
      <c r="F934" s="95"/>
      <c r="G934" s="76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</row>
    <row r="935">
      <c r="A935" s="14"/>
      <c r="B935" s="90"/>
      <c r="C935" s="75"/>
      <c r="D935" s="75"/>
      <c r="E935" s="76"/>
      <c r="F935" s="95"/>
      <c r="G935" s="76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</row>
    <row r="936">
      <c r="A936" s="14"/>
      <c r="B936" s="90"/>
      <c r="C936" s="75"/>
      <c r="D936" s="75"/>
      <c r="E936" s="76"/>
      <c r="F936" s="95"/>
      <c r="G936" s="76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</row>
    <row r="937">
      <c r="A937" s="14"/>
      <c r="B937" s="90"/>
      <c r="C937" s="75"/>
      <c r="D937" s="75"/>
      <c r="E937" s="76"/>
      <c r="F937" s="95"/>
      <c r="G937" s="76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</row>
    <row r="938">
      <c r="A938" s="14"/>
      <c r="B938" s="90"/>
      <c r="C938" s="75"/>
      <c r="D938" s="75"/>
      <c r="E938" s="76"/>
      <c r="F938" s="95"/>
      <c r="G938" s="76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</row>
    <row r="939">
      <c r="A939" s="14"/>
      <c r="B939" s="90"/>
      <c r="C939" s="75"/>
      <c r="D939" s="75"/>
      <c r="E939" s="76"/>
      <c r="F939" s="95"/>
      <c r="G939" s="76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</row>
    <row r="940">
      <c r="A940" s="14"/>
      <c r="B940" s="90"/>
      <c r="C940" s="75"/>
      <c r="D940" s="75"/>
      <c r="E940" s="76"/>
      <c r="F940" s="95"/>
      <c r="G940" s="76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</row>
    <row r="941">
      <c r="A941" s="14"/>
      <c r="B941" s="90"/>
      <c r="C941" s="75"/>
      <c r="D941" s="75"/>
      <c r="E941" s="76"/>
      <c r="F941" s="95"/>
      <c r="G941" s="76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</row>
    <row r="942">
      <c r="A942" s="14"/>
      <c r="B942" s="90"/>
      <c r="C942" s="75"/>
      <c r="D942" s="75"/>
      <c r="E942" s="76"/>
      <c r="F942" s="95"/>
      <c r="G942" s="76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</row>
    <row r="943">
      <c r="A943" s="14"/>
      <c r="B943" s="90"/>
      <c r="C943" s="75"/>
      <c r="D943" s="75"/>
      <c r="E943" s="76"/>
      <c r="F943" s="95"/>
      <c r="G943" s="76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</row>
    <row r="944">
      <c r="A944" s="14"/>
      <c r="B944" s="90"/>
      <c r="C944" s="75"/>
      <c r="D944" s="75"/>
      <c r="E944" s="76"/>
      <c r="F944" s="95"/>
      <c r="G944" s="76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</row>
    <row r="945">
      <c r="A945" s="14"/>
      <c r="B945" s="90"/>
      <c r="C945" s="75"/>
      <c r="D945" s="75"/>
      <c r="E945" s="76"/>
      <c r="F945" s="95"/>
      <c r="G945" s="76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</row>
    <row r="946">
      <c r="A946" s="14"/>
      <c r="B946" s="90"/>
      <c r="C946" s="75"/>
      <c r="D946" s="75"/>
      <c r="E946" s="76"/>
      <c r="F946" s="95"/>
      <c r="G946" s="76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</row>
    <row r="947">
      <c r="A947" s="14"/>
      <c r="B947" s="90"/>
      <c r="C947" s="75"/>
      <c r="D947" s="75"/>
      <c r="E947" s="76"/>
      <c r="F947" s="95"/>
      <c r="G947" s="76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</row>
    <row r="948">
      <c r="A948" s="14"/>
      <c r="B948" s="90"/>
      <c r="C948" s="75"/>
      <c r="D948" s="75"/>
      <c r="E948" s="76"/>
      <c r="F948" s="95"/>
      <c r="G948" s="76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</row>
    <row r="949">
      <c r="A949" s="14"/>
      <c r="B949" s="90"/>
      <c r="C949" s="75"/>
      <c r="D949" s="75"/>
      <c r="E949" s="76"/>
      <c r="F949" s="95"/>
      <c r="G949" s="76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</row>
    <row r="950">
      <c r="A950" s="14"/>
      <c r="B950" s="90"/>
      <c r="C950" s="75"/>
      <c r="D950" s="75"/>
      <c r="E950" s="76"/>
      <c r="F950" s="95"/>
      <c r="G950" s="76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</row>
    <row r="951">
      <c r="A951" s="14"/>
      <c r="B951" s="90"/>
      <c r="C951" s="75"/>
      <c r="D951" s="75"/>
      <c r="E951" s="76"/>
      <c r="F951" s="95"/>
      <c r="G951" s="76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</row>
    <row r="952">
      <c r="A952" s="14"/>
      <c r="B952" s="90"/>
      <c r="C952" s="75"/>
      <c r="D952" s="75"/>
      <c r="E952" s="76"/>
      <c r="F952" s="95"/>
      <c r="G952" s="76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</row>
    <row r="953">
      <c r="A953" s="14"/>
      <c r="B953" s="90"/>
      <c r="C953" s="75"/>
      <c r="D953" s="75"/>
      <c r="E953" s="76"/>
      <c r="F953" s="95"/>
      <c r="G953" s="76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</row>
    <row r="954">
      <c r="A954" s="14"/>
      <c r="B954" s="90"/>
      <c r="C954" s="75"/>
      <c r="D954" s="75"/>
      <c r="E954" s="76"/>
      <c r="F954" s="95"/>
      <c r="G954" s="76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</row>
    <row r="955">
      <c r="A955" s="14"/>
      <c r="B955" s="90"/>
      <c r="C955" s="75"/>
      <c r="D955" s="75"/>
      <c r="E955" s="76"/>
      <c r="F955" s="95"/>
      <c r="G955" s="76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</row>
    <row r="956">
      <c r="A956" s="14"/>
      <c r="B956" s="90"/>
      <c r="C956" s="75"/>
      <c r="D956" s="75"/>
      <c r="E956" s="76"/>
      <c r="F956" s="95"/>
      <c r="G956" s="76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</row>
    <row r="957">
      <c r="A957" s="14"/>
      <c r="B957" s="90"/>
      <c r="C957" s="75"/>
      <c r="D957" s="75"/>
      <c r="E957" s="76"/>
      <c r="F957" s="95"/>
      <c r="G957" s="76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</row>
    <row r="958">
      <c r="A958" s="14"/>
      <c r="B958" s="90"/>
      <c r="C958" s="75"/>
      <c r="D958" s="75"/>
      <c r="E958" s="76"/>
      <c r="F958" s="95"/>
      <c r="G958" s="76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</row>
    <row r="959">
      <c r="A959" s="14"/>
      <c r="B959" s="90"/>
      <c r="C959" s="75"/>
      <c r="D959" s="75"/>
      <c r="E959" s="76"/>
      <c r="F959" s="95"/>
      <c r="G959" s="76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</row>
    <row r="960">
      <c r="A960" s="14"/>
      <c r="B960" s="90"/>
      <c r="C960" s="75"/>
      <c r="D960" s="75"/>
      <c r="E960" s="76"/>
      <c r="F960" s="95"/>
      <c r="G960" s="76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</row>
    <row r="961">
      <c r="A961" s="14"/>
      <c r="B961" s="90"/>
      <c r="C961" s="75"/>
      <c r="D961" s="75"/>
      <c r="E961" s="76"/>
      <c r="F961" s="95"/>
      <c r="G961" s="76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</row>
    <row r="962">
      <c r="A962" s="14"/>
      <c r="B962" s="90"/>
      <c r="C962" s="75"/>
      <c r="D962" s="75"/>
      <c r="E962" s="76"/>
      <c r="F962" s="95"/>
      <c r="G962" s="76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</row>
    <row r="963">
      <c r="A963" s="14"/>
      <c r="B963" s="90"/>
      <c r="C963" s="75"/>
      <c r="D963" s="75"/>
      <c r="E963" s="76"/>
      <c r="F963" s="95"/>
      <c r="G963" s="76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</row>
    <row r="964">
      <c r="A964" s="14"/>
      <c r="B964" s="90"/>
      <c r="C964" s="75"/>
      <c r="D964" s="75"/>
      <c r="E964" s="76"/>
      <c r="F964" s="95"/>
      <c r="G964" s="76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</row>
    <row r="965">
      <c r="A965" s="14"/>
      <c r="B965" s="90"/>
      <c r="C965" s="75"/>
      <c r="D965" s="75"/>
      <c r="E965" s="76"/>
      <c r="F965" s="95"/>
      <c r="G965" s="76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</row>
    <row r="966">
      <c r="A966" s="14"/>
      <c r="B966" s="90"/>
      <c r="C966" s="75"/>
      <c r="D966" s="75"/>
      <c r="E966" s="76"/>
      <c r="F966" s="95"/>
      <c r="G966" s="76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</row>
    <row r="967">
      <c r="A967" s="14"/>
      <c r="B967" s="90"/>
      <c r="C967" s="75"/>
      <c r="D967" s="75"/>
      <c r="E967" s="76"/>
      <c r="F967" s="95"/>
      <c r="G967" s="76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</row>
    <row r="968">
      <c r="A968" s="14"/>
      <c r="B968" s="90"/>
      <c r="C968" s="75"/>
      <c r="D968" s="75"/>
      <c r="E968" s="76"/>
      <c r="F968" s="95"/>
      <c r="G968" s="76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</row>
    <row r="969">
      <c r="A969" s="14"/>
      <c r="B969" s="90"/>
      <c r="C969" s="75"/>
      <c r="D969" s="75"/>
      <c r="E969" s="76"/>
      <c r="F969" s="95"/>
      <c r="G969" s="76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</row>
    <row r="970">
      <c r="A970" s="14"/>
      <c r="B970" s="90"/>
      <c r="C970" s="75"/>
      <c r="D970" s="75"/>
      <c r="E970" s="76"/>
      <c r="F970" s="95"/>
      <c r="G970" s="76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</row>
    <row r="971">
      <c r="A971" s="14"/>
      <c r="B971" s="90"/>
      <c r="C971" s="75"/>
      <c r="D971" s="75"/>
      <c r="E971" s="76"/>
      <c r="F971" s="95"/>
      <c r="G971" s="76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</row>
    <row r="972">
      <c r="A972" s="14"/>
      <c r="B972" s="90"/>
      <c r="C972" s="75"/>
      <c r="D972" s="75"/>
      <c r="E972" s="76"/>
      <c r="F972" s="95"/>
      <c r="G972" s="76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</row>
    <row r="973">
      <c r="A973" s="14"/>
      <c r="B973" s="90"/>
      <c r="C973" s="75"/>
      <c r="D973" s="75"/>
      <c r="E973" s="76"/>
      <c r="F973" s="95"/>
      <c r="G973" s="76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</row>
    <row r="974">
      <c r="A974" s="14"/>
      <c r="B974" s="90"/>
      <c r="C974" s="75"/>
      <c r="D974" s="75"/>
      <c r="E974" s="76"/>
      <c r="F974" s="95"/>
      <c r="G974" s="76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</row>
    <row r="975">
      <c r="A975" s="14"/>
      <c r="B975" s="90"/>
      <c r="C975" s="75"/>
      <c r="D975" s="75"/>
      <c r="E975" s="76"/>
      <c r="F975" s="95"/>
      <c r="G975" s="76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</row>
    <row r="976">
      <c r="A976" s="14"/>
      <c r="B976" s="90"/>
      <c r="C976" s="75"/>
      <c r="D976" s="75"/>
      <c r="E976" s="76"/>
      <c r="F976" s="95"/>
      <c r="G976" s="76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</row>
    <row r="977">
      <c r="A977" s="14"/>
      <c r="B977" s="90"/>
      <c r="C977" s="75"/>
      <c r="D977" s="75"/>
      <c r="E977" s="76"/>
      <c r="F977" s="95"/>
      <c r="G977" s="76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</row>
    <row r="978">
      <c r="A978" s="14"/>
      <c r="B978" s="90"/>
      <c r="C978" s="75"/>
      <c r="D978" s="75"/>
      <c r="E978" s="76"/>
      <c r="F978" s="95"/>
      <c r="G978" s="76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</row>
    <row r="979">
      <c r="A979" s="14"/>
      <c r="B979" s="90"/>
      <c r="C979" s="75"/>
      <c r="D979" s="75"/>
      <c r="E979" s="76"/>
      <c r="F979" s="95"/>
      <c r="G979" s="76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</row>
    <row r="980">
      <c r="A980" s="14"/>
      <c r="B980" s="90"/>
      <c r="C980" s="75"/>
      <c r="D980" s="75"/>
      <c r="E980" s="76"/>
      <c r="F980" s="95"/>
      <c r="G980" s="76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</row>
    <row r="981">
      <c r="A981" s="14"/>
      <c r="B981" s="90"/>
      <c r="C981" s="75"/>
      <c r="D981" s="75"/>
      <c r="E981" s="76"/>
      <c r="F981" s="95"/>
      <c r="G981" s="76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</row>
    <row r="982">
      <c r="A982" s="14"/>
      <c r="B982" s="90"/>
      <c r="C982" s="75"/>
      <c r="D982" s="75"/>
      <c r="E982" s="76"/>
      <c r="F982" s="95"/>
      <c r="G982" s="76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</row>
    <row r="983">
      <c r="A983" s="14"/>
      <c r="B983" s="90"/>
      <c r="C983" s="75"/>
      <c r="D983" s="75"/>
      <c r="E983" s="76"/>
      <c r="F983" s="95"/>
      <c r="G983" s="76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</row>
    <row r="984">
      <c r="A984" s="14"/>
      <c r="B984" s="90"/>
      <c r="C984" s="75"/>
      <c r="D984" s="75"/>
      <c r="E984" s="76"/>
      <c r="F984" s="95"/>
      <c r="G984" s="76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</row>
    <row r="985">
      <c r="A985" s="14"/>
      <c r="B985" s="90"/>
      <c r="C985" s="75"/>
      <c r="D985" s="75"/>
      <c r="E985" s="76"/>
      <c r="F985" s="95"/>
      <c r="G985" s="76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</row>
    <row r="986">
      <c r="A986" s="14"/>
      <c r="B986" s="90"/>
      <c r="C986" s="75"/>
      <c r="D986" s="75"/>
      <c r="E986" s="76"/>
      <c r="F986" s="95"/>
      <c r="G986" s="76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</row>
    <row r="987">
      <c r="A987" s="14"/>
      <c r="B987" s="90"/>
      <c r="C987" s="75"/>
      <c r="D987" s="75"/>
      <c r="E987" s="76"/>
      <c r="F987" s="95"/>
      <c r="G987" s="76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</row>
    <row r="988">
      <c r="A988" s="14"/>
      <c r="B988" s="90"/>
      <c r="C988" s="75"/>
      <c r="D988" s="75"/>
      <c r="E988" s="76"/>
      <c r="F988" s="95"/>
      <c r="G988" s="76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</row>
    <row r="989">
      <c r="A989" s="14"/>
      <c r="B989" s="90"/>
      <c r="C989" s="75"/>
      <c r="D989" s="75"/>
      <c r="E989" s="76"/>
      <c r="F989" s="95"/>
      <c r="G989" s="76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</row>
    <row r="990">
      <c r="A990" s="14"/>
      <c r="B990" s="90"/>
      <c r="C990" s="75"/>
      <c r="D990" s="75"/>
      <c r="E990" s="76"/>
      <c r="F990" s="95"/>
      <c r="G990" s="76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</row>
    <row r="991">
      <c r="A991" s="14"/>
      <c r="B991" s="90"/>
      <c r="C991" s="75"/>
      <c r="D991" s="75"/>
      <c r="E991" s="76"/>
      <c r="F991" s="95"/>
      <c r="G991" s="76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</row>
    <row r="992">
      <c r="A992" s="14"/>
      <c r="B992" s="90"/>
      <c r="C992" s="75"/>
      <c r="D992" s="75"/>
      <c r="E992" s="76"/>
      <c r="F992" s="95"/>
      <c r="G992" s="76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</row>
    <row r="993">
      <c r="A993" s="14"/>
      <c r="B993" s="90"/>
      <c r="C993" s="75"/>
      <c r="D993" s="75"/>
      <c r="E993" s="76"/>
      <c r="F993" s="95"/>
      <c r="G993" s="76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</row>
    <row r="994">
      <c r="A994" s="14"/>
      <c r="B994" s="90"/>
      <c r="C994" s="75"/>
      <c r="D994" s="75"/>
      <c r="E994" s="76"/>
      <c r="F994" s="95"/>
      <c r="G994" s="76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</row>
    <row r="995">
      <c r="A995" s="14"/>
      <c r="B995" s="90"/>
      <c r="C995" s="75"/>
      <c r="D995" s="75"/>
      <c r="E995" s="76"/>
      <c r="F995" s="95"/>
      <c r="G995" s="76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</row>
    <row r="996">
      <c r="A996" s="14"/>
      <c r="B996" s="90"/>
      <c r="C996" s="75"/>
      <c r="D996" s="75"/>
      <c r="E996" s="76"/>
      <c r="F996" s="95"/>
      <c r="G996" s="76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</row>
    <row r="997">
      <c r="A997" s="14"/>
      <c r="B997" s="90"/>
      <c r="C997" s="75"/>
      <c r="D997" s="75"/>
      <c r="E997" s="76"/>
      <c r="F997" s="95"/>
      <c r="G997" s="76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</row>
    <row r="998">
      <c r="A998" s="14"/>
      <c r="B998" s="90"/>
      <c r="C998" s="75"/>
      <c r="D998" s="75"/>
      <c r="E998" s="76"/>
      <c r="F998" s="95"/>
      <c r="G998" s="76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</row>
    <row r="999">
      <c r="A999" s="14"/>
      <c r="B999" s="90"/>
      <c r="C999" s="75"/>
      <c r="D999" s="75"/>
      <c r="E999" s="76"/>
      <c r="F999" s="95"/>
      <c r="G999" s="76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</row>
    <row r="1000">
      <c r="A1000" s="14"/>
      <c r="B1000" s="90"/>
      <c r="C1000" s="75"/>
      <c r="D1000" s="75"/>
      <c r="E1000" s="76"/>
      <c r="F1000" s="95"/>
      <c r="G1000" s="76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</row>
    <row r="1001">
      <c r="A1001" s="14"/>
      <c r="B1001" s="90"/>
      <c r="C1001" s="75"/>
      <c r="D1001" s="75"/>
      <c r="E1001" s="76"/>
      <c r="F1001" s="95"/>
      <c r="G1001" s="76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</row>
    <row r="1002">
      <c r="A1002" s="14"/>
      <c r="B1002" s="90"/>
      <c r="C1002" s="75"/>
      <c r="D1002" s="75"/>
      <c r="E1002" s="76"/>
      <c r="F1002" s="95"/>
      <c r="G1002" s="76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</row>
    <row r="1003">
      <c r="A1003" s="14"/>
      <c r="B1003" s="90"/>
      <c r="C1003" s="75"/>
      <c r="D1003" s="75"/>
      <c r="E1003" s="76"/>
      <c r="F1003" s="95"/>
      <c r="G1003" s="76"/>
      <c r="H1003" s="69"/>
      <c r="I1003" s="69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  <c r="T1003" s="69"/>
    </row>
    <row r="1004">
      <c r="A1004" s="14"/>
      <c r="B1004" s="90"/>
      <c r="C1004" s="75"/>
      <c r="D1004" s="75"/>
      <c r="E1004" s="76"/>
      <c r="F1004" s="95"/>
      <c r="G1004" s="76"/>
      <c r="H1004" s="69"/>
      <c r="I1004" s="69"/>
      <c r="J1004" s="69"/>
      <c r="K1004" s="69"/>
      <c r="L1004" s="69"/>
      <c r="M1004" s="69"/>
      <c r="N1004" s="69"/>
      <c r="O1004" s="69"/>
      <c r="P1004" s="69"/>
      <c r="Q1004" s="69"/>
      <c r="R1004" s="69"/>
      <c r="S1004" s="69"/>
      <c r="T1004" s="6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4" max="4" width="15.38"/>
  </cols>
  <sheetData>
    <row r="1">
      <c r="A1" s="61" t="s">
        <v>460</v>
      </c>
      <c r="B1" s="63" t="s">
        <v>461</v>
      </c>
      <c r="C1" s="96" t="s">
        <v>15</v>
      </c>
      <c r="D1" s="96" t="s">
        <v>526</v>
      </c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</row>
    <row r="2">
      <c r="A2" s="70">
        <v>10101.0</v>
      </c>
      <c r="B2" s="63" t="s">
        <v>33</v>
      </c>
      <c r="C2" s="71">
        <v>75.0</v>
      </c>
      <c r="D2" s="79">
        <v>168.0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</row>
    <row r="3">
      <c r="A3" s="70">
        <v>10102.0</v>
      </c>
      <c r="B3" s="63" t="s">
        <v>36</v>
      </c>
      <c r="C3" s="71">
        <v>0.0</v>
      </c>
      <c r="D3" s="79">
        <v>11.0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</row>
    <row r="4">
      <c r="A4" s="70">
        <v>10103.0</v>
      </c>
      <c r="B4" s="63" t="s">
        <v>37</v>
      </c>
      <c r="C4" s="71">
        <v>22.0</v>
      </c>
      <c r="D4" s="79">
        <v>1.0</v>
      </c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</row>
    <row r="5">
      <c r="A5" s="70">
        <v>10201.0</v>
      </c>
      <c r="B5" s="63" t="s">
        <v>472</v>
      </c>
      <c r="C5" s="71">
        <v>3.0</v>
      </c>
      <c r="D5" s="79">
        <v>1.0</v>
      </c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</row>
    <row r="6">
      <c r="A6" s="70">
        <v>10202.0</v>
      </c>
      <c r="B6" s="63" t="s">
        <v>40</v>
      </c>
      <c r="C6" s="71">
        <v>6.0</v>
      </c>
      <c r="D6" s="79">
        <v>0.0</v>
      </c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</row>
    <row r="7">
      <c r="A7" s="70">
        <v>10301.0</v>
      </c>
      <c r="B7" s="63" t="s">
        <v>473</v>
      </c>
      <c r="C7" s="71">
        <v>4.0</v>
      </c>
      <c r="D7" s="79">
        <v>0.0</v>
      </c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</row>
    <row r="8">
      <c r="A8" s="70">
        <v>10302.0</v>
      </c>
      <c r="B8" s="63" t="s">
        <v>42</v>
      </c>
      <c r="C8" s="71">
        <v>3.0</v>
      </c>
      <c r="D8" s="79">
        <v>0.0</v>
      </c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</row>
    <row r="9">
      <c r="A9" s="70">
        <v>10303.0</v>
      </c>
      <c r="B9" s="63" t="s">
        <v>474</v>
      </c>
      <c r="C9" s="71">
        <v>0.0</v>
      </c>
      <c r="D9" s="79">
        <v>2.0</v>
      </c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</row>
    <row r="10">
      <c r="A10" s="70">
        <v>10304.0</v>
      </c>
      <c r="B10" s="63" t="s">
        <v>44</v>
      </c>
      <c r="C10" s="71">
        <v>0.0</v>
      </c>
      <c r="D10" s="79">
        <v>3.0</v>
      </c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</row>
    <row r="11">
      <c r="A11" s="70">
        <v>10401.0</v>
      </c>
      <c r="B11" s="63" t="s">
        <v>46</v>
      </c>
      <c r="C11" s="71">
        <v>0.0</v>
      </c>
      <c r="D11" s="79">
        <v>15.0</v>
      </c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</row>
    <row r="12">
      <c r="A12" s="70">
        <v>10402.0</v>
      </c>
      <c r="B12" s="63" t="s">
        <v>45</v>
      </c>
      <c r="C12" s="71">
        <v>4.0</v>
      </c>
      <c r="D12" s="79">
        <v>0.0</v>
      </c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</row>
    <row r="13">
      <c r="A13" s="70">
        <v>10403.0</v>
      </c>
      <c r="B13" s="63" t="s">
        <v>47</v>
      </c>
      <c r="C13" s="71">
        <v>1.0</v>
      </c>
      <c r="D13" s="79">
        <v>0.0</v>
      </c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</row>
    <row r="14">
      <c r="A14" s="70">
        <v>10404.0</v>
      </c>
      <c r="B14" s="63" t="s">
        <v>475</v>
      </c>
      <c r="C14" s="71">
        <v>1.0</v>
      </c>
      <c r="D14" s="79">
        <v>0.0</v>
      </c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</row>
    <row r="15">
      <c r="A15" s="70">
        <v>10405.0</v>
      </c>
      <c r="B15" s="63" t="s">
        <v>49</v>
      </c>
      <c r="C15" s="71">
        <v>0.0</v>
      </c>
      <c r="D15" s="79">
        <v>0.0</v>
      </c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</row>
    <row r="16">
      <c r="A16" s="70">
        <v>10501.0</v>
      </c>
      <c r="B16" s="63" t="s">
        <v>51</v>
      </c>
      <c r="C16" s="71">
        <v>13.0</v>
      </c>
      <c r="D16" s="79">
        <v>7.0</v>
      </c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</row>
    <row r="17">
      <c r="A17" s="70">
        <v>10502.0</v>
      </c>
      <c r="B17" s="63" t="s">
        <v>479</v>
      </c>
      <c r="C17" s="71">
        <v>8.0</v>
      </c>
      <c r="D17" s="79">
        <v>0.0</v>
      </c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</row>
    <row r="18">
      <c r="A18" s="70">
        <v>10601.0</v>
      </c>
      <c r="B18" s="63" t="s">
        <v>54</v>
      </c>
      <c r="C18" s="71">
        <v>3.0</v>
      </c>
      <c r="D18" s="79">
        <v>2.0</v>
      </c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</row>
    <row r="19">
      <c r="A19" s="70">
        <v>10602.0</v>
      </c>
      <c r="B19" s="63" t="s">
        <v>53</v>
      </c>
      <c r="C19" s="71">
        <v>5.0</v>
      </c>
      <c r="D19" s="79">
        <v>2.0</v>
      </c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</row>
    <row r="20">
      <c r="A20" s="70">
        <v>10701.0</v>
      </c>
      <c r="B20" s="63" t="s">
        <v>56</v>
      </c>
      <c r="C20" s="71">
        <v>4.0</v>
      </c>
      <c r="D20" s="79">
        <v>9.0</v>
      </c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</row>
    <row r="21">
      <c r="A21" s="70">
        <v>10702.0</v>
      </c>
      <c r="B21" s="63" t="s">
        <v>57</v>
      </c>
      <c r="C21" s="71">
        <v>8.0</v>
      </c>
      <c r="D21" s="79">
        <v>13.0</v>
      </c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</row>
    <row r="22">
      <c r="A22" s="70">
        <v>10703.0</v>
      </c>
      <c r="B22" s="63" t="s">
        <v>58</v>
      </c>
      <c r="C22" s="71">
        <v>0.0</v>
      </c>
      <c r="D22" s="79">
        <v>6.0</v>
      </c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</row>
    <row r="23">
      <c r="A23" s="70">
        <v>10704.0</v>
      </c>
      <c r="B23" s="63" t="s">
        <v>59</v>
      </c>
      <c r="C23" s="71">
        <v>1.0</v>
      </c>
      <c r="D23" s="79">
        <v>14.0</v>
      </c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</row>
    <row r="24">
      <c r="A24" s="70">
        <v>10801.0</v>
      </c>
      <c r="B24" s="63" t="s">
        <v>61</v>
      </c>
      <c r="C24" s="71">
        <v>8.0</v>
      </c>
      <c r="D24" s="79">
        <v>2.0</v>
      </c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</row>
    <row r="25">
      <c r="A25" s="70">
        <v>10901.0</v>
      </c>
      <c r="B25" s="63" t="s">
        <v>63</v>
      </c>
      <c r="C25" s="71">
        <v>0.0</v>
      </c>
      <c r="D25" s="79">
        <v>0.0</v>
      </c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</row>
    <row r="26">
      <c r="A26" s="70">
        <v>10902.0</v>
      </c>
      <c r="B26" s="63" t="s">
        <v>64</v>
      </c>
      <c r="C26" s="71">
        <v>0.0</v>
      </c>
      <c r="D26" s="79">
        <v>0.0</v>
      </c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</row>
    <row r="27">
      <c r="A27" s="70">
        <v>10903.0</v>
      </c>
      <c r="B27" s="63" t="s">
        <v>65</v>
      </c>
      <c r="C27" s="71">
        <v>0.0</v>
      </c>
      <c r="D27" s="79">
        <v>0.0</v>
      </c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</row>
    <row r="28">
      <c r="A28" s="70">
        <v>11001.0</v>
      </c>
      <c r="B28" s="63" t="s">
        <v>483</v>
      </c>
      <c r="C28" s="71">
        <v>2.0</v>
      </c>
      <c r="D28" s="79">
        <v>24.0</v>
      </c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</row>
    <row r="29">
      <c r="A29" s="70">
        <v>11002.0</v>
      </c>
      <c r="B29" s="63" t="s">
        <v>484</v>
      </c>
      <c r="C29" s="71">
        <v>0.0</v>
      </c>
      <c r="D29" s="79">
        <v>1.0</v>
      </c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</row>
    <row r="30">
      <c r="A30" s="70">
        <v>11003.0</v>
      </c>
      <c r="B30" s="63" t="s">
        <v>69</v>
      </c>
      <c r="C30" s="71">
        <v>0.0</v>
      </c>
      <c r="D30" s="79">
        <v>4.0</v>
      </c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</row>
    <row r="31">
      <c r="A31" s="70">
        <v>20101.0</v>
      </c>
      <c r="B31" s="63" t="s">
        <v>72</v>
      </c>
      <c r="C31" s="71">
        <v>130.0</v>
      </c>
      <c r="D31" s="79">
        <v>142.0</v>
      </c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</row>
    <row r="32">
      <c r="A32" s="70">
        <v>20102.0</v>
      </c>
      <c r="B32" s="63" t="s">
        <v>73</v>
      </c>
      <c r="C32" s="71">
        <v>2.0</v>
      </c>
      <c r="D32" s="79">
        <v>7.0</v>
      </c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</row>
    <row r="33">
      <c r="A33" s="70">
        <v>20103.0</v>
      </c>
      <c r="B33" s="63" t="s">
        <v>74</v>
      </c>
      <c r="C33" s="71">
        <v>5.0</v>
      </c>
      <c r="D33" s="79">
        <v>5.0</v>
      </c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</row>
    <row r="34">
      <c r="A34" s="70">
        <v>20104.0</v>
      </c>
      <c r="B34" s="63" t="s">
        <v>75</v>
      </c>
      <c r="C34" s="71">
        <v>17.0</v>
      </c>
      <c r="D34" s="79">
        <v>74.0</v>
      </c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</row>
    <row r="35">
      <c r="A35" s="70">
        <v>20105.0</v>
      </c>
      <c r="B35" s="63" t="s">
        <v>76</v>
      </c>
      <c r="C35" s="71">
        <v>291.0</v>
      </c>
      <c r="D35" s="79">
        <v>247.0</v>
      </c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</row>
    <row r="36">
      <c r="A36" s="70">
        <v>20201.0</v>
      </c>
      <c r="B36" s="63" t="s">
        <v>78</v>
      </c>
      <c r="C36" s="71">
        <v>4.0</v>
      </c>
      <c r="D36" s="79">
        <v>78.0</v>
      </c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</row>
    <row r="37">
      <c r="A37" s="70">
        <v>20202.0</v>
      </c>
      <c r="B37" s="63" t="s">
        <v>485</v>
      </c>
      <c r="C37" s="71">
        <v>9.0</v>
      </c>
      <c r="D37" s="79">
        <v>38.0</v>
      </c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</row>
    <row r="38">
      <c r="A38" s="70">
        <v>20203.0</v>
      </c>
      <c r="B38" s="63" t="s">
        <v>83</v>
      </c>
      <c r="C38" s="71">
        <v>1.0</v>
      </c>
      <c r="D38" s="79">
        <v>13.0</v>
      </c>
      <c r="E38" s="69"/>
      <c r="F38" s="69"/>
      <c r="G38" s="69"/>
      <c r="H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</row>
    <row r="39">
      <c r="A39" s="70">
        <v>20204.0</v>
      </c>
      <c r="B39" s="63" t="s">
        <v>80</v>
      </c>
      <c r="C39" s="71">
        <v>0.0</v>
      </c>
      <c r="D39" s="79">
        <v>25.0</v>
      </c>
      <c r="E39" s="69"/>
      <c r="F39" s="69"/>
      <c r="G39" s="69"/>
      <c r="H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</row>
    <row r="40">
      <c r="A40" s="70">
        <v>20205.0</v>
      </c>
      <c r="B40" s="63" t="s">
        <v>81</v>
      </c>
      <c r="C40" s="71">
        <v>1.0</v>
      </c>
      <c r="D40" s="79">
        <v>8.0</v>
      </c>
      <c r="E40" s="69"/>
      <c r="F40" s="69"/>
      <c r="G40" s="69"/>
      <c r="H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</row>
    <row r="41">
      <c r="A41" s="70">
        <v>20206.0</v>
      </c>
      <c r="B41" s="63" t="s">
        <v>82</v>
      </c>
      <c r="C41" s="71">
        <v>0.0</v>
      </c>
      <c r="D41" s="79">
        <v>10.0</v>
      </c>
      <c r="E41" s="69"/>
      <c r="F41" s="69"/>
      <c r="G41" s="69"/>
      <c r="H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</row>
    <row r="42">
      <c r="A42" s="70">
        <v>20301.0</v>
      </c>
      <c r="B42" s="63" t="s">
        <v>486</v>
      </c>
      <c r="C42" s="71">
        <v>1.0</v>
      </c>
      <c r="D42" s="79">
        <v>5.0</v>
      </c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</row>
    <row r="43">
      <c r="A43" s="70">
        <v>20302.0</v>
      </c>
      <c r="B43" s="63" t="s">
        <v>86</v>
      </c>
      <c r="C43" s="71">
        <v>1.0</v>
      </c>
      <c r="D43" s="79">
        <v>6.0</v>
      </c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</row>
    <row r="44">
      <c r="A44" s="70">
        <v>20303.0</v>
      </c>
      <c r="B44" s="63" t="s">
        <v>87</v>
      </c>
      <c r="C44" s="71">
        <v>3.0</v>
      </c>
      <c r="D44" s="79">
        <v>10.0</v>
      </c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</row>
    <row r="45">
      <c r="A45" s="70">
        <v>20304.0</v>
      </c>
      <c r="B45" s="63" t="s">
        <v>88</v>
      </c>
      <c r="C45" s="71">
        <v>7.0</v>
      </c>
      <c r="D45" s="79">
        <v>0.0</v>
      </c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</row>
    <row r="46">
      <c r="A46" s="70">
        <v>20305.0</v>
      </c>
      <c r="B46" s="63" t="s">
        <v>89</v>
      </c>
      <c r="C46" s="71">
        <v>0.0</v>
      </c>
      <c r="D46" s="79">
        <v>1.0</v>
      </c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</row>
    <row r="47">
      <c r="A47" s="70">
        <v>20306.0</v>
      </c>
      <c r="B47" s="63" t="s">
        <v>487</v>
      </c>
      <c r="C47" s="71">
        <v>0.0</v>
      </c>
      <c r="D47" s="79">
        <v>5.0</v>
      </c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</row>
    <row r="48">
      <c r="A48" s="70">
        <v>20307.0</v>
      </c>
      <c r="B48" s="63" t="s">
        <v>91</v>
      </c>
      <c r="C48" s="71">
        <v>1.0</v>
      </c>
      <c r="D48" s="79">
        <v>3.0</v>
      </c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</row>
    <row r="49">
      <c r="A49" s="70">
        <v>20308.0</v>
      </c>
      <c r="B49" s="63" t="s">
        <v>92</v>
      </c>
      <c r="C49" s="71">
        <v>1.0</v>
      </c>
      <c r="D49" s="79">
        <v>0.0</v>
      </c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</row>
    <row r="50">
      <c r="A50" s="70">
        <v>20401.0</v>
      </c>
      <c r="B50" s="63" t="s">
        <v>94</v>
      </c>
      <c r="C50" s="71">
        <v>4.0</v>
      </c>
      <c r="D50" s="79">
        <v>6.0</v>
      </c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</row>
    <row r="51">
      <c r="A51" s="70">
        <v>20402.0</v>
      </c>
      <c r="B51" s="63" t="s">
        <v>95</v>
      </c>
      <c r="C51" s="71">
        <v>2.0</v>
      </c>
      <c r="D51" s="79">
        <v>9.0</v>
      </c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</row>
    <row r="52">
      <c r="A52" s="70">
        <v>20403.0</v>
      </c>
      <c r="B52" s="63" t="s">
        <v>96</v>
      </c>
      <c r="C52" s="71">
        <v>8.0</v>
      </c>
      <c r="D52" s="79">
        <v>4.0</v>
      </c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</row>
    <row r="53">
      <c r="A53" s="70">
        <v>20404.0</v>
      </c>
      <c r="B53" s="63" t="s">
        <v>97</v>
      </c>
      <c r="C53" s="71">
        <v>0.0</v>
      </c>
      <c r="D53" s="79">
        <v>0.0</v>
      </c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</row>
    <row r="54">
      <c r="A54" s="70">
        <v>20405.0</v>
      </c>
      <c r="B54" s="63" t="s">
        <v>98</v>
      </c>
      <c r="C54" s="71">
        <v>1.0</v>
      </c>
      <c r="D54" s="79">
        <v>8.0</v>
      </c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</row>
    <row r="55">
      <c r="A55" s="70">
        <v>20501.0</v>
      </c>
      <c r="B55" s="63" t="s">
        <v>100</v>
      </c>
      <c r="C55" s="71">
        <v>1.0</v>
      </c>
      <c r="D55" s="79">
        <v>9.0</v>
      </c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</row>
    <row r="56">
      <c r="A56" s="70">
        <v>20502.0</v>
      </c>
      <c r="B56" s="63" t="s">
        <v>101</v>
      </c>
      <c r="C56" s="71">
        <v>1.0</v>
      </c>
      <c r="D56" s="79">
        <v>0.0</v>
      </c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</row>
    <row r="57">
      <c r="A57" s="70">
        <v>20503.0</v>
      </c>
      <c r="B57" s="63" t="s">
        <v>102</v>
      </c>
      <c r="C57" s="71">
        <v>2.0</v>
      </c>
      <c r="D57" s="79">
        <v>3.0</v>
      </c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</row>
    <row r="58">
      <c r="A58" s="70">
        <v>20601.0</v>
      </c>
      <c r="B58" s="63" t="s">
        <v>104</v>
      </c>
      <c r="C58" s="71">
        <v>1.0</v>
      </c>
      <c r="D58" s="79">
        <v>30.0</v>
      </c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</row>
    <row r="59">
      <c r="A59" s="70">
        <v>20602.0</v>
      </c>
      <c r="B59" s="63" t="s">
        <v>105</v>
      </c>
      <c r="C59" s="71">
        <v>0.0</v>
      </c>
      <c r="D59" s="79">
        <v>7.0</v>
      </c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</row>
    <row r="60">
      <c r="A60" s="70">
        <v>20603.0</v>
      </c>
      <c r="B60" s="63" t="s">
        <v>106</v>
      </c>
      <c r="C60" s="71">
        <v>2.0</v>
      </c>
      <c r="D60" s="79">
        <v>5.0</v>
      </c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</row>
    <row r="61">
      <c r="A61" s="70">
        <v>20604.0</v>
      </c>
      <c r="B61" s="63" t="s">
        <v>107</v>
      </c>
      <c r="C61" s="71">
        <v>17.0</v>
      </c>
      <c r="D61" s="79">
        <v>0.0</v>
      </c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</row>
    <row r="62">
      <c r="A62" s="70">
        <v>20605.0</v>
      </c>
      <c r="B62" s="63" t="s">
        <v>108</v>
      </c>
      <c r="C62" s="71">
        <v>2.0</v>
      </c>
      <c r="D62" s="79">
        <v>0.0</v>
      </c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</row>
    <row r="63">
      <c r="A63" s="70">
        <v>20606.0</v>
      </c>
      <c r="B63" s="63" t="s">
        <v>109</v>
      </c>
      <c r="C63" s="71">
        <v>5.0</v>
      </c>
      <c r="D63" s="79">
        <v>2.0</v>
      </c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</row>
    <row r="64">
      <c r="A64" s="70">
        <v>20607.0</v>
      </c>
      <c r="B64" s="63" t="s">
        <v>110</v>
      </c>
      <c r="C64" s="71">
        <v>0.0</v>
      </c>
      <c r="D64" s="79">
        <v>27.0</v>
      </c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</row>
    <row r="65">
      <c r="A65" s="70">
        <v>20608.0</v>
      </c>
      <c r="B65" s="63" t="s">
        <v>111</v>
      </c>
      <c r="C65" s="71">
        <v>3.0</v>
      </c>
      <c r="D65" s="79">
        <v>1.0</v>
      </c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</row>
    <row r="66">
      <c r="A66" s="70">
        <v>20701.0</v>
      </c>
      <c r="B66" s="63" t="s">
        <v>113</v>
      </c>
      <c r="C66" s="71">
        <v>3.0</v>
      </c>
      <c r="D66" s="79">
        <v>9.0</v>
      </c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</row>
    <row r="67">
      <c r="A67" s="70">
        <v>20702.0</v>
      </c>
      <c r="B67" s="63" t="s">
        <v>114</v>
      </c>
      <c r="C67" s="71">
        <v>0.0</v>
      </c>
      <c r="D67" s="79">
        <v>8.0</v>
      </c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</row>
    <row r="68">
      <c r="A68" s="70">
        <v>20801.0</v>
      </c>
      <c r="B68" s="63" t="s">
        <v>116</v>
      </c>
      <c r="C68" s="71">
        <v>31.0</v>
      </c>
      <c r="D68" s="79">
        <v>140.0</v>
      </c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</row>
    <row r="69">
      <c r="A69" s="70">
        <v>20802.0</v>
      </c>
      <c r="B69" s="63" t="s">
        <v>488</v>
      </c>
      <c r="C69" s="71">
        <v>0.0</v>
      </c>
      <c r="D69" s="79">
        <v>21.0</v>
      </c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</row>
    <row r="70">
      <c r="A70" s="70">
        <v>20803.0</v>
      </c>
      <c r="B70" s="63" t="s">
        <v>118</v>
      </c>
      <c r="C70" s="71">
        <v>0.0</v>
      </c>
      <c r="D70" s="79">
        <v>9.0</v>
      </c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</row>
    <row r="71">
      <c r="A71" s="70">
        <v>20804.0</v>
      </c>
      <c r="B71" s="63" t="s">
        <v>119</v>
      </c>
      <c r="C71" s="71">
        <v>0.0</v>
      </c>
      <c r="D71" s="79">
        <v>2.0</v>
      </c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</row>
    <row r="72">
      <c r="A72" s="70">
        <v>20805.0</v>
      </c>
      <c r="B72" s="63" t="s">
        <v>489</v>
      </c>
      <c r="C72" s="71">
        <v>0.0</v>
      </c>
      <c r="D72" s="79">
        <v>0.0</v>
      </c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</row>
    <row r="73">
      <c r="A73" s="70">
        <v>20806.0</v>
      </c>
      <c r="B73" s="63" t="s">
        <v>490</v>
      </c>
      <c r="C73" s="71">
        <v>2.0</v>
      </c>
      <c r="D73" s="79">
        <v>5.0</v>
      </c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</row>
    <row r="74">
      <c r="A74" s="70">
        <v>20807.0</v>
      </c>
      <c r="B74" s="63" t="s">
        <v>122</v>
      </c>
      <c r="C74" s="71">
        <v>2.0</v>
      </c>
      <c r="D74" s="79">
        <v>39.0</v>
      </c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</row>
    <row r="75">
      <c r="A75" s="70">
        <v>20901.0</v>
      </c>
      <c r="B75" s="63" t="s">
        <v>124</v>
      </c>
      <c r="C75" s="71">
        <v>0.0</v>
      </c>
      <c r="D75" s="79">
        <v>10.0</v>
      </c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</row>
    <row r="76">
      <c r="A76" s="70">
        <v>20902.0</v>
      </c>
      <c r="B76" s="63" t="s">
        <v>125</v>
      </c>
      <c r="C76" s="71">
        <v>24.0</v>
      </c>
      <c r="D76" s="79">
        <v>6.0</v>
      </c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</row>
    <row r="77">
      <c r="A77" s="70">
        <v>20903.0</v>
      </c>
      <c r="B77" s="63" t="s">
        <v>126</v>
      </c>
      <c r="C77" s="71">
        <v>1.0</v>
      </c>
      <c r="D77" s="79">
        <v>4.0</v>
      </c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</row>
    <row r="78">
      <c r="A78" s="70">
        <v>20904.0</v>
      </c>
      <c r="B78" s="63" t="s">
        <v>127</v>
      </c>
      <c r="C78" s="71">
        <v>2.0</v>
      </c>
      <c r="D78" s="79">
        <v>7.0</v>
      </c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</row>
    <row r="79">
      <c r="A79" s="70">
        <v>20905.0</v>
      </c>
      <c r="B79" s="63" t="s">
        <v>128</v>
      </c>
      <c r="C79" s="71">
        <v>7.0</v>
      </c>
      <c r="D79" s="79">
        <v>2.0</v>
      </c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</row>
    <row r="80">
      <c r="A80" s="70">
        <v>21001.0</v>
      </c>
      <c r="B80" s="63" t="s">
        <v>129</v>
      </c>
      <c r="C80" s="71">
        <v>2.0</v>
      </c>
      <c r="D80" s="79">
        <v>3.0</v>
      </c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</row>
    <row r="81">
      <c r="A81" s="70">
        <v>21002.0</v>
      </c>
      <c r="B81" s="63" t="s">
        <v>130</v>
      </c>
      <c r="C81" s="71">
        <v>7.0</v>
      </c>
      <c r="D81" s="79">
        <v>24.0</v>
      </c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</row>
    <row r="82">
      <c r="A82" s="70">
        <v>21003.0</v>
      </c>
      <c r="B82" s="63" t="s">
        <v>131</v>
      </c>
      <c r="C82" s="71">
        <v>1.0</v>
      </c>
      <c r="D82" s="79">
        <v>15.0</v>
      </c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</row>
    <row r="83">
      <c r="A83" s="70">
        <v>21004.0</v>
      </c>
      <c r="B83" s="63" t="s">
        <v>132</v>
      </c>
      <c r="C83" s="71">
        <v>1.0</v>
      </c>
      <c r="D83" s="79">
        <v>2.0</v>
      </c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</row>
    <row r="84">
      <c r="A84" s="70">
        <v>21005.0</v>
      </c>
      <c r="B84" s="63" t="s">
        <v>133</v>
      </c>
      <c r="C84" s="71">
        <v>0.0</v>
      </c>
      <c r="D84" s="79">
        <v>4.0</v>
      </c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</row>
    <row r="85">
      <c r="A85" s="70">
        <v>21006.0</v>
      </c>
      <c r="B85" s="63" t="s">
        <v>134</v>
      </c>
      <c r="C85" s="71">
        <v>4.0</v>
      </c>
      <c r="D85" s="79">
        <v>0.0</v>
      </c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</row>
    <row r="86">
      <c r="A86" s="70">
        <v>21101.0</v>
      </c>
      <c r="B86" s="63" t="s">
        <v>136</v>
      </c>
      <c r="C86" s="71">
        <v>7.0</v>
      </c>
      <c r="D86" s="79">
        <v>6.0</v>
      </c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</row>
    <row r="87">
      <c r="A87" s="70">
        <v>21102.0</v>
      </c>
      <c r="B87" s="63" t="s">
        <v>137</v>
      </c>
      <c r="C87" s="71">
        <v>92.0</v>
      </c>
      <c r="D87" s="79">
        <v>4.0</v>
      </c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</row>
    <row r="88">
      <c r="A88" s="70">
        <v>21103.0</v>
      </c>
      <c r="B88" s="63" t="s">
        <v>138</v>
      </c>
      <c r="C88" s="71">
        <v>1.0</v>
      </c>
      <c r="D88" s="79">
        <v>5.0</v>
      </c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</row>
    <row r="89">
      <c r="A89" s="70">
        <v>21104.0</v>
      </c>
      <c r="B89" s="63" t="s">
        <v>139</v>
      </c>
      <c r="C89" s="71">
        <v>2.0</v>
      </c>
      <c r="D89" s="79">
        <v>11.0</v>
      </c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</row>
    <row r="90">
      <c r="A90" s="70">
        <v>21105.0</v>
      </c>
      <c r="B90" s="63" t="s">
        <v>140</v>
      </c>
      <c r="C90" s="71">
        <v>12.0</v>
      </c>
      <c r="D90" s="79">
        <v>156.0</v>
      </c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</row>
    <row r="91">
      <c r="A91" s="70">
        <v>21201.0</v>
      </c>
      <c r="B91" s="63" t="s">
        <v>142</v>
      </c>
      <c r="C91" s="71">
        <v>2.0</v>
      </c>
      <c r="D91" s="79">
        <v>73.0</v>
      </c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</row>
    <row r="92">
      <c r="A92" s="70">
        <v>21202.0</v>
      </c>
      <c r="B92" s="63" t="s">
        <v>143</v>
      </c>
      <c r="C92" s="71">
        <v>0.0</v>
      </c>
      <c r="D92" s="79">
        <v>62.0</v>
      </c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</row>
    <row r="93">
      <c r="A93" s="70">
        <v>21203.0</v>
      </c>
      <c r="B93" s="63" t="s">
        <v>144</v>
      </c>
      <c r="C93" s="71">
        <v>12.0</v>
      </c>
      <c r="D93" s="79">
        <v>25.0</v>
      </c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</row>
    <row r="94">
      <c r="A94" s="70">
        <v>21204.0</v>
      </c>
      <c r="B94" s="63" t="s">
        <v>145</v>
      </c>
      <c r="C94" s="71">
        <v>1.0</v>
      </c>
      <c r="D94" s="79">
        <v>3.0</v>
      </c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</row>
    <row r="95">
      <c r="A95" s="70">
        <v>21301.0</v>
      </c>
      <c r="B95" s="63" t="s">
        <v>491</v>
      </c>
      <c r="C95" s="71">
        <v>7.0</v>
      </c>
      <c r="D95" s="79">
        <v>20.0</v>
      </c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</row>
    <row r="96">
      <c r="A96" s="70">
        <v>21302.0</v>
      </c>
      <c r="B96" s="63" t="s">
        <v>148</v>
      </c>
      <c r="C96" s="71">
        <v>0.0</v>
      </c>
      <c r="D96" s="79">
        <v>5.0</v>
      </c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</row>
    <row r="97">
      <c r="A97" s="70">
        <v>21303.0</v>
      </c>
      <c r="B97" s="63" t="s">
        <v>149</v>
      </c>
      <c r="C97" s="71">
        <v>2.0</v>
      </c>
      <c r="D97" s="79">
        <v>6.0</v>
      </c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</row>
    <row r="98">
      <c r="A98" s="70">
        <v>21304.0</v>
      </c>
      <c r="B98" s="63" t="s">
        <v>150</v>
      </c>
      <c r="C98" s="71">
        <v>10.0</v>
      </c>
      <c r="D98" s="79">
        <v>15.0</v>
      </c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</row>
    <row r="99">
      <c r="A99" s="70">
        <v>21305.0</v>
      </c>
      <c r="B99" s="63" t="s">
        <v>151</v>
      </c>
      <c r="C99" s="71">
        <v>4.0</v>
      </c>
      <c r="D99" s="79">
        <v>17.0</v>
      </c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</row>
    <row r="100">
      <c r="A100" s="70">
        <v>21306.0</v>
      </c>
      <c r="B100" s="63" t="s">
        <v>152</v>
      </c>
      <c r="C100" s="71">
        <v>0.0</v>
      </c>
      <c r="D100" s="79">
        <v>3.0</v>
      </c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</row>
    <row r="101">
      <c r="A101" s="70">
        <v>21307.0</v>
      </c>
      <c r="B101" s="63" t="s">
        <v>153</v>
      </c>
      <c r="C101" s="71">
        <v>5.0</v>
      </c>
      <c r="D101" s="79">
        <v>8.0</v>
      </c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</row>
    <row r="102">
      <c r="A102" s="70">
        <v>21401.0</v>
      </c>
      <c r="B102" s="63" t="s">
        <v>155</v>
      </c>
      <c r="C102" s="71">
        <v>1.0</v>
      </c>
      <c r="D102" s="79">
        <v>36.0</v>
      </c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</row>
    <row r="103">
      <c r="A103" s="70">
        <v>21402.0</v>
      </c>
      <c r="B103" s="63" t="s">
        <v>156</v>
      </c>
      <c r="C103" s="71">
        <v>7.0</v>
      </c>
      <c r="D103" s="79">
        <v>17.0</v>
      </c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</row>
    <row r="104">
      <c r="A104" s="70">
        <v>21501.0</v>
      </c>
      <c r="B104" s="63" t="s">
        <v>158</v>
      </c>
      <c r="C104" s="71">
        <v>0.0</v>
      </c>
      <c r="D104" s="79">
        <v>46.0</v>
      </c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</row>
    <row r="105">
      <c r="A105" s="70">
        <v>21502.0</v>
      </c>
      <c r="B105" s="63" t="s">
        <v>159</v>
      </c>
      <c r="C105" s="71">
        <v>6.0</v>
      </c>
      <c r="D105" s="79">
        <v>12.0</v>
      </c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</row>
    <row r="106">
      <c r="A106" s="70">
        <v>21601.0</v>
      </c>
      <c r="B106" s="63" t="s">
        <v>492</v>
      </c>
      <c r="C106" s="71">
        <v>10.0</v>
      </c>
      <c r="D106" s="79">
        <v>3.0</v>
      </c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</row>
    <row r="107">
      <c r="A107" s="70">
        <v>21602.0</v>
      </c>
      <c r="B107" s="63" t="s">
        <v>162</v>
      </c>
      <c r="C107" s="71">
        <v>7.0</v>
      </c>
      <c r="D107" s="79">
        <v>0.0</v>
      </c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</row>
    <row r="108">
      <c r="A108" s="70">
        <v>21701.0</v>
      </c>
      <c r="B108" s="63" t="s">
        <v>164</v>
      </c>
      <c r="C108" s="71">
        <v>1.0</v>
      </c>
      <c r="D108" s="79">
        <v>12.0</v>
      </c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</row>
    <row r="109">
      <c r="A109" s="70">
        <v>21702.0</v>
      </c>
      <c r="B109" s="63" t="s">
        <v>165</v>
      </c>
      <c r="C109" s="71">
        <v>0.0</v>
      </c>
      <c r="D109" s="79">
        <v>1.0</v>
      </c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</row>
    <row r="110">
      <c r="A110" s="70">
        <v>21703.0</v>
      </c>
      <c r="B110" s="63" t="s">
        <v>166</v>
      </c>
      <c r="C110" s="71">
        <v>8.0</v>
      </c>
      <c r="D110" s="79">
        <v>16.0</v>
      </c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</row>
    <row r="111">
      <c r="A111" s="70">
        <v>21801.0</v>
      </c>
      <c r="B111" s="63" t="s">
        <v>168</v>
      </c>
      <c r="C111" s="71">
        <v>0.0</v>
      </c>
      <c r="D111" s="79">
        <v>0.0</v>
      </c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</row>
    <row r="112">
      <c r="A112" s="70">
        <v>21802.0</v>
      </c>
      <c r="B112" s="63" t="s">
        <v>169</v>
      </c>
      <c r="C112" s="71">
        <v>0.0</v>
      </c>
      <c r="D112" s="79">
        <v>1.0</v>
      </c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</row>
    <row r="113">
      <c r="A113" s="70">
        <v>21803.0</v>
      </c>
      <c r="B113" s="63" t="s">
        <v>170</v>
      </c>
      <c r="C113" s="71">
        <v>0.0</v>
      </c>
      <c r="D113" s="79">
        <v>2.0</v>
      </c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</row>
    <row r="114">
      <c r="A114" s="70">
        <v>21901.0</v>
      </c>
      <c r="B114" s="63" t="s">
        <v>172</v>
      </c>
      <c r="C114" s="71">
        <v>0.0</v>
      </c>
      <c r="D114" s="79">
        <v>0.0</v>
      </c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</row>
    <row r="115">
      <c r="A115" s="70">
        <v>21902.0</v>
      </c>
      <c r="B115" s="63" t="s">
        <v>173</v>
      </c>
      <c r="C115" s="71">
        <v>0.0</v>
      </c>
      <c r="D115" s="79">
        <v>0.0</v>
      </c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</row>
    <row r="116">
      <c r="A116" s="70">
        <v>22001.0</v>
      </c>
      <c r="B116" s="63" t="s">
        <v>174</v>
      </c>
      <c r="C116" s="71">
        <v>21.0</v>
      </c>
      <c r="D116" s="79">
        <v>23.0</v>
      </c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</row>
    <row r="117">
      <c r="A117" s="70">
        <v>22002.0</v>
      </c>
      <c r="B117" s="63" t="s">
        <v>175</v>
      </c>
      <c r="C117" s="71">
        <v>0.0</v>
      </c>
      <c r="D117" s="79">
        <v>5.0</v>
      </c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</row>
    <row r="118">
      <c r="A118" s="70">
        <v>30101.0</v>
      </c>
      <c r="B118" s="63" t="s">
        <v>176</v>
      </c>
      <c r="C118" s="71">
        <v>187.0</v>
      </c>
      <c r="D118" s="79">
        <v>350.0</v>
      </c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</row>
    <row r="119">
      <c r="A119" s="70">
        <v>30201.0</v>
      </c>
      <c r="B119" s="63" t="s">
        <v>179</v>
      </c>
      <c r="C119" s="71">
        <v>11.0</v>
      </c>
      <c r="D119" s="79">
        <v>9.0</v>
      </c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</row>
    <row r="120">
      <c r="A120" s="70">
        <v>30202.0</v>
      </c>
      <c r="B120" s="63" t="s">
        <v>180</v>
      </c>
      <c r="C120" s="71">
        <v>0.0</v>
      </c>
      <c r="D120" s="79">
        <v>0.0</v>
      </c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</row>
    <row r="121">
      <c r="A121" s="70">
        <v>30203.0</v>
      </c>
      <c r="B121" s="63" t="s">
        <v>181</v>
      </c>
      <c r="C121" s="71">
        <v>3.0</v>
      </c>
      <c r="D121" s="79">
        <v>1.0</v>
      </c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</row>
    <row r="122">
      <c r="A122" s="70">
        <v>30301.0</v>
      </c>
      <c r="B122" s="63" t="s">
        <v>493</v>
      </c>
      <c r="C122" s="71">
        <v>9.0</v>
      </c>
      <c r="D122" s="79">
        <v>10.0</v>
      </c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</row>
    <row r="123">
      <c r="A123" s="70">
        <v>30302.0</v>
      </c>
      <c r="B123" s="63" t="s">
        <v>183</v>
      </c>
      <c r="C123" s="71">
        <v>16.0</v>
      </c>
      <c r="D123" s="79">
        <v>7.0</v>
      </c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</row>
    <row r="124">
      <c r="A124" s="70">
        <v>30303.0</v>
      </c>
      <c r="B124" s="63" t="s">
        <v>184</v>
      </c>
      <c r="C124" s="71">
        <v>13.0</v>
      </c>
      <c r="D124" s="79">
        <v>3.0</v>
      </c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</row>
    <row r="125">
      <c r="A125" s="70">
        <v>30401.0</v>
      </c>
      <c r="B125" s="63" t="s">
        <v>186</v>
      </c>
      <c r="C125" s="71">
        <v>1.0</v>
      </c>
      <c r="D125" s="79">
        <v>11.0</v>
      </c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</row>
    <row r="126">
      <c r="A126" s="70">
        <v>30402.0</v>
      </c>
      <c r="B126" s="63" t="s">
        <v>187</v>
      </c>
      <c r="C126" s="71">
        <v>4.0</v>
      </c>
      <c r="D126" s="79">
        <v>14.0</v>
      </c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</row>
    <row r="127">
      <c r="A127" s="70">
        <v>30403.0</v>
      </c>
      <c r="B127" s="63" t="s">
        <v>188</v>
      </c>
      <c r="C127" s="71">
        <v>48.0</v>
      </c>
      <c r="D127" s="79">
        <v>51.0</v>
      </c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</row>
    <row r="128">
      <c r="A128" s="70">
        <v>30404.0</v>
      </c>
      <c r="B128" s="63" t="s">
        <v>189</v>
      </c>
      <c r="C128" s="71">
        <v>1.0</v>
      </c>
      <c r="D128" s="79">
        <v>4.0</v>
      </c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</row>
    <row r="129">
      <c r="A129" s="70">
        <v>30501.0</v>
      </c>
      <c r="B129" s="63" t="s">
        <v>190</v>
      </c>
      <c r="C129" s="71">
        <v>3.0</v>
      </c>
      <c r="D129" s="79">
        <v>1.0</v>
      </c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</row>
    <row r="130">
      <c r="A130" s="70">
        <v>30502.0</v>
      </c>
      <c r="B130" s="63" t="s">
        <v>191</v>
      </c>
      <c r="C130" s="71">
        <v>1.0</v>
      </c>
      <c r="D130" s="79">
        <v>5.0</v>
      </c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</row>
    <row r="131">
      <c r="A131" s="70">
        <v>30601.0</v>
      </c>
      <c r="B131" s="63" t="s">
        <v>192</v>
      </c>
      <c r="C131" s="71">
        <v>3.0</v>
      </c>
      <c r="D131" s="79">
        <v>5.0</v>
      </c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</row>
    <row r="132">
      <c r="A132" s="70">
        <v>30602.0</v>
      </c>
      <c r="B132" s="63" t="s">
        <v>193</v>
      </c>
      <c r="C132" s="71">
        <v>1.0</v>
      </c>
      <c r="D132" s="79">
        <v>1.0</v>
      </c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</row>
    <row r="133">
      <c r="A133" s="70">
        <v>30701.0</v>
      </c>
      <c r="B133" s="63" t="s">
        <v>194</v>
      </c>
      <c r="C133" s="71">
        <v>0.0</v>
      </c>
      <c r="D133" s="79">
        <v>5.0</v>
      </c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</row>
    <row r="134">
      <c r="A134" s="70">
        <v>30702.0</v>
      </c>
      <c r="B134" s="63" t="s">
        <v>494</v>
      </c>
      <c r="C134" s="71">
        <v>11.0</v>
      </c>
      <c r="D134" s="79">
        <v>21.0</v>
      </c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</row>
    <row r="135">
      <c r="A135" s="70">
        <v>30703.0</v>
      </c>
      <c r="B135" s="63" t="s">
        <v>196</v>
      </c>
      <c r="C135" s="71">
        <v>0.0</v>
      </c>
      <c r="D135" s="79">
        <v>14.0</v>
      </c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</row>
    <row r="136">
      <c r="A136" s="70">
        <v>30801.0</v>
      </c>
      <c r="B136" s="63" t="s">
        <v>198</v>
      </c>
      <c r="C136" s="71">
        <v>9.0</v>
      </c>
      <c r="D136" s="79">
        <v>9.0</v>
      </c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</row>
    <row r="137">
      <c r="A137" s="70">
        <v>30802.0</v>
      </c>
      <c r="B137" s="63" t="s">
        <v>199</v>
      </c>
      <c r="C137" s="71">
        <v>2.0</v>
      </c>
      <c r="D137" s="79">
        <v>1.0</v>
      </c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</row>
    <row r="138">
      <c r="A138" s="70">
        <v>30803.0</v>
      </c>
      <c r="B138" s="63" t="s">
        <v>200</v>
      </c>
      <c r="C138" s="71">
        <v>0.0</v>
      </c>
      <c r="D138" s="79">
        <v>18.0</v>
      </c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</row>
    <row r="139">
      <c r="A139" s="70">
        <v>30901.0</v>
      </c>
      <c r="B139" s="63" t="s">
        <v>201</v>
      </c>
      <c r="C139" s="71">
        <v>39.0</v>
      </c>
      <c r="D139" s="79">
        <v>39.0</v>
      </c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</row>
    <row r="140">
      <c r="A140" s="70">
        <v>30902.0</v>
      </c>
      <c r="B140" s="63" t="s">
        <v>495</v>
      </c>
      <c r="C140" s="71">
        <v>26.0</v>
      </c>
      <c r="D140" s="79">
        <v>6.0</v>
      </c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</row>
    <row r="141">
      <c r="A141" s="70">
        <v>30903.0</v>
      </c>
      <c r="B141" s="63" t="s">
        <v>203</v>
      </c>
      <c r="C141" s="71">
        <v>8.0</v>
      </c>
      <c r="D141" s="79">
        <v>0.0</v>
      </c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</row>
    <row r="142">
      <c r="A142" s="70">
        <v>30904.0</v>
      </c>
      <c r="B142" s="63" t="s">
        <v>204</v>
      </c>
      <c r="C142" s="71">
        <v>7.0</v>
      </c>
      <c r="D142" s="79">
        <v>4.0</v>
      </c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</row>
    <row r="143">
      <c r="A143" s="70">
        <v>30905.0</v>
      </c>
      <c r="B143" s="63" t="s">
        <v>205</v>
      </c>
      <c r="C143" s="71">
        <v>6.0</v>
      </c>
      <c r="D143" s="79">
        <v>3.0</v>
      </c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</row>
    <row r="144">
      <c r="A144" s="70">
        <v>31001.0</v>
      </c>
      <c r="B144" s="63" t="s">
        <v>207</v>
      </c>
      <c r="C144" s="71">
        <v>109.0</v>
      </c>
      <c r="D144" s="79">
        <v>120.0</v>
      </c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</row>
    <row r="145">
      <c r="A145" s="70">
        <v>31002.0</v>
      </c>
      <c r="B145" s="63" t="s">
        <v>208</v>
      </c>
      <c r="C145" s="71">
        <v>6.0</v>
      </c>
      <c r="D145" s="79">
        <v>9.0</v>
      </c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</row>
    <row r="146">
      <c r="A146" s="70">
        <v>31003.0</v>
      </c>
      <c r="B146" s="63" t="s">
        <v>209</v>
      </c>
      <c r="C146" s="71">
        <v>58.0</v>
      </c>
      <c r="D146" s="79">
        <v>81.0</v>
      </c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</row>
    <row r="147">
      <c r="A147" s="70">
        <v>31101.0</v>
      </c>
      <c r="B147" s="63" t="s">
        <v>210</v>
      </c>
      <c r="C147" s="71">
        <v>18.0</v>
      </c>
      <c r="D147" s="79">
        <v>40.0</v>
      </c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</row>
    <row r="148">
      <c r="A148" s="70">
        <v>31201.0</v>
      </c>
      <c r="B148" s="63" t="s">
        <v>212</v>
      </c>
      <c r="C148" s="71">
        <v>3.0</v>
      </c>
      <c r="D148" s="79">
        <v>0.0</v>
      </c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</row>
    <row r="149">
      <c r="A149" s="70">
        <v>31202.0</v>
      </c>
      <c r="B149" s="63" t="s">
        <v>213</v>
      </c>
      <c r="C149" s="71">
        <v>1.0</v>
      </c>
      <c r="D149" s="79">
        <v>9.0</v>
      </c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</row>
    <row r="150">
      <c r="A150" s="70">
        <v>31203.0</v>
      </c>
      <c r="B150" s="63" t="s">
        <v>214</v>
      </c>
      <c r="C150" s="71">
        <v>2.0</v>
      </c>
      <c r="D150" s="79">
        <v>5.0</v>
      </c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</row>
    <row r="151">
      <c r="A151" s="70">
        <v>31204.0</v>
      </c>
      <c r="B151" s="63" t="s">
        <v>215</v>
      </c>
      <c r="C151" s="71">
        <v>10.0</v>
      </c>
      <c r="D151" s="79">
        <v>34.0</v>
      </c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</row>
    <row r="152">
      <c r="A152" s="70">
        <v>31205.0</v>
      </c>
      <c r="B152" s="63" t="s">
        <v>216</v>
      </c>
      <c r="C152" s="71">
        <v>27.0</v>
      </c>
      <c r="D152" s="79">
        <v>148.0</v>
      </c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</row>
    <row r="153">
      <c r="A153" s="70">
        <v>31206.0</v>
      </c>
      <c r="B153" s="63" t="s">
        <v>217</v>
      </c>
      <c r="C153" s="71">
        <v>32.0</v>
      </c>
      <c r="D153" s="79">
        <v>94.0</v>
      </c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</row>
    <row r="154">
      <c r="A154" s="70">
        <v>31301.0</v>
      </c>
      <c r="B154" s="63" t="s">
        <v>218</v>
      </c>
      <c r="C154" s="71">
        <v>1.0</v>
      </c>
      <c r="D154" s="79">
        <v>30.0</v>
      </c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</row>
    <row r="155">
      <c r="A155" s="70">
        <v>31302.0</v>
      </c>
      <c r="B155" s="63" t="s">
        <v>219</v>
      </c>
      <c r="C155" s="71">
        <v>8.0</v>
      </c>
      <c r="D155" s="79">
        <v>10.0</v>
      </c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</row>
    <row r="156">
      <c r="A156" s="70">
        <v>31303.0</v>
      </c>
      <c r="B156" s="63" t="s">
        <v>220</v>
      </c>
      <c r="C156" s="71">
        <v>0.0</v>
      </c>
      <c r="D156" s="79">
        <v>12.0</v>
      </c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</row>
    <row r="157">
      <c r="A157" s="70">
        <v>31304.0</v>
      </c>
      <c r="B157" s="63" t="s">
        <v>221</v>
      </c>
      <c r="C157" s="71"/>
      <c r="D157" s="79">
        <v>14.0</v>
      </c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</row>
    <row r="158">
      <c r="A158" s="70">
        <v>31401.0</v>
      </c>
      <c r="B158" s="63" t="s">
        <v>222</v>
      </c>
      <c r="C158" s="71">
        <v>1.0</v>
      </c>
      <c r="D158" s="79">
        <v>8.0</v>
      </c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</row>
    <row r="159">
      <c r="A159" s="70">
        <v>31402.0</v>
      </c>
      <c r="B159" s="63" t="s">
        <v>223</v>
      </c>
      <c r="C159" s="71">
        <v>2.0</v>
      </c>
      <c r="D159" s="79">
        <v>9.0</v>
      </c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</row>
    <row r="160">
      <c r="A160" s="70">
        <v>31403.0</v>
      </c>
      <c r="B160" s="63" t="s">
        <v>224</v>
      </c>
      <c r="C160" s="71">
        <v>0.0</v>
      </c>
      <c r="D160" s="79">
        <v>4.0</v>
      </c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</row>
    <row r="161">
      <c r="A161" s="70">
        <v>31404.0</v>
      </c>
      <c r="B161" s="63" t="s">
        <v>225</v>
      </c>
      <c r="C161" s="71">
        <v>0.0</v>
      </c>
      <c r="D161" s="79">
        <v>1.0</v>
      </c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</row>
    <row r="162">
      <c r="A162" s="70">
        <v>31405.0</v>
      </c>
      <c r="B162" s="63" t="s">
        <v>496</v>
      </c>
      <c r="C162" s="71">
        <v>1.0</v>
      </c>
      <c r="D162" s="79">
        <v>0.0</v>
      </c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</row>
    <row r="163">
      <c r="A163" s="70">
        <v>31501.0</v>
      </c>
      <c r="B163" s="63" t="s">
        <v>497</v>
      </c>
      <c r="C163" s="71">
        <v>0.0</v>
      </c>
      <c r="D163" s="79">
        <v>1.0</v>
      </c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</row>
    <row r="164">
      <c r="A164" s="70">
        <v>31601.0</v>
      </c>
      <c r="B164" s="63" t="s">
        <v>228</v>
      </c>
      <c r="C164" s="71">
        <v>4.0</v>
      </c>
      <c r="D164" s="79">
        <v>6.0</v>
      </c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</row>
    <row r="165">
      <c r="A165" s="70">
        <v>31602.0</v>
      </c>
      <c r="B165" s="63" t="s">
        <v>229</v>
      </c>
      <c r="C165" s="71">
        <v>19.0</v>
      </c>
      <c r="D165" s="79">
        <v>38.0</v>
      </c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</row>
    <row r="166">
      <c r="A166" s="70">
        <v>40101.0</v>
      </c>
      <c r="B166" s="63" t="s">
        <v>230</v>
      </c>
      <c r="C166" s="71">
        <v>41.0</v>
      </c>
      <c r="D166" s="79">
        <v>130.0</v>
      </c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</row>
    <row r="167">
      <c r="A167" s="70">
        <v>40102.0</v>
      </c>
      <c r="B167" s="63" t="s">
        <v>231</v>
      </c>
      <c r="C167" s="71">
        <v>0.0</v>
      </c>
      <c r="D167" s="79">
        <v>8.0</v>
      </c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</row>
    <row r="168">
      <c r="A168" s="70">
        <v>40103.0</v>
      </c>
      <c r="B168" s="63" t="s">
        <v>232</v>
      </c>
      <c r="C168" s="71">
        <v>0.0</v>
      </c>
      <c r="D168" s="79">
        <v>0.0</v>
      </c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</row>
    <row r="169">
      <c r="A169" s="70">
        <v>40104.0</v>
      </c>
      <c r="B169" s="63" t="s">
        <v>498</v>
      </c>
      <c r="C169" s="71">
        <v>0.0</v>
      </c>
      <c r="D169" s="79">
        <v>6.0</v>
      </c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</row>
    <row r="170">
      <c r="A170" s="70">
        <v>40201.0</v>
      </c>
      <c r="B170" s="63" t="s">
        <v>235</v>
      </c>
      <c r="C170" s="71">
        <v>3.0</v>
      </c>
      <c r="D170" s="79">
        <v>10.0</v>
      </c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</row>
    <row r="171">
      <c r="A171" s="70">
        <v>40202.0</v>
      </c>
      <c r="B171" s="63" t="s">
        <v>236</v>
      </c>
      <c r="C171" s="71">
        <v>6.0</v>
      </c>
      <c r="D171" s="79">
        <v>0.0</v>
      </c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</row>
    <row r="172">
      <c r="A172" s="70">
        <v>40301.0</v>
      </c>
      <c r="B172" s="63" t="s">
        <v>238</v>
      </c>
      <c r="C172" s="71">
        <v>4.0</v>
      </c>
      <c r="D172" s="79">
        <v>0.0</v>
      </c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</row>
    <row r="173">
      <c r="A173" s="70">
        <v>40302.0</v>
      </c>
      <c r="B173" s="63" t="s">
        <v>239</v>
      </c>
      <c r="C173" s="71">
        <v>0.0</v>
      </c>
      <c r="D173" s="79">
        <v>0.0</v>
      </c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</row>
    <row r="174">
      <c r="A174" s="70">
        <v>40401.0</v>
      </c>
      <c r="B174" s="63" t="s">
        <v>241</v>
      </c>
      <c r="C174" s="71">
        <v>0.0</v>
      </c>
      <c r="D174" s="79">
        <v>0.0</v>
      </c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</row>
    <row r="175">
      <c r="A175" s="70">
        <v>40402.0</v>
      </c>
      <c r="B175" s="63" t="s">
        <v>242</v>
      </c>
      <c r="C175" s="71">
        <v>0.0</v>
      </c>
      <c r="D175" s="79">
        <v>0.0</v>
      </c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</row>
    <row r="176">
      <c r="A176" s="70">
        <v>40501.0</v>
      </c>
      <c r="B176" s="63" t="s">
        <v>244</v>
      </c>
      <c r="C176" s="71">
        <v>0.0</v>
      </c>
      <c r="D176" s="79">
        <v>0.0</v>
      </c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</row>
    <row r="177">
      <c r="A177" s="70">
        <v>40502.0</v>
      </c>
      <c r="B177" s="63" t="s">
        <v>245</v>
      </c>
      <c r="C177" s="71">
        <v>0.0</v>
      </c>
      <c r="D177" s="79">
        <v>9.0</v>
      </c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</row>
    <row r="178">
      <c r="A178" s="70">
        <v>40503.0</v>
      </c>
      <c r="B178" s="63" t="s">
        <v>246</v>
      </c>
      <c r="C178" s="71">
        <v>0.0</v>
      </c>
      <c r="D178" s="79">
        <v>0.0</v>
      </c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</row>
    <row r="179">
      <c r="A179" s="70">
        <v>40504.0</v>
      </c>
      <c r="B179" s="63" t="s">
        <v>247</v>
      </c>
      <c r="C179" s="71">
        <v>0.0</v>
      </c>
      <c r="D179" s="79">
        <v>0.0</v>
      </c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</row>
    <row r="180">
      <c r="A180" s="70">
        <v>40505.0</v>
      </c>
      <c r="B180" s="63" t="s">
        <v>248</v>
      </c>
      <c r="C180" s="71">
        <v>0.0</v>
      </c>
      <c r="D180" s="79">
        <v>0.0</v>
      </c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</row>
    <row r="181">
      <c r="A181" s="70">
        <v>40601.0</v>
      </c>
      <c r="B181" s="63" t="s">
        <v>249</v>
      </c>
      <c r="C181" s="71">
        <v>5.0</v>
      </c>
      <c r="D181" s="79">
        <v>2.0</v>
      </c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</row>
    <row r="182">
      <c r="A182" s="70">
        <v>40602.0</v>
      </c>
      <c r="B182" s="63" t="s">
        <v>250</v>
      </c>
      <c r="C182" s="71">
        <v>0.0</v>
      </c>
      <c r="D182" s="79">
        <v>18.0</v>
      </c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</row>
    <row r="183">
      <c r="A183" s="70">
        <v>40603.0</v>
      </c>
      <c r="B183" s="63" t="s">
        <v>251</v>
      </c>
      <c r="C183" s="71">
        <v>0.0</v>
      </c>
      <c r="D183" s="79">
        <v>3.0</v>
      </c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</row>
    <row r="184">
      <c r="A184" s="70">
        <v>40701.0</v>
      </c>
      <c r="B184" s="63" t="s">
        <v>253</v>
      </c>
      <c r="C184" s="71">
        <v>2.0</v>
      </c>
      <c r="D184" s="79">
        <v>0.0</v>
      </c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</row>
    <row r="185">
      <c r="A185" s="70">
        <v>40702.0</v>
      </c>
      <c r="B185" s="63" t="s">
        <v>254</v>
      </c>
      <c r="C185" s="71">
        <v>0.0</v>
      </c>
      <c r="D185" s="79">
        <v>0.0</v>
      </c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</row>
    <row r="186">
      <c r="A186" s="70">
        <v>40801.0</v>
      </c>
      <c r="B186" s="63" t="s">
        <v>499</v>
      </c>
      <c r="C186" s="71">
        <v>18.0</v>
      </c>
      <c r="D186" s="79">
        <v>8.0</v>
      </c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</row>
    <row r="187">
      <c r="A187" s="70">
        <v>40802.0</v>
      </c>
      <c r="B187" s="63" t="s">
        <v>257</v>
      </c>
      <c r="C187" s="71">
        <v>0.0</v>
      </c>
      <c r="D187" s="79">
        <v>0.0</v>
      </c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</row>
    <row r="188">
      <c r="A188" s="70">
        <v>40901.0</v>
      </c>
      <c r="B188" s="63" t="s">
        <v>258</v>
      </c>
      <c r="C188" s="71">
        <v>0.0</v>
      </c>
      <c r="D188" s="79">
        <v>0.0</v>
      </c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</row>
    <row r="189">
      <c r="A189" s="70">
        <v>40902.0</v>
      </c>
      <c r="B189" s="63" t="s">
        <v>259</v>
      </c>
      <c r="C189" s="71">
        <v>0.0</v>
      </c>
      <c r="D189" s="79">
        <v>0.0</v>
      </c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</row>
    <row r="190">
      <c r="A190" s="70">
        <v>40903.0</v>
      </c>
      <c r="B190" s="63" t="s">
        <v>500</v>
      </c>
      <c r="C190" s="71">
        <v>0.0</v>
      </c>
      <c r="D190" s="79">
        <v>0.0</v>
      </c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</row>
    <row r="191">
      <c r="A191" s="70">
        <v>41001.0</v>
      </c>
      <c r="B191" s="63" t="s">
        <v>262</v>
      </c>
      <c r="C191" s="71">
        <v>0.0</v>
      </c>
      <c r="D191" s="79">
        <v>11.0</v>
      </c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</row>
    <row r="192">
      <c r="A192" s="70">
        <v>41101.0</v>
      </c>
      <c r="B192" s="63" t="s">
        <v>264</v>
      </c>
      <c r="C192" s="71">
        <v>0.0</v>
      </c>
      <c r="D192" s="79">
        <v>2.0</v>
      </c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</row>
    <row r="193">
      <c r="A193" s="70">
        <v>41201.0</v>
      </c>
      <c r="B193" s="63" t="s">
        <v>501</v>
      </c>
      <c r="C193" s="71">
        <v>0.0</v>
      </c>
      <c r="D193" s="79">
        <v>0.0</v>
      </c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</row>
    <row r="194">
      <c r="A194" s="70">
        <v>41202.0</v>
      </c>
      <c r="B194" s="63" t="s">
        <v>267</v>
      </c>
      <c r="C194" s="71">
        <v>0.0</v>
      </c>
      <c r="D194" s="79">
        <v>7.0</v>
      </c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</row>
    <row r="195">
      <c r="A195" s="70">
        <v>41301.0</v>
      </c>
      <c r="B195" s="63" t="s">
        <v>268</v>
      </c>
      <c r="C195" s="71">
        <v>1.0</v>
      </c>
      <c r="D195" s="79">
        <v>0.0</v>
      </c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</row>
    <row r="196">
      <c r="A196" s="70">
        <v>41401.0</v>
      </c>
      <c r="B196" s="63" t="s">
        <v>270</v>
      </c>
      <c r="C196" s="71">
        <v>0.0</v>
      </c>
      <c r="D196" s="79">
        <v>7.0</v>
      </c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</row>
    <row r="197">
      <c r="A197" s="70">
        <v>41501.0</v>
      </c>
      <c r="B197" s="63" t="s">
        <v>272</v>
      </c>
      <c r="C197" s="71">
        <v>0.0</v>
      </c>
      <c r="D197" s="79">
        <v>0.0</v>
      </c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</row>
    <row r="198">
      <c r="A198" s="70">
        <v>41502.0</v>
      </c>
      <c r="B198" s="63" t="s">
        <v>273</v>
      </c>
      <c r="C198" s="71">
        <v>0.0</v>
      </c>
      <c r="D198" s="79">
        <v>0.0</v>
      </c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</row>
    <row r="199">
      <c r="A199" s="70">
        <v>41503.0</v>
      </c>
      <c r="B199" s="63" t="s">
        <v>237</v>
      </c>
      <c r="C199" s="71">
        <v>0.0</v>
      </c>
      <c r="D199" s="79">
        <v>0.0</v>
      </c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</row>
    <row r="200">
      <c r="A200" s="70">
        <v>41601.0</v>
      </c>
      <c r="B200" s="63" t="s">
        <v>502</v>
      </c>
      <c r="C200" s="71">
        <v>0.0</v>
      </c>
      <c r="D200" s="79">
        <v>0.0</v>
      </c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</row>
    <row r="201">
      <c r="A201" s="70">
        <v>50101.0</v>
      </c>
      <c r="B201" s="63" t="s">
        <v>276</v>
      </c>
      <c r="C201" s="71">
        <v>170.0</v>
      </c>
      <c r="D201" s="79">
        <v>125.0</v>
      </c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</row>
    <row r="202">
      <c r="A202" s="70">
        <v>50102.0</v>
      </c>
      <c r="B202" s="63" t="s">
        <v>278</v>
      </c>
      <c r="C202" s="71">
        <v>0.0</v>
      </c>
      <c r="D202" s="79">
        <v>8.0</v>
      </c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</row>
    <row r="203">
      <c r="A203" s="70">
        <v>50103.0</v>
      </c>
      <c r="B203" s="63" t="s">
        <v>279</v>
      </c>
      <c r="C203" s="71">
        <v>1.0</v>
      </c>
      <c r="D203" s="79">
        <v>6.0</v>
      </c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</row>
    <row r="204">
      <c r="A204" s="70">
        <v>50104.0</v>
      </c>
      <c r="B204" s="63" t="s">
        <v>503</v>
      </c>
      <c r="C204" s="71">
        <v>0.0</v>
      </c>
      <c r="D204" s="79">
        <v>0.0</v>
      </c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</row>
    <row r="205">
      <c r="A205" s="70">
        <v>50201.0</v>
      </c>
      <c r="B205" s="63" t="s">
        <v>282</v>
      </c>
      <c r="C205" s="71">
        <v>0.0</v>
      </c>
      <c r="D205" s="79">
        <v>21.0</v>
      </c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</row>
    <row r="206">
      <c r="A206" s="70">
        <v>50202.0</v>
      </c>
      <c r="B206" s="63" t="s">
        <v>283</v>
      </c>
      <c r="C206" s="71">
        <v>7.0</v>
      </c>
      <c r="D206" s="79">
        <v>8.0</v>
      </c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</row>
    <row r="207">
      <c r="A207" s="70">
        <v>50203.0</v>
      </c>
      <c r="B207" s="63" t="s">
        <v>284</v>
      </c>
      <c r="C207" s="71">
        <v>50.0</v>
      </c>
      <c r="D207" s="79">
        <v>12.0</v>
      </c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</row>
    <row r="208">
      <c r="A208" s="70">
        <v>50204.0</v>
      </c>
      <c r="B208" s="63" t="s">
        <v>504</v>
      </c>
      <c r="C208" s="71">
        <v>95.0</v>
      </c>
      <c r="D208" s="79">
        <v>6.0</v>
      </c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</row>
    <row r="209">
      <c r="A209" s="70">
        <v>50301.0</v>
      </c>
      <c r="B209" s="63" t="s">
        <v>287</v>
      </c>
      <c r="C209" s="71">
        <v>55.0</v>
      </c>
      <c r="D209" s="79">
        <v>20.0</v>
      </c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</row>
    <row r="210">
      <c r="A210" s="70">
        <v>50302.0</v>
      </c>
      <c r="B210" s="63" t="s">
        <v>288</v>
      </c>
      <c r="C210" s="71">
        <v>4.0</v>
      </c>
      <c r="D210" s="79">
        <v>15.0</v>
      </c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</row>
    <row r="211">
      <c r="A211" s="70">
        <v>50303.0</v>
      </c>
      <c r="B211" s="63" t="s">
        <v>289</v>
      </c>
      <c r="C211" s="71">
        <v>6.0</v>
      </c>
      <c r="D211" s="79">
        <v>14.0</v>
      </c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</row>
    <row r="212">
      <c r="A212" s="70">
        <v>50401.0</v>
      </c>
      <c r="B212" s="63" t="s">
        <v>290</v>
      </c>
      <c r="C212" s="71">
        <v>8.0</v>
      </c>
      <c r="D212" s="79">
        <v>7.0</v>
      </c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</row>
    <row r="213">
      <c r="A213" s="70">
        <v>50402.0</v>
      </c>
      <c r="B213" s="63" t="s">
        <v>291</v>
      </c>
      <c r="C213" s="71">
        <v>1.0</v>
      </c>
      <c r="D213" s="79">
        <v>20.0</v>
      </c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</row>
    <row r="214">
      <c r="A214" s="70">
        <v>50403.0</v>
      </c>
      <c r="B214" s="63" t="s">
        <v>292</v>
      </c>
      <c r="C214" s="71">
        <v>3.0</v>
      </c>
      <c r="D214" s="79">
        <v>26.0</v>
      </c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</row>
    <row r="215">
      <c r="A215" s="70">
        <v>50404.0</v>
      </c>
      <c r="B215" s="63" t="s">
        <v>293</v>
      </c>
      <c r="C215" s="71">
        <v>0.0</v>
      </c>
      <c r="D215" s="79">
        <v>7.0</v>
      </c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</row>
    <row r="216">
      <c r="A216" s="70">
        <v>50405.0</v>
      </c>
      <c r="B216" s="63" t="s">
        <v>294</v>
      </c>
      <c r="C216" s="71">
        <v>8.0</v>
      </c>
      <c r="D216" s="79">
        <v>3.0</v>
      </c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</row>
    <row r="217">
      <c r="A217" s="70">
        <v>50501.0</v>
      </c>
      <c r="B217" s="63" t="s">
        <v>505</v>
      </c>
      <c r="C217" s="71">
        <v>7.0</v>
      </c>
      <c r="D217" s="79">
        <v>16.0</v>
      </c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</row>
    <row r="218">
      <c r="A218" s="70">
        <v>50502.0</v>
      </c>
      <c r="B218" s="63" t="s">
        <v>297</v>
      </c>
      <c r="C218" s="71">
        <v>1.0</v>
      </c>
      <c r="D218" s="79">
        <v>19.0</v>
      </c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</row>
    <row r="219">
      <c r="A219" s="70">
        <v>50601.0</v>
      </c>
      <c r="B219" s="63" t="s">
        <v>299</v>
      </c>
      <c r="C219" s="71">
        <v>15.0</v>
      </c>
      <c r="D219" s="79">
        <v>26.0</v>
      </c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</row>
    <row r="220">
      <c r="A220" s="70">
        <v>50602.0</v>
      </c>
      <c r="B220" s="63" t="s">
        <v>300</v>
      </c>
      <c r="C220" s="71">
        <v>15.0</v>
      </c>
      <c r="D220" s="79">
        <v>4.0</v>
      </c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</row>
    <row r="221">
      <c r="A221" s="70">
        <v>50701.0</v>
      </c>
      <c r="B221" s="63" t="s">
        <v>506</v>
      </c>
      <c r="C221" s="71">
        <v>4.0</v>
      </c>
      <c r="D221" s="79">
        <v>1.0</v>
      </c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</row>
    <row r="222">
      <c r="A222" s="70">
        <v>50702.0</v>
      </c>
      <c r="B222" s="63" t="s">
        <v>303</v>
      </c>
      <c r="C222" s="71">
        <v>1.0</v>
      </c>
      <c r="D222" s="79">
        <v>2.0</v>
      </c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</row>
    <row r="223">
      <c r="A223" s="70">
        <v>50801.0</v>
      </c>
      <c r="B223" s="63" t="s">
        <v>305</v>
      </c>
      <c r="C223" s="71">
        <v>5.0</v>
      </c>
      <c r="D223" s="79">
        <v>50.0</v>
      </c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</row>
    <row r="224">
      <c r="A224" s="70">
        <v>50802.0</v>
      </c>
      <c r="B224" s="63" t="s">
        <v>306</v>
      </c>
      <c r="C224" s="71">
        <v>0.0</v>
      </c>
      <c r="D224" s="79">
        <v>14.0</v>
      </c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</row>
    <row r="225">
      <c r="A225" s="70">
        <v>50901.0</v>
      </c>
      <c r="B225" s="63" t="s">
        <v>507</v>
      </c>
      <c r="C225" s="71">
        <v>12.0</v>
      </c>
      <c r="D225" s="79">
        <v>9.0</v>
      </c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</row>
    <row r="226">
      <c r="A226" s="70">
        <v>50902.0</v>
      </c>
      <c r="B226" s="63" t="s">
        <v>309</v>
      </c>
      <c r="C226" s="71">
        <v>0.0</v>
      </c>
      <c r="D226" s="79">
        <v>0.0</v>
      </c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</row>
    <row r="227">
      <c r="A227" s="70">
        <v>51001.0</v>
      </c>
      <c r="B227" s="63" t="s">
        <v>508</v>
      </c>
      <c r="C227" s="71">
        <v>1.0</v>
      </c>
      <c r="D227" s="79">
        <v>2.0</v>
      </c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</row>
    <row r="228">
      <c r="A228" s="70">
        <v>51002.0</v>
      </c>
      <c r="B228" s="63" t="s">
        <v>312</v>
      </c>
      <c r="C228" s="71">
        <v>0.0</v>
      </c>
      <c r="D228" s="79">
        <v>7.0</v>
      </c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</row>
    <row r="229">
      <c r="A229" s="70">
        <v>51003.0</v>
      </c>
      <c r="B229" s="63" t="s">
        <v>313</v>
      </c>
      <c r="C229" s="71">
        <v>0.0</v>
      </c>
      <c r="D229" s="79">
        <v>0.0</v>
      </c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</row>
    <row r="230">
      <c r="A230" s="70">
        <v>51101.0</v>
      </c>
      <c r="B230" s="63" t="s">
        <v>315</v>
      </c>
      <c r="C230" s="71">
        <v>11.0</v>
      </c>
      <c r="D230" s="79">
        <v>24.0</v>
      </c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</row>
    <row r="231">
      <c r="A231" s="70">
        <v>51102.0</v>
      </c>
      <c r="B231" s="63" t="s">
        <v>316</v>
      </c>
      <c r="C231" s="71">
        <v>10.0</v>
      </c>
      <c r="D231" s="79">
        <v>14.0</v>
      </c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</row>
    <row r="232">
      <c r="A232" s="70">
        <v>51103.0</v>
      </c>
      <c r="B232" s="63" t="s">
        <v>317</v>
      </c>
      <c r="C232" s="71">
        <v>10.0</v>
      </c>
      <c r="D232" s="79">
        <v>2.0</v>
      </c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</row>
    <row r="233">
      <c r="A233" s="70">
        <v>51201.0</v>
      </c>
      <c r="B233" s="63" t="s">
        <v>319</v>
      </c>
      <c r="C233" s="71">
        <v>1.0</v>
      </c>
      <c r="D233" s="79">
        <v>82.0</v>
      </c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</row>
    <row r="234">
      <c r="A234" s="70">
        <v>51202.0</v>
      </c>
      <c r="B234" s="63" t="s">
        <v>320</v>
      </c>
      <c r="C234" s="71">
        <v>2.0</v>
      </c>
      <c r="D234" s="79">
        <v>8.0</v>
      </c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</row>
    <row r="235">
      <c r="A235" s="70">
        <v>51203.0</v>
      </c>
      <c r="B235" s="63" t="s">
        <v>321</v>
      </c>
      <c r="C235" s="71">
        <v>0.0</v>
      </c>
      <c r="D235" s="79">
        <v>2.0</v>
      </c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</row>
    <row r="236">
      <c r="A236" s="70">
        <v>51204.0</v>
      </c>
      <c r="B236" s="63" t="s">
        <v>322</v>
      </c>
      <c r="C236" s="71">
        <v>2.0</v>
      </c>
      <c r="D236" s="79">
        <v>5.0</v>
      </c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</row>
    <row r="237">
      <c r="A237" s="70">
        <v>51301.0</v>
      </c>
      <c r="B237" s="63" t="s">
        <v>324</v>
      </c>
      <c r="C237" s="71">
        <v>0.0</v>
      </c>
      <c r="D237" s="79">
        <v>1.0</v>
      </c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</row>
    <row r="238">
      <c r="A238" s="70">
        <v>51302.0</v>
      </c>
      <c r="B238" s="63" t="s">
        <v>325</v>
      </c>
      <c r="C238" s="71">
        <v>0.0</v>
      </c>
      <c r="D238" s="79">
        <v>7.0</v>
      </c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</row>
    <row r="239">
      <c r="A239" s="70">
        <v>51401.0</v>
      </c>
      <c r="B239" s="63" t="s">
        <v>327</v>
      </c>
      <c r="C239" s="71">
        <v>0.0</v>
      </c>
      <c r="D239" s="79">
        <v>0.0</v>
      </c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</row>
    <row r="240">
      <c r="A240" s="70">
        <v>51402.0</v>
      </c>
      <c r="B240" s="63" t="s">
        <v>328</v>
      </c>
      <c r="C240" s="71">
        <v>0.0</v>
      </c>
      <c r="D240" s="79">
        <v>1.0</v>
      </c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</row>
    <row r="241">
      <c r="A241" s="70">
        <v>51501.0</v>
      </c>
      <c r="B241" s="63" t="s">
        <v>330</v>
      </c>
      <c r="C241" s="71">
        <v>23.0</v>
      </c>
      <c r="D241" s="79">
        <v>17.0</v>
      </c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</row>
    <row r="242">
      <c r="A242" s="70">
        <v>51601.0</v>
      </c>
      <c r="B242" s="63" t="s">
        <v>332</v>
      </c>
      <c r="C242" s="71">
        <v>0.0</v>
      </c>
      <c r="D242" s="79">
        <v>0.0</v>
      </c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</row>
    <row r="243">
      <c r="A243" s="70">
        <v>60101.0</v>
      </c>
      <c r="B243" s="63" t="s">
        <v>333</v>
      </c>
      <c r="C243" s="71">
        <v>59.0</v>
      </c>
      <c r="D243" s="79">
        <v>63.0</v>
      </c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</row>
    <row r="244">
      <c r="A244" s="70">
        <v>60201.0</v>
      </c>
      <c r="B244" s="63" t="s">
        <v>335</v>
      </c>
      <c r="C244" s="71">
        <v>0.0</v>
      </c>
      <c r="D244" s="79">
        <v>5.0</v>
      </c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</row>
    <row r="245">
      <c r="A245" s="70">
        <v>60202.0</v>
      </c>
      <c r="B245" s="63" t="s">
        <v>336</v>
      </c>
      <c r="C245" s="71">
        <v>9.0</v>
      </c>
      <c r="D245" s="79">
        <v>8.0</v>
      </c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</row>
    <row r="246">
      <c r="A246" s="70">
        <v>60301.0</v>
      </c>
      <c r="B246" s="63" t="s">
        <v>338</v>
      </c>
      <c r="C246" s="71">
        <v>9.0</v>
      </c>
      <c r="D246" s="79">
        <v>15.0</v>
      </c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</row>
    <row r="247">
      <c r="A247" s="70">
        <v>60302.0</v>
      </c>
      <c r="B247" s="63" t="s">
        <v>339</v>
      </c>
      <c r="C247" s="71">
        <v>14.0</v>
      </c>
      <c r="D247" s="79">
        <v>3.0</v>
      </c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</row>
    <row r="248">
      <c r="A248" s="70">
        <v>60303.0</v>
      </c>
      <c r="B248" s="63" t="s">
        <v>340</v>
      </c>
      <c r="C248" s="71">
        <v>11.0</v>
      </c>
      <c r="D248" s="79">
        <v>6.0</v>
      </c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</row>
    <row r="249">
      <c r="A249" s="70">
        <v>60401.0</v>
      </c>
      <c r="B249" s="63" t="s">
        <v>342</v>
      </c>
      <c r="C249" s="71">
        <v>8.0</v>
      </c>
      <c r="D249" s="79">
        <v>3.0</v>
      </c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</row>
    <row r="250">
      <c r="A250" s="70">
        <v>60402.0</v>
      </c>
      <c r="B250" s="63" t="s">
        <v>343</v>
      </c>
      <c r="C250" s="71">
        <v>0.0</v>
      </c>
      <c r="D250" s="79">
        <v>0.0</v>
      </c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</row>
    <row r="251">
      <c r="A251" s="70">
        <v>60501.0</v>
      </c>
      <c r="B251" s="63" t="s">
        <v>509</v>
      </c>
      <c r="C251" s="71">
        <v>5.0</v>
      </c>
      <c r="D251" s="79">
        <v>8.0</v>
      </c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</row>
    <row r="252">
      <c r="A252" s="70">
        <v>60502.0</v>
      </c>
      <c r="B252" s="63" t="s">
        <v>346</v>
      </c>
      <c r="C252" s="71">
        <v>1.0</v>
      </c>
      <c r="D252" s="79">
        <v>2.0</v>
      </c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</row>
    <row r="253">
      <c r="A253" s="70">
        <v>60601.0</v>
      </c>
      <c r="B253" s="63" t="s">
        <v>217</v>
      </c>
      <c r="C253" s="71">
        <v>6.0</v>
      </c>
      <c r="D253" s="79">
        <v>9.0</v>
      </c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</row>
    <row r="254">
      <c r="A254" s="70">
        <v>70101.0</v>
      </c>
      <c r="B254" s="63" t="s">
        <v>350</v>
      </c>
      <c r="C254" s="71">
        <v>328.0</v>
      </c>
      <c r="D254" s="79">
        <v>614.0</v>
      </c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</row>
    <row r="255">
      <c r="A255" s="70">
        <v>70102.0</v>
      </c>
      <c r="B255" s="63" t="s">
        <v>351</v>
      </c>
      <c r="C255" s="71">
        <v>21.0</v>
      </c>
      <c r="D255" s="79">
        <v>17.0</v>
      </c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</row>
    <row r="256">
      <c r="A256" s="70">
        <v>70103.0</v>
      </c>
      <c r="B256" s="63" t="s">
        <v>352</v>
      </c>
      <c r="C256" s="71">
        <v>0.0</v>
      </c>
      <c r="D256" s="79">
        <v>4.0</v>
      </c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</row>
    <row r="257">
      <c r="A257" s="70">
        <v>70104.0</v>
      </c>
      <c r="B257" s="63" t="s">
        <v>353</v>
      </c>
      <c r="C257" s="71">
        <v>8.0</v>
      </c>
      <c r="D257" s="79">
        <v>30.0</v>
      </c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</row>
    <row r="258">
      <c r="A258" s="70">
        <v>70105.0</v>
      </c>
      <c r="B258" s="63" t="s">
        <v>354</v>
      </c>
      <c r="C258" s="71">
        <v>8.0</v>
      </c>
      <c r="D258" s="79">
        <v>13.0</v>
      </c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</row>
    <row r="259">
      <c r="A259" s="70">
        <v>70201.0</v>
      </c>
      <c r="B259" s="63" t="s">
        <v>355</v>
      </c>
      <c r="C259" s="71">
        <v>17.0</v>
      </c>
      <c r="D259" s="79">
        <v>31.0</v>
      </c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</row>
    <row r="260">
      <c r="A260" s="70">
        <v>70202.0</v>
      </c>
      <c r="B260" s="63" t="s">
        <v>356</v>
      </c>
      <c r="C260" s="71">
        <v>11.0</v>
      </c>
      <c r="D260" s="79">
        <v>1.0</v>
      </c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</row>
    <row r="261">
      <c r="A261" s="70">
        <v>70301.0</v>
      </c>
      <c r="B261" s="63" t="s">
        <v>510</v>
      </c>
      <c r="C261" s="71">
        <v>13.0</v>
      </c>
      <c r="D261" s="79">
        <v>15.0</v>
      </c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</row>
    <row r="262">
      <c r="A262" s="70">
        <v>70302.0</v>
      </c>
      <c r="B262" s="63" t="s">
        <v>511</v>
      </c>
      <c r="C262" s="71">
        <v>0.0</v>
      </c>
      <c r="D262" s="79">
        <v>15.0</v>
      </c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</row>
    <row r="263">
      <c r="A263" s="70">
        <v>70303.0</v>
      </c>
      <c r="B263" s="63" t="s">
        <v>360</v>
      </c>
      <c r="C263" s="71">
        <v>5.0</v>
      </c>
      <c r="D263" s="79">
        <v>5.0</v>
      </c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</row>
    <row r="264">
      <c r="A264" s="70">
        <v>70401.0</v>
      </c>
      <c r="B264" s="63" t="s">
        <v>362</v>
      </c>
      <c r="C264" s="71">
        <v>3.0</v>
      </c>
      <c r="D264" s="79">
        <v>1.0</v>
      </c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</row>
    <row r="265">
      <c r="A265" s="70">
        <v>70402.0</v>
      </c>
      <c r="B265" s="63" t="s">
        <v>363</v>
      </c>
      <c r="C265" s="71">
        <v>0.0</v>
      </c>
      <c r="D265" s="79">
        <v>9.0</v>
      </c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</row>
    <row r="266">
      <c r="A266" s="70">
        <v>70403.0</v>
      </c>
      <c r="B266" s="63" t="s">
        <v>364</v>
      </c>
      <c r="C266" s="71">
        <v>8.0</v>
      </c>
      <c r="D266" s="79">
        <v>12.0</v>
      </c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</row>
    <row r="267">
      <c r="A267" s="70">
        <v>70404.0</v>
      </c>
      <c r="B267" s="63" t="s">
        <v>365</v>
      </c>
      <c r="C267" s="71">
        <v>13.0</v>
      </c>
      <c r="D267" s="79">
        <v>0.0</v>
      </c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</row>
    <row r="268">
      <c r="A268" s="70">
        <v>70501.0</v>
      </c>
      <c r="B268" s="63" t="s">
        <v>512</v>
      </c>
      <c r="C268" s="71">
        <v>4.0</v>
      </c>
      <c r="D268" s="79">
        <v>9.0</v>
      </c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</row>
    <row r="269">
      <c r="A269" s="70">
        <v>70502.0</v>
      </c>
      <c r="B269" s="63" t="s">
        <v>368</v>
      </c>
      <c r="C269" s="71">
        <v>3.0</v>
      </c>
      <c r="D269" s="79">
        <v>35.0</v>
      </c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</row>
    <row r="270">
      <c r="A270" s="70">
        <v>70503.0</v>
      </c>
      <c r="B270" s="63" t="s">
        <v>369</v>
      </c>
      <c r="C270" s="71">
        <v>1.0</v>
      </c>
      <c r="D270" s="79">
        <v>4.0</v>
      </c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</row>
    <row r="271">
      <c r="A271" s="70">
        <v>70601.0</v>
      </c>
      <c r="B271" s="63" t="s">
        <v>371</v>
      </c>
      <c r="C271" s="71">
        <v>0.0</v>
      </c>
      <c r="D271" s="79">
        <v>2.0</v>
      </c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</row>
    <row r="272">
      <c r="A272" s="70">
        <v>70602.0</v>
      </c>
      <c r="B272" s="63" t="s">
        <v>513</v>
      </c>
      <c r="C272" s="71">
        <v>2.0</v>
      </c>
      <c r="D272" s="79">
        <v>10.0</v>
      </c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</row>
    <row r="273">
      <c r="A273" s="70">
        <v>70603.0</v>
      </c>
      <c r="B273" s="63" t="s">
        <v>373</v>
      </c>
      <c r="C273" s="71">
        <v>0.0</v>
      </c>
      <c r="D273" s="79">
        <v>1.0</v>
      </c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</row>
    <row r="274">
      <c r="A274" s="70">
        <v>70701.0</v>
      </c>
      <c r="B274" s="63" t="s">
        <v>375</v>
      </c>
      <c r="C274" s="71">
        <v>2.0</v>
      </c>
      <c r="D274" s="79">
        <v>1.0</v>
      </c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</row>
    <row r="275">
      <c r="A275" s="70">
        <v>70702.0</v>
      </c>
      <c r="B275" s="63" t="s">
        <v>514</v>
      </c>
      <c r="C275" s="71">
        <v>28.0</v>
      </c>
      <c r="D275" s="79">
        <v>14.0</v>
      </c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</row>
    <row r="276">
      <c r="A276" s="70">
        <v>70703.0</v>
      </c>
      <c r="B276" s="63" t="s">
        <v>377</v>
      </c>
      <c r="C276" s="71">
        <v>0.0</v>
      </c>
      <c r="D276" s="79">
        <v>2.0</v>
      </c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</row>
    <row r="277">
      <c r="A277" s="70">
        <v>70704.0</v>
      </c>
      <c r="B277" s="63" t="s">
        <v>378</v>
      </c>
      <c r="C277" s="71">
        <v>7.0</v>
      </c>
      <c r="D277" s="79">
        <v>2.0</v>
      </c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</row>
    <row r="278">
      <c r="A278" s="70">
        <v>70705.0</v>
      </c>
      <c r="B278" s="63" t="s">
        <v>515</v>
      </c>
      <c r="C278" s="71">
        <v>6.0</v>
      </c>
      <c r="D278" s="79">
        <v>0.0</v>
      </c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</row>
    <row r="279">
      <c r="A279" s="70">
        <v>70706.0</v>
      </c>
      <c r="B279" s="63" t="s">
        <v>380</v>
      </c>
      <c r="C279" s="71">
        <v>9.0</v>
      </c>
      <c r="D279" s="79">
        <v>10.0</v>
      </c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</row>
    <row r="280">
      <c r="A280" s="70">
        <v>70707.0</v>
      </c>
      <c r="B280" s="63" t="s">
        <v>381</v>
      </c>
      <c r="C280" s="71">
        <v>2.0</v>
      </c>
      <c r="D280" s="79">
        <v>6.0</v>
      </c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</row>
    <row r="281">
      <c r="A281" s="70">
        <v>70801.0</v>
      </c>
      <c r="B281" s="63" t="s">
        <v>383</v>
      </c>
      <c r="C281" s="71">
        <v>3.0</v>
      </c>
      <c r="D281" s="79">
        <v>2.0</v>
      </c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</row>
    <row r="282">
      <c r="A282" s="70">
        <v>70802.0</v>
      </c>
      <c r="B282" s="63" t="s">
        <v>384</v>
      </c>
      <c r="C282" s="71">
        <v>0.0</v>
      </c>
      <c r="D282" s="79">
        <v>0.0</v>
      </c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</row>
    <row r="283">
      <c r="A283" s="70">
        <v>70803.0</v>
      </c>
      <c r="B283" s="63" t="s">
        <v>516</v>
      </c>
      <c r="C283" s="71">
        <v>1.0</v>
      </c>
      <c r="D283" s="79">
        <v>1.0</v>
      </c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</row>
    <row r="284">
      <c r="A284" s="70">
        <v>70804.0</v>
      </c>
      <c r="B284" s="63" t="s">
        <v>386</v>
      </c>
      <c r="C284" s="71">
        <v>0.0</v>
      </c>
      <c r="D284" s="79">
        <v>0.0</v>
      </c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</row>
    <row r="285">
      <c r="A285" s="70">
        <v>70805.0</v>
      </c>
      <c r="B285" s="63" t="s">
        <v>387</v>
      </c>
      <c r="C285" s="71">
        <v>0.0</v>
      </c>
      <c r="D285" s="79">
        <v>0.0</v>
      </c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</row>
    <row r="286">
      <c r="A286" s="70">
        <v>70901.0</v>
      </c>
      <c r="B286" s="63" t="s">
        <v>389</v>
      </c>
      <c r="C286" s="71">
        <v>2.0</v>
      </c>
      <c r="D286" s="79">
        <v>4.0</v>
      </c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</row>
    <row r="287">
      <c r="A287" s="70">
        <v>70902.0</v>
      </c>
      <c r="B287" s="63" t="s">
        <v>517</v>
      </c>
      <c r="C287" s="71">
        <v>2.0</v>
      </c>
      <c r="D287" s="79">
        <v>2.0</v>
      </c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</row>
    <row r="288">
      <c r="A288" s="70">
        <v>70903.0</v>
      </c>
      <c r="B288" s="63" t="s">
        <v>391</v>
      </c>
      <c r="C288" s="71">
        <v>3.0</v>
      </c>
      <c r="D288" s="79">
        <v>12.0</v>
      </c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</row>
    <row r="289">
      <c r="A289" s="70">
        <v>70904.0</v>
      </c>
      <c r="B289" s="63" t="s">
        <v>392</v>
      </c>
      <c r="C289" s="71">
        <v>0.0</v>
      </c>
      <c r="D289" s="79">
        <v>0.0</v>
      </c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</row>
    <row r="290">
      <c r="A290" s="70">
        <v>71001.0</v>
      </c>
      <c r="B290" s="63" t="s">
        <v>394</v>
      </c>
      <c r="C290" s="71">
        <v>48.0</v>
      </c>
      <c r="D290" s="79">
        <v>28.0</v>
      </c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</row>
    <row r="291">
      <c r="A291" s="70">
        <v>71002.0</v>
      </c>
      <c r="B291" s="63" t="s">
        <v>395</v>
      </c>
      <c r="C291" s="71">
        <v>0.0</v>
      </c>
      <c r="D291" s="79">
        <v>3.0</v>
      </c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</row>
    <row r="292">
      <c r="A292" s="70">
        <v>71003.0</v>
      </c>
      <c r="B292" s="63" t="s">
        <v>396</v>
      </c>
      <c r="C292" s="71">
        <v>1.0</v>
      </c>
      <c r="D292" s="79">
        <v>9.0</v>
      </c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</row>
    <row r="293">
      <c r="A293" s="70">
        <v>71004.0</v>
      </c>
      <c r="B293" s="63" t="s">
        <v>397</v>
      </c>
      <c r="C293" s="71">
        <v>22.0</v>
      </c>
      <c r="D293" s="79">
        <v>0.0</v>
      </c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</row>
    <row r="294">
      <c r="A294" s="70">
        <v>71005.0</v>
      </c>
      <c r="B294" s="63" t="s">
        <v>296</v>
      </c>
      <c r="C294" s="71">
        <v>0.0</v>
      </c>
      <c r="D294" s="79">
        <v>1.0</v>
      </c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</row>
    <row r="295">
      <c r="A295" s="70">
        <v>71101.0</v>
      </c>
      <c r="B295" s="63" t="s">
        <v>399</v>
      </c>
      <c r="C295" s="71">
        <v>0.0</v>
      </c>
      <c r="D295" s="79">
        <v>5.0</v>
      </c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</row>
    <row r="296">
      <c r="A296" s="70">
        <v>71102.0</v>
      </c>
      <c r="B296" s="63" t="s">
        <v>400</v>
      </c>
      <c r="C296" s="71">
        <v>12.0</v>
      </c>
      <c r="D296" s="79">
        <v>11.0</v>
      </c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</row>
    <row r="297">
      <c r="A297" s="70">
        <v>71103.0</v>
      </c>
      <c r="B297" s="63" t="s">
        <v>403</v>
      </c>
      <c r="C297" s="71">
        <v>3.0</v>
      </c>
      <c r="D297" s="79">
        <v>1.0</v>
      </c>
      <c r="E297" s="69"/>
      <c r="F297" s="69"/>
      <c r="G297" s="69"/>
      <c r="H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</row>
    <row r="298">
      <c r="A298" s="70">
        <v>71104.0</v>
      </c>
      <c r="B298" s="63" t="s">
        <v>401</v>
      </c>
      <c r="C298" s="71">
        <v>38.0</v>
      </c>
      <c r="D298" s="79">
        <v>32.0</v>
      </c>
      <c r="E298" s="69"/>
      <c r="F298" s="69"/>
      <c r="G298" s="69"/>
      <c r="H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</row>
    <row r="299">
      <c r="A299" s="70">
        <v>71105.0</v>
      </c>
      <c r="B299" s="63" t="s">
        <v>402</v>
      </c>
      <c r="C299" s="71">
        <v>0.0</v>
      </c>
      <c r="D299" s="79">
        <v>17.0</v>
      </c>
      <c r="E299" s="69"/>
      <c r="F299" s="69"/>
      <c r="G299" s="69"/>
      <c r="H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</row>
    <row r="300">
      <c r="A300" s="70">
        <v>71106.0</v>
      </c>
      <c r="B300" s="63" t="s">
        <v>404</v>
      </c>
      <c r="C300" s="71">
        <v>9.0</v>
      </c>
      <c r="D300" s="79">
        <v>3.0</v>
      </c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</row>
    <row r="301">
      <c r="A301" s="70">
        <v>71201.0</v>
      </c>
      <c r="B301" s="63" t="s">
        <v>406</v>
      </c>
      <c r="C301" s="71">
        <v>0.0</v>
      </c>
      <c r="D301" s="79">
        <v>0.0</v>
      </c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</row>
    <row r="302">
      <c r="A302" s="70">
        <v>71301.0</v>
      </c>
      <c r="B302" s="63" t="s">
        <v>408</v>
      </c>
      <c r="C302" s="71">
        <v>6.0</v>
      </c>
      <c r="D302" s="79">
        <v>9.0</v>
      </c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</row>
    <row r="303">
      <c r="A303" s="70">
        <v>71302.0</v>
      </c>
      <c r="B303" s="63" t="s">
        <v>409</v>
      </c>
      <c r="C303" s="71">
        <v>21.0</v>
      </c>
      <c r="D303" s="79">
        <v>4.0</v>
      </c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</row>
    <row r="304">
      <c r="A304" s="70">
        <v>71401.0</v>
      </c>
      <c r="B304" s="63" t="s">
        <v>518</v>
      </c>
      <c r="C304" s="71">
        <v>22.0</v>
      </c>
      <c r="D304" s="79">
        <v>2.0</v>
      </c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</row>
    <row r="305">
      <c r="A305" s="70">
        <v>71402.0</v>
      </c>
      <c r="B305" s="63" t="s">
        <v>412</v>
      </c>
      <c r="C305" s="71">
        <v>14.0</v>
      </c>
      <c r="D305" s="79">
        <v>24.0</v>
      </c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</row>
    <row r="306">
      <c r="A306" s="70">
        <v>71403.0</v>
      </c>
      <c r="B306" s="63" t="s">
        <v>413</v>
      </c>
      <c r="C306" s="71">
        <v>0.0</v>
      </c>
      <c r="D306" s="79">
        <v>2.0</v>
      </c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</row>
    <row r="307">
      <c r="A307" s="70">
        <v>71501.0</v>
      </c>
      <c r="B307" s="63" t="s">
        <v>415</v>
      </c>
      <c r="C307" s="71">
        <v>19.0</v>
      </c>
      <c r="D307" s="79">
        <v>19.0</v>
      </c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</row>
    <row r="308">
      <c r="A308" s="70">
        <v>71502.0</v>
      </c>
      <c r="B308" s="63" t="s">
        <v>416</v>
      </c>
      <c r="C308" s="71">
        <v>0.0</v>
      </c>
      <c r="D308" s="79">
        <v>4.0</v>
      </c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</row>
    <row r="309">
      <c r="A309" s="70">
        <v>71503.0</v>
      </c>
      <c r="B309" s="63" t="s">
        <v>346</v>
      </c>
      <c r="C309" s="71">
        <v>8.0</v>
      </c>
      <c r="D309" s="79">
        <v>2.0</v>
      </c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</row>
    <row r="310">
      <c r="A310" s="70">
        <v>80101.0</v>
      </c>
      <c r="B310" s="63" t="s">
        <v>418</v>
      </c>
      <c r="C310" s="71">
        <v>53.0</v>
      </c>
      <c r="D310" s="79">
        <v>92.0</v>
      </c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</row>
    <row r="311">
      <c r="A311" s="70">
        <v>80102.0</v>
      </c>
      <c r="B311" s="63" t="s">
        <v>400</v>
      </c>
      <c r="C311" s="71">
        <v>0.0</v>
      </c>
      <c r="D311" s="79">
        <v>0.0</v>
      </c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</row>
    <row r="312">
      <c r="A312" s="70">
        <v>80201.0</v>
      </c>
      <c r="B312" s="63" t="s">
        <v>420</v>
      </c>
      <c r="C312" s="71">
        <v>12.0</v>
      </c>
      <c r="D312" s="79">
        <v>38.0</v>
      </c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</row>
    <row r="313">
      <c r="A313" s="70">
        <v>80202.0</v>
      </c>
      <c r="B313" s="63" t="s">
        <v>421</v>
      </c>
      <c r="C313" s="71">
        <v>0.0</v>
      </c>
      <c r="D313" s="79">
        <v>25.0</v>
      </c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</row>
    <row r="314">
      <c r="A314" s="70">
        <v>80301.0</v>
      </c>
      <c r="B314" s="63" t="s">
        <v>423</v>
      </c>
      <c r="C314" s="71">
        <v>18.0</v>
      </c>
      <c r="D314" s="79">
        <v>8.0</v>
      </c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</row>
    <row r="315">
      <c r="A315" s="70">
        <v>80302.0</v>
      </c>
      <c r="B315" s="63" t="s">
        <v>424</v>
      </c>
      <c r="C315" s="71">
        <v>1.0</v>
      </c>
      <c r="D315" s="79">
        <v>55.0</v>
      </c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</row>
    <row r="316">
      <c r="A316" s="70">
        <v>80303.0</v>
      </c>
      <c r="B316" s="63" t="s">
        <v>372</v>
      </c>
      <c r="C316" s="71">
        <v>0.0</v>
      </c>
      <c r="D316" s="79">
        <v>3.0</v>
      </c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</row>
    <row r="317">
      <c r="A317" s="70">
        <v>80304.0</v>
      </c>
      <c r="B317" s="63" t="s">
        <v>519</v>
      </c>
      <c r="C317" s="71">
        <v>22.0</v>
      </c>
      <c r="D317" s="79">
        <v>4.0</v>
      </c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</row>
    <row r="318">
      <c r="A318" s="70">
        <v>80401.0</v>
      </c>
      <c r="B318" s="63" t="s">
        <v>520</v>
      </c>
      <c r="C318" s="71">
        <v>0.0</v>
      </c>
      <c r="D318" s="79">
        <v>7.0</v>
      </c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</row>
    <row r="319">
      <c r="A319" s="70">
        <v>80402.0</v>
      </c>
      <c r="B319" s="63" t="s">
        <v>428</v>
      </c>
      <c r="C319" s="71">
        <v>0.0</v>
      </c>
      <c r="D319" s="79">
        <v>6.0</v>
      </c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</row>
    <row r="320">
      <c r="A320" s="70">
        <v>80501.0</v>
      </c>
      <c r="B320" s="63" t="s">
        <v>358</v>
      </c>
      <c r="C320" s="71">
        <v>0.0</v>
      </c>
      <c r="D320" s="79">
        <v>0.0</v>
      </c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</row>
    <row r="321">
      <c r="A321" s="70">
        <v>80601.0</v>
      </c>
      <c r="B321" s="63" t="s">
        <v>431</v>
      </c>
      <c r="C321" s="71">
        <v>0.0</v>
      </c>
      <c r="D321" s="79">
        <v>0.0</v>
      </c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</row>
    <row r="322">
      <c r="A322" s="70">
        <v>80602.0</v>
      </c>
      <c r="B322" s="63" t="s">
        <v>432</v>
      </c>
      <c r="C322" s="71">
        <v>66.0</v>
      </c>
      <c r="D322" s="79">
        <v>15.0</v>
      </c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</row>
    <row r="323">
      <c r="A323" s="70">
        <v>80701.0</v>
      </c>
      <c r="B323" s="63" t="s">
        <v>434</v>
      </c>
      <c r="C323" s="71">
        <v>0.0</v>
      </c>
      <c r="D323" s="79">
        <v>0.0</v>
      </c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</row>
    <row r="324">
      <c r="A324" s="70">
        <v>80702.0</v>
      </c>
      <c r="B324" s="63" t="s">
        <v>403</v>
      </c>
      <c r="C324" s="71">
        <v>0.0</v>
      </c>
      <c r="D324" s="79">
        <v>3.0</v>
      </c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</row>
    <row r="325">
      <c r="A325" s="70">
        <v>80703.0</v>
      </c>
      <c r="B325" s="63" t="s">
        <v>435</v>
      </c>
      <c r="C325" s="71">
        <v>0.0</v>
      </c>
      <c r="D325" s="79">
        <v>2.0</v>
      </c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</row>
    <row r="326">
      <c r="A326" s="70">
        <v>80801.0</v>
      </c>
      <c r="B326" s="63" t="s">
        <v>437</v>
      </c>
      <c r="C326" s="71">
        <v>2.0</v>
      </c>
      <c r="D326" s="79">
        <v>3.0</v>
      </c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</row>
    <row r="327">
      <c r="A327" s="70">
        <v>80802.0</v>
      </c>
      <c r="B327" s="63" t="s">
        <v>438</v>
      </c>
      <c r="C327" s="71">
        <v>2.0</v>
      </c>
      <c r="D327" s="79">
        <v>2.0</v>
      </c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</row>
    <row r="328">
      <c r="A328" s="70">
        <v>80803.0</v>
      </c>
      <c r="B328" s="63" t="s">
        <v>439</v>
      </c>
      <c r="C328" s="71">
        <v>0.0</v>
      </c>
      <c r="D328" s="79">
        <v>0.0</v>
      </c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</row>
    <row r="329">
      <c r="A329" s="70">
        <v>80901.0</v>
      </c>
      <c r="B329" s="63" t="s">
        <v>521</v>
      </c>
      <c r="C329" s="85">
        <v>0.0</v>
      </c>
      <c r="D329" s="79">
        <v>0.0</v>
      </c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</row>
    <row r="330">
      <c r="A330" s="70">
        <v>90101.0</v>
      </c>
      <c r="B330" s="63" t="s">
        <v>444</v>
      </c>
      <c r="C330" s="71">
        <v>7.0</v>
      </c>
      <c r="D330" s="79">
        <v>1.0</v>
      </c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</row>
    <row r="331">
      <c r="A331" s="70">
        <v>90102.0</v>
      </c>
      <c r="B331" s="63" t="s">
        <v>445</v>
      </c>
      <c r="C331" s="71">
        <v>0.0</v>
      </c>
      <c r="D331" s="79">
        <v>0.0</v>
      </c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</row>
    <row r="332">
      <c r="A332" s="70">
        <v>90103.0</v>
      </c>
      <c r="B332" s="63" t="s">
        <v>446</v>
      </c>
      <c r="C332" s="71">
        <v>0.0</v>
      </c>
      <c r="D332" s="79">
        <v>2.0</v>
      </c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</row>
    <row r="333">
      <c r="A333" s="70">
        <v>90104.0</v>
      </c>
      <c r="B333" s="63" t="s">
        <v>447</v>
      </c>
      <c r="C333" s="71">
        <v>0.0</v>
      </c>
      <c r="D333" s="79">
        <v>0.0</v>
      </c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</row>
    <row r="334">
      <c r="A334" s="70">
        <v>90201.0</v>
      </c>
      <c r="B334" s="63" t="s">
        <v>449</v>
      </c>
      <c r="C334" s="71">
        <v>0.0</v>
      </c>
      <c r="D334" s="79">
        <v>1.0</v>
      </c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</row>
    <row r="335">
      <c r="A335" s="70">
        <v>90202.0</v>
      </c>
      <c r="B335" s="63" t="s">
        <v>296</v>
      </c>
      <c r="C335" s="71">
        <v>0.0</v>
      </c>
      <c r="D335" s="79">
        <v>35.0</v>
      </c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</row>
    <row r="336">
      <c r="A336" s="70">
        <v>90203.0</v>
      </c>
      <c r="B336" s="63" t="s">
        <v>450</v>
      </c>
      <c r="C336" s="71">
        <v>0.0</v>
      </c>
      <c r="D336" s="79">
        <v>1.0</v>
      </c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</row>
    <row r="337">
      <c r="A337" s="70">
        <v>90301.0</v>
      </c>
      <c r="B337" s="63" t="s">
        <v>452</v>
      </c>
      <c r="C337" s="71">
        <v>51.0</v>
      </c>
      <c r="D337" s="79">
        <v>0.0</v>
      </c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</row>
    <row r="338">
      <c r="A338" s="70">
        <v>90302.0</v>
      </c>
      <c r="B338" s="63" t="s">
        <v>345</v>
      </c>
      <c r="C338" s="71">
        <v>0.0</v>
      </c>
      <c r="D338" s="79">
        <v>10.0</v>
      </c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</row>
    <row r="339">
      <c r="A339" s="70">
        <v>90303.0</v>
      </c>
      <c r="B339" s="63" t="s">
        <v>453</v>
      </c>
      <c r="C339" s="71">
        <v>0.0</v>
      </c>
      <c r="D339" s="79">
        <v>3.0</v>
      </c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</row>
    <row r="340">
      <c r="A340" s="70">
        <v>90401.0</v>
      </c>
      <c r="B340" s="63" t="s">
        <v>522</v>
      </c>
      <c r="C340" s="71">
        <v>2.0</v>
      </c>
      <c r="D340" s="79">
        <v>0.0</v>
      </c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</row>
    <row r="341">
      <c r="A341" s="70">
        <v>90402.0</v>
      </c>
      <c r="B341" s="63" t="s">
        <v>115</v>
      </c>
      <c r="C341" s="71">
        <v>6.0</v>
      </c>
      <c r="D341" s="79">
        <v>4.0</v>
      </c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</row>
    <row r="342">
      <c r="A342" s="70">
        <v>90501.0</v>
      </c>
      <c r="B342" s="63" t="s">
        <v>456</v>
      </c>
      <c r="C342" s="71">
        <v>6.0</v>
      </c>
      <c r="D342" s="79">
        <v>0.0</v>
      </c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</row>
    <row r="343">
      <c r="A343" s="70">
        <v>90502.0</v>
      </c>
      <c r="B343" s="63" t="s">
        <v>523</v>
      </c>
      <c r="C343" s="71">
        <v>0.0</v>
      </c>
      <c r="D343" s="79">
        <v>1.0</v>
      </c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</row>
    <row r="344">
      <c r="A344" s="70">
        <v>90503.0</v>
      </c>
      <c r="B344" s="63" t="s">
        <v>458</v>
      </c>
      <c r="C344" s="71">
        <v>0.0</v>
      </c>
      <c r="D344" s="79">
        <v>0.0</v>
      </c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</row>
    <row r="345">
      <c r="A345" s="14"/>
      <c r="B345" s="90"/>
      <c r="C345" s="97"/>
      <c r="D345" s="97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</row>
    <row r="346">
      <c r="A346" s="14"/>
      <c r="B346" s="90"/>
      <c r="C346" s="97"/>
      <c r="D346" s="97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</row>
    <row r="347">
      <c r="A347" s="14"/>
      <c r="B347" s="90"/>
      <c r="C347" s="97"/>
      <c r="D347" s="97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</row>
    <row r="348">
      <c r="A348" s="14"/>
      <c r="B348" s="90"/>
      <c r="C348" s="97"/>
      <c r="D348" s="97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</row>
    <row r="349">
      <c r="A349" s="14"/>
      <c r="B349" s="90"/>
      <c r="C349" s="97"/>
      <c r="D349" s="97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</row>
    <row r="350">
      <c r="A350" s="14"/>
      <c r="B350" s="90"/>
      <c r="C350" s="97"/>
      <c r="D350" s="97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</row>
    <row r="351">
      <c r="A351" s="14"/>
      <c r="B351" s="90"/>
      <c r="C351" s="97"/>
      <c r="D351" s="97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</row>
    <row r="352">
      <c r="A352" s="14"/>
      <c r="B352" s="90"/>
      <c r="C352" s="97"/>
      <c r="D352" s="97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</row>
    <row r="353">
      <c r="A353" s="14"/>
      <c r="B353" s="90"/>
      <c r="C353" s="97"/>
      <c r="D353" s="97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</row>
    <row r="354">
      <c r="A354" s="14"/>
      <c r="B354" s="90"/>
      <c r="C354" s="97"/>
      <c r="D354" s="97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</row>
    <row r="355">
      <c r="A355" s="14"/>
      <c r="B355" s="90"/>
      <c r="C355" s="97"/>
      <c r="D355" s="97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</row>
    <row r="356">
      <c r="A356" s="14"/>
      <c r="B356" s="90"/>
      <c r="C356" s="97"/>
      <c r="D356" s="97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</row>
    <row r="357">
      <c r="A357" s="14"/>
      <c r="B357" s="90"/>
      <c r="C357" s="97"/>
      <c r="D357" s="97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</row>
    <row r="358">
      <c r="A358" s="14"/>
      <c r="B358" s="90"/>
      <c r="C358" s="97"/>
      <c r="D358" s="97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</row>
    <row r="359">
      <c r="A359" s="14"/>
      <c r="B359" s="90"/>
      <c r="C359" s="97"/>
      <c r="D359" s="97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</row>
    <row r="360">
      <c r="A360" s="14"/>
      <c r="B360" s="90"/>
      <c r="C360" s="97"/>
      <c r="D360" s="97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</row>
    <row r="361">
      <c r="A361" s="14"/>
      <c r="B361" s="90"/>
      <c r="C361" s="97"/>
      <c r="D361" s="97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</row>
    <row r="362">
      <c r="A362" s="14"/>
      <c r="B362" s="90"/>
      <c r="C362" s="97"/>
      <c r="D362" s="97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</row>
    <row r="363">
      <c r="A363" s="14"/>
      <c r="B363" s="90"/>
      <c r="C363" s="97"/>
      <c r="D363" s="97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</row>
    <row r="364">
      <c r="A364" s="14"/>
      <c r="B364" s="90"/>
      <c r="C364" s="97"/>
      <c r="D364" s="97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</row>
    <row r="365">
      <c r="A365" s="14"/>
      <c r="B365" s="90"/>
      <c r="C365" s="97"/>
      <c r="D365" s="97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</row>
    <row r="366">
      <c r="A366" s="14"/>
      <c r="B366" s="90"/>
      <c r="C366" s="97"/>
      <c r="D366" s="97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</row>
    <row r="367">
      <c r="A367" s="14"/>
      <c r="B367" s="90"/>
      <c r="C367" s="97"/>
      <c r="D367" s="97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</row>
    <row r="368">
      <c r="A368" s="14"/>
      <c r="B368" s="90"/>
      <c r="C368" s="97"/>
      <c r="D368" s="97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</row>
    <row r="369">
      <c r="A369" s="14"/>
      <c r="B369" s="90"/>
      <c r="C369" s="97"/>
      <c r="D369" s="97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</row>
    <row r="370">
      <c r="A370" s="14"/>
      <c r="B370" s="90"/>
      <c r="C370" s="97"/>
      <c r="D370" s="97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</row>
    <row r="371">
      <c r="A371" s="14"/>
      <c r="B371" s="90"/>
      <c r="C371" s="97"/>
      <c r="D371" s="97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</row>
    <row r="372">
      <c r="A372" s="14"/>
      <c r="B372" s="90"/>
      <c r="C372" s="97"/>
      <c r="D372" s="97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</row>
    <row r="373">
      <c r="A373" s="14"/>
      <c r="B373" s="90"/>
      <c r="C373" s="97"/>
      <c r="D373" s="97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</row>
    <row r="374">
      <c r="A374" s="14"/>
      <c r="B374" s="90"/>
      <c r="C374" s="97"/>
      <c r="D374" s="97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</row>
    <row r="375">
      <c r="A375" s="14"/>
      <c r="B375" s="90"/>
      <c r="C375" s="97"/>
      <c r="D375" s="97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</row>
    <row r="376">
      <c r="A376" s="14"/>
      <c r="B376" s="90"/>
      <c r="C376" s="97"/>
      <c r="D376" s="97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</row>
    <row r="377">
      <c r="A377" s="14"/>
      <c r="B377" s="90"/>
      <c r="C377" s="97"/>
      <c r="D377" s="97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</row>
    <row r="378">
      <c r="A378" s="14"/>
      <c r="B378" s="90"/>
      <c r="C378" s="97"/>
      <c r="D378" s="97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</row>
    <row r="379">
      <c r="A379" s="14"/>
      <c r="B379" s="90"/>
      <c r="C379" s="97"/>
      <c r="D379" s="97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</row>
    <row r="380">
      <c r="A380" s="14"/>
      <c r="B380" s="90"/>
      <c r="C380" s="97"/>
      <c r="D380" s="97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</row>
    <row r="381">
      <c r="A381" s="14"/>
      <c r="B381" s="90"/>
      <c r="C381" s="97"/>
      <c r="D381" s="97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</row>
    <row r="382">
      <c r="A382" s="14"/>
      <c r="B382" s="90"/>
      <c r="C382" s="97"/>
      <c r="D382" s="97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</row>
    <row r="383">
      <c r="A383" s="14"/>
      <c r="B383" s="90"/>
      <c r="C383" s="97"/>
      <c r="D383" s="97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</row>
    <row r="384">
      <c r="A384" s="14"/>
      <c r="B384" s="90"/>
      <c r="C384" s="97"/>
      <c r="D384" s="97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</row>
    <row r="385">
      <c r="A385" s="14"/>
      <c r="B385" s="90"/>
      <c r="C385" s="97"/>
      <c r="D385" s="97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</row>
    <row r="386">
      <c r="A386" s="14"/>
      <c r="B386" s="90"/>
      <c r="C386" s="97"/>
      <c r="D386" s="97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</row>
    <row r="387">
      <c r="A387" s="14"/>
      <c r="B387" s="90"/>
      <c r="C387" s="97"/>
      <c r="D387" s="97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</row>
    <row r="388">
      <c r="A388" s="14"/>
      <c r="B388" s="90"/>
      <c r="C388" s="97"/>
      <c r="D388" s="97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</row>
    <row r="389">
      <c r="A389" s="14"/>
      <c r="B389" s="90"/>
      <c r="C389" s="97"/>
      <c r="D389" s="97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</row>
    <row r="390">
      <c r="A390" s="14"/>
      <c r="B390" s="90"/>
      <c r="C390" s="97"/>
      <c r="D390" s="97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</row>
    <row r="391">
      <c r="A391" s="14"/>
      <c r="B391" s="90"/>
      <c r="C391" s="97"/>
      <c r="D391" s="97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</row>
    <row r="392">
      <c r="A392" s="14"/>
      <c r="B392" s="90"/>
      <c r="C392" s="97"/>
      <c r="D392" s="97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</row>
    <row r="393">
      <c r="A393" s="14"/>
      <c r="B393" s="90"/>
      <c r="C393" s="97"/>
      <c r="D393" s="97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</row>
    <row r="394">
      <c r="A394" s="14"/>
      <c r="B394" s="90"/>
      <c r="C394" s="97"/>
      <c r="D394" s="97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</row>
    <row r="395">
      <c r="A395" s="14"/>
      <c r="B395" s="90"/>
      <c r="C395" s="97"/>
      <c r="D395" s="97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</row>
    <row r="396">
      <c r="A396" s="14"/>
      <c r="B396" s="90"/>
      <c r="C396" s="97"/>
      <c r="D396" s="97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</row>
    <row r="397">
      <c r="A397" s="14"/>
      <c r="B397" s="90"/>
      <c r="C397" s="97"/>
      <c r="D397" s="97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</row>
    <row r="398">
      <c r="A398" s="14"/>
      <c r="B398" s="90"/>
      <c r="C398" s="97"/>
      <c r="D398" s="97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</row>
    <row r="399">
      <c r="A399" s="14"/>
      <c r="B399" s="90"/>
      <c r="C399" s="97"/>
      <c r="D399" s="97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</row>
    <row r="400">
      <c r="A400" s="14"/>
      <c r="B400" s="90"/>
      <c r="C400" s="97"/>
      <c r="D400" s="97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</row>
    <row r="401">
      <c r="A401" s="14"/>
      <c r="B401" s="90"/>
      <c r="C401" s="97"/>
      <c r="D401" s="97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</row>
    <row r="402">
      <c r="A402" s="14"/>
      <c r="B402" s="90"/>
      <c r="C402" s="97"/>
      <c r="D402" s="97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</row>
    <row r="403">
      <c r="A403" s="14"/>
      <c r="B403" s="90"/>
      <c r="C403" s="97"/>
      <c r="D403" s="97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</row>
    <row r="404">
      <c r="A404" s="14"/>
      <c r="B404" s="90"/>
      <c r="C404" s="97"/>
      <c r="D404" s="97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</row>
    <row r="405">
      <c r="A405" s="14"/>
      <c r="B405" s="90"/>
      <c r="C405" s="97"/>
      <c r="D405" s="97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</row>
    <row r="406">
      <c r="A406" s="14"/>
      <c r="B406" s="90"/>
      <c r="C406" s="97"/>
      <c r="D406" s="97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</row>
    <row r="407">
      <c r="A407" s="14"/>
      <c r="B407" s="90"/>
      <c r="C407" s="97"/>
      <c r="D407" s="97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</row>
    <row r="408">
      <c r="A408" s="14"/>
      <c r="B408" s="90"/>
      <c r="C408" s="97"/>
      <c r="D408" s="97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</row>
    <row r="409">
      <c r="A409" s="14"/>
      <c r="B409" s="90"/>
      <c r="C409" s="97"/>
      <c r="D409" s="97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</row>
    <row r="410">
      <c r="A410" s="14"/>
      <c r="B410" s="90"/>
      <c r="C410" s="97"/>
      <c r="D410" s="97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</row>
    <row r="411">
      <c r="A411" s="14"/>
      <c r="B411" s="90"/>
      <c r="C411" s="97"/>
      <c r="D411" s="97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</row>
    <row r="412">
      <c r="A412" s="14"/>
      <c r="B412" s="90"/>
      <c r="C412" s="97"/>
      <c r="D412" s="97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</row>
    <row r="413">
      <c r="A413" s="14"/>
      <c r="B413" s="90"/>
      <c r="C413" s="97"/>
      <c r="D413" s="97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</row>
    <row r="414">
      <c r="A414" s="14"/>
      <c r="B414" s="90"/>
      <c r="C414" s="97"/>
      <c r="D414" s="97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</row>
    <row r="415">
      <c r="A415" s="14"/>
      <c r="B415" s="90"/>
      <c r="C415" s="97"/>
      <c r="D415" s="97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</row>
    <row r="416">
      <c r="A416" s="14"/>
      <c r="B416" s="90"/>
      <c r="C416" s="97"/>
      <c r="D416" s="97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</row>
    <row r="417">
      <c r="A417" s="14"/>
      <c r="B417" s="90"/>
      <c r="C417" s="97"/>
      <c r="D417" s="97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</row>
    <row r="418">
      <c r="A418" s="14"/>
      <c r="B418" s="90"/>
      <c r="C418" s="97"/>
      <c r="D418" s="97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</row>
    <row r="419">
      <c r="A419" s="14"/>
      <c r="B419" s="90"/>
      <c r="C419" s="97"/>
      <c r="D419" s="97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</row>
    <row r="420">
      <c r="A420" s="14"/>
      <c r="B420" s="90"/>
      <c r="C420" s="97"/>
      <c r="D420" s="97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</row>
    <row r="421">
      <c r="A421" s="14"/>
      <c r="B421" s="90"/>
      <c r="C421" s="97"/>
      <c r="D421" s="97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</row>
    <row r="422">
      <c r="A422" s="14"/>
      <c r="B422" s="90"/>
      <c r="C422" s="97"/>
      <c r="D422" s="97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</row>
    <row r="423">
      <c r="A423" s="14"/>
      <c r="B423" s="90"/>
      <c r="C423" s="97"/>
      <c r="D423" s="97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</row>
    <row r="424">
      <c r="A424" s="14"/>
      <c r="B424" s="90"/>
      <c r="C424" s="97"/>
      <c r="D424" s="97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</row>
    <row r="425">
      <c r="A425" s="14"/>
      <c r="B425" s="90"/>
      <c r="C425" s="97"/>
      <c r="D425" s="97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</row>
    <row r="426">
      <c r="A426" s="14"/>
      <c r="B426" s="90"/>
      <c r="C426" s="97"/>
      <c r="D426" s="97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</row>
    <row r="427">
      <c r="A427" s="14"/>
      <c r="B427" s="90"/>
      <c r="C427" s="97"/>
      <c r="D427" s="97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</row>
    <row r="428">
      <c r="A428" s="14"/>
      <c r="B428" s="90"/>
      <c r="C428" s="97"/>
      <c r="D428" s="97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</row>
    <row r="429">
      <c r="A429" s="14"/>
      <c r="B429" s="90"/>
      <c r="C429" s="97"/>
      <c r="D429" s="97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</row>
    <row r="430">
      <c r="A430" s="14"/>
      <c r="B430" s="90"/>
      <c r="C430" s="97"/>
      <c r="D430" s="97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</row>
    <row r="431">
      <c r="A431" s="14"/>
      <c r="B431" s="90"/>
      <c r="C431" s="97"/>
      <c r="D431" s="97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</row>
    <row r="432">
      <c r="A432" s="14"/>
      <c r="B432" s="90"/>
      <c r="C432" s="97"/>
      <c r="D432" s="97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</row>
    <row r="433">
      <c r="A433" s="14"/>
      <c r="B433" s="90"/>
      <c r="C433" s="97"/>
      <c r="D433" s="97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</row>
    <row r="434">
      <c r="A434" s="14"/>
      <c r="B434" s="90"/>
      <c r="C434" s="97"/>
      <c r="D434" s="97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</row>
    <row r="435">
      <c r="A435" s="14"/>
      <c r="B435" s="90"/>
      <c r="C435" s="97"/>
      <c r="D435" s="97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</row>
    <row r="436">
      <c r="A436" s="14"/>
      <c r="B436" s="90"/>
      <c r="C436" s="97"/>
      <c r="D436" s="97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</row>
    <row r="437">
      <c r="A437" s="14"/>
      <c r="B437" s="90"/>
      <c r="C437" s="97"/>
      <c r="D437" s="97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</row>
    <row r="438">
      <c r="A438" s="14"/>
      <c r="B438" s="90"/>
      <c r="C438" s="97"/>
      <c r="D438" s="97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</row>
    <row r="439">
      <c r="A439" s="14"/>
      <c r="B439" s="90"/>
      <c r="C439" s="97"/>
      <c r="D439" s="97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</row>
    <row r="440">
      <c r="A440" s="14"/>
      <c r="B440" s="90"/>
      <c r="C440" s="97"/>
      <c r="D440" s="97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</row>
    <row r="441">
      <c r="A441" s="14"/>
      <c r="B441" s="90"/>
      <c r="C441" s="97"/>
      <c r="D441" s="97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</row>
    <row r="442">
      <c r="A442" s="14"/>
      <c r="B442" s="90"/>
      <c r="C442" s="97"/>
      <c r="D442" s="97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</row>
    <row r="443">
      <c r="A443" s="14"/>
      <c r="B443" s="90"/>
      <c r="C443" s="97"/>
      <c r="D443" s="97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</row>
    <row r="444">
      <c r="A444" s="14"/>
      <c r="B444" s="90"/>
      <c r="C444" s="97"/>
      <c r="D444" s="97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</row>
    <row r="445">
      <c r="A445" s="14"/>
      <c r="B445" s="90"/>
      <c r="C445" s="97"/>
      <c r="D445" s="97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</row>
    <row r="446">
      <c r="A446" s="14"/>
      <c r="B446" s="90"/>
      <c r="C446" s="97"/>
      <c r="D446" s="97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</row>
    <row r="447">
      <c r="A447" s="14"/>
      <c r="B447" s="90"/>
      <c r="C447" s="97"/>
      <c r="D447" s="97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</row>
    <row r="448">
      <c r="A448" s="14"/>
      <c r="B448" s="90"/>
      <c r="C448" s="97"/>
      <c r="D448" s="97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</row>
    <row r="449">
      <c r="A449" s="14"/>
      <c r="B449" s="90"/>
      <c r="C449" s="97"/>
      <c r="D449" s="97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</row>
    <row r="450">
      <c r="A450" s="14"/>
      <c r="B450" s="90"/>
      <c r="C450" s="97"/>
      <c r="D450" s="97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</row>
    <row r="451">
      <c r="A451" s="14"/>
      <c r="B451" s="90"/>
      <c r="C451" s="97"/>
      <c r="D451" s="97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</row>
    <row r="452">
      <c r="A452" s="14"/>
      <c r="B452" s="90"/>
      <c r="C452" s="97"/>
      <c r="D452" s="97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</row>
    <row r="453">
      <c r="A453" s="14"/>
      <c r="B453" s="90"/>
      <c r="C453" s="97"/>
      <c r="D453" s="97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</row>
    <row r="454">
      <c r="A454" s="14"/>
      <c r="B454" s="90"/>
      <c r="C454" s="97"/>
      <c r="D454" s="97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</row>
    <row r="455">
      <c r="A455" s="14"/>
      <c r="B455" s="90"/>
      <c r="C455" s="97"/>
      <c r="D455" s="97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</row>
    <row r="456">
      <c r="A456" s="14"/>
      <c r="B456" s="90"/>
      <c r="C456" s="97"/>
      <c r="D456" s="97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</row>
    <row r="457">
      <c r="A457" s="14"/>
      <c r="B457" s="90"/>
      <c r="C457" s="97"/>
      <c r="D457" s="97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</row>
    <row r="458">
      <c r="A458" s="14"/>
      <c r="B458" s="90"/>
      <c r="C458" s="97"/>
      <c r="D458" s="97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</row>
    <row r="459">
      <c r="A459" s="14"/>
      <c r="B459" s="90"/>
      <c r="C459" s="97"/>
      <c r="D459" s="97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</row>
    <row r="460">
      <c r="A460" s="14"/>
      <c r="B460" s="90"/>
      <c r="C460" s="97"/>
      <c r="D460" s="97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</row>
    <row r="461">
      <c r="A461" s="14"/>
      <c r="B461" s="90"/>
      <c r="C461" s="97"/>
      <c r="D461" s="97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</row>
    <row r="462">
      <c r="A462" s="14"/>
      <c r="B462" s="90"/>
      <c r="C462" s="97"/>
      <c r="D462" s="97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</row>
    <row r="463">
      <c r="A463" s="14"/>
      <c r="B463" s="90"/>
      <c r="C463" s="97"/>
      <c r="D463" s="97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</row>
    <row r="464">
      <c r="A464" s="14"/>
      <c r="B464" s="90"/>
      <c r="C464" s="97"/>
      <c r="D464" s="97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</row>
    <row r="465">
      <c r="A465" s="14"/>
      <c r="B465" s="90"/>
      <c r="C465" s="97"/>
      <c r="D465" s="97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</row>
    <row r="466">
      <c r="A466" s="14"/>
      <c r="B466" s="90"/>
      <c r="C466" s="97"/>
      <c r="D466" s="97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</row>
    <row r="467">
      <c r="A467" s="14"/>
      <c r="B467" s="90"/>
      <c r="C467" s="97"/>
      <c r="D467" s="97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</row>
    <row r="468">
      <c r="A468" s="14"/>
      <c r="B468" s="90"/>
      <c r="C468" s="97"/>
      <c r="D468" s="97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</row>
    <row r="469">
      <c r="A469" s="14"/>
      <c r="B469" s="90"/>
      <c r="C469" s="97"/>
      <c r="D469" s="97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</row>
    <row r="470">
      <c r="A470" s="14"/>
      <c r="B470" s="90"/>
      <c r="C470" s="97"/>
      <c r="D470" s="97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</row>
    <row r="471">
      <c r="A471" s="14"/>
      <c r="B471" s="90"/>
      <c r="C471" s="97"/>
      <c r="D471" s="97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</row>
    <row r="472">
      <c r="A472" s="14"/>
      <c r="B472" s="90"/>
      <c r="C472" s="97"/>
      <c r="D472" s="97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</row>
    <row r="473">
      <c r="A473" s="14"/>
      <c r="B473" s="90"/>
      <c r="C473" s="97"/>
      <c r="D473" s="97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</row>
    <row r="474">
      <c r="A474" s="14"/>
      <c r="B474" s="90"/>
      <c r="C474" s="97"/>
      <c r="D474" s="97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</row>
    <row r="475">
      <c r="A475" s="14"/>
      <c r="B475" s="90"/>
      <c r="C475" s="97"/>
      <c r="D475" s="97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</row>
    <row r="476">
      <c r="A476" s="14"/>
      <c r="B476" s="90"/>
      <c r="C476" s="97"/>
      <c r="D476" s="97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</row>
    <row r="477">
      <c r="A477" s="14"/>
      <c r="B477" s="90"/>
      <c r="C477" s="97"/>
      <c r="D477" s="97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</row>
    <row r="478">
      <c r="A478" s="14"/>
      <c r="B478" s="90"/>
      <c r="C478" s="97"/>
      <c r="D478" s="97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</row>
    <row r="479">
      <c r="A479" s="14"/>
      <c r="B479" s="90"/>
      <c r="C479" s="97"/>
      <c r="D479" s="97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</row>
    <row r="480">
      <c r="A480" s="14"/>
      <c r="B480" s="90"/>
      <c r="C480" s="97"/>
      <c r="D480" s="97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</row>
    <row r="481">
      <c r="A481" s="14"/>
      <c r="B481" s="90"/>
      <c r="C481" s="97"/>
      <c r="D481" s="97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</row>
    <row r="482">
      <c r="A482" s="14"/>
      <c r="B482" s="90"/>
      <c r="C482" s="97"/>
      <c r="D482" s="97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</row>
    <row r="483">
      <c r="A483" s="14"/>
      <c r="B483" s="90"/>
      <c r="C483" s="97"/>
      <c r="D483" s="97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</row>
    <row r="484">
      <c r="A484" s="14"/>
      <c r="B484" s="90"/>
      <c r="C484" s="97"/>
      <c r="D484" s="97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</row>
    <row r="485">
      <c r="A485" s="14"/>
      <c r="B485" s="90"/>
      <c r="C485" s="97"/>
      <c r="D485" s="97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</row>
    <row r="486">
      <c r="A486" s="14"/>
      <c r="B486" s="90"/>
      <c r="C486" s="97"/>
      <c r="D486" s="97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</row>
    <row r="487">
      <c r="A487" s="14"/>
      <c r="B487" s="90"/>
      <c r="C487" s="97"/>
      <c r="D487" s="97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</row>
    <row r="488">
      <c r="A488" s="14"/>
      <c r="B488" s="90"/>
      <c r="C488" s="97"/>
      <c r="D488" s="97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</row>
    <row r="489">
      <c r="A489" s="14"/>
      <c r="B489" s="90"/>
      <c r="C489" s="97"/>
      <c r="D489" s="97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</row>
    <row r="490">
      <c r="A490" s="14"/>
      <c r="B490" s="90"/>
      <c r="C490" s="97"/>
      <c r="D490" s="97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</row>
    <row r="491">
      <c r="A491" s="14"/>
      <c r="B491" s="90"/>
      <c r="C491" s="97"/>
      <c r="D491" s="97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</row>
    <row r="492">
      <c r="A492" s="14"/>
      <c r="B492" s="90"/>
      <c r="C492" s="97"/>
      <c r="D492" s="97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</row>
    <row r="493">
      <c r="A493" s="14"/>
      <c r="B493" s="90"/>
      <c r="C493" s="97"/>
      <c r="D493" s="97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</row>
    <row r="494">
      <c r="A494" s="14"/>
      <c r="B494" s="90"/>
      <c r="C494" s="97"/>
      <c r="D494" s="97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</row>
    <row r="495">
      <c r="A495" s="14"/>
      <c r="B495" s="90"/>
      <c r="C495" s="97"/>
      <c r="D495" s="97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</row>
    <row r="496">
      <c r="A496" s="14"/>
      <c r="B496" s="90"/>
      <c r="C496" s="97"/>
      <c r="D496" s="97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</row>
    <row r="497">
      <c r="A497" s="14"/>
      <c r="B497" s="90"/>
      <c r="C497" s="97"/>
      <c r="D497" s="97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</row>
    <row r="498">
      <c r="A498" s="14"/>
      <c r="B498" s="90"/>
      <c r="C498" s="97"/>
      <c r="D498" s="97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</row>
    <row r="499">
      <c r="A499" s="14"/>
      <c r="B499" s="90"/>
      <c r="C499" s="97"/>
      <c r="D499" s="97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</row>
    <row r="500">
      <c r="A500" s="14"/>
      <c r="B500" s="90"/>
      <c r="C500" s="97"/>
      <c r="D500" s="97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</row>
    <row r="501">
      <c r="A501" s="14"/>
      <c r="B501" s="90"/>
      <c r="C501" s="97"/>
      <c r="D501" s="97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</row>
    <row r="502">
      <c r="A502" s="14"/>
      <c r="B502" s="90"/>
      <c r="C502" s="97"/>
      <c r="D502" s="97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</row>
    <row r="503">
      <c r="A503" s="14"/>
      <c r="B503" s="90"/>
      <c r="C503" s="97"/>
      <c r="D503" s="97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</row>
    <row r="504">
      <c r="A504" s="14"/>
      <c r="B504" s="90"/>
      <c r="C504" s="97"/>
      <c r="D504" s="97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</row>
    <row r="505">
      <c r="A505" s="14"/>
      <c r="B505" s="90"/>
      <c r="C505" s="97"/>
      <c r="D505" s="97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</row>
    <row r="506">
      <c r="A506" s="14"/>
      <c r="B506" s="90"/>
      <c r="C506" s="97"/>
      <c r="D506" s="97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</row>
    <row r="507">
      <c r="A507" s="14"/>
      <c r="B507" s="90"/>
      <c r="C507" s="97"/>
      <c r="D507" s="97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</row>
    <row r="508">
      <c r="A508" s="14"/>
      <c r="B508" s="90"/>
      <c r="C508" s="97"/>
      <c r="D508" s="97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</row>
    <row r="509">
      <c r="A509" s="14"/>
      <c r="B509" s="90"/>
      <c r="C509" s="97"/>
      <c r="D509" s="97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</row>
    <row r="510">
      <c r="A510" s="14"/>
      <c r="B510" s="90"/>
      <c r="C510" s="97"/>
      <c r="D510" s="97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</row>
    <row r="511">
      <c r="A511" s="14"/>
      <c r="B511" s="90"/>
      <c r="C511" s="97"/>
      <c r="D511" s="97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</row>
    <row r="512">
      <c r="A512" s="14"/>
      <c r="B512" s="90"/>
      <c r="C512" s="97"/>
      <c r="D512" s="97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</row>
    <row r="513">
      <c r="A513" s="14"/>
      <c r="B513" s="90"/>
      <c r="C513" s="97"/>
      <c r="D513" s="97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</row>
    <row r="514">
      <c r="A514" s="14"/>
      <c r="B514" s="90"/>
      <c r="C514" s="97"/>
      <c r="D514" s="97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</row>
    <row r="515">
      <c r="A515" s="14"/>
      <c r="B515" s="90"/>
      <c r="C515" s="97"/>
      <c r="D515" s="97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</row>
    <row r="516">
      <c r="A516" s="14"/>
      <c r="B516" s="90"/>
      <c r="C516" s="97"/>
      <c r="D516" s="97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</row>
    <row r="517">
      <c r="A517" s="14"/>
      <c r="B517" s="90"/>
      <c r="C517" s="97"/>
      <c r="D517" s="97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</row>
    <row r="518">
      <c r="A518" s="14"/>
      <c r="B518" s="90"/>
      <c r="C518" s="97"/>
      <c r="D518" s="97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</row>
    <row r="519">
      <c r="A519" s="14"/>
      <c r="B519" s="90"/>
      <c r="C519" s="97"/>
      <c r="D519" s="97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</row>
    <row r="520">
      <c r="A520" s="14"/>
      <c r="B520" s="90"/>
      <c r="C520" s="97"/>
      <c r="D520" s="97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</row>
    <row r="521">
      <c r="A521" s="14"/>
      <c r="B521" s="90"/>
      <c r="C521" s="97"/>
      <c r="D521" s="97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</row>
    <row r="522">
      <c r="A522" s="14"/>
      <c r="B522" s="90"/>
      <c r="C522" s="97"/>
      <c r="D522" s="97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</row>
    <row r="523">
      <c r="A523" s="14"/>
      <c r="B523" s="90"/>
      <c r="C523" s="97"/>
      <c r="D523" s="97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</row>
    <row r="524">
      <c r="A524" s="14"/>
      <c r="B524" s="90"/>
      <c r="C524" s="97"/>
      <c r="D524" s="97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</row>
    <row r="525">
      <c r="A525" s="14"/>
      <c r="B525" s="90"/>
      <c r="C525" s="97"/>
      <c r="D525" s="97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</row>
    <row r="526">
      <c r="A526" s="14"/>
      <c r="B526" s="90"/>
      <c r="C526" s="97"/>
      <c r="D526" s="97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</row>
    <row r="527">
      <c r="A527" s="14"/>
      <c r="B527" s="90"/>
      <c r="C527" s="97"/>
      <c r="D527" s="97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</row>
    <row r="528">
      <c r="A528" s="14"/>
      <c r="B528" s="90"/>
      <c r="C528" s="97"/>
      <c r="D528" s="97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</row>
    <row r="529">
      <c r="A529" s="14"/>
      <c r="B529" s="90"/>
      <c r="C529" s="97"/>
      <c r="D529" s="97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</row>
    <row r="530">
      <c r="A530" s="14"/>
      <c r="B530" s="90"/>
      <c r="C530" s="97"/>
      <c r="D530" s="97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</row>
    <row r="531">
      <c r="A531" s="14"/>
      <c r="B531" s="90"/>
      <c r="C531" s="97"/>
      <c r="D531" s="97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</row>
    <row r="532">
      <c r="A532" s="14"/>
      <c r="B532" s="90"/>
      <c r="C532" s="97"/>
      <c r="D532" s="97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</row>
    <row r="533">
      <c r="A533" s="14"/>
      <c r="B533" s="90"/>
      <c r="C533" s="97"/>
      <c r="D533" s="97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</row>
    <row r="534">
      <c r="A534" s="14"/>
      <c r="B534" s="90"/>
      <c r="C534" s="97"/>
      <c r="D534" s="97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</row>
    <row r="535">
      <c r="A535" s="14"/>
      <c r="B535" s="90"/>
      <c r="C535" s="97"/>
      <c r="D535" s="97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</row>
    <row r="536">
      <c r="A536" s="14"/>
      <c r="B536" s="90"/>
      <c r="C536" s="97"/>
      <c r="D536" s="97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</row>
    <row r="537">
      <c r="A537" s="14"/>
      <c r="B537" s="90"/>
      <c r="C537" s="97"/>
      <c r="D537" s="97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</row>
    <row r="538">
      <c r="A538" s="14"/>
      <c r="B538" s="90"/>
      <c r="C538" s="97"/>
      <c r="D538" s="97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</row>
    <row r="539">
      <c r="A539" s="14"/>
      <c r="B539" s="90"/>
      <c r="C539" s="97"/>
      <c r="D539" s="97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</row>
    <row r="540">
      <c r="A540" s="14"/>
      <c r="B540" s="90"/>
      <c r="C540" s="97"/>
      <c r="D540" s="97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</row>
    <row r="541">
      <c r="A541" s="14"/>
      <c r="B541" s="90"/>
      <c r="C541" s="97"/>
      <c r="D541" s="97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</row>
    <row r="542">
      <c r="A542" s="14"/>
      <c r="B542" s="90"/>
      <c r="C542" s="97"/>
      <c r="D542" s="97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</row>
    <row r="543">
      <c r="A543" s="14"/>
      <c r="B543" s="90"/>
      <c r="C543" s="97"/>
      <c r="D543" s="97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</row>
    <row r="544">
      <c r="A544" s="14"/>
      <c r="B544" s="90"/>
      <c r="C544" s="97"/>
      <c r="D544" s="97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</row>
    <row r="545">
      <c r="A545" s="14"/>
      <c r="B545" s="90"/>
      <c r="C545" s="97"/>
      <c r="D545" s="97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</row>
    <row r="546">
      <c r="A546" s="14"/>
      <c r="B546" s="90"/>
      <c r="C546" s="97"/>
      <c r="D546" s="97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</row>
    <row r="547">
      <c r="A547" s="14"/>
      <c r="B547" s="90"/>
      <c r="C547" s="97"/>
      <c r="D547" s="97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</row>
    <row r="548">
      <c r="A548" s="14"/>
      <c r="B548" s="90"/>
      <c r="C548" s="97"/>
      <c r="D548" s="97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</row>
    <row r="549">
      <c r="A549" s="14"/>
      <c r="B549" s="90"/>
      <c r="C549" s="97"/>
      <c r="D549" s="97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</row>
    <row r="550">
      <c r="A550" s="14"/>
      <c r="B550" s="90"/>
      <c r="C550" s="97"/>
      <c r="D550" s="97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</row>
    <row r="551">
      <c r="A551" s="14"/>
      <c r="B551" s="90"/>
      <c r="C551" s="97"/>
      <c r="D551" s="97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</row>
    <row r="552">
      <c r="A552" s="14"/>
      <c r="B552" s="90"/>
      <c r="C552" s="97"/>
      <c r="D552" s="97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</row>
    <row r="553">
      <c r="A553" s="14"/>
      <c r="B553" s="90"/>
      <c r="C553" s="97"/>
      <c r="D553" s="97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</row>
    <row r="554">
      <c r="A554" s="14"/>
      <c r="B554" s="90"/>
      <c r="C554" s="97"/>
      <c r="D554" s="97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</row>
    <row r="555">
      <c r="A555" s="14"/>
      <c r="B555" s="90"/>
      <c r="C555" s="97"/>
      <c r="D555" s="97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</row>
    <row r="556">
      <c r="A556" s="14"/>
      <c r="B556" s="90"/>
      <c r="C556" s="97"/>
      <c r="D556" s="97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</row>
    <row r="557">
      <c r="A557" s="14"/>
      <c r="B557" s="90"/>
      <c r="C557" s="97"/>
      <c r="D557" s="97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</row>
    <row r="558">
      <c r="A558" s="14"/>
      <c r="B558" s="90"/>
      <c r="C558" s="97"/>
      <c r="D558" s="97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</row>
    <row r="559">
      <c r="A559" s="14"/>
      <c r="B559" s="90"/>
      <c r="C559" s="97"/>
      <c r="D559" s="97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</row>
    <row r="560">
      <c r="A560" s="14"/>
      <c r="B560" s="90"/>
      <c r="C560" s="97"/>
      <c r="D560" s="97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</row>
    <row r="561">
      <c r="A561" s="14"/>
      <c r="B561" s="90"/>
      <c r="C561" s="97"/>
      <c r="D561" s="97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</row>
    <row r="562">
      <c r="A562" s="14"/>
      <c r="B562" s="90"/>
      <c r="C562" s="97"/>
      <c r="D562" s="97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</row>
    <row r="563">
      <c r="A563" s="14"/>
      <c r="B563" s="90"/>
      <c r="C563" s="97"/>
      <c r="D563" s="97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</row>
    <row r="564">
      <c r="A564" s="14"/>
      <c r="B564" s="90"/>
      <c r="C564" s="97"/>
      <c r="D564" s="97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</row>
    <row r="565">
      <c r="A565" s="14"/>
      <c r="B565" s="90"/>
      <c r="C565" s="97"/>
      <c r="D565" s="97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</row>
    <row r="566">
      <c r="A566" s="14"/>
      <c r="B566" s="90"/>
      <c r="C566" s="97"/>
      <c r="D566" s="97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</row>
    <row r="567">
      <c r="A567" s="14"/>
      <c r="B567" s="90"/>
      <c r="C567" s="97"/>
      <c r="D567" s="97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</row>
    <row r="568">
      <c r="A568" s="14"/>
      <c r="B568" s="90"/>
      <c r="C568" s="97"/>
      <c r="D568" s="97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</row>
    <row r="569">
      <c r="A569" s="14"/>
      <c r="B569" s="90"/>
      <c r="C569" s="97"/>
      <c r="D569" s="97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</row>
    <row r="570">
      <c r="A570" s="14"/>
      <c r="B570" s="90"/>
      <c r="C570" s="97"/>
      <c r="D570" s="97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</row>
    <row r="571">
      <c r="A571" s="14"/>
      <c r="B571" s="90"/>
      <c r="C571" s="97"/>
      <c r="D571" s="97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</row>
    <row r="572">
      <c r="A572" s="14"/>
      <c r="B572" s="90"/>
      <c r="C572" s="97"/>
      <c r="D572" s="97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</row>
    <row r="573">
      <c r="A573" s="14"/>
      <c r="B573" s="90"/>
      <c r="C573" s="97"/>
      <c r="D573" s="97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</row>
    <row r="574">
      <c r="A574" s="14"/>
      <c r="B574" s="90"/>
      <c r="C574" s="97"/>
      <c r="D574" s="97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</row>
    <row r="575">
      <c r="A575" s="14"/>
      <c r="B575" s="90"/>
      <c r="C575" s="97"/>
      <c r="D575" s="97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</row>
    <row r="576">
      <c r="A576" s="14"/>
      <c r="B576" s="90"/>
      <c r="C576" s="97"/>
      <c r="D576" s="97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</row>
    <row r="577">
      <c r="A577" s="14"/>
      <c r="B577" s="90"/>
      <c r="C577" s="97"/>
      <c r="D577" s="97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</row>
    <row r="578">
      <c r="A578" s="14"/>
      <c r="B578" s="90"/>
      <c r="C578" s="97"/>
      <c r="D578" s="97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</row>
    <row r="579">
      <c r="A579" s="14"/>
      <c r="B579" s="90"/>
      <c r="C579" s="97"/>
      <c r="D579" s="97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</row>
    <row r="580">
      <c r="A580" s="14"/>
      <c r="B580" s="90"/>
      <c r="C580" s="97"/>
      <c r="D580" s="97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</row>
    <row r="581">
      <c r="A581" s="14"/>
      <c r="B581" s="90"/>
      <c r="C581" s="97"/>
      <c r="D581" s="97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</row>
    <row r="582">
      <c r="A582" s="14"/>
      <c r="B582" s="90"/>
      <c r="C582" s="97"/>
      <c r="D582" s="97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</row>
    <row r="583">
      <c r="A583" s="14"/>
      <c r="B583" s="90"/>
      <c r="C583" s="97"/>
      <c r="D583" s="97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</row>
    <row r="584">
      <c r="A584" s="14"/>
      <c r="B584" s="90"/>
      <c r="C584" s="97"/>
      <c r="D584" s="97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</row>
    <row r="585">
      <c r="A585" s="14"/>
      <c r="B585" s="90"/>
      <c r="C585" s="97"/>
      <c r="D585" s="97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</row>
    <row r="586">
      <c r="A586" s="14"/>
      <c r="B586" s="90"/>
      <c r="C586" s="97"/>
      <c r="D586" s="97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</row>
    <row r="587">
      <c r="A587" s="14"/>
      <c r="B587" s="90"/>
      <c r="C587" s="97"/>
      <c r="D587" s="97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</row>
    <row r="588">
      <c r="A588" s="14"/>
      <c r="B588" s="90"/>
      <c r="C588" s="97"/>
      <c r="D588" s="97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</row>
    <row r="589">
      <c r="A589" s="14"/>
      <c r="B589" s="90"/>
      <c r="C589" s="97"/>
      <c r="D589" s="97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</row>
    <row r="590">
      <c r="A590" s="14"/>
      <c r="B590" s="90"/>
      <c r="C590" s="97"/>
      <c r="D590" s="97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</row>
    <row r="591">
      <c r="A591" s="14"/>
      <c r="B591" s="90"/>
      <c r="C591" s="97"/>
      <c r="D591" s="97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</row>
    <row r="592">
      <c r="A592" s="14"/>
      <c r="B592" s="90"/>
      <c r="C592" s="97"/>
      <c r="D592" s="97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</row>
    <row r="593">
      <c r="A593" s="14"/>
      <c r="B593" s="90"/>
      <c r="C593" s="97"/>
      <c r="D593" s="97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</row>
    <row r="594">
      <c r="A594" s="14"/>
      <c r="B594" s="90"/>
      <c r="C594" s="97"/>
      <c r="D594" s="97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</row>
    <row r="595">
      <c r="A595" s="14"/>
      <c r="B595" s="90"/>
      <c r="C595" s="97"/>
      <c r="D595" s="97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</row>
    <row r="596">
      <c r="A596" s="14"/>
      <c r="B596" s="90"/>
      <c r="C596" s="97"/>
      <c r="D596" s="97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</row>
    <row r="597">
      <c r="A597" s="14"/>
      <c r="B597" s="90"/>
      <c r="C597" s="97"/>
      <c r="D597" s="97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</row>
    <row r="598">
      <c r="A598" s="14"/>
      <c r="B598" s="90"/>
      <c r="C598" s="97"/>
      <c r="D598" s="97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</row>
    <row r="599">
      <c r="A599" s="14"/>
      <c r="B599" s="90"/>
      <c r="C599" s="97"/>
      <c r="D599" s="97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</row>
    <row r="600">
      <c r="A600" s="14"/>
      <c r="B600" s="90"/>
      <c r="C600" s="97"/>
      <c r="D600" s="97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</row>
    <row r="601">
      <c r="A601" s="14"/>
      <c r="B601" s="90"/>
      <c r="C601" s="97"/>
      <c r="D601" s="97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</row>
    <row r="602">
      <c r="A602" s="14"/>
      <c r="B602" s="90"/>
      <c r="C602" s="97"/>
      <c r="D602" s="97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</row>
    <row r="603">
      <c r="A603" s="14"/>
      <c r="B603" s="90"/>
      <c r="C603" s="97"/>
      <c r="D603" s="97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</row>
    <row r="604">
      <c r="A604" s="14"/>
      <c r="B604" s="90"/>
      <c r="C604" s="97"/>
      <c r="D604" s="97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</row>
    <row r="605">
      <c r="A605" s="14"/>
      <c r="B605" s="90"/>
      <c r="C605" s="97"/>
      <c r="D605" s="97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</row>
    <row r="606">
      <c r="A606" s="14"/>
      <c r="B606" s="90"/>
      <c r="C606" s="97"/>
      <c r="D606" s="97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</row>
    <row r="607">
      <c r="A607" s="14"/>
      <c r="B607" s="90"/>
      <c r="C607" s="97"/>
      <c r="D607" s="97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</row>
    <row r="608">
      <c r="A608" s="14"/>
      <c r="B608" s="90"/>
      <c r="C608" s="97"/>
      <c r="D608" s="97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</row>
    <row r="609">
      <c r="A609" s="14"/>
      <c r="B609" s="90"/>
      <c r="C609" s="97"/>
      <c r="D609" s="97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</row>
    <row r="610">
      <c r="A610" s="14"/>
      <c r="B610" s="90"/>
      <c r="C610" s="97"/>
      <c r="D610" s="97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</row>
    <row r="611">
      <c r="A611" s="14"/>
      <c r="B611" s="90"/>
      <c r="C611" s="97"/>
      <c r="D611" s="97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</row>
    <row r="612">
      <c r="A612" s="14"/>
      <c r="B612" s="90"/>
      <c r="C612" s="97"/>
      <c r="D612" s="97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</row>
    <row r="613">
      <c r="A613" s="14"/>
      <c r="B613" s="90"/>
      <c r="C613" s="97"/>
      <c r="D613" s="97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</row>
    <row r="614">
      <c r="A614" s="14"/>
      <c r="B614" s="90"/>
      <c r="C614" s="97"/>
      <c r="D614" s="97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</row>
    <row r="615">
      <c r="A615" s="14"/>
      <c r="B615" s="90"/>
      <c r="C615" s="97"/>
      <c r="D615" s="97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</row>
    <row r="616">
      <c r="A616" s="14"/>
      <c r="B616" s="90"/>
      <c r="C616" s="97"/>
      <c r="D616" s="97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</row>
    <row r="617">
      <c r="A617" s="14"/>
      <c r="B617" s="90"/>
      <c r="C617" s="97"/>
      <c r="D617" s="97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</row>
    <row r="618">
      <c r="A618" s="14"/>
      <c r="B618" s="90"/>
      <c r="C618" s="97"/>
      <c r="D618" s="97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</row>
    <row r="619">
      <c r="A619" s="14"/>
      <c r="B619" s="90"/>
      <c r="C619" s="97"/>
      <c r="D619" s="97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</row>
    <row r="620">
      <c r="A620" s="14"/>
      <c r="B620" s="90"/>
      <c r="C620" s="97"/>
      <c r="D620" s="97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</row>
    <row r="621">
      <c r="A621" s="14"/>
      <c r="B621" s="90"/>
      <c r="C621" s="97"/>
      <c r="D621" s="97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</row>
    <row r="622">
      <c r="A622" s="14"/>
      <c r="B622" s="90"/>
      <c r="C622" s="97"/>
      <c r="D622" s="97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</row>
    <row r="623">
      <c r="A623" s="14"/>
      <c r="B623" s="90"/>
      <c r="C623" s="97"/>
      <c r="D623" s="97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</row>
    <row r="624">
      <c r="A624" s="14"/>
      <c r="B624" s="90"/>
      <c r="C624" s="97"/>
      <c r="D624" s="97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</row>
    <row r="625">
      <c r="A625" s="14"/>
      <c r="B625" s="90"/>
      <c r="C625" s="97"/>
      <c r="D625" s="97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</row>
    <row r="626">
      <c r="A626" s="14"/>
      <c r="B626" s="90"/>
      <c r="C626" s="97"/>
      <c r="D626" s="97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</row>
    <row r="627">
      <c r="A627" s="14"/>
      <c r="B627" s="90"/>
      <c r="C627" s="97"/>
      <c r="D627" s="97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</row>
    <row r="628">
      <c r="A628" s="14"/>
      <c r="B628" s="90"/>
      <c r="C628" s="97"/>
      <c r="D628" s="97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</row>
    <row r="629">
      <c r="A629" s="14"/>
      <c r="B629" s="90"/>
      <c r="C629" s="97"/>
      <c r="D629" s="97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</row>
    <row r="630">
      <c r="A630" s="14"/>
      <c r="B630" s="90"/>
      <c r="C630" s="97"/>
      <c r="D630" s="97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</row>
    <row r="631">
      <c r="A631" s="14"/>
      <c r="B631" s="90"/>
      <c r="C631" s="97"/>
      <c r="D631" s="97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</row>
    <row r="632">
      <c r="A632" s="14"/>
      <c r="B632" s="90"/>
      <c r="C632" s="97"/>
      <c r="D632" s="97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</row>
    <row r="633">
      <c r="A633" s="14"/>
      <c r="B633" s="90"/>
      <c r="C633" s="97"/>
      <c r="D633" s="97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</row>
    <row r="634">
      <c r="A634" s="14"/>
      <c r="B634" s="90"/>
      <c r="C634" s="97"/>
      <c r="D634" s="97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</row>
    <row r="635">
      <c r="A635" s="14"/>
      <c r="B635" s="90"/>
      <c r="C635" s="97"/>
      <c r="D635" s="97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</row>
    <row r="636">
      <c r="A636" s="14"/>
      <c r="B636" s="90"/>
      <c r="C636" s="97"/>
      <c r="D636" s="97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</row>
    <row r="637">
      <c r="A637" s="14"/>
      <c r="B637" s="90"/>
      <c r="C637" s="97"/>
      <c r="D637" s="97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</row>
    <row r="638">
      <c r="A638" s="14"/>
      <c r="B638" s="90"/>
      <c r="C638" s="97"/>
      <c r="D638" s="97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</row>
    <row r="639">
      <c r="A639" s="14"/>
      <c r="B639" s="90"/>
      <c r="C639" s="97"/>
      <c r="D639" s="97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</row>
    <row r="640">
      <c r="A640" s="14"/>
      <c r="B640" s="90"/>
      <c r="C640" s="97"/>
      <c r="D640" s="97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</row>
    <row r="641">
      <c r="A641" s="14"/>
      <c r="B641" s="90"/>
      <c r="C641" s="97"/>
      <c r="D641" s="97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</row>
    <row r="642">
      <c r="A642" s="14"/>
      <c r="B642" s="90"/>
      <c r="C642" s="97"/>
      <c r="D642" s="97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</row>
    <row r="643">
      <c r="A643" s="14"/>
      <c r="B643" s="90"/>
      <c r="C643" s="97"/>
      <c r="D643" s="97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</row>
    <row r="644">
      <c r="A644" s="14"/>
      <c r="B644" s="90"/>
      <c r="C644" s="97"/>
      <c r="D644" s="97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</row>
    <row r="645">
      <c r="A645" s="14"/>
      <c r="B645" s="90"/>
      <c r="C645" s="97"/>
      <c r="D645" s="97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</row>
    <row r="646">
      <c r="A646" s="14"/>
      <c r="B646" s="90"/>
      <c r="C646" s="97"/>
      <c r="D646" s="97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</row>
    <row r="647">
      <c r="A647" s="14"/>
      <c r="B647" s="90"/>
      <c r="C647" s="97"/>
      <c r="D647" s="97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</row>
    <row r="648">
      <c r="A648" s="14"/>
      <c r="B648" s="90"/>
      <c r="C648" s="97"/>
      <c r="D648" s="97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</row>
    <row r="649">
      <c r="A649" s="14"/>
      <c r="B649" s="90"/>
      <c r="C649" s="97"/>
      <c r="D649" s="97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</row>
    <row r="650">
      <c r="A650" s="14"/>
      <c r="B650" s="90"/>
      <c r="C650" s="97"/>
      <c r="D650" s="97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</row>
    <row r="651">
      <c r="A651" s="14"/>
      <c r="B651" s="90"/>
      <c r="C651" s="97"/>
      <c r="D651" s="97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</row>
    <row r="652">
      <c r="A652" s="14"/>
      <c r="B652" s="90"/>
      <c r="C652" s="97"/>
      <c r="D652" s="97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</row>
    <row r="653">
      <c r="A653" s="14"/>
      <c r="B653" s="90"/>
      <c r="C653" s="97"/>
      <c r="D653" s="97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</row>
    <row r="654">
      <c r="A654" s="14"/>
      <c r="B654" s="90"/>
      <c r="C654" s="97"/>
      <c r="D654" s="97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</row>
    <row r="655">
      <c r="A655" s="14"/>
      <c r="B655" s="90"/>
      <c r="C655" s="97"/>
      <c r="D655" s="97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</row>
    <row r="656">
      <c r="A656" s="14"/>
      <c r="B656" s="90"/>
      <c r="C656" s="97"/>
      <c r="D656" s="97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</row>
    <row r="657">
      <c r="A657" s="14"/>
      <c r="B657" s="90"/>
      <c r="C657" s="97"/>
      <c r="D657" s="97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</row>
    <row r="658">
      <c r="A658" s="14"/>
      <c r="B658" s="90"/>
      <c r="C658" s="97"/>
      <c r="D658" s="97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</row>
    <row r="659">
      <c r="A659" s="14"/>
      <c r="B659" s="90"/>
      <c r="C659" s="97"/>
      <c r="D659" s="97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</row>
    <row r="660">
      <c r="A660" s="14"/>
      <c r="B660" s="90"/>
      <c r="C660" s="97"/>
      <c r="D660" s="97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</row>
    <row r="661">
      <c r="A661" s="14"/>
      <c r="B661" s="90"/>
      <c r="C661" s="97"/>
      <c r="D661" s="97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</row>
    <row r="662">
      <c r="A662" s="14"/>
      <c r="B662" s="90"/>
      <c r="C662" s="97"/>
      <c r="D662" s="97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</row>
    <row r="663">
      <c r="A663" s="14"/>
      <c r="B663" s="90"/>
      <c r="C663" s="97"/>
      <c r="D663" s="97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</row>
    <row r="664">
      <c r="A664" s="14"/>
      <c r="B664" s="90"/>
      <c r="C664" s="97"/>
      <c r="D664" s="97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</row>
    <row r="665">
      <c r="A665" s="14"/>
      <c r="B665" s="90"/>
      <c r="C665" s="97"/>
      <c r="D665" s="97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</row>
    <row r="666">
      <c r="A666" s="14"/>
      <c r="B666" s="90"/>
      <c r="C666" s="97"/>
      <c r="D666" s="97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</row>
    <row r="667">
      <c r="A667" s="14"/>
      <c r="B667" s="90"/>
      <c r="C667" s="97"/>
      <c r="D667" s="97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</row>
    <row r="668">
      <c r="A668" s="14"/>
      <c r="B668" s="90"/>
      <c r="C668" s="97"/>
      <c r="D668" s="97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</row>
    <row r="669">
      <c r="A669" s="14"/>
      <c r="B669" s="90"/>
      <c r="C669" s="97"/>
      <c r="D669" s="97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</row>
    <row r="670">
      <c r="A670" s="14"/>
      <c r="B670" s="90"/>
      <c r="C670" s="97"/>
      <c r="D670" s="97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</row>
    <row r="671">
      <c r="A671" s="14"/>
      <c r="B671" s="90"/>
      <c r="C671" s="97"/>
      <c r="D671" s="97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</row>
    <row r="672">
      <c r="A672" s="14"/>
      <c r="B672" s="90"/>
      <c r="C672" s="97"/>
      <c r="D672" s="97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</row>
    <row r="673">
      <c r="A673" s="14"/>
      <c r="B673" s="90"/>
      <c r="C673" s="97"/>
      <c r="D673" s="97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</row>
    <row r="674">
      <c r="A674" s="14"/>
      <c r="B674" s="90"/>
      <c r="C674" s="97"/>
      <c r="D674" s="97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</row>
    <row r="675">
      <c r="A675" s="14"/>
      <c r="B675" s="90"/>
      <c r="C675" s="97"/>
      <c r="D675" s="97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</row>
    <row r="676">
      <c r="A676" s="14"/>
      <c r="B676" s="90"/>
      <c r="C676" s="97"/>
      <c r="D676" s="97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</row>
    <row r="677">
      <c r="A677" s="14"/>
      <c r="B677" s="90"/>
      <c r="C677" s="97"/>
      <c r="D677" s="97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</row>
    <row r="678">
      <c r="A678" s="14"/>
      <c r="B678" s="90"/>
      <c r="C678" s="97"/>
      <c r="D678" s="97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</row>
    <row r="679">
      <c r="A679" s="14"/>
      <c r="B679" s="90"/>
      <c r="C679" s="97"/>
      <c r="D679" s="97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</row>
    <row r="680">
      <c r="A680" s="14"/>
      <c r="B680" s="90"/>
      <c r="C680" s="97"/>
      <c r="D680" s="97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</row>
    <row r="681">
      <c r="A681" s="14"/>
      <c r="B681" s="90"/>
      <c r="C681" s="97"/>
      <c r="D681" s="97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</row>
    <row r="682">
      <c r="A682" s="14"/>
      <c r="B682" s="90"/>
      <c r="C682" s="97"/>
      <c r="D682" s="97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</row>
    <row r="683">
      <c r="A683" s="14"/>
      <c r="B683" s="90"/>
      <c r="C683" s="97"/>
      <c r="D683" s="97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</row>
    <row r="684">
      <c r="A684" s="14"/>
      <c r="B684" s="90"/>
      <c r="C684" s="97"/>
      <c r="D684" s="97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</row>
    <row r="685">
      <c r="A685" s="14"/>
      <c r="B685" s="90"/>
      <c r="C685" s="97"/>
      <c r="D685" s="97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</row>
    <row r="686">
      <c r="A686" s="14"/>
      <c r="B686" s="90"/>
      <c r="C686" s="97"/>
      <c r="D686" s="97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</row>
    <row r="687">
      <c r="A687" s="14"/>
      <c r="B687" s="90"/>
      <c r="C687" s="97"/>
      <c r="D687" s="97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</row>
    <row r="688">
      <c r="A688" s="14"/>
      <c r="B688" s="90"/>
      <c r="C688" s="97"/>
      <c r="D688" s="97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</row>
    <row r="689">
      <c r="A689" s="14"/>
      <c r="B689" s="90"/>
      <c r="C689" s="97"/>
      <c r="D689" s="97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</row>
    <row r="690">
      <c r="A690" s="14"/>
      <c r="B690" s="90"/>
      <c r="C690" s="97"/>
      <c r="D690" s="97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</row>
    <row r="691">
      <c r="A691" s="14"/>
      <c r="B691" s="90"/>
      <c r="C691" s="97"/>
      <c r="D691" s="97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</row>
    <row r="692">
      <c r="A692" s="14"/>
      <c r="B692" s="90"/>
      <c r="C692" s="97"/>
      <c r="D692" s="97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</row>
    <row r="693">
      <c r="A693" s="14"/>
      <c r="B693" s="90"/>
      <c r="C693" s="97"/>
      <c r="D693" s="97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</row>
    <row r="694">
      <c r="A694" s="14"/>
      <c r="B694" s="90"/>
      <c r="C694" s="97"/>
      <c r="D694" s="97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</row>
    <row r="695">
      <c r="A695" s="14"/>
      <c r="B695" s="90"/>
      <c r="C695" s="97"/>
      <c r="D695" s="97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</row>
    <row r="696">
      <c r="A696" s="14"/>
      <c r="B696" s="90"/>
      <c r="C696" s="97"/>
      <c r="D696" s="97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</row>
    <row r="697">
      <c r="A697" s="14"/>
      <c r="B697" s="90"/>
      <c r="C697" s="97"/>
      <c r="D697" s="97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</row>
    <row r="698">
      <c r="A698" s="14"/>
      <c r="B698" s="90"/>
      <c r="C698" s="97"/>
      <c r="D698" s="97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</row>
    <row r="699">
      <c r="A699" s="14"/>
      <c r="B699" s="90"/>
      <c r="C699" s="97"/>
      <c r="D699" s="97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</row>
    <row r="700">
      <c r="A700" s="14"/>
      <c r="B700" s="90"/>
      <c r="C700" s="97"/>
      <c r="D700" s="97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</row>
    <row r="701">
      <c r="A701" s="14"/>
      <c r="B701" s="90"/>
      <c r="C701" s="97"/>
      <c r="D701" s="97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</row>
    <row r="702">
      <c r="A702" s="14"/>
      <c r="B702" s="90"/>
      <c r="C702" s="97"/>
      <c r="D702" s="97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</row>
    <row r="703">
      <c r="A703" s="14"/>
      <c r="B703" s="90"/>
      <c r="C703" s="97"/>
      <c r="D703" s="97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</row>
    <row r="704">
      <c r="A704" s="14"/>
      <c r="B704" s="90"/>
      <c r="C704" s="97"/>
      <c r="D704" s="97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</row>
    <row r="705">
      <c r="A705" s="14"/>
      <c r="B705" s="90"/>
      <c r="C705" s="97"/>
      <c r="D705" s="97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</row>
    <row r="706">
      <c r="A706" s="14"/>
      <c r="B706" s="90"/>
      <c r="C706" s="97"/>
      <c r="D706" s="97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</row>
    <row r="707">
      <c r="A707" s="14"/>
      <c r="B707" s="90"/>
      <c r="C707" s="97"/>
      <c r="D707" s="97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</row>
    <row r="708">
      <c r="A708" s="14"/>
      <c r="B708" s="90"/>
      <c r="C708" s="97"/>
      <c r="D708" s="97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</row>
    <row r="709">
      <c r="A709" s="14"/>
      <c r="B709" s="90"/>
      <c r="C709" s="97"/>
      <c r="D709" s="97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</row>
    <row r="710">
      <c r="A710" s="14"/>
      <c r="B710" s="90"/>
      <c r="C710" s="97"/>
      <c r="D710" s="97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</row>
    <row r="711">
      <c r="A711" s="14"/>
      <c r="B711" s="90"/>
      <c r="C711" s="97"/>
      <c r="D711" s="97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</row>
    <row r="712">
      <c r="A712" s="14"/>
      <c r="B712" s="90"/>
      <c r="C712" s="97"/>
      <c r="D712" s="97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</row>
    <row r="713">
      <c r="A713" s="14"/>
      <c r="B713" s="90"/>
      <c r="C713" s="97"/>
      <c r="D713" s="97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</row>
    <row r="714">
      <c r="A714" s="14"/>
      <c r="B714" s="90"/>
      <c r="C714" s="97"/>
      <c r="D714" s="97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</row>
    <row r="715">
      <c r="A715" s="14"/>
      <c r="B715" s="90"/>
      <c r="C715" s="97"/>
      <c r="D715" s="97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</row>
    <row r="716">
      <c r="A716" s="14"/>
      <c r="B716" s="90"/>
      <c r="C716" s="97"/>
      <c r="D716" s="97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</row>
    <row r="717">
      <c r="A717" s="14"/>
      <c r="B717" s="90"/>
      <c r="C717" s="97"/>
      <c r="D717" s="97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</row>
    <row r="718">
      <c r="A718" s="14"/>
      <c r="B718" s="90"/>
      <c r="C718" s="97"/>
      <c r="D718" s="97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</row>
    <row r="719">
      <c r="A719" s="14"/>
      <c r="B719" s="90"/>
      <c r="C719" s="97"/>
      <c r="D719" s="97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</row>
    <row r="720">
      <c r="A720" s="14"/>
      <c r="B720" s="90"/>
      <c r="C720" s="97"/>
      <c r="D720" s="97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</row>
    <row r="721">
      <c r="A721" s="14"/>
      <c r="B721" s="90"/>
      <c r="C721" s="97"/>
      <c r="D721" s="97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</row>
    <row r="722">
      <c r="A722" s="14"/>
      <c r="B722" s="90"/>
      <c r="C722" s="97"/>
      <c r="D722" s="97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</row>
    <row r="723">
      <c r="A723" s="14"/>
      <c r="B723" s="90"/>
      <c r="C723" s="97"/>
      <c r="D723" s="97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</row>
    <row r="724">
      <c r="A724" s="14"/>
      <c r="B724" s="90"/>
      <c r="C724" s="97"/>
      <c r="D724" s="97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</row>
    <row r="725">
      <c r="A725" s="14"/>
      <c r="B725" s="90"/>
      <c r="C725" s="97"/>
      <c r="D725" s="97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</row>
    <row r="726">
      <c r="A726" s="14"/>
      <c r="B726" s="90"/>
      <c r="C726" s="97"/>
      <c r="D726" s="97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</row>
    <row r="727">
      <c r="A727" s="14"/>
      <c r="B727" s="90"/>
      <c r="C727" s="97"/>
      <c r="D727" s="97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</row>
    <row r="728">
      <c r="A728" s="14"/>
      <c r="B728" s="90"/>
      <c r="C728" s="97"/>
      <c r="D728" s="97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</row>
    <row r="729">
      <c r="A729" s="14"/>
      <c r="B729" s="90"/>
      <c r="C729" s="97"/>
      <c r="D729" s="97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</row>
    <row r="730">
      <c r="A730" s="14"/>
      <c r="B730" s="90"/>
      <c r="C730" s="97"/>
      <c r="D730" s="97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</row>
    <row r="731">
      <c r="A731" s="14"/>
      <c r="B731" s="90"/>
      <c r="C731" s="97"/>
      <c r="D731" s="97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</row>
    <row r="732">
      <c r="A732" s="14"/>
      <c r="B732" s="90"/>
      <c r="C732" s="97"/>
      <c r="D732" s="97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</row>
    <row r="733">
      <c r="A733" s="14"/>
      <c r="B733" s="90"/>
      <c r="C733" s="97"/>
      <c r="D733" s="97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</row>
    <row r="734">
      <c r="A734" s="14"/>
      <c r="B734" s="90"/>
      <c r="C734" s="97"/>
      <c r="D734" s="97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</row>
    <row r="735">
      <c r="A735" s="14"/>
      <c r="B735" s="90"/>
      <c r="C735" s="97"/>
      <c r="D735" s="97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</row>
    <row r="736">
      <c r="A736" s="14"/>
      <c r="B736" s="90"/>
      <c r="C736" s="97"/>
      <c r="D736" s="97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</row>
    <row r="737">
      <c r="A737" s="14"/>
      <c r="B737" s="90"/>
      <c r="C737" s="97"/>
      <c r="D737" s="97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</row>
    <row r="738">
      <c r="A738" s="14"/>
      <c r="B738" s="90"/>
      <c r="C738" s="97"/>
      <c r="D738" s="97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</row>
    <row r="739">
      <c r="A739" s="14"/>
      <c r="B739" s="90"/>
      <c r="C739" s="97"/>
      <c r="D739" s="97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</row>
    <row r="740">
      <c r="A740" s="14"/>
      <c r="B740" s="90"/>
      <c r="C740" s="97"/>
      <c r="D740" s="97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</row>
    <row r="741">
      <c r="A741" s="14"/>
      <c r="B741" s="90"/>
      <c r="C741" s="97"/>
      <c r="D741" s="97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</row>
    <row r="742">
      <c r="A742" s="14"/>
      <c r="B742" s="90"/>
      <c r="C742" s="97"/>
      <c r="D742" s="97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</row>
    <row r="743">
      <c r="A743" s="14"/>
      <c r="B743" s="90"/>
      <c r="C743" s="97"/>
      <c r="D743" s="97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</row>
    <row r="744">
      <c r="A744" s="14"/>
      <c r="B744" s="90"/>
      <c r="C744" s="97"/>
      <c r="D744" s="97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</row>
    <row r="745">
      <c r="A745" s="14"/>
      <c r="B745" s="90"/>
      <c r="C745" s="97"/>
      <c r="D745" s="97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</row>
    <row r="746">
      <c r="A746" s="14"/>
      <c r="B746" s="90"/>
      <c r="C746" s="97"/>
      <c r="D746" s="97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</row>
    <row r="747">
      <c r="A747" s="14"/>
      <c r="B747" s="90"/>
      <c r="C747" s="97"/>
      <c r="D747" s="97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</row>
    <row r="748">
      <c r="A748" s="14"/>
      <c r="B748" s="90"/>
      <c r="C748" s="97"/>
      <c r="D748" s="97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</row>
    <row r="749">
      <c r="A749" s="14"/>
      <c r="B749" s="90"/>
      <c r="C749" s="97"/>
      <c r="D749" s="97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</row>
    <row r="750">
      <c r="A750" s="14"/>
      <c r="B750" s="90"/>
      <c r="C750" s="97"/>
      <c r="D750" s="97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</row>
    <row r="751">
      <c r="A751" s="14"/>
      <c r="B751" s="90"/>
      <c r="C751" s="97"/>
      <c r="D751" s="97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</row>
    <row r="752">
      <c r="A752" s="14"/>
      <c r="B752" s="90"/>
      <c r="C752" s="97"/>
      <c r="D752" s="97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</row>
    <row r="753">
      <c r="A753" s="14"/>
      <c r="B753" s="90"/>
      <c r="C753" s="97"/>
      <c r="D753" s="97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</row>
    <row r="754">
      <c r="A754" s="14"/>
      <c r="B754" s="90"/>
      <c r="C754" s="97"/>
      <c r="D754" s="97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</row>
    <row r="755">
      <c r="A755" s="14"/>
      <c r="B755" s="90"/>
      <c r="C755" s="97"/>
      <c r="D755" s="97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</row>
    <row r="756">
      <c r="A756" s="14"/>
      <c r="B756" s="90"/>
      <c r="C756" s="97"/>
      <c r="D756" s="97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</row>
    <row r="757">
      <c r="A757" s="14"/>
      <c r="B757" s="90"/>
      <c r="C757" s="97"/>
      <c r="D757" s="97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</row>
    <row r="758">
      <c r="A758" s="14"/>
      <c r="B758" s="90"/>
      <c r="C758" s="97"/>
      <c r="D758" s="97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</row>
    <row r="759">
      <c r="A759" s="14"/>
      <c r="B759" s="90"/>
      <c r="C759" s="97"/>
      <c r="D759" s="97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</row>
    <row r="760">
      <c r="A760" s="14"/>
      <c r="B760" s="90"/>
      <c r="C760" s="97"/>
      <c r="D760" s="97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</row>
    <row r="761">
      <c r="A761" s="14"/>
      <c r="B761" s="90"/>
      <c r="C761" s="97"/>
      <c r="D761" s="97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</row>
    <row r="762">
      <c r="A762" s="14"/>
      <c r="B762" s="90"/>
      <c r="C762" s="97"/>
      <c r="D762" s="97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</row>
    <row r="763">
      <c r="A763" s="14"/>
      <c r="B763" s="90"/>
      <c r="C763" s="97"/>
      <c r="D763" s="97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</row>
    <row r="764">
      <c r="A764" s="14"/>
      <c r="B764" s="90"/>
      <c r="C764" s="97"/>
      <c r="D764" s="97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</row>
    <row r="765">
      <c r="A765" s="14"/>
      <c r="B765" s="90"/>
      <c r="C765" s="97"/>
      <c r="D765" s="97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</row>
    <row r="766">
      <c r="A766" s="14"/>
      <c r="B766" s="90"/>
      <c r="C766" s="97"/>
      <c r="D766" s="97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</row>
    <row r="767">
      <c r="A767" s="14"/>
      <c r="B767" s="90"/>
      <c r="C767" s="97"/>
      <c r="D767" s="97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</row>
    <row r="768">
      <c r="A768" s="14"/>
      <c r="B768" s="90"/>
      <c r="C768" s="97"/>
      <c r="D768" s="97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</row>
    <row r="769">
      <c r="A769" s="14"/>
      <c r="B769" s="90"/>
      <c r="C769" s="97"/>
      <c r="D769" s="97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</row>
    <row r="770">
      <c r="A770" s="14"/>
      <c r="B770" s="90"/>
      <c r="C770" s="97"/>
      <c r="D770" s="97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</row>
    <row r="771">
      <c r="A771" s="14"/>
      <c r="B771" s="90"/>
      <c r="C771" s="97"/>
      <c r="D771" s="97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</row>
    <row r="772">
      <c r="A772" s="14"/>
      <c r="B772" s="90"/>
      <c r="C772" s="97"/>
      <c r="D772" s="97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</row>
    <row r="773">
      <c r="A773" s="14"/>
      <c r="B773" s="90"/>
      <c r="C773" s="97"/>
      <c r="D773" s="97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</row>
    <row r="774">
      <c r="A774" s="14"/>
      <c r="B774" s="90"/>
      <c r="C774" s="97"/>
      <c r="D774" s="97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</row>
    <row r="775">
      <c r="A775" s="14"/>
      <c r="B775" s="90"/>
      <c r="C775" s="97"/>
      <c r="D775" s="97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</row>
    <row r="776">
      <c r="A776" s="14"/>
      <c r="B776" s="90"/>
      <c r="C776" s="97"/>
      <c r="D776" s="97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</row>
    <row r="777">
      <c r="A777" s="14"/>
      <c r="B777" s="90"/>
      <c r="C777" s="97"/>
      <c r="D777" s="97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</row>
    <row r="778">
      <c r="A778" s="14"/>
      <c r="B778" s="90"/>
      <c r="C778" s="97"/>
      <c r="D778" s="97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</row>
    <row r="779">
      <c r="A779" s="14"/>
      <c r="B779" s="90"/>
      <c r="C779" s="97"/>
      <c r="D779" s="97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</row>
    <row r="780">
      <c r="A780" s="14"/>
      <c r="B780" s="90"/>
      <c r="C780" s="97"/>
      <c r="D780" s="97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</row>
    <row r="781">
      <c r="A781" s="14"/>
      <c r="B781" s="90"/>
      <c r="C781" s="97"/>
      <c r="D781" s="97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</row>
    <row r="782">
      <c r="A782" s="14"/>
      <c r="B782" s="90"/>
      <c r="C782" s="97"/>
      <c r="D782" s="97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</row>
    <row r="783">
      <c r="A783" s="14"/>
      <c r="B783" s="90"/>
      <c r="C783" s="97"/>
      <c r="D783" s="97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</row>
    <row r="784">
      <c r="A784" s="14"/>
      <c r="B784" s="90"/>
      <c r="C784" s="97"/>
      <c r="D784" s="97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</row>
    <row r="785">
      <c r="A785" s="14"/>
      <c r="B785" s="90"/>
      <c r="C785" s="97"/>
      <c r="D785" s="97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</row>
    <row r="786">
      <c r="A786" s="14"/>
      <c r="B786" s="90"/>
      <c r="C786" s="97"/>
      <c r="D786" s="97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</row>
    <row r="787">
      <c r="A787" s="14"/>
      <c r="B787" s="90"/>
      <c r="C787" s="97"/>
      <c r="D787" s="97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</row>
    <row r="788">
      <c r="A788" s="14"/>
      <c r="B788" s="90"/>
      <c r="C788" s="97"/>
      <c r="D788" s="97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</row>
    <row r="789">
      <c r="A789" s="14"/>
      <c r="B789" s="90"/>
      <c r="C789" s="97"/>
      <c r="D789" s="97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</row>
    <row r="790">
      <c r="A790" s="14"/>
      <c r="B790" s="90"/>
      <c r="C790" s="97"/>
      <c r="D790" s="97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</row>
    <row r="791">
      <c r="A791" s="14"/>
      <c r="B791" s="90"/>
      <c r="C791" s="97"/>
      <c r="D791" s="97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</row>
    <row r="792">
      <c r="A792" s="14"/>
      <c r="B792" s="90"/>
      <c r="C792" s="97"/>
      <c r="D792" s="97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</row>
    <row r="793">
      <c r="A793" s="14"/>
      <c r="B793" s="90"/>
      <c r="C793" s="97"/>
      <c r="D793" s="97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</row>
    <row r="794">
      <c r="A794" s="14"/>
      <c r="B794" s="90"/>
      <c r="C794" s="97"/>
      <c r="D794" s="97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</row>
    <row r="795">
      <c r="A795" s="14"/>
      <c r="B795" s="90"/>
      <c r="C795" s="97"/>
      <c r="D795" s="97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</row>
    <row r="796">
      <c r="A796" s="14"/>
      <c r="B796" s="90"/>
      <c r="C796" s="97"/>
      <c r="D796" s="97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</row>
    <row r="797">
      <c r="A797" s="14"/>
      <c r="B797" s="90"/>
      <c r="C797" s="97"/>
      <c r="D797" s="97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</row>
    <row r="798">
      <c r="A798" s="14"/>
      <c r="B798" s="90"/>
      <c r="C798" s="97"/>
      <c r="D798" s="97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</row>
    <row r="799">
      <c r="A799" s="14"/>
      <c r="B799" s="90"/>
      <c r="C799" s="97"/>
      <c r="D799" s="97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</row>
    <row r="800">
      <c r="A800" s="14"/>
      <c r="B800" s="90"/>
      <c r="C800" s="97"/>
      <c r="D800" s="97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</row>
    <row r="801">
      <c r="A801" s="14"/>
      <c r="B801" s="90"/>
      <c r="C801" s="97"/>
      <c r="D801" s="97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</row>
    <row r="802">
      <c r="A802" s="14"/>
      <c r="B802" s="90"/>
      <c r="C802" s="97"/>
      <c r="D802" s="97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</row>
    <row r="803">
      <c r="A803" s="14"/>
      <c r="B803" s="90"/>
      <c r="C803" s="97"/>
      <c r="D803" s="97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</row>
    <row r="804">
      <c r="A804" s="14"/>
      <c r="B804" s="90"/>
      <c r="C804" s="97"/>
      <c r="D804" s="97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</row>
    <row r="805">
      <c r="A805" s="14"/>
      <c r="B805" s="90"/>
      <c r="C805" s="97"/>
      <c r="D805" s="97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</row>
    <row r="806">
      <c r="A806" s="14"/>
      <c r="B806" s="90"/>
      <c r="C806" s="97"/>
      <c r="D806" s="97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</row>
    <row r="807">
      <c r="A807" s="14"/>
      <c r="B807" s="90"/>
      <c r="C807" s="97"/>
      <c r="D807" s="97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</row>
    <row r="808">
      <c r="A808" s="14"/>
      <c r="B808" s="90"/>
      <c r="C808" s="97"/>
      <c r="D808" s="97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</row>
    <row r="809">
      <c r="A809" s="14"/>
      <c r="B809" s="90"/>
      <c r="C809" s="97"/>
      <c r="D809" s="97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</row>
    <row r="810">
      <c r="A810" s="14"/>
      <c r="B810" s="90"/>
      <c r="C810" s="97"/>
      <c r="D810" s="97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</row>
    <row r="811">
      <c r="A811" s="14"/>
      <c r="B811" s="90"/>
      <c r="C811" s="97"/>
      <c r="D811" s="97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</row>
    <row r="812">
      <c r="A812" s="14"/>
      <c r="B812" s="90"/>
      <c r="C812" s="97"/>
      <c r="D812" s="97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</row>
    <row r="813">
      <c r="A813" s="14"/>
      <c r="B813" s="90"/>
      <c r="C813" s="97"/>
      <c r="D813" s="97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</row>
    <row r="814">
      <c r="A814" s="14"/>
      <c r="B814" s="90"/>
      <c r="C814" s="97"/>
      <c r="D814" s="97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</row>
    <row r="815">
      <c r="A815" s="14"/>
      <c r="B815" s="90"/>
      <c r="C815" s="97"/>
      <c r="D815" s="97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</row>
    <row r="816">
      <c r="A816" s="14"/>
      <c r="B816" s="90"/>
      <c r="C816" s="97"/>
      <c r="D816" s="97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</row>
    <row r="817">
      <c r="A817" s="14"/>
      <c r="B817" s="90"/>
      <c r="C817" s="97"/>
      <c r="D817" s="97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</row>
    <row r="818">
      <c r="A818" s="14"/>
      <c r="B818" s="90"/>
      <c r="C818" s="97"/>
      <c r="D818" s="97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</row>
    <row r="819">
      <c r="A819" s="14"/>
      <c r="B819" s="90"/>
      <c r="C819" s="97"/>
      <c r="D819" s="97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</row>
    <row r="820">
      <c r="A820" s="14"/>
      <c r="B820" s="90"/>
      <c r="C820" s="97"/>
      <c r="D820" s="97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</row>
    <row r="821">
      <c r="A821" s="14"/>
      <c r="B821" s="90"/>
      <c r="C821" s="97"/>
      <c r="D821" s="97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</row>
    <row r="822">
      <c r="A822" s="14"/>
      <c r="B822" s="90"/>
      <c r="C822" s="97"/>
      <c r="D822" s="97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</row>
    <row r="823">
      <c r="A823" s="14"/>
      <c r="B823" s="90"/>
      <c r="C823" s="97"/>
      <c r="D823" s="97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</row>
    <row r="824">
      <c r="A824" s="14"/>
      <c r="B824" s="90"/>
      <c r="C824" s="97"/>
      <c r="D824" s="97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</row>
    <row r="825">
      <c r="A825" s="14"/>
      <c r="B825" s="90"/>
      <c r="C825" s="97"/>
      <c r="D825" s="97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</row>
    <row r="826">
      <c r="A826" s="14"/>
      <c r="B826" s="90"/>
      <c r="C826" s="97"/>
      <c r="D826" s="97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</row>
    <row r="827">
      <c r="A827" s="14"/>
      <c r="B827" s="90"/>
      <c r="C827" s="97"/>
      <c r="D827" s="97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</row>
    <row r="828">
      <c r="A828" s="14"/>
      <c r="B828" s="90"/>
      <c r="C828" s="97"/>
      <c r="D828" s="97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</row>
    <row r="829">
      <c r="A829" s="14"/>
      <c r="B829" s="90"/>
      <c r="C829" s="97"/>
      <c r="D829" s="97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</row>
    <row r="830">
      <c r="A830" s="14"/>
      <c r="B830" s="90"/>
      <c r="C830" s="97"/>
      <c r="D830" s="97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</row>
    <row r="831">
      <c r="A831" s="14"/>
      <c r="B831" s="90"/>
      <c r="C831" s="97"/>
      <c r="D831" s="97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</row>
    <row r="832">
      <c r="A832" s="14"/>
      <c r="B832" s="90"/>
      <c r="C832" s="97"/>
      <c r="D832" s="97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</row>
    <row r="833">
      <c r="A833" s="14"/>
      <c r="B833" s="90"/>
      <c r="C833" s="97"/>
      <c r="D833" s="97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</row>
    <row r="834">
      <c r="A834" s="14"/>
      <c r="B834" s="90"/>
      <c r="C834" s="97"/>
      <c r="D834" s="97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</row>
    <row r="835">
      <c r="A835" s="14"/>
      <c r="B835" s="90"/>
      <c r="C835" s="97"/>
      <c r="D835" s="97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</row>
    <row r="836">
      <c r="A836" s="14"/>
      <c r="B836" s="90"/>
      <c r="C836" s="97"/>
      <c r="D836" s="97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</row>
    <row r="837">
      <c r="A837" s="14"/>
      <c r="B837" s="90"/>
      <c r="C837" s="97"/>
      <c r="D837" s="97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</row>
    <row r="838">
      <c r="A838" s="14"/>
      <c r="B838" s="90"/>
      <c r="C838" s="97"/>
      <c r="D838" s="97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</row>
    <row r="839">
      <c r="A839" s="14"/>
      <c r="B839" s="90"/>
      <c r="C839" s="97"/>
      <c r="D839" s="97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</row>
    <row r="840">
      <c r="A840" s="14"/>
      <c r="B840" s="90"/>
      <c r="C840" s="97"/>
      <c r="D840" s="97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</row>
    <row r="841">
      <c r="A841" s="14"/>
      <c r="B841" s="90"/>
      <c r="C841" s="97"/>
      <c r="D841" s="97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</row>
    <row r="842">
      <c r="A842" s="14"/>
      <c r="B842" s="90"/>
      <c r="C842" s="97"/>
      <c r="D842" s="97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</row>
    <row r="843">
      <c r="A843" s="14"/>
      <c r="B843" s="90"/>
      <c r="C843" s="97"/>
      <c r="D843" s="97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</row>
    <row r="844">
      <c r="A844" s="14"/>
      <c r="B844" s="90"/>
      <c r="C844" s="97"/>
      <c r="D844" s="97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</row>
    <row r="845">
      <c r="A845" s="14"/>
      <c r="B845" s="90"/>
      <c r="C845" s="97"/>
      <c r="D845" s="97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</row>
    <row r="846">
      <c r="A846" s="14"/>
      <c r="B846" s="90"/>
      <c r="C846" s="97"/>
      <c r="D846" s="97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</row>
    <row r="847">
      <c r="A847" s="14"/>
      <c r="B847" s="90"/>
      <c r="C847" s="97"/>
      <c r="D847" s="97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</row>
    <row r="848">
      <c r="A848" s="14"/>
      <c r="B848" s="90"/>
      <c r="C848" s="97"/>
      <c r="D848" s="97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</row>
    <row r="849">
      <c r="A849" s="14"/>
      <c r="B849" s="90"/>
      <c r="C849" s="97"/>
      <c r="D849" s="97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</row>
    <row r="850">
      <c r="A850" s="14"/>
      <c r="B850" s="90"/>
      <c r="C850" s="97"/>
      <c r="D850" s="97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</row>
    <row r="851">
      <c r="A851" s="14"/>
      <c r="B851" s="90"/>
      <c r="C851" s="97"/>
      <c r="D851" s="97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</row>
    <row r="852">
      <c r="A852" s="14"/>
      <c r="B852" s="90"/>
      <c r="C852" s="97"/>
      <c r="D852" s="97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</row>
    <row r="853">
      <c r="A853" s="14"/>
      <c r="B853" s="90"/>
      <c r="C853" s="97"/>
      <c r="D853" s="97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</row>
    <row r="854">
      <c r="A854" s="14"/>
      <c r="B854" s="90"/>
      <c r="C854" s="97"/>
      <c r="D854" s="97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</row>
    <row r="855">
      <c r="A855" s="14"/>
      <c r="B855" s="90"/>
      <c r="C855" s="97"/>
      <c r="D855" s="97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</row>
    <row r="856">
      <c r="A856" s="14"/>
      <c r="B856" s="90"/>
      <c r="C856" s="97"/>
      <c r="D856" s="97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</row>
    <row r="857">
      <c r="A857" s="14"/>
      <c r="B857" s="90"/>
      <c r="C857" s="97"/>
      <c r="D857" s="97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</row>
    <row r="858">
      <c r="A858" s="14"/>
      <c r="B858" s="90"/>
      <c r="C858" s="97"/>
      <c r="D858" s="97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</row>
    <row r="859">
      <c r="A859" s="14"/>
      <c r="B859" s="90"/>
      <c r="C859" s="97"/>
      <c r="D859" s="97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</row>
    <row r="860">
      <c r="A860" s="14"/>
      <c r="B860" s="90"/>
      <c r="C860" s="97"/>
      <c r="D860" s="97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</row>
    <row r="861">
      <c r="A861" s="14"/>
      <c r="B861" s="90"/>
      <c r="C861" s="97"/>
      <c r="D861" s="97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</row>
    <row r="862">
      <c r="A862" s="14"/>
      <c r="B862" s="90"/>
      <c r="C862" s="97"/>
      <c r="D862" s="97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</row>
    <row r="863">
      <c r="A863" s="14"/>
      <c r="B863" s="90"/>
      <c r="C863" s="97"/>
      <c r="D863" s="97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</row>
    <row r="864">
      <c r="A864" s="14"/>
      <c r="B864" s="90"/>
      <c r="C864" s="97"/>
      <c r="D864" s="97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</row>
    <row r="865">
      <c r="A865" s="14"/>
      <c r="B865" s="90"/>
      <c r="C865" s="97"/>
      <c r="D865" s="97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</row>
    <row r="866">
      <c r="A866" s="14"/>
      <c r="B866" s="90"/>
      <c r="C866" s="97"/>
      <c r="D866" s="97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</row>
    <row r="867">
      <c r="A867" s="14"/>
      <c r="B867" s="90"/>
      <c r="C867" s="97"/>
      <c r="D867" s="97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</row>
    <row r="868">
      <c r="A868" s="14"/>
      <c r="B868" s="90"/>
      <c r="C868" s="97"/>
      <c r="D868" s="97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</row>
    <row r="869">
      <c r="A869" s="14"/>
      <c r="B869" s="90"/>
      <c r="C869" s="97"/>
      <c r="D869" s="97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</row>
    <row r="870">
      <c r="A870" s="14"/>
      <c r="B870" s="90"/>
      <c r="C870" s="97"/>
      <c r="D870" s="97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</row>
    <row r="871">
      <c r="A871" s="14"/>
      <c r="B871" s="90"/>
      <c r="C871" s="97"/>
      <c r="D871" s="97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</row>
    <row r="872">
      <c r="A872" s="14"/>
      <c r="B872" s="90"/>
      <c r="C872" s="97"/>
      <c r="D872" s="97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</row>
    <row r="873">
      <c r="A873" s="14"/>
      <c r="B873" s="90"/>
      <c r="C873" s="97"/>
      <c r="D873" s="97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</row>
    <row r="874">
      <c r="A874" s="14"/>
      <c r="B874" s="90"/>
      <c r="C874" s="97"/>
      <c r="D874" s="97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</row>
    <row r="875">
      <c r="A875" s="14"/>
      <c r="B875" s="90"/>
      <c r="C875" s="97"/>
      <c r="D875" s="97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</row>
    <row r="876">
      <c r="A876" s="14"/>
      <c r="B876" s="90"/>
      <c r="C876" s="97"/>
      <c r="D876" s="97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</row>
    <row r="877">
      <c r="A877" s="14"/>
      <c r="B877" s="90"/>
      <c r="C877" s="97"/>
      <c r="D877" s="97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</row>
    <row r="878">
      <c r="A878" s="14"/>
      <c r="B878" s="90"/>
      <c r="C878" s="97"/>
      <c r="D878" s="97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</row>
    <row r="879">
      <c r="A879" s="14"/>
      <c r="B879" s="90"/>
      <c r="C879" s="97"/>
      <c r="D879" s="97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</row>
    <row r="880">
      <c r="A880" s="14"/>
      <c r="B880" s="90"/>
      <c r="C880" s="97"/>
      <c r="D880" s="97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</row>
    <row r="881">
      <c r="A881" s="14"/>
      <c r="B881" s="90"/>
      <c r="C881" s="97"/>
      <c r="D881" s="97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</row>
    <row r="882">
      <c r="A882" s="14"/>
      <c r="B882" s="90"/>
      <c r="C882" s="97"/>
      <c r="D882" s="97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</row>
    <row r="883">
      <c r="A883" s="14"/>
      <c r="B883" s="90"/>
      <c r="C883" s="97"/>
      <c r="D883" s="97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</row>
    <row r="884">
      <c r="A884" s="14"/>
      <c r="B884" s="90"/>
      <c r="C884" s="97"/>
      <c r="D884" s="97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</row>
    <row r="885">
      <c r="A885" s="14"/>
      <c r="B885" s="90"/>
      <c r="C885" s="97"/>
      <c r="D885" s="97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</row>
    <row r="886">
      <c r="A886" s="14"/>
      <c r="B886" s="90"/>
      <c r="C886" s="97"/>
      <c r="D886" s="97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</row>
    <row r="887">
      <c r="A887" s="14"/>
      <c r="B887" s="90"/>
      <c r="C887" s="97"/>
      <c r="D887" s="97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</row>
    <row r="888">
      <c r="A888" s="14"/>
      <c r="B888" s="90"/>
      <c r="C888" s="97"/>
      <c r="D888" s="97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</row>
    <row r="889">
      <c r="A889" s="14"/>
      <c r="B889" s="90"/>
      <c r="C889" s="97"/>
      <c r="D889" s="97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</row>
    <row r="890">
      <c r="A890" s="14"/>
      <c r="B890" s="90"/>
      <c r="C890" s="97"/>
      <c r="D890" s="97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</row>
    <row r="891">
      <c r="A891" s="14"/>
      <c r="B891" s="90"/>
      <c r="C891" s="97"/>
      <c r="D891" s="97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</row>
    <row r="892">
      <c r="A892" s="14"/>
      <c r="B892" s="90"/>
      <c r="C892" s="97"/>
      <c r="D892" s="97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</row>
    <row r="893">
      <c r="A893" s="14"/>
      <c r="B893" s="90"/>
      <c r="C893" s="97"/>
      <c r="D893" s="97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</row>
    <row r="894">
      <c r="A894" s="14"/>
      <c r="B894" s="90"/>
      <c r="C894" s="97"/>
      <c r="D894" s="97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</row>
    <row r="895">
      <c r="A895" s="14"/>
      <c r="B895" s="90"/>
      <c r="C895" s="97"/>
      <c r="D895" s="97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</row>
    <row r="896">
      <c r="A896" s="14"/>
      <c r="B896" s="90"/>
      <c r="C896" s="97"/>
      <c r="D896" s="97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</row>
    <row r="897">
      <c r="A897" s="14"/>
      <c r="B897" s="90"/>
      <c r="C897" s="97"/>
      <c r="D897" s="97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</row>
    <row r="898">
      <c r="A898" s="14"/>
      <c r="B898" s="90"/>
      <c r="C898" s="97"/>
      <c r="D898" s="97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</row>
    <row r="899">
      <c r="A899" s="14"/>
      <c r="B899" s="90"/>
      <c r="C899" s="97"/>
      <c r="D899" s="97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</row>
    <row r="900">
      <c r="A900" s="14"/>
      <c r="B900" s="90"/>
      <c r="C900" s="97"/>
      <c r="D900" s="97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</row>
    <row r="901">
      <c r="A901" s="14"/>
      <c r="B901" s="90"/>
      <c r="C901" s="97"/>
      <c r="D901" s="97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</row>
    <row r="902">
      <c r="A902" s="14"/>
      <c r="B902" s="90"/>
      <c r="C902" s="97"/>
      <c r="D902" s="97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</row>
    <row r="903">
      <c r="A903" s="14"/>
      <c r="B903" s="90"/>
      <c r="C903" s="97"/>
      <c r="D903" s="97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</row>
    <row r="904">
      <c r="A904" s="14"/>
      <c r="B904" s="90"/>
      <c r="C904" s="97"/>
      <c r="D904" s="97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</row>
    <row r="905">
      <c r="A905" s="14"/>
      <c r="B905" s="90"/>
      <c r="C905" s="97"/>
      <c r="D905" s="97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</row>
    <row r="906">
      <c r="A906" s="14"/>
      <c r="B906" s="90"/>
      <c r="C906" s="97"/>
      <c r="D906" s="97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</row>
    <row r="907">
      <c r="A907" s="14"/>
      <c r="B907" s="90"/>
      <c r="C907" s="97"/>
      <c r="D907" s="97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</row>
    <row r="908">
      <c r="A908" s="14"/>
      <c r="B908" s="90"/>
      <c r="C908" s="97"/>
      <c r="D908" s="97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</row>
    <row r="909">
      <c r="A909" s="14"/>
      <c r="B909" s="90"/>
      <c r="C909" s="97"/>
      <c r="D909" s="97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</row>
    <row r="910">
      <c r="A910" s="14"/>
      <c r="B910" s="90"/>
      <c r="C910" s="97"/>
      <c r="D910" s="97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</row>
    <row r="911">
      <c r="A911" s="14"/>
      <c r="B911" s="90"/>
      <c r="C911" s="97"/>
      <c r="D911" s="97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</row>
    <row r="912">
      <c r="A912" s="14"/>
      <c r="B912" s="90"/>
      <c r="C912" s="97"/>
      <c r="D912" s="97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</row>
    <row r="913">
      <c r="A913" s="14"/>
      <c r="B913" s="90"/>
      <c r="C913" s="97"/>
      <c r="D913" s="97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</row>
    <row r="914">
      <c r="A914" s="14"/>
      <c r="B914" s="90"/>
      <c r="C914" s="97"/>
      <c r="D914" s="97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</row>
    <row r="915">
      <c r="A915" s="14"/>
      <c r="B915" s="90"/>
      <c r="C915" s="97"/>
      <c r="D915" s="97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</row>
    <row r="916">
      <c r="A916" s="14"/>
      <c r="B916" s="90"/>
      <c r="C916" s="97"/>
      <c r="D916" s="97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</row>
    <row r="917">
      <c r="A917" s="14"/>
      <c r="B917" s="90"/>
      <c r="C917" s="97"/>
      <c r="D917" s="97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</row>
    <row r="918">
      <c r="A918" s="14"/>
      <c r="B918" s="90"/>
      <c r="C918" s="97"/>
      <c r="D918" s="97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</row>
    <row r="919">
      <c r="A919" s="14"/>
      <c r="B919" s="90"/>
      <c r="C919" s="97"/>
      <c r="D919" s="97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</row>
    <row r="920">
      <c r="A920" s="14"/>
      <c r="B920" s="90"/>
      <c r="C920" s="97"/>
      <c r="D920" s="97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</row>
    <row r="921">
      <c r="A921" s="14"/>
      <c r="B921" s="90"/>
      <c r="C921" s="97"/>
      <c r="D921" s="97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</row>
    <row r="922">
      <c r="A922" s="14"/>
      <c r="B922" s="90"/>
      <c r="C922" s="97"/>
      <c r="D922" s="97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</row>
    <row r="923">
      <c r="A923" s="14"/>
      <c r="B923" s="90"/>
      <c r="C923" s="97"/>
      <c r="D923" s="97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</row>
    <row r="924">
      <c r="A924" s="14"/>
      <c r="B924" s="90"/>
      <c r="C924" s="97"/>
      <c r="D924" s="97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</row>
    <row r="925">
      <c r="A925" s="14"/>
      <c r="B925" s="90"/>
      <c r="C925" s="97"/>
      <c r="D925" s="97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</row>
    <row r="926">
      <c r="A926" s="14"/>
      <c r="B926" s="90"/>
      <c r="C926" s="97"/>
      <c r="D926" s="97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</row>
    <row r="927">
      <c r="A927" s="14"/>
      <c r="B927" s="90"/>
      <c r="C927" s="97"/>
      <c r="D927" s="97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</row>
    <row r="928">
      <c r="A928" s="14"/>
      <c r="B928" s="90"/>
      <c r="C928" s="97"/>
      <c r="D928" s="97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</row>
    <row r="929">
      <c r="A929" s="14"/>
      <c r="B929" s="90"/>
      <c r="C929" s="97"/>
      <c r="D929" s="97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</row>
    <row r="930">
      <c r="A930" s="14"/>
      <c r="B930" s="90"/>
      <c r="C930" s="97"/>
      <c r="D930" s="97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</row>
    <row r="931">
      <c r="A931" s="14"/>
      <c r="B931" s="90"/>
      <c r="C931" s="97"/>
      <c r="D931" s="97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</row>
    <row r="932">
      <c r="A932" s="14"/>
      <c r="B932" s="90"/>
      <c r="C932" s="97"/>
      <c r="D932" s="97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</row>
    <row r="933">
      <c r="A933" s="14"/>
      <c r="B933" s="90"/>
      <c r="C933" s="97"/>
      <c r="D933" s="97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</row>
    <row r="934">
      <c r="A934" s="14"/>
      <c r="B934" s="90"/>
      <c r="C934" s="97"/>
      <c r="D934" s="97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</row>
    <row r="935">
      <c r="A935" s="14"/>
      <c r="B935" s="90"/>
      <c r="C935" s="97"/>
      <c r="D935" s="97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</row>
    <row r="936">
      <c r="A936" s="14"/>
      <c r="B936" s="90"/>
      <c r="C936" s="97"/>
      <c r="D936" s="97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</row>
    <row r="937">
      <c r="A937" s="14"/>
      <c r="B937" s="90"/>
      <c r="C937" s="97"/>
      <c r="D937" s="97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</row>
    <row r="938">
      <c r="A938" s="14"/>
      <c r="B938" s="90"/>
      <c r="C938" s="97"/>
      <c r="D938" s="97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</row>
    <row r="939">
      <c r="A939" s="14"/>
      <c r="B939" s="90"/>
      <c r="C939" s="97"/>
      <c r="D939" s="97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</row>
    <row r="940">
      <c r="A940" s="14"/>
      <c r="B940" s="90"/>
      <c r="C940" s="97"/>
      <c r="D940" s="97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</row>
    <row r="941">
      <c r="A941" s="14"/>
      <c r="B941" s="90"/>
      <c r="C941" s="97"/>
      <c r="D941" s="97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</row>
    <row r="942">
      <c r="A942" s="14"/>
      <c r="B942" s="90"/>
      <c r="C942" s="97"/>
      <c r="D942" s="97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</row>
    <row r="943">
      <c r="A943" s="14"/>
      <c r="B943" s="90"/>
      <c r="C943" s="97"/>
      <c r="D943" s="97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</row>
    <row r="944">
      <c r="A944" s="14"/>
      <c r="B944" s="90"/>
      <c r="C944" s="97"/>
      <c r="D944" s="97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</row>
    <row r="945">
      <c r="A945" s="14"/>
      <c r="B945" s="90"/>
      <c r="C945" s="97"/>
      <c r="D945" s="97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</row>
    <row r="946">
      <c r="A946" s="14"/>
      <c r="B946" s="90"/>
      <c r="C946" s="97"/>
      <c r="D946" s="97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</row>
    <row r="947">
      <c r="A947" s="14"/>
      <c r="B947" s="90"/>
      <c r="C947" s="97"/>
      <c r="D947" s="97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</row>
    <row r="948">
      <c r="A948" s="14"/>
      <c r="B948" s="90"/>
      <c r="C948" s="97"/>
      <c r="D948" s="97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</row>
    <row r="949">
      <c r="A949" s="14"/>
      <c r="B949" s="90"/>
      <c r="C949" s="97"/>
      <c r="D949" s="97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</row>
    <row r="950">
      <c r="A950" s="14"/>
      <c r="B950" s="90"/>
      <c r="C950" s="97"/>
      <c r="D950" s="97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</row>
    <row r="951">
      <c r="A951" s="14"/>
      <c r="B951" s="90"/>
      <c r="C951" s="97"/>
      <c r="D951" s="97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</row>
    <row r="952">
      <c r="A952" s="14"/>
      <c r="B952" s="90"/>
      <c r="C952" s="97"/>
      <c r="D952" s="97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</row>
    <row r="953">
      <c r="A953" s="14"/>
      <c r="B953" s="90"/>
      <c r="C953" s="97"/>
      <c r="D953" s="97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</row>
    <row r="954">
      <c r="A954" s="14"/>
      <c r="B954" s="90"/>
      <c r="C954" s="97"/>
      <c r="D954" s="97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</row>
    <row r="955">
      <c r="A955" s="14"/>
      <c r="B955" s="90"/>
      <c r="C955" s="97"/>
      <c r="D955" s="97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</row>
    <row r="956">
      <c r="A956" s="14"/>
      <c r="B956" s="90"/>
      <c r="C956" s="97"/>
      <c r="D956" s="97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</row>
    <row r="957">
      <c r="A957" s="14"/>
      <c r="B957" s="90"/>
      <c r="C957" s="97"/>
      <c r="D957" s="97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</row>
    <row r="958">
      <c r="A958" s="14"/>
      <c r="B958" s="90"/>
      <c r="C958" s="97"/>
      <c r="D958" s="97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</row>
    <row r="959">
      <c r="A959" s="14"/>
      <c r="B959" s="90"/>
      <c r="C959" s="97"/>
      <c r="D959" s="97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</row>
    <row r="960">
      <c r="A960" s="14"/>
      <c r="B960" s="90"/>
      <c r="C960" s="97"/>
      <c r="D960" s="97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</row>
    <row r="961">
      <c r="A961" s="14"/>
      <c r="B961" s="90"/>
      <c r="C961" s="97"/>
      <c r="D961" s="97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</row>
    <row r="962">
      <c r="A962" s="14"/>
      <c r="B962" s="90"/>
      <c r="C962" s="97"/>
      <c r="D962" s="97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</row>
    <row r="963">
      <c r="A963" s="14"/>
      <c r="B963" s="90"/>
      <c r="C963" s="97"/>
      <c r="D963" s="97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</row>
    <row r="964">
      <c r="A964" s="14"/>
      <c r="B964" s="90"/>
      <c r="C964" s="97"/>
      <c r="D964" s="97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</row>
    <row r="965">
      <c r="A965" s="14"/>
      <c r="B965" s="90"/>
      <c r="C965" s="97"/>
      <c r="D965" s="97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</row>
    <row r="966">
      <c r="A966" s="14"/>
      <c r="B966" s="90"/>
      <c r="C966" s="97"/>
      <c r="D966" s="97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</row>
    <row r="967">
      <c r="A967" s="14"/>
      <c r="B967" s="90"/>
      <c r="C967" s="97"/>
      <c r="D967" s="97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</row>
    <row r="968">
      <c r="A968" s="14"/>
      <c r="B968" s="90"/>
      <c r="C968" s="97"/>
      <c r="D968" s="97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</row>
    <row r="969">
      <c r="A969" s="14"/>
      <c r="B969" s="90"/>
      <c r="C969" s="97"/>
      <c r="D969" s="97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</row>
    <row r="970">
      <c r="A970" s="14"/>
      <c r="B970" s="90"/>
      <c r="C970" s="97"/>
      <c r="D970" s="97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</row>
    <row r="971">
      <c r="A971" s="14"/>
      <c r="B971" s="90"/>
      <c r="C971" s="97"/>
      <c r="D971" s="97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</row>
    <row r="972">
      <c r="A972" s="14"/>
      <c r="B972" s="90"/>
      <c r="C972" s="97"/>
      <c r="D972" s="97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</row>
    <row r="973">
      <c r="A973" s="14"/>
      <c r="B973" s="90"/>
      <c r="C973" s="97"/>
      <c r="D973" s="97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</row>
    <row r="974">
      <c r="A974" s="14"/>
      <c r="B974" s="90"/>
      <c r="C974" s="97"/>
      <c r="D974" s="97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</row>
    <row r="975">
      <c r="A975" s="14"/>
      <c r="B975" s="90"/>
      <c r="C975" s="97"/>
      <c r="D975" s="97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</row>
    <row r="976">
      <c r="A976" s="14"/>
      <c r="B976" s="90"/>
      <c r="C976" s="97"/>
      <c r="D976" s="97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</row>
    <row r="977">
      <c r="A977" s="14"/>
      <c r="B977" s="90"/>
      <c r="C977" s="97"/>
      <c r="D977" s="97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</row>
    <row r="978">
      <c r="A978" s="14"/>
      <c r="B978" s="90"/>
      <c r="C978" s="97"/>
      <c r="D978" s="97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</row>
    <row r="979">
      <c r="A979" s="14"/>
      <c r="B979" s="90"/>
      <c r="C979" s="97"/>
      <c r="D979" s="97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</row>
    <row r="980">
      <c r="A980" s="14"/>
      <c r="B980" s="90"/>
      <c r="C980" s="97"/>
      <c r="D980" s="97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</row>
    <row r="981">
      <c r="A981" s="14"/>
      <c r="B981" s="90"/>
      <c r="C981" s="97"/>
      <c r="D981" s="97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</row>
    <row r="982">
      <c r="A982" s="14"/>
      <c r="B982" s="90"/>
      <c r="C982" s="97"/>
      <c r="D982" s="97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</row>
    <row r="983">
      <c r="A983" s="14"/>
      <c r="B983" s="90"/>
      <c r="C983" s="97"/>
      <c r="D983" s="97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</row>
    <row r="984">
      <c r="A984" s="14"/>
      <c r="B984" s="90"/>
      <c r="C984" s="97"/>
      <c r="D984" s="97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</row>
    <row r="985">
      <c r="A985" s="14"/>
      <c r="B985" s="90"/>
      <c r="C985" s="97"/>
      <c r="D985" s="97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</row>
    <row r="986">
      <c r="A986" s="14"/>
      <c r="B986" s="90"/>
      <c r="C986" s="97"/>
      <c r="D986" s="97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</row>
    <row r="987">
      <c r="A987" s="14"/>
      <c r="B987" s="90"/>
      <c r="C987" s="97"/>
      <c r="D987" s="97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</row>
    <row r="988">
      <c r="A988" s="14"/>
      <c r="B988" s="90"/>
      <c r="C988" s="97"/>
      <c r="D988" s="97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</row>
    <row r="989">
      <c r="A989" s="14"/>
      <c r="B989" s="90"/>
      <c r="C989" s="97"/>
      <c r="D989" s="97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</row>
    <row r="990">
      <c r="A990" s="14"/>
      <c r="B990" s="90"/>
      <c r="C990" s="97"/>
      <c r="D990" s="97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</row>
    <row r="991">
      <c r="A991" s="14"/>
      <c r="B991" s="90"/>
      <c r="C991" s="97"/>
      <c r="D991" s="97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</row>
    <row r="992">
      <c r="A992" s="14"/>
      <c r="B992" s="90"/>
      <c r="C992" s="97"/>
      <c r="D992" s="97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</row>
    <row r="993">
      <c r="A993" s="14"/>
      <c r="B993" s="90"/>
      <c r="C993" s="97"/>
      <c r="D993" s="97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</row>
    <row r="994">
      <c r="A994" s="14"/>
      <c r="B994" s="90"/>
      <c r="C994" s="97"/>
      <c r="D994" s="97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</row>
    <row r="995">
      <c r="A995" s="14"/>
      <c r="B995" s="90"/>
      <c r="C995" s="97"/>
      <c r="D995" s="97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</row>
    <row r="996">
      <c r="A996" s="14"/>
      <c r="B996" s="90"/>
      <c r="C996" s="97"/>
      <c r="D996" s="97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</row>
    <row r="997">
      <c r="A997" s="14"/>
      <c r="B997" s="90"/>
      <c r="C997" s="97"/>
      <c r="D997" s="97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</row>
    <row r="998">
      <c r="A998" s="14"/>
      <c r="B998" s="90"/>
      <c r="C998" s="97"/>
      <c r="D998" s="97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</row>
    <row r="999">
      <c r="A999" s="14"/>
      <c r="B999" s="90"/>
      <c r="C999" s="97"/>
      <c r="D999" s="97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</row>
    <row r="1000">
      <c r="A1000" s="14"/>
      <c r="B1000" s="90"/>
      <c r="C1000" s="97"/>
      <c r="D1000" s="97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</row>
    <row r="1001">
      <c r="A1001" s="14"/>
      <c r="B1001" s="90"/>
      <c r="C1001" s="97"/>
      <c r="D1001" s="97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</row>
    <row r="1002">
      <c r="A1002" s="14"/>
      <c r="B1002" s="90"/>
      <c r="C1002" s="97"/>
      <c r="D1002" s="97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</row>
    <row r="1003">
      <c r="A1003" s="14"/>
      <c r="B1003" s="90"/>
      <c r="C1003" s="97"/>
      <c r="D1003" s="97"/>
      <c r="E1003" s="69"/>
      <c r="F1003" s="69"/>
      <c r="G1003" s="69"/>
      <c r="H1003" s="69"/>
      <c r="I1003" s="69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  <c r="T1003" s="69"/>
      <c r="U1003" s="69"/>
      <c r="V1003" s="69"/>
      <c r="W1003" s="69"/>
      <c r="X1003" s="69"/>
    </row>
    <row r="1004">
      <c r="A1004" s="14"/>
      <c r="B1004" s="90"/>
      <c r="C1004" s="97"/>
      <c r="D1004" s="97"/>
      <c r="E1004" s="69"/>
      <c r="F1004" s="69"/>
      <c r="G1004" s="69"/>
      <c r="H1004" s="69"/>
      <c r="I1004" s="69"/>
      <c r="J1004" s="69"/>
      <c r="K1004" s="69"/>
      <c r="L1004" s="69"/>
      <c r="M1004" s="69"/>
      <c r="N1004" s="69"/>
      <c r="O1004" s="69"/>
      <c r="P1004" s="69"/>
      <c r="Q1004" s="69"/>
      <c r="R1004" s="69"/>
      <c r="S1004" s="69"/>
      <c r="T1004" s="69"/>
      <c r="U1004" s="69"/>
      <c r="V1004" s="69"/>
      <c r="W1004" s="69"/>
      <c r="X1004" s="6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  <col customWidth="1" min="4" max="4" width="15.88"/>
  </cols>
  <sheetData>
    <row r="1">
      <c r="A1" s="62" t="s">
        <v>527</v>
      </c>
      <c r="B1" s="62" t="s">
        <v>26</v>
      </c>
      <c r="C1" s="98" t="s">
        <v>524</v>
      </c>
      <c r="D1" s="98" t="s">
        <v>525</v>
      </c>
    </row>
    <row r="2">
      <c r="A2" s="78">
        <v>1.0</v>
      </c>
      <c r="B2" s="62" t="s">
        <v>27</v>
      </c>
      <c r="C2" s="99">
        <v>29.41444610533812</v>
      </c>
      <c r="D2" s="99">
        <v>120.6601697020565</v>
      </c>
    </row>
    <row r="3">
      <c r="A3" s="78">
        <v>2.0</v>
      </c>
      <c r="B3" s="62" t="s">
        <v>70</v>
      </c>
      <c r="C3" s="99">
        <v>30.448519937161315</v>
      </c>
      <c r="D3" s="99">
        <v>124.80931114205465</v>
      </c>
    </row>
    <row r="4">
      <c r="A4" s="78">
        <v>3.0</v>
      </c>
      <c r="B4" s="81" t="s">
        <v>176</v>
      </c>
      <c r="C4" s="99">
        <v>39.728194334010745</v>
      </c>
      <c r="D4" s="99">
        <v>99.57474644468552</v>
      </c>
    </row>
    <row r="5">
      <c r="A5" s="78">
        <v>4.0</v>
      </c>
      <c r="B5" s="62" t="s">
        <v>230</v>
      </c>
      <c r="C5" s="99">
        <v>16.175111759912816</v>
      </c>
      <c r="D5" s="99">
        <v>80.70270343877806</v>
      </c>
    </row>
    <row r="6">
      <c r="A6" s="78">
        <v>5.0</v>
      </c>
      <c r="B6" s="62" t="s">
        <v>480</v>
      </c>
      <c r="C6" s="99">
        <v>60.13112685503957</v>
      </c>
      <c r="D6" s="99">
        <v>280.34969342851826</v>
      </c>
    </row>
    <row r="7">
      <c r="A7" s="78">
        <v>6.0</v>
      </c>
      <c r="B7" s="62" t="s">
        <v>333</v>
      </c>
      <c r="C7" s="99">
        <v>25.231739045909357</v>
      </c>
      <c r="D7" s="99">
        <v>55.11644477527227</v>
      </c>
    </row>
    <row r="8">
      <c r="A8" s="78">
        <v>7.0</v>
      </c>
      <c r="B8" s="62" t="s">
        <v>348</v>
      </c>
      <c r="C8" s="99">
        <v>27.579595163148543</v>
      </c>
      <c r="D8" s="99">
        <v>67.60816083542677</v>
      </c>
    </row>
    <row r="9">
      <c r="A9" s="78">
        <v>8.0</v>
      </c>
      <c r="B9" s="62" t="s">
        <v>481</v>
      </c>
      <c r="C9" s="99">
        <v>39.838428011847405</v>
      </c>
      <c r="D9" s="99">
        <v>183.33105555604754</v>
      </c>
    </row>
    <row r="10">
      <c r="A10" s="78">
        <v>9.0</v>
      </c>
      <c r="B10" s="62" t="s">
        <v>442</v>
      </c>
      <c r="C10" s="99">
        <v>65.19613169618603</v>
      </c>
      <c r="D10" s="99">
        <v>1025.775541562028</v>
      </c>
    </row>
    <row r="11">
      <c r="A11" s="82">
        <v>10.0</v>
      </c>
      <c r="B11" s="82" t="s">
        <v>482</v>
      </c>
      <c r="C11" s="94">
        <v>23.054286063006007</v>
      </c>
      <c r="D11" s="94">
        <v>14.475516163731921</v>
      </c>
    </row>
    <row r="12">
      <c r="A12" s="82">
        <v>11.0</v>
      </c>
      <c r="B12" s="82" t="s">
        <v>21</v>
      </c>
      <c r="C12" s="94">
        <v>33.9070459855489</v>
      </c>
      <c r="D12" s="94">
        <v>0.29833746169644915</v>
      </c>
    </row>
    <row r="13">
      <c r="C13" s="100"/>
      <c r="D13" s="100"/>
    </row>
    <row r="14">
      <c r="C14" s="100"/>
      <c r="D14" s="100"/>
    </row>
    <row r="15">
      <c r="C15" s="100"/>
      <c r="D15" s="100"/>
    </row>
    <row r="16">
      <c r="C16" s="100"/>
      <c r="D16" s="100"/>
    </row>
    <row r="17">
      <c r="C17" s="100"/>
      <c r="D17" s="100"/>
    </row>
    <row r="18">
      <c r="C18" s="100"/>
      <c r="D18" s="100"/>
    </row>
    <row r="19">
      <c r="C19" s="100"/>
      <c r="D19" s="100"/>
    </row>
    <row r="20">
      <c r="C20" s="100"/>
      <c r="D20" s="100"/>
    </row>
    <row r="21">
      <c r="C21" s="100"/>
      <c r="D21" s="100"/>
    </row>
    <row r="22">
      <c r="C22" s="100"/>
      <c r="D22" s="100"/>
    </row>
    <row r="23">
      <c r="C23" s="100"/>
      <c r="D23" s="100"/>
    </row>
    <row r="24">
      <c r="C24" s="100"/>
      <c r="D24" s="100"/>
    </row>
    <row r="25">
      <c r="C25" s="100"/>
      <c r="D25" s="100"/>
    </row>
    <row r="26">
      <c r="C26" s="100"/>
      <c r="D26" s="100"/>
    </row>
    <row r="27">
      <c r="C27" s="100"/>
      <c r="D27" s="100"/>
    </row>
    <row r="28">
      <c r="C28" s="100"/>
      <c r="D28" s="100"/>
    </row>
    <row r="29">
      <c r="C29" s="100"/>
      <c r="D29" s="100"/>
    </row>
    <row r="30">
      <c r="C30" s="100"/>
      <c r="D30" s="100"/>
    </row>
    <row r="31">
      <c r="C31" s="100"/>
      <c r="D31" s="100"/>
    </row>
    <row r="32">
      <c r="C32" s="100"/>
      <c r="D32" s="100"/>
    </row>
    <row r="33">
      <c r="C33" s="100"/>
      <c r="D33" s="100"/>
    </row>
    <row r="34">
      <c r="C34" s="100"/>
      <c r="D34" s="100"/>
    </row>
    <row r="35">
      <c r="C35" s="100"/>
      <c r="D35" s="100"/>
    </row>
    <row r="36">
      <c r="C36" s="100"/>
      <c r="D36" s="100"/>
    </row>
    <row r="37">
      <c r="C37" s="100"/>
      <c r="D37" s="100"/>
    </row>
    <row r="38">
      <c r="C38" s="100"/>
      <c r="D38" s="100"/>
    </row>
    <row r="39">
      <c r="C39" s="100"/>
      <c r="D39" s="100"/>
    </row>
    <row r="40">
      <c r="C40" s="100"/>
      <c r="D40" s="100"/>
    </row>
    <row r="41">
      <c r="C41" s="100"/>
      <c r="D41" s="100"/>
    </row>
    <row r="42">
      <c r="C42" s="100"/>
      <c r="D42" s="100"/>
    </row>
    <row r="43">
      <c r="C43" s="100"/>
      <c r="D43" s="100"/>
    </row>
    <row r="44">
      <c r="C44" s="100"/>
      <c r="D44" s="100"/>
    </row>
    <row r="45">
      <c r="C45" s="100"/>
      <c r="D45" s="100"/>
    </row>
    <row r="46">
      <c r="C46" s="100"/>
      <c r="D46" s="100"/>
    </row>
    <row r="47">
      <c r="C47" s="100"/>
      <c r="D47" s="100"/>
    </row>
    <row r="48">
      <c r="C48" s="100"/>
      <c r="D48" s="100"/>
    </row>
    <row r="49">
      <c r="C49" s="100"/>
      <c r="D49" s="100"/>
    </row>
    <row r="50">
      <c r="C50" s="100"/>
      <c r="D50" s="100"/>
    </row>
    <row r="51">
      <c r="C51" s="100"/>
      <c r="D51" s="100"/>
    </row>
    <row r="52">
      <c r="C52" s="100"/>
      <c r="D52" s="100"/>
    </row>
    <row r="53">
      <c r="C53" s="100"/>
      <c r="D53" s="100"/>
    </row>
    <row r="54">
      <c r="C54" s="100"/>
      <c r="D54" s="100"/>
    </row>
    <row r="55">
      <c r="C55" s="100"/>
      <c r="D55" s="100"/>
    </row>
    <row r="56">
      <c r="C56" s="100"/>
      <c r="D56" s="100"/>
    </row>
    <row r="57">
      <c r="C57" s="100"/>
      <c r="D57" s="100"/>
    </row>
    <row r="58">
      <c r="C58" s="100"/>
      <c r="D58" s="100"/>
    </row>
    <row r="59">
      <c r="C59" s="100"/>
      <c r="D59" s="100"/>
    </row>
    <row r="60">
      <c r="C60" s="100"/>
      <c r="D60" s="100"/>
    </row>
    <row r="61">
      <c r="C61" s="100"/>
      <c r="D61" s="100"/>
    </row>
    <row r="62">
      <c r="C62" s="100"/>
      <c r="D62" s="100"/>
    </row>
    <row r="63">
      <c r="C63" s="100"/>
      <c r="D63" s="100"/>
    </row>
    <row r="64">
      <c r="C64" s="100"/>
      <c r="D64" s="100"/>
    </row>
    <row r="65">
      <c r="C65" s="100"/>
      <c r="D65" s="100"/>
    </row>
    <row r="66">
      <c r="C66" s="100"/>
      <c r="D66" s="100"/>
    </row>
    <row r="67">
      <c r="C67" s="100"/>
      <c r="D67" s="100"/>
    </row>
    <row r="68">
      <c r="C68" s="100"/>
      <c r="D68" s="100"/>
    </row>
    <row r="69">
      <c r="C69" s="100"/>
      <c r="D69" s="100"/>
    </row>
    <row r="70">
      <c r="C70" s="100"/>
      <c r="D70" s="100"/>
    </row>
    <row r="71">
      <c r="C71" s="100"/>
      <c r="D71" s="100"/>
    </row>
    <row r="72">
      <c r="C72" s="100"/>
      <c r="D72" s="100"/>
    </row>
    <row r="73">
      <c r="C73" s="100"/>
      <c r="D73" s="100"/>
    </row>
    <row r="74">
      <c r="C74" s="100"/>
      <c r="D74" s="100"/>
    </row>
    <row r="75">
      <c r="C75" s="100"/>
      <c r="D75" s="100"/>
    </row>
    <row r="76">
      <c r="C76" s="100"/>
      <c r="D76" s="100"/>
    </row>
    <row r="77">
      <c r="C77" s="100"/>
      <c r="D77" s="100"/>
    </row>
    <row r="78">
      <c r="C78" s="100"/>
      <c r="D78" s="100"/>
    </row>
    <row r="79">
      <c r="C79" s="100"/>
      <c r="D79" s="100"/>
    </row>
    <row r="80">
      <c r="C80" s="100"/>
      <c r="D80" s="100"/>
    </row>
    <row r="81">
      <c r="C81" s="100"/>
      <c r="D81" s="100"/>
    </row>
    <row r="82">
      <c r="C82" s="100"/>
      <c r="D82" s="100"/>
    </row>
    <row r="83">
      <c r="C83" s="100"/>
      <c r="D83" s="100"/>
    </row>
    <row r="84">
      <c r="C84" s="100"/>
      <c r="D84" s="100"/>
    </row>
    <row r="85">
      <c r="C85" s="100"/>
      <c r="D85" s="100"/>
    </row>
    <row r="86">
      <c r="C86" s="100"/>
      <c r="D86" s="100"/>
    </row>
    <row r="87">
      <c r="C87" s="100"/>
      <c r="D87" s="100"/>
    </row>
    <row r="88">
      <c r="C88" s="100"/>
      <c r="D88" s="100"/>
    </row>
    <row r="89">
      <c r="C89" s="100"/>
      <c r="D89" s="100"/>
    </row>
    <row r="90">
      <c r="C90" s="100"/>
      <c r="D90" s="100"/>
    </row>
    <row r="91">
      <c r="C91" s="100"/>
      <c r="D91" s="100"/>
    </row>
    <row r="92">
      <c r="C92" s="100"/>
      <c r="D92" s="100"/>
    </row>
    <row r="93">
      <c r="C93" s="100"/>
      <c r="D93" s="100"/>
    </row>
    <row r="94">
      <c r="C94" s="100"/>
      <c r="D94" s="100"/>
    </row>
    <row r="95">
      <c r="C95" s="100"/>
      <c r="D95" s="100"/>
    </row>
    <row r="96">
      <c r="C96" s="100"/>
      <c r="D96" s="100"/>
    </row>
    <row r="97">
      <c r="C97" s="100"/>
      <c r="D97" s="100"/>
    </row>
    <row r="98">
      <c r="C98" s="100"/>
      <c r="D98" s="100"/>
    </row>
    <row r="99">
      <c r="C99" s="100"/>
      <c r="D99" s="100"/>
    </row>
    <row r="100">
      <c r="C100" s="100"/>
      <c r="D100" s="100"/>
    </row>
    <row r="101">
      <c r="C101" s="100"/>
      <c r="D101" s="100"/>
    </row>
    <row r="102">
      <c r="C102" s="100"/>
      <c r="D102" s="100"/>
    </row>
    <row r="103">
      <c r="C103" s="100"/>
      <c r="D103" s="100"/>
    </row>
    <row r="104">
      <c r="C104" s="100"/>
      <c r="D104" s="100"/>
    </row>
    <row r="105">
      <c r="C105" s="100"/>
      <c r="D105" s="100"/>
    </row>
    <row r="106">
      <c r="C106" s="100"/>
      <c r="D106" s="100"/>
    </row>
    <row r="107">
      <c r="C107" s="100"/>
      <c r="D107" s="100"/>
    </row>
    <row r="108">
      <c r="C108" s="100"/>
      <c r="D108" s="100"/>
    </row>
    <row r="109">
      <c r="C109" s="100"/>
      <c r="D109" s="100"/>
    </row>
    <row r="110">
      <c r="C110" s="100"/>
      <c r="D110" s="100"/>
    </row>
    <row r="111">
      <c r="C111" s="100"/>
      <c r="D111" s="100"/>
    </row>
    <row r="112">
      <c r="C112" s="100"/>
      <c r="D112" s="100"/>
    </row>
    <row r="113">
      <c r="C113" s="100"/>
      <c r="D113" s="100"/>
    </row>
    <row r="114">
      <c r="C114" s="100"/>
      <c r="D114" s="100"/>
    </row>
    <row r="115">
      <c r="C115" s="100"/>
      <c r="D115" s="100"/>
    </row>
    <row r="116">
      <c r="C116" s="100"/>
      <c r="D116" s="100"/>
    </row>
    <row r="117">
      <c r="C117" s="100"/>
      <c r="D117" s="100"/>
    </row>
    <row r="118">
      <c r="C118" s="100"/>
      <c r="D118" s="100"/>
    </row>
    <row r="119">
      <c r="C119" s="100"/>
      <c r="D119" s="100"/>
    </row>
    <row r="120">
      <c r="C120" s="100"/>
      <c r="D120" s="100"/>
    </row>
    <row r="121">
      <c r="C121" s="100"/>
      <c r="D121" s="100"/>
    </row>
    <row r="122">
      <c r="C122" s="100"/>
      <c r="D122" s="100"/>
    </row>
    <row r="123">
      <c r="C123" s="100"/>
      <c r="D123" s="100"/>
    </row>
    <row r="124">
      <c r="C124" s="100"/>
      <c r="D124" s="100"/>
    </row>
    <row r="125">
      <c r="C125" s="100"/>
      <c r="D125" s="100"/>
    </row>
    <row r="126">
      <c r="C126" s="100"/>
      <c r="D126" s="100"/>
    </row>
    <row r="127">
      <c r="C127" s="100"/>
      <c r="D127" s="100"/>
    </row>
    <row r="128">
      <c r="C128" s="100"/>
      <c r="D128" s="100"/>
    </row>
    <row r="129">
      <c r="C129" s="100"/>
      <c r="D129" s="100"/>
    </row>
    <row r="130">
      <c r="C130" s="100"/>
      <c r="D130" s="100"/>
    </row>
    <row r="131">
      <c r="C131" s="100"/>
      <c r="D131" s="100"/>
    </row>
    <row r="132">
      <c r="C132" s="100"/>
      <c r="D132" s="100"/>
    </row>
    <row r="133">
      <c r="C133" s="100"/>
      <c r="D133" s="100"/>
    </row>
    <row r="134">
      <c r="C134" s="100"/>
      <c r="D134" s="100"/>
    </row>
    <row r="135">
      <c r="C135" s="100"/>
      <c r="D135" s="100"/>
    </row>
    <row r="136">
      <c r="C136" s="100"/>
      <c r="D136" s="100"/>
    </row>
    <row r="137">
      <c r="C137" s="100"/>
      <c r="D137" s="100"/>
    </row>
    <row r="138">
      <c r="C138" s="100"/>
      <c r="D138" s="100"/>
    </row>
    <row r="139">
      <c r="C139" s="100"/>
      <c r="D139" s="100"/>
    </row>
    <row r="140">
      <c r="C140" s="100"/>
      <c r="D140" s="100"/>
    </row>
    <row r="141">
      <c r="C141" s="100"/>
      <c r="D141" s="100"/>
    </row>
    <row r="142">
      <c r="C142" s="100"/>
      <c r="D142" s="100"/>
    </row>
    <row r="143">
      <c r="C143" s="100"/>
      <c r="D143" s="100"/>
    </row>
    <row r="144">
      <c r="C144" s="100"/>
      <c r="D144" s="100"/>
    </row>
    <row r="145">
      <c r="C145" s="100"/>
      <c r="D145" s="100"/>
    </row>
    <row r="146">
      <c r="C146" s="100"/>
      <c r="D146" s="100"/>
    </row>
    <row r="147">
      <c r="C147" s="100"/>
      <c r="D147" s="100"/>
    </row>
    <row r="148">
      <c r="C148" s="100"/>
      <c r="D148" s="100"/>
    </row>
    <row r="149">
      <c r="C149" s="100"/>
      <c r="D149" s="100"/>
    </row>
    <row r="150">
      <c r="C150" s="100"/>
      <c r="D150" s="100"/>
    </row>
    <row r="151">
      <c r="C151" s="100"/>
      <c r="D151" s="100"/>
    </row>
    <row r="152">
      <c r="C152" s="100"/>
      <c r="D152" s="100"/>
    </row>
    <row r="153">
      <c r="C153" s="100"/>
      <c r="D153" s="100"/>
    </row>
    <row r="154">
      <c r="C154" s="100"/>
      <c r="D154" s="100"/>
    </row>
    <row r="155">
      <c r="C155" s="100"/>
      <c r="D155" s="100"/>
    </row>
    <row r="156">
      <c r="C156" s="100"/>
      <c r="D156" s="100"/>
    </row>
    <row r="157">
      <c r="C157" s="100"/>
      <c r="D157" s="100"/>
    </row>
    <row r="158">
      <c r="C158" s="100"/>
      <c r="D158" s="100"/>
    </row>
    <row r="159">
      <c r="C159" s="100"/>
      <c r="D159" s="100"/>
    </row>
    <row r="160">
      <c r="C160" s="100"/>
      <c r="D160" s="100"/>
    </row>
    <row r="161">
      <c r="C161" s="100"/>
      <c r="D161" s="100"/>
    </row>
    <row r="162">
      <c r="C162" s="100"/>
      <c r="D162" s="100"/>
    </row>
    <row r="163">
      <c r="C163" s="100"/>
      <c r="D163" s="100"/>
    </row>
    <row r="164">
      <c r="C164" s="100"/>
      <c r="D164" s="100"/>
    </row>
    <row r="165">
      <c r="C165" s="100"/>
      <c r="D165" s="100"/>
    </row>
    <row r="166">
      <c r="C166" s="100"/>
      <c r="D166" s="100"/>
    </row>
    <row r="167">
      <c r="C167" s="100"/>
      <c r="D167" s="100"/>
    </row>
    <row r="168">
      <c r="C168" s="100"/>
      <c r="D168" s="100"/>
    </row>
    <row r="169">
      <c r="C169" s="100"/>
      <c r="D169" s="100"/>
    </row>
    <row r="170">
      <c r="C170" s="100"/>
      <c r="D170" s="100"/>
    </row>
    <row r="171">
      <c r="C171" s="100"/>
      <c r="D171" s="100"/>
    </row>
    <row r="172">
      <c r="C172" s="100"/>
      <c r="D172" s="100"/>
    </row>
    <row r="173">
      <c r="C173" s="100"/>
      <c r="D173" s="100"/>
    </row>
    <row r="174">
      <c r="C174" s="100"/>
      <c r="D174" s="100"/>
    </row>
    <row r="175">
      <c r="C175" s="100"/>
      <c r="D175" s="100"/>
    </row>
    <row r="176">
      <c r="C176" s="100"/>
      <c r="D176" s="100"/>
    </row>
    <row r="177">
      <c r="C177" s="100"/>
      <c r="D177" s="100"/>
    </row>
    <row r="178">
      <c r="C178" s="100"/>
      <c r="D178" s="100"/>
    </row>
    <row r="179">
      <c r="C179" s="100"/>
      <c r="D179" s="100"/>
    </row>
    <row r="180">
      <c r="C180" s="100"/>
      <c r="D180" s="100"/>
    </row>
    <row r="181">
      <c r="C181" s="100"/>
      <c r="D181" s="100"/>
    </row>
    <row r="182">
      <c r="C182" s="100"/>
      <c r="D182" s="100"/>
    </row>
    <row r="183">
      <c r="C183" s="100"/>
      <c r="D183" s="100"/>
    </row>
    <row r="184">
      <c r="C184" s="100"/>
      <c r="D184" s="100"/>
    </row>
    <row r="185">
      <c r="C185" s="100"/>
      <c r="D185" s="100"/>
    </row>
    <row r="186">
      <c r="C186" s="100"/>
      <c r="D186" s="100"/>
    </row>
    <row r="187">
      <c r="C187" s="100"/>
      <c r="D187" s="100"/>
    </row>
    <row r="188">
      <c r="C188" s="100"/>
      <c r="D188" s="100"/>
    </row>
    <row r="189">
      <c r="C189" s="100"/>
      <c r="D189" s="100"/>
    </row>
    <row r="190">
      <c r="C190" s="100"/>
      <c r="D190" s="100"/>
    </row>
    <row r="191">
      <c r="C191" s="100"/>
      <c r="D191" s="100"/>
    </row>
    <row r="192">
      <c r="C192" s="100"/>
      <c r="D192" s="100"/>
    </row>
    <row r="193">
      <c r="C193" s="100"/>
      <c r="D193" s="100"/>
    </row>
    <row r="194">
      <c r="C194" s="100"/>
      <c r="D194" s="100"/>
    </row>
    <row r="195">
      <c r="C195" s="100"/>
      <c r="D195" s="100"/>
    </row>
    <row r="196">
      <c r="C196" s="100"/>
      <c r="D196" s="100"/>
    </row>
    <row r="197">
      <c r="C197" s="100"/>
      <c r="D197" s="100"/>
    </row>
    <row r="198">
      <c r="C198" s="100"/>
      <c r="D198" s="100"/>
    </row>
    <row r="199">
      <c r="C199" s="100"/>
      <c r="D199" s="100"/>
    </row>
    <row r="200">
      <c r="C200" s="100"/>
      <c r="D200" s="100"/>
    </row>
    <row r="201">
      <c r="C201" s="100"/>
      <c r="D201" s="100"/>
    </row>
    <row r="202">
      <c r="C202" s="100"/>
      <c r="D202" s="100"/>
    </row>
    <row r="203">
      <c r="C203" s="100"/>
      <c r="D203" s="100"/>
    </row>
    <row r="204">
      <c r="C204" s="100"/>
      <c r="D204" s="100"/>
    </row>
    <row r="205">
      <c r="C205" s="100"/>
      <c r="D205" s="100"/>
    </row>
    <row r="206">
      <c r="C206" s="100"/>
      <c r="D206" s="100"/>
    </row>
    <row r="207">
      <c r="C207" s="100"/>
      <c r="D207" s="100"/>
    </row>
    <row r="208">
      <c r="C208" s="100"/>
      <c r="D208" s="100"/>
    </row>
    <row r="209">
      <c r="C209" s="100"/>
      <c r="D209" s="100"/>
    </row>
    <row r="210">
      <c r="C210" s="100"/>
      <c r="D210" s="100"/>
    </row>
    <row r="211">
      <c r="C211" s="100"/>
      <c r="D211" s="100"/>
    </row>
    <row r="212">
      <c r="C212" s="100"/>
      <c r="D212" s="100"/>
    </row>
    <row r="213">
      <c r="C213" s="100"/>
      <c r="D213" s="100"/>
    </row>
    <row r="214">
      <c r="C214" s="100"/>
      <c r="D214" s="100"/>
    </row>
    <row r="215">
      <c r="C215" s="100"/>
      <c r="D215" s="100"/>
    </row>
    <row r="216">
      <c r="C216" s="100"/>
      <c r="D216" s="100"/>
    </row>
    <row r="217">
      <c r="C217" s="100"/>
      <c r="D217" s="100"/>
    </row>
    <row r="218">
      <c r="C218" s="100"/>
      <c r="D218" s="100"/>
    </row>
    <row r="219">
      <c r="C219" s="100"/>
      <c r="D219" s="100"/>
    </row>
    <row r="220">
      <c r="C220" s="100"/>
      <c r="D220" s="100"/>
    </row>
    <row r="221">
      <c r="C221" s="100"/>
      <c r="D221" s="100"/>
    </row>
    <row r="222">
      <c r="C222" s="100"/>
      <c r="D222" s="100"/>
    </row>
    <row r="223">
      <c r="C223" s="100"/>
      <c r="D223" s="100"/>
    </row>
    <row r="224">
      <c r="C224" s="100"/>
      <c r="D224" s="100"/>
    </row>
    <row r="225">
      <c r="C225" s="100"/>
      <c r="D225" s="100"/>
    </row>
    <row r="226">
      <c r="C226" s="100"/>
      <c r="D226" s="100"/>
    </row>
    <row r="227">
      <c r="C227" s="100"/>
      <c r="D227" s="100"/>
    </row>
    <row r="228">
      <c r="C228" s="100"/>
      <c r="D228" s="100"/>
    </row>
    <row r="229">
      <c r="C229" s="100"/>
      <c r="D229" s="100"/>
    </row>
    <row r="230">
      <c r="C230" s="100"/>
      <c r="D230" s="100"/>
    </row>
    <row r="231">
      <c r="C231" s="100"/>
      <c r="D231" s="100"/>
    </row>
    <row r="232">
      <c r="C232" s="100"/>
      <c r="D232" s="100"/>
    </row>
    <row r="233">
      <c r="C233" s="100"/>
      <c r="D233" s="100"/>
    </row>
    <row r="234">
      <c r="C234" s="100"/>
      <c r="D234" s="100"/>
    </row>
    <row r="235">
      <c r="C235" s="100"/>
      <c r="D235" s="100"/>
    </row>
    <row r="236">
      <c r="C236" s="100"/>
      <c r="D236" s="100"/>
    </row>
    <row r="237">
      <c r="C237" s="100"/>
      <c r="D237" s="100"/>
    </row>
    <row r="238">
      <c r="C238" s="100"/>
      <c r="D238" s="100"/>
    </row>
    <row r="239">
      <c r="C239" s="100"/>
      <c r="D239" s="100"/>
    </row>
    <row r="240">
      <c r="C240" s="100"/>
      <c r="D240" s="100"/>
    </row>
    <row r="241">
      <c r="C241" s="100"/>
      <c r="D241" s="100"/>
    </row>
    <row r="242">
      <c r="C242" s="100"/>
      <c r="D242" s="100"/>
    </row>
    <row r="243">
      <c r="C243" s="100"/>
      <c r="D243" s="100"/>
    </row>
    <row r="244">
      <c r="C244" s="100"/>
      <c r="D244" s="100"/>
    </row>
    <row r="245">
      <c r="C245" s="100"/>
      <c r="D245" s="100"/>
    </row>
    <row r="246">
      <c r="C246" s="100"/>
      <c r="D246" s="100"/>
    </row>
    <row r="247">
      <c r="C247" s="100"/>
      <c r="D247" s="100"/>
    </row>
    <row r="248">
      <c r="C248" s="100"/>
      <c r="D248" s="100"/>
    </row>
    <row r="249">
      <c r="C249" s="100"/>
      <c r="D249" s="100"/>
    </row>
    <row r="250">
      <c r="C250" s="100"/>
      <c r="D250" s="100"/>
    </row>
    <row r="251">
      <c r="C251" s="100"/>
      <c r="D251" s="100"/>
    </row>
    <row r="252">
      <c r="C252" s="100"/>
      <c r="D252" s="100"/>
    </row>
    <row r="253">
      <c r="C253" s="100"/>
      <c r="D253" s="100"/>
    </row>
    <row r="254">
      <c r="C254" s="100"/>
      <c r="D254" s="100"/>
    </row>
    <row r="255">
      <c r="C255" s="100"/>
      <c r="D255" s="100"/>
    </row>
    <row r="256">
      <c r="C256" s="100"/>
      <c r="D256" s="100"/>
    </row>
    <row r="257">
      <c r="C257" s="100"/>
      <c r="D257" s="100"/>
    </row>
    <row r="258">
      <c r="C258" s="100"/>
      <c r="D258" s="100"/>
    </row>
    <row r="259">
      <c r="C259" s="100"/>
      <c r="D259" s="100"/>
    </row>
    <row r="260">
      <c r="C260" s="100"/>
      <c r="D260" s="100"/>
    </row>
    <row r="261">
      <c r="C261" s="100"/>
      <c r="D261" s="100"/>
    </row>
    <row r="262">
      <c r="C262" s="100"/>
      <c r="D262" s="100"/>
    </row>
    <row r="263">
      <c r="C263" s="100"/>
      <c r="D263" s="100"/>
    </row>
    <row r="264">
      <c r="C264" s="100"/>
      <c r="D264" s="100"/>
    </row>
    <row r="265">
      <c r="C265" s="100"/>
      <c r="D265" s="100"/>
    </row>
    <row r="266">
      <c r="C266" s="100"/>
      <c r="D266" s="100"/>
    </row>
    <row r="267">
      <c r="C267" s="100"/>
      <c r="D267" s="100"/>
    </row>
    <row r="268">
      <c r="C268" s="100"/>
      <c r="D268" s="100"/>
    </row>
    <row r="269">
      <c r="C269" s="100"/>
      <c r="D269" s="100"/>
    </row>
    <row r="270">
      <c r="C270" s="100"/>
      <c r="D270" s="100"/>
    </row>
    <row r="271">
      <c r="C271" s="100"/>
      <c r="D271" s="100"/>
    </row>
    <row r="272">
      <c r="C272" s="100"/>
      <c r="D272" s="100"/>
    </row>
    <row r="273">
      <c r="C273" s="100"/>
      <c r="D273" s="100"/>
    </row>
    <row r="274">
      <c r="C274" s="100"/>
      <c r="D274" s="100"/>
    </row>
    <row r="275">
      <c r="C275" s="100"/>
      <c r="D275" s="100"/>
    </row>
    <row r="276">
      <c r="C276" s="100"/>
      <c r="D276" s="100"/>
    </row>
    <row r="277">
      <c r="C277" s="100"/>
      <c r="D277" s="100"/>
    </row>
    <row r="278">
      <c r="C278" s="100"/>
      <c r="D278" s="100"/>
    </row>
    <row r="279">
      <c r="C279" s="100"/>
      <c r="D279" s="100"/>
    </row>
    <row r="280">
      <c r="C280" s="100"/>
      <c r="D280" s="100"/>
    </row>
    <row r="281">
      <c r="C281" s="100"/>
      <c r="D281" s="100"/>
    </row>
    <row r="282">
      <c r="C282" s="100"/>
      <c r="D282" s="100"/>
    </row>
    <row r="283">
      <c r="C283" s="100"/>
      <c r="D283" s="100"/>
    </row>
    <row r="284">
      <c r="C284" s="100"/>
      <c r="D284" s="100"/>
    </row>
    <row r="285">
      <c r="C285" s="100"/>
      <c r="D285" s="100"/>
    </row>
    <row r="286">
      <c r="C286" s="100"/>
      <c r="D286" s="100"/>
    </row>
    <row r="287">
      <c r="C287" s="100"/>
      <c r="D287" s="100"/>
    </row>
    <row r="288">
      <c r="C288" s="100"/>
      <c r="D288" s="100"/>
    </row>
    <row r="289">
      <c r="C289" s="100"/>
      <c r="D289" s="100"/>
    </row>
    <row r="290">
      <c r="C290" s="100"/>
      <c r="D290" s="100"/>
    </row>
    <row r="291">
      <c r="C291" s="100"/>
      <c r="D291" s="100"/>
    </row>
    <row r="292">
      <c r="C292" s="100"/>
      <c r="D292" s="100"/>
    </row>
    <row r="293">
      <c r="C293" s="100"/>
      <c r="D293" s="100"/>
    </row>
    <row r="294">
      <c r="C294" s="100"/>
      <c r="D294" s="100"/>
    </row>
    <row r="295">
      <c r="C295" s="100"/>
      <c r="D295" s="100"/>
    </row>
    <row r="296">
      <c r="C296" s="100"/>
      <c r="D296" s="100"/>
    </row>
    <row r="297">
      <c r="C297" s="100"/>
      <c r="D297" s="100"/>
    </row>
    <row r="298">
      <c r="C298" s="100"/>
      <c r="D298" s="100"/>
    </row>
    <row r="299">
      <c r="C299" s="100"/>
      <c r="D299" s="100"/>
    </row>
    <row r="300">
      <c r="C300" s="100"/>
      <c r="D300" s="100"/>
    </row>
    <row r="301">
      <c r="C301" s="100"/>
      <c r="D301" s="100"/>
    </row>
    <row r="302">
      <c r="C302" s="100"/>
      <c r="D302" s="100"/>
    </row>
    <row r="303">
      <c r="C303" s="100"/>
      <c r="D303" s="100"/>
    </row>
    <row r="304">
      <c r="C304" s="100"/>
      <c r="D304" s="100"/>
    </row>
    <row r="305">
      <c r="C305" s="100"/>
      <c r="D305" s="100"/>
    </row>
    <row r="306">
      <c r="C306" s="100"/>
      <c r="D306" s="100"/>
    </row>
    <row r="307">
      <c r="C307" s="100"/>
      <c r="D307" s="100"/>
    </row>
    <row r="308">
      <c r="C308" s="100"/>
      <c r="D308" s="100"/>
    </row>
    <row r="309">
      <c r="C309" s="100"/>
      <c r="D309" s="100"/>
    </row>
    <row r="310">
      <c r="C310" s="100"/>
      <c r="D310" s="100"/>
    </row>
    <row r="311">
      <c r="C311" s="100"/>
      <c r="D311" s="100"/>
    </row>
    <row r="312">
      <c r="C312" s="100"/>
      <c r="D312" s="100"/>
    </row>
    <row r="313">
      <c r="C313" s="100"/>
      <c r="D313" s="100"/>
    </row>
    <row r="314">
      <c r="C314" s="100"/>
      <c r="D314" s="100"/>
    </row>
    <row r="315">
      <c r="C315" s="100"/>
      <c r="D315" s="100"/>
    </row>
    <row r="316">
      <c r="C316" s="100"/>
      <c r="D316" s="100"/>
    </row>
    <row r="317">
      <c r="C317" s="100"/>
      <c r="D317" s="100"/>
    </row>
    <row r="318">
      <c r="C318" s="100"/>
      <c r="D318" s="100"/>
    </row>
    <row r="319">
      <c r="C319" s="100"/>
      <c r="D319" s="100"/>
    </row>
    <row r="320">
      <c r="C320" s="100"/>
      <c r="D320" s="100"/>
    </row>
    <row r="321">
      <c r="C321" s="100"/>
      <c r="D321" s="100"/>
    </row>
    <row r="322">
      <c r="C322" s="100"/>
      <c r="D322" s="100"/>
    </row>
    <row r="323">
      <c r="C323" s="100"/>
      <c r="D323" s="100"/>
    </row>
    <row r="324">
      <c r="C324" s="100"/>
      <c r="D324" s="100"/>
    </row>
    <row r="325">
      <c r="C325" s="100"/>
      <c r="D325" s="100"/>
    </row>
    <row r="326">
      <c r="C326" s="100"/>
      <c r="D326" s="100"/>
    </row>
    <row r="327">
      <c r="C327" s="100"/>
      <c r="D327" s="100"/>
    </row>
    <row r="328">
      <c r="C328" s="100"/>
      <c r="D328" s="100"/>
    </row>
    <row r="329">
      <c r="C329" s="100"/>
      <c r="D329" s="100"/>
    </row>
    <row r="330">
      <c r="C330" s="100"/>
      <c r="D330" s="100"/>
    </row>
    <row r="331">
      <c r="C331" s="100"/>
      <c r="D331" s="100"/>
    </row>
    <row r="332">
      <c r="C332" s="100"/>
      <c r="D332" s="100"/>
    </row>
    <row r="333">
      <c r="C333" s="100"/>
      <c r="D333" s="100"/>
    </row>
    <row r="334">
      <c r="C334" s="100"/>
      <c r="D334" s="100"/>
    </row>
    <row r="335">
      <c r="C335" s="100"/>
      <c r="D335" s="100"/>
    </row>
    <row r="336">
      <c r="C336" s="100"/>
      <c r="D336" s="100"/>
    </row>
    <row r="337">
      <c r="C337" s="100"/>
      <c r="D337" s="100"/>
    </row>
    <row r="338">
      <c r="C338" s="100"/>
      <c r="D338" s="100"/>
    </row>
    <row r="339">
      <c r="C339" s="100"/>
      <c r="D339" s="100"/>
    </row>
    <row r="340">
      <c r="C340" s="100"/>
      <c r="D340" s="100"/>
    </row>
    <row r="341">
      <c r="C341" s="100"/>
      <c r="D341" s="100"/>
    </row>
    <row r="342">
      <c r="C342" s="100"/>
      <c r="D342" s="100"/>
    </row>
    <row r="343">
      <c r="C343" s="100"/>
      <c r="D343" s="100"/>
    </row>
    <row r="344">
      <c r="C344" s="100"/>
      <c r="D344" s="100"/>
    </row>
    <row r="345">
      <c r="C345" s="100"/>
      <c r="D345" s="100"/>
    </row>
    <row r="346">
      <c r="C346" s="100"/>
      <c r="D346" s="100"/>
    </row>
    <row r="347">
      <c r="C347" s="100"/>
      <c r="D347" s="100"/>
    </row>
    <row r="348">
      <c r="C348" s="100"/>
      <c r="D348" s="100"/>
    </row>
    <row r="349">
      <c r="C349" s="100"/>
      <c r="D349" s="100"/>
    </row>
    <row r="350">
      <c r="C350" s="100"/>
      <c r="D350" s="100"/>
    </row>
    <row r="351">
      <c r="C351" s="100"/>
      <c r="D351" s="100"/>
    </row>
    <row r="352">
      <c r="C352" s="100"/>
      <c r="D352" s="100"/>
    </row>
    <row r="353">
      <c r="C353" s="100"/>
      <c r="D353" s="100"/>
    </row>
    <row r="354">
      <c r="C354" s="100"/>
      <c r="D354" s="100"/>
    </row>
    <row r="355">
      <c r="C355" s="100"/>
      <c r="D355" s="100"/>
    </row>
    <row r="356">
      <c r="C356" s="100"/>
      <c r="D356" s="100"/>
    </row>
    <row r="357">
      <c r="C357" s="100"/>
      <c r="D357" s="100"/>
    </row>
    <row r="358">
      <c r="C358" s="100"/>
      <c r="D358" s="100"/>
    </row>
    <row r="359">
      <c r="C359" s="100"/>
      <c r="D359" s="100"/>
    </row>
    <row r="360">
      <c r="C360" s="100"/>
      <c r="D360" s="100"/>
    </row>
    <row r="361">
      <c r="C361" s="100"/>
      <c r="D361" s="100"/>
    </row>
    <row r="362">
      <c r="C362" s="100"/>
      <c r="D362" s="100"/>
    </row>
    <row r="363">
      <c r="C363" s="100"/>
      <c r="D363" s="100"/>
    </row>
    <row r="364">
      <c r="C364" s="100"/>
      <c r="D364" s="100"/>
    </row>
    <row r="365">
      <c r="C365" s="100"/>
      <c r="D365" s="100"/>
    </row>
    <row r="366">
      <c r="C366" s="100"/>
      <c r="D366" s="100"/>
    </row>
    <row r="367">
      <c r="C367" s="100"/>
      <c r="D367" s="100"/>
    </row>
    <row r="368">
      <c r="C368" s="100"/>
      <c r="D368" s="100"/>
    </row>
    <row r="369">
      <c r="C369" s="100"/>
      <c r="D369" s="100"/>
    </row>
    <row r="370">
      <c r="C370" s="100"/>
      <c r="D370" s="100"/>
    </row>
    <row r="371">
      <c r="C371" s="100"/>
      <c r="D371" s="100"/>
    </row>
    <row r="372">
      <c r="C372" s="100"/>
      <c r="D372" s="100"/>
    </row>
    <row r="373">
      <c r="C373" s="100"/>
      <c r="D373" s="100"/>
    </row>
    <row r="374">
      <c r="C374" s="100"/>
      <c r="D374" s="100"/>
    </row>
    <row r="375">
      <c r="C375" s="100"/>
      <c r="D375" s="100"/>
    </row>
    <row r="376">
      <c r="C376" s="100"/>
      <c r="D376" s="100"/>
    </row>
    <row r="377">
      <c r="C377" s="100"/>
      <c r="D377" s="100"/>
    </row>
    <row r="378">
      <c r="C378" s="100"/>
      <c r="D378" s="100"/>
    </row>
    <row r="379">
      <c r="C379" s="100"/>
      <c r="D379" s="100"/>
    </row>
    <row r="380">
      <c r="C380" s="100"/>
      <c r="D380" s="100"/>
    </row>
    <row r="381">
      <c r="C381" s="100"/>
      <c r="D381" s="100"/>
    </row>
    <row r="382">
      <c r="C382" s="100"/>
      <c r="D382" s="100"/>
    </row>
    <row r="383">
      <c r="C383" s="100"/>
      <c r="D383" s="100"/>
    </row>
    <row r="384">
      <c r="C384" s="100"/>
      <c r="D384" s="100"/>
    </row>
    <row r="385">
      <c r="C385" s="100"/>
      <c r="D385" s="100"/>
    </row>
    <row r="386">
      <c r="C386" s="100"/>
      <c r="D386" s="100"/>
    </row>
    <row r="387">
      <c r="C387" s="100"/>
      <c r="D387" s="100"/>
    </row>
    <row r="388">
      <c r="C388" s="100"/>
      <c r="D388" s="100"/>
    </row>
    <row r="389">
      <c r="C389" s="100"/>
      <c r="D389" s="100"/>
    </row>
    <row r="390">
      <c r="C390" s="100"/>
      <c r="D390" s="100"/>
    </row>
    <row r="391">
      <c r="C391" s="100"/>
      <c r="D391" s="100"/>
    </row>
    <row r="392">
      <c r="C392" s="100"/>
      <c r="D392" s="100"/>
    </row>
    <row r="393">
      <c r="C393" s="100"/>
      <c r="D393" s="100"/>
    </row>
    <row r="394">
      <c r="C394" s="100"/>
      <c r="D394" s="100"/>
    </row>
    <row r="395">
      <c r="C395" s="100"/>
      <c r="D395" s="100"/>
    </row>
    <row r="396">
      <c r="C396" s="100"/>
      <c r="D396" s="100"/>
    </row>
    <row r="397">
      <c r="C397" s="100"/>
      <c r="D397" s="100"/>
    </row>
    <row r="398">
      <c r="C398" s="100"/>
      <c r="D398" s="100"/>
    </row>
    <row r="399">
      <c r="C399" s="100"/>
      <c r="D399" s="100"/>
    </row>
    <row r="400">
      <c r="C400" s="100"/>
      <c r="D400" s="100"/>
    </row>
    <row r="401">
      <c r="C401" s="100"/>
      <c r="D401" s="100"/>
    </row>
    <row r="402">
      <c r="C402" s="100"/>
      <c r="D402" s="100"/>
    </row>
    <row r="403">
      <c r="C403" s="100"/>
      <c r="D403" s="100"/>
    </row>
    <row r="404">
      <c r="C404" s="100"/>
      <c r="D404" s="100"/>
    </row>
    <row r="405">
      <c r="C405" s="100"/>
      <c r="D405" s="100"/>
    </row>
    <row r="406">
      <c r="C406" s="100"/>
      <c r="D406" s="100"/>
    </row>
    <row r="407">
      <c r="C407" s="100"/>
      <c r="D407" s="100"/>
    </row>
    <row r="408">
      <c r="C408" s="100"/>
      <c r="D408" s="100"/>
    </row>
    <row r="409">
      <c r="C409" s="100"/>
      <c r="D409" s="100"/>
    </row>
    <row r="410">
      <c r="C410" s="100"/>
      <c r="D410" s="100"/>
    </row>
    <row r="411">
      <c r="C411" s="100"/>
      <c r="D411" s="100"/>
    </row>
    <row r="412">
      <c r="C412" s="100"/>
      <c r="D412" s="100"/>
    </row>
    <row r="413">
      <c r="C413" s="100"/>
      <c r="D413" s="100"/>
    </row>
    <row r="414">
      <c r="C414" s="100"/>
      <c r="D414" s="100"/>
    </row>
    <row r="415">
      <c r="C415" s="100"/>
      <c r="D415" s="100"/>
    </row>
    <row r="416">
      <c r="C416" s="100"/>
      <c r="D416" s="100"/>
    </row>
    <row r="417">
      <c r="C417" s="100"/>
      <c r="D417" s="100"/>
    </row>
    <row r="418">
      <c r="C418" s="100"/>
      <c r="D418" s="100"/>
    </row>
    <row r="419">
      <c r="C419" s="100"/>
      <c r="D419" s="100"/>
    </row>
    <row r="420">
      <c r="C420" s="100"/>
      <c r="D420" s="100"/>
    </row>
    <row r="421">
      <c r="C421" s="100"/>
      <c r="D421" s="100"/>
    </row>
    <row r="422">
      <c r="C422" s="100"/>
      <c r="D422" s="100"/>
    </row>
    <row r="423">
      <c r="C423" s="100"/>
      <c r="D423" s="100"/>
    </row>
    <row r="424">
      <c r="C424" s="100"/>
      <c r="D424" s="100"/>
    </row>
    <row r="425">
      <c r="C425" s="100"/>
      <c r="D425" s="100"/>
    </row>
    <row r="426">
      <c r="C426" s="100"/>
      <c r="D426" s="100"/>
    </row>
    <row r="427">
      <c r="C427" s="100"/>
      <c r="D427" s="100"/>
    </row>
    <row r="428">
      <c r="C428" s="100"/>
      <c r="D428" s="100"/>
    </row>
    <row r="429">
      <c r="C429" s="100"/>
      <c r="D429" s="100"/>
    </row>
    <row r="430">
      <c r="C430" s="100"/>
      <c r="D430" s="100"/>
    </row>
    <row r="431">
      <c r="C431" s="100"/>
      <c r="D431" s="100"/>
    </row>
    <row r="432">
      <c r="C432" s="100"/>
      <c r="D432" s="100"/>
    </row>
    <row r="433">
      <c r="C433" s="100"/>
      <c r="D433" s="100"/>
    </row>
    <row r="434">
      <c r="C434" s="100"/>
      <c r="D434" s="100"/>
    </row>
    <row r="435">
      <c r="C435" s="100"/>
      <c r="D435" s="100"/>
    </row>
    <row r="436">
      <c r="C436" s="100"/>
      <c r="D436" s="100"/>
    </row>
    <row r="437">
      <c r="C437" s="100"/>
      <c r="D437" s="100"/>
    </row>
    <row r="438">
      <c r="C438" s="100"/>
      <c r="D438" s="100"/>
    </row>
    <row r="439">
      <c r="C439" s="100"/>
      <c r="D439" s="100"/>
    </row>
    <row r="440">
      <c r="C440" s="100"/>
      <c r="D440" s="100"/>
    </row>
    <row r="441">
      <c r="C441" s="100"/>
      <c r="D441" s="100"/>
    </row>
    <row r="442">
      <c r="C442" s="100"/>
      <c r="D442" s="100"/>
    </row>
    <row r="443">
      <c r="C443" s="100"/>
      <c r="D443" s="100"/>
    </row>
    <row r="444">
      <c r="C444" s="100"/>
      <c r="D444" s="100"/>
    </row>
    <row r="445">
      <c r="C445" s="100"/>
      <c r="D445" s="100"/>
    </row>
    <row r="446">
      <c r="C446" s="100"/>
      <c r="D446" s="100"/>
    </row>
    <row r="447">
      <c r="C447" s="100"/>
      <c r="D447" s="100"/>
    </row>
    <row r="448">
      <c r="C448" s="100"/>
      <c r="D448" s="100"/>
    </row>
    <row r="449">
      <c r="C449" s="100"/>
      <c r="D449" s="100"/>
    </row>
    <row r="450">
      <c r="C450" s="100"/>
      <c r="D450" s="100"/>
    </row>
    <row r="451">
      <c r="C451" s="100"/>
      <c r="D451" s="100"/>
    </row>
    <row r="452">
      <c r="C452" s="100"/>
      <c r="D452" s="100"/>
    </row>
    <row r="453">
      <c r="C453" s="100"/>
      <c r="D453" s="100"/>
    </row>
    <row r="454">
      <c r="C454" s="100"/>
      <c r="D454" s="100"/>
    </row>
    <row r="455">
      <c r="C455" s="100"/>
      <c r="D455" s="100"/>
    </row>
    <row r="456">
      <c r="C456" s="100"/>
      <c r="D456" s="100"/>
    </row>
    <row r="457">
      <c r="C457" s="100"/>
      <c r="D457" s="100"/>
    </row>
    <row r="458">
      <c r="C458" s="100"/>
      <c r="D458" s="100"/>
    </row>
    <row r="459">
      <c r="C459" s="100"/>
      <c r="D459" s="100"/>
    </row>
    <row r="460">
      <c r="C460" s="100"/>
      <c r="D460" s="100"/>
    </row>
    <row r="461">
      <c r="C461" s="100"/>
      <c r="D461" s="100"/>
    </row>
    <row r="462">
      <c r="C462" s="100"/>
      <c r="D462" s="100"/>
    </row>
    <row r="463">
      <c r="C463" s="100"/>
      <c r="D463" s="100"/>
    </row>
    <row r="464">
      <c r="C464" s="100"/>
      <c r="D464" s="100"/>
    </row>
    <row r="465">
      <c r="C465" s="100"/>
      <c r="D465" s="100"/>
    </row>
    <row r="466">
      <c r="C466" s="100"/>
      <c r="D466" s="100"/>
    </row>
    <row r="467">
      <c r="C467" s="100"/>
      <c r="D467" s="100"/>
    </row>
    <row r="468">
      <c r="C468" s="100"/>
      <c r="D468" s="100"/>
    </row>
    <row r="469">
      <c r="C469" s="100"/>
      <c r="D469" s="100"/>
    </row>
    <row r="470">
      <c r="C470" s="100"/>
      <c r="D470" s="100"/>
    </row>
    <row r="471">
      <c r="C471" s="100"/>
      <c r="D471" s="100"/>
    </row>
    <row r="472">
      <c r="C472" s="100"/>
      <c r="D472" s="100"/>
    </row>
    <row r="473">
      <c r="C473" s="100"/>
      <c r="D473" s="100"/>
    </row>
    <row r="474">
      <c r="C474" s="100"/>
      <c r="D474" s="100"/>
    </row>
    <row r="475">
      <c r="C475" s="100"/>
      <c r="D475" s="100"/>
    </row>
    <row r="476">
      <c r="C476" s="100"/>
      <c r="D476" s="100"/>
    </row>
    <row r="477">
      <c r="C477" s="100"/>
      <c r="D477" s="100"/>
    </row>
    <row r="478">
      <c r="C478" s="100"/>
      <c r="D478" s="100"/>
    </row>
    <row r="479">
      <c r="C479" s="100"/>
      <c r="D479" s="100"/>
    </row>
    <row r="480">
      <c r="C480" s="100"/>
      <c r="D480" s="100"/>
    </row>
    <row r="481">
      <c r="C481" s="100"/>
      <c r="D481" s="100"/>
    </row>
    <row r="482">
      <c r="C482" s="100"/>
      <c r="D482" s="100"/>
    </row>
    <row r="483">
      <c r="C483" s="100"/>
      <c r="D483" s="100"/>
    </row>
    <row r="484">
      <c r="C484" s="100"/>
      <c r="D484" s="100"/>
    </row>
    <row r="485">
      <c r="C485" s="100"/>
      <c r="D485" s="100"/>
    </row>
    <row r="486">
      <c r="C486" s="100"/>
      <c r="D486" s="100"/>
    </row>
    <row r="487">
      <c r="C487" s="100"/>
      <c r="D487" s="100"/>
    </row>
    <row r="488">
      <c r="C488" s="100"/>
      <c r="D488" s="100"/>
    </row>
    <row r="489">
      <c r="C489" s="100"/>
      <c r="D489" s="100"/>
    </row>
    <row r="490">
      <c r="C490" s="100"/>
      <c r="D490" s="100"/>
    </row>
    <row r="491">
      <c r="C491" s="100"/>
      <c r="D491" s="100"/>
    </row>
    <row r="492">
      <c r="C492" s="100"/>
      <c r="D492" s="100"/>
    </row>
    <row r="493">
      <c r="C493" s="100"/>
      <c r="D493" s="100"/>
    </row>
    <row r="494">
      <c r="C494" s="100"/>
      <c r="D494" s="100"/>
    </row>
    <row r="495">
      <c r="C495" s="100"/>
      <c r="D495" s="100"/>
    </row>
    <row r="496">
      <c r="C496" s="100"/>
      <c r="D496" s="100"/>
    </row>
    <row r="497">
      <c r="C497" s="100"/>
      <c r="D497" s="100"/>
    </row>
    <row r="498">
      <c r="C498" s="100"/>
      <c r="D498" s="100"/>
    </row>
    <row r="499">
      <c r="C499" s="100"/>
      <c r="D499" s="100"/>
    </row>
    <row r="500">
      <c r="C500" s="100"/>
      <c r="D500" s="100"/>
    </row>
    <row r="501">
      <c r="C501" s="100"/>
      <c r="D501" s="100"/>
    </row>
    <row r="502">
      <c r="C502" s="100"/>
      <c r="D502" s="100"/>
    </row>
    <row r="503">
      <c r="C503" s="100"/>
      <c r="D503" s="100"/>
    </row>
    <row r="504">
      <c r="C504" s="100"/>
      <c r="D504" s="100"/>
    </row>
    <row r="505">
      <c r="C505" s="100"/>
      <c r="D505" s="100"/>
    </row>
    <row r="506">
      <c r="C506" s="100"/>
      <c r="D506" s="100"/>
    </row>
    <row r="507">
      <c r="C507" s="100"/>
      <c r="D507" s="100"/>
    </row>
    <row r="508">
      <c r="C508" s="100"/>
      <c r="D508" s="100"/>
    </row>
    <row r="509">
      <c r="C509" s="100"/>
      <c r="D509" s="100"/>
    </row>
    <row r="510">
      <c r="C510" s="100"/>
      <c r="D510" s="100"/>
    </row>
    <row r="511">
      <c r="C511" s="100"/>
      <c r="D511" s="100"/>
    </row>
    <row r="512">
      <c r="C512" s="100"/>
      <c r="D512" s="100"/>
    </row>
    <row r="513">
      <c r="C513" s="100"/>
      <c r="D513" s="100"/>
    </row>
    <row r="514">
      <c r="C514" s="100"/>
      <c r="D514" s="100"/>
    </row>
    <row r="515">
      <c r="C515" s="100"/>
      <c r="D515" s="100"/>
    </row>
    <row r="516">
      <c r="C516" s="100"/>
      <c r="D516" s="100"/>
    </row>
    <row r="517">
      <c r="C517" s="100"/>
      <c r="D517" s="100"/>
    </row>
    <row r="518">
      <c r="C518" s="100"/>
      <c r="D518" s="100"/>
    </row>
    <row r="519">
      <c r="C519" s="100"/>
      <c r="D519" s="100"/>
    </row>
    <row r="520">
      <c r="C520" s="100"/>
      <c r="D520" s="100"/>
    </row>
    <row r="521">
      <c r="C521" s="100"/>
      <c r="D521" s="100"/>
    </row>
    <row r="522">
      <c r="C522" s="100"/>
      <c r="D522" s="100"/>
    </row>
    <row r="523">
      <c r="C523" s="100"/>
      <c r="D523" s="100"/>
    </row>
    <row r="524">
      <c r="C524" s="100"/>
      <c r="D524" s="100"/>
    </row>
    <row r="525">
      <c r="C525" s="100"/>
      <c r="D525" s="100"/>
    </row>
    <row r="526">
      <c r="C526" s="100"/>
      <c r="D526" s="100"/>
    </row>
    <row r="527">
      <c r="C527" s="100"/>
      <c r="D527" s="100"/>
    </row>
    <row r="528">
      <c r="C528" s="100"/>
      <c r="D528" s="100"/>
    </row>
    <row r="529">
      <c r="C529" s="100"/>
      <c r="D529" s="100"/>
    </row>
    <row r="530">
      <c r="C530" s="100"/>
      <c r="D530" s="100"/>
    </row>
    <row r="531">
      <c r="C531" s="100"/>
      <c r="D531" s="100"/>
    </row>
    <row r="532">
      <c r="C532" s="100"/>
      <c r="D532" s="100"/>
    </row>
    <row r="533">
      <c r="C533" s="100"/>
      <c r="D533" s="100"/>
    </row>
    <row r="534">
      <c r="C534" s="100"/>
      <c r="D534" s="100"/>
    </row>
    <row r="535">
      <c r="C535" s="100"/>
      <c r="D535" s="100"/>
    </row>
    <row r="536">
      <c r="C536" s="100"/>
      <c r="D536" s="100"/>
    </row>
    <row r="537">
      <c r="C537" s="100"/>
      <c r="D537" s="100"/>
    </row>
    <row r="538">
      <c r="C538" s="100"/>
      <c r="D538" s="100"/>
    </row>
    <row r="539">
      <c r="C539" s="100"/>
      <c r="D539" s="100"/>
    </row>
    <row r="540">
      <c r="C540" s="100"/>
      <c r="D540" s="100"/>
    </row>
    <row r="541">
      <c r="C541" s="100"/>
      <c r="D541" s="100"/>
    </row>
    <row r="542">
      <c r="C542" s="100"/>
      <c r="D542" s="100"/>
    </row>
    <row r="543">
      <c r="C543" s="100"/>
      <c r="D543" s="100"/>
    </row>
    <row r="544">
      <c r="C544" s="100"/>
      <c r="D544" s="100"/>
    </row>
    <row r="545">
      <c r="C545" s="100"/>
      <c r="D545" s="100"/>
    </row>
    <row r="546">
      <c r="C546" s="100"/>
      <c r="D546" s="100"/>
    </row>
    <row r="547">
      <c r="C547" s="100"/>
      <c r="D547" s="100"/>
    </row>
    <row r="548">
      <c r="C548" s="100"/>
      <c r="D548" s="100"/>
    </row>
    <row r="549">
      <c r="C549" s="100"/>
      <c r="D549" s="100"/>
    </row>
    <row r="550">
      <c r="C550" s="100"/>
      <c r="D550" s="100"/>
    </row>
    <row r="551">
      <c r="C551" s="100"/>
      <c r="D551" s="100"/>
    </row>
    <row r="552">
      <c r="C552" s="100"/>
      <c r="D552" s="100"/>
    </row>
    <row r="553">
      <c r="C553" s="100"/>
      <c r="D553" s="100"/>
    </row>
    <row r="554">
      <c r="C554" s="100"/>
      <c r="D554" s="100"/>
    </row>
    <row r="555">
      <c r="C555" s="100"/>
      <c r="D555" s="100"/>
    </row>
    <row r="556">
      <c r="C556" s="100"/>
      <c r="D556" s="100"/>
    </row>
    <row r="557">
      <c r="C557" s="100"/>
      <c r="D557" s="100"/>
    </row>
    <row r="558">
      <c r="C558" s="100"/>
      <c r="D558" s="100"/>
    </row>
    <row r="559">
      <c r="C559" s="100"/>
      <c r="D559" s="100"/>
    </row>
    <row r="560">
      <c r="C560" s="100"/>
      <c r="D560" s="100"/>
    </row>
    <row r="561">
      <c r="C561" s="100"/>
      <c r="D561" s="100"/>
    </row>
    <row r="562">
      <c r="C562" s="100"/>
      <c r="D562" s="100"/>
    </row>
    <row r="563">
      <c r="C563" s="100"/>
      <c r="D563" s="100"/>
    </row>
    <row r="564">
      <c r="C564" s="100"/>
      <c r="D564" s="100"/>
    </row>
    <row r="565">
      <c r="C565" s="100"/>
      <c r="D565" s="100"/>
    </row>
    <row r="566">
      <c r="C566" s="100"/>
      <c r="D566" s="100"/>
    </row>
    <row r="567">
      <c r="C567" s="100"/>
      <c r="D567" s="100"/>
    </row>
    <row r="568">
      <c r="C568" s="100"/>
      <c r="D568" s="100"/>
    </row>
    <row r="569">
      <c r="C569" s="100"/>
      <c r="D569" s="100"/>
    </row>
    <row r="570">
      <c r="C570" s="100"/>
      <c r="D570" s="100"/>
    </row>
    <row r="571">
      <c r="C571" s="100"/>
      <c r="D571" s="100"/>
    </row>
    <row r="572">
      <c r="C572" s="100"/>
      <c r="D572" s="100"/>
    </row>
    <row r="573">
      <c r="C573" s="100"/>
      <c r="D573" s="100"/>
    </row>
    <row r="574">
      <c r="C574" s="100"/>
      <c r="D574" s="100"/>
    </row>
    <row r="575">
      <c r="C575" s="100"/>
      <c r="D575" s="100"/>
    </row>
    <row r="576">
      <c r="C576" s="100"/>
      <c r="D576" s="100"/>
    </row>
    <row r="577">
      <c r="C577" s="100"/>
      <c r="D577" s="100"/>
    </row>
    <row r="578">
      <c r="C578" s="100"/>
      <c r="D578" s="100"/>
    </row>
    <row r="579">
      <c r="C579" s="100"/>
      <c r="D579" s="100"/>
    </row>
    <row r="580">
      <c r="C580" s="100"/>
      <c r="D580" s="100"/>
    </row>
    <row r="581">
      <c r="C581" s="100"/>
      <c r="D581" s="100"/>
    </row>
    <row r="582">
      <c r="C582" s="100"/>
      <c r="D582" s="100"/>
    </row>
    <row r="583">
      <c r="C583" s="100"/>
      <c r="D583" s="100"/>
    </row>
    <row r="584">
      <c r="C584" s="100"/>
      <c r="D584" s="100"/>
    </row>
    <row r="585">
      <c r="C585" s="100"/>
      <c r="D585" s="100"/>
    </row>
    <row r="586">
      <c r="C586" s="100"/>
      <c r="D586" s="100"/>
    </row>
    <row r="587">
      <c r="C587" s="100"/>
      <c r="D587" s="100"/>
    </row>
    <row r="588">
      <c r="C588" s="100"/>
      <c r="D588" s="100"/>
    </row>
    <row r="589">
      <c r="C589" s="100"/>
      <c r="D589" s="100"/>
    </row>
    <row r="590">
      <c r="C590" s="100"/>
      <c r="D590" s="100"/>
    </row>
    <row r="591">
      <c r="C591" s="100"/>
      <c r="D591" s="100"/>
    </row>
    <row r="592">
      <c r="C592" s="100"/>
      <c r="D592" s="100"/>
    </row>
    <row r="593">
      <c r="C593" s="100"/>
      <c r="D593" s="100"/>
    </row>
    <row r="594">
      <c r="C594" s="100"/>
      <c r="D594" s="100"/>
    </row>
    <row r="595">
      <c r="C595" s="100"/>
      <c r="D595" s="100"/>
    </row>
    <row r="596">
      <c r="C596" s="100"/>
      <c r="D596" s="100"/>
    </row>
    <row r="597">
      <c r="C597" s="100"/>
      <c r="D597" s="100"/>
    </row>
    <row r="598">
      <c r="C598" s="100"/>
      <c r="D598" s="100"/>
    </row>
    <row r="599">
      <c r="C599" s="100"/>
      <c r="D599" s="100"/>
    </row>
    <row r="600">
      <c r="C600" s="100"/>
      <c r="D600" s="100"/>
    </row>
    <row r="601">
      <c r="C601" s="100"/>
      <c r="D601" s="100"/>
    </row>
    <row r="602">
      <c r="C602" s="100"/>
      <c r="D602" s="100"/>
    </row>
    <row r="603">
      <c r="C603" s="100"/>
      <c r="D603" s="100"/>
    </row>
    <row r="604">
      <c r="C604" s="100"/>
      <c r="D604" s="100"/>
    </row>
    <row r="605">
      <c r="C605" s="100"/>
      <c r="D605" s="100"/>
    </row>
    <row r="606">
      <c r="C606" s="100"/>
      <c r="D606" s="100"/>
    </row>
    <row r="607">
      <c r="C607" s="100"/>
      <c r="D607" s="100"/>
    </row>
    <row r="608">
      <c r="C608" s="100"/>
      <c r="D608" s="100"/>
    </row>
    <row r="609">
      <c r="C609" s="100"/>
      <c r="D609" s="100"/>
    </row>
    <row r="610">
      <c r="C610" s="100"/>
      <c r="D610" s="100"/>
    </row>
    <row r="611">
      <c r="C611" s="100"/>
      <c r="D611" s="100"/>
    </row>
    <row r="612">
      <c r="C612" s="100"/>
      <c r="D612" s="100"/>
    </row>
    <row r="613">
      <c r="C613" s="100"/>
      <c r="D613" s="100"/>
    </row>
    <row r="614">
      <c r="C614" s="100"/>
      <c r="D614" s="100"/>
    </row>
    <row r="615">
      <c r="C615" s="100"/>
      <c r="D615" s="100"/>
    </row>
    <row r="616">
      <c r="C616" s="100"/>
      <c r="D616" s="100"/>
    </row>
    <row r="617">
      <c r="C617" s="100"/>
      <c r="D617" s="100"/>
    </row>
    <row r="618">
      <c r="C618" s="100"/>
      <c r="D618" s="100"/>
    </row>
    <row r="619">
      <c r="C619" s="100"/>
      <c r="D619" s="100"/>
    </row>
    <row r="620">
      <c r="C620" s="100"/>
      <c r="D620" s="100"/>
    </row>
    <row r="621">
      <c r="C621" s="100"/>
      <c r="D621" s="100"/>
    </row>
    <row r="622">
      <c r="C622" s="100"/>
      <c r="D622" s="100"/>
    </row>
    <row r="623">
      <c r="C623" s="100"/>
      <c r="D623" s="100"/>
    </row>
    <row r="624">
      <c r="C624" s="100"/>
      <c r="D624" s="100"/>
    </row>
    <row r="625">
      <c r="C625" s="100"/>
      <c r="D625" s="100"/>
    </row>
    <row r="626">
      <c r="C626" s="100"/>
      <c r="D626" s="100"/>
    </row>
    <row r="627">
      <c r="C627" s="100"/>
      <c r="D627" s="100"/>
    </row>
    <row r="628">
      <c r="C628" s="100"/>
      <c r="D628" s="100"/>
    </row>
    <row r="629">
      <c r="C629" s="100"/>
      <c r="D629" s="100"/>
    </row>
    <row r="630">
      <c r="C630" s="100"/>
      <c r="D630" s="100"/>
    </row>
    <row r="631">
      <c r="C631" s="100"/>
      <c r="D631" s="100"/>
    </row>
    <row r="632">
      <c r="C632" s="100"/>
      <c r="D632" s="100"/>
    </row>
    <row r="633">
      <c r="C633" s="100"/>
      <c r="D633" s="100"/>
    </row>
    <row r="634">
      <c r="C634" s="100"/>
      <c r="D634" s="100"/>
    </row>
    <row r="635">
      <c r="C635" s="100"/>
      <c r="D635" s="100"/>
    </row>
    <row r="636">
      <c r="C636" s="100"/>
      <c r="D636" s="100"/>
    </row>
    <row r="637">
      <c r="C637" s="100"/>
      <c r="D637" s="100"/>
    </row>
    <row r="638">
      <c r="C638" s="100"/>
      <c r="D638" s="100"/>
    </row>
    <row r="639">
      <c r="C639" s="100"/>
      <c r="D639" s="100"/>
    </row>
    <row r="640">
      <c r="C640" s="100"/>
      <c r="D640" s="100"/>
    </row>
    <row r="641">
      <c r="C641" s="100"/>
      <c r="D641" s="100"/>
    </row>
    <row r="642">
      <c r="C642" s="100"/>
      <c r="D642" s="100"/>
    </row>
    <row r="643">
      <c r="C643" s="100"/>
      <c r="D643" s="100"/>
    </row>
    <row r="644">
      <c r="C644" s="100"/>
      <c r="D644" s="100"/>
    </row>
    <row r="645">
      <c r="C645" s="100"/>
      <c r="D645" s="100"/>
    </row>
    <row r="646">
      <c r="C646" s="100"/>
      <c r="D646" s="100"/>
    </row>
    <row r="647">
      <c r="C647" s="100"/>
      <c r="D647" s="100"/>
    </row>
    <row r="648">
      <c r="C648" s="100"/>
      <c r="D648" s="100"/>
    </row>
    <row r="649">
      <c r="C649" s="100"/>
      <c r="D649" s="100"/>
    </row>
    <row r="650">
      <c r="C650" s="100"/>
      <c r="D650" s="100"/>
    </row>
    <row r="651">
      <c r="C651" s="100"/>
      <c r="D651" s="100"/>
    </row>
    <row r="652">
      <c r="C652" s="100"/>
      <c r="D652" s="100"/>
    </row>
    <row r="653">
      <c r="C653" s="100"/>
      <c r="D653" s="100"/>
    </row>
    <row r="654">
      <c r="C654" s="100"/>
      <c r="D654" s="100"/>
    </row>
    <row r="655">
      <c r="C655" s="100"/>
      <c r="D655" s="100"/>
    </row>
    <row r="656">
      <c r="C656" s="100"/>
      <c r="D656" s="100"/>
    </row>
    <row r="657">
      <c r="C657" s="100"/>
      <c r="D657" s="100"/>
    </row>
    <row r="658">
      <c r="C658" s="100"/>
      <c r="D658" s="100"/>
    </row>
    <row r="659">
      <c r="C659" s="100"/>
      <c r="D659" s="100"/>
    </row>
    <row r="660">
      <c r="C660" s="100"/>
      <c r="D660" s="100"/>
    </row>
    <row r="661">
      <c r="C661" s="100"/>
      <c r="D661" s="100"/>
    </row>
    <row r="662">
      <c r="C662" s="100"/>
      <c r="D662" s="100"/>
    </row>
    <row r="663">
      <c r="C663" s="100"/>
      <c r="D663" s="100"/>
    </row>
    <row r="664">
      <c r="C664" s="100"/>
      <c r="D664" s="100"/>
    </row>
    <row r="665">
      <c r="C665" s="100"/>
      <c r="D665" s="100"/>
    </row>
    <row r="666">
      <c r="C666" s="100"/>
      <c r="D666" s="100"/>
    </row>
    <row r="667">
      <c r="C667" s="100"/>
      <c r="D667" s="100"/>
    </row>
    <row r="668">
      <c r="C668" s="100"/>
      <c r="D668" s="100"/>
    </row>
    <row r="669">
      <c r="C669" s="100"/>
      <c r="D669" s="100"/>
    </row>
    <row r="670">
      <c r="C670" s="100"/>
      <c r="D670" s="100"/>
    </row>
    <row r="671">
      <c r="C671" s="100"/>
      <c r="D671" s="100"/>
    </row>
    <row r="672">
      <c r="C672" s="100"/>
      <c r="D672" s="100"/>
    </row>
    <row r="673">
      <c r="C673" s="100"/>
      <c r="D673" s="100"/>
    </row>
    <row r="674">
      <c r="C674" s="100"/>
      <c r="D674" s="100"/>
    </row>
    <row r="675">
      <c r="C675" s="100"/>
      <c r="D675" s="100"/>
    </row>
    <row r="676">
      <c r="C676" s="100"/>
      <c r="D676" s="100"/>
    </row>
    <row r="677">
      <c r="C677" s="100"/>
      <c r="D677" s="100"/>
    </row>
    <row r="678">
      <c r="C678" s="100"/>
      <c r="D678" s="100"/>
    </row>
    <row r="679">
      <c r="C679" s="100"/>
      <c r="D679" s="100"/>
    </row>
    <row r="680">
      <c r="C680" s="100"/>
      <c r="D680" s="100"/>
    </row>
    <row r="681">
      <c r="C681" s="100"/>
      <c r="D681" s="100"/>
    </row>
    <row r="682">
      <c r="C682" s="100"/>
      <c r="D682" s="100"/>
    </row>
    <row r="683">
      <c r="C683" s="100"/>
      <c r="D683" s="100"/>
    </row>
    <row r="684">
      <c r="C684" s="100"/>
      <c r="D684" s="100"/>
    </row>
    <row r="685">
      <c r="C685" s="100"/>
      <c r="D685" s="100"/>
    </row>
    <row r="686">
      <c r="C686" s="100"/>
      <c r="D686" s="100"/>
    </row>
    <row r="687">
      <c r="C687" s="100"/>
      <c r="D687" s="100"/>
    </row>
    <row r="688">
      <c r="C688" s="100"/>
      <c r="D688" s="100"/>
    </row>
    <row r="689">
      <c r="C689" s="100"/>
      <c r="D689" s="100"/>
    </row>
    <row r="690">
      <c r="C690" s="100"/>
      <c r="D690" s="100"/>
    </row>
    <row r="691">
      <c r="C691" s="100"/>
      <c r="D691" s="100"/>
    </row>
    <row r="692">
      <c r="C692" s="100"/>
      <c r="D692" s="100"/>
    </row>
    <row r="693">
      <c r="C693" s="100"/>
      <c r="D693" s="100"/>
    </row>
    <row r="694">
      <c r="C694" s="100"/>
      <c r="D694" s="100"/>
    </row>
    <row r="695">
      <c r="C695" s="100"/>
      <c r="D695" s="100"/>
    </row>
    <row r="696">
      <c r="C696" s="100"/>
      <c r="D696" s="100"/>
    </row>
    <row r="697">
      <c r="C697" s="100"/>
      <c r="D697" s="100"/>
    </row>
    <row r="698">
      <c r="C698" s="100"/>
      <c r="D698" s="100"/>
    </row>
    <row r="699">
      <c r="C699" s="100"/>
      <c r="D699" s="100"/>
    </row>
    <row r="700">
      <c r="C700" s="100"/>
      <c r="D700" s="100"/>
    </row>
    <row r="701">
      <c r="C701" s="100"/>
      <c r="D701" s="100"/>
    </row>
    <row r="702">
      <c r="C702" s="100"/>
      <c r="D702" s="100"/>
    </row>
    <row r="703">
      <c r="C703" s="100"/>
      <c r="D703" s="100"/>
    </row>
    <row r="704">
      <c r="C704" s="100"/>
      <c r="D704" s="100"/>
    </row>
    <row r="705">
      <c r="C705" s="100"/>
      <c r="D705" s="100"/>
    </row>
    <row r="706">
      <c r="C706" s="100"/>
      <c r="D706" s="100"/>
    </row>
    <row r="707">
      <c r="C707" s="100"/>
      <c r="D707" s="100"/>
    </row>
    <row r="708">
      <c r="C708" s="100"/>
      <c r="D708" s="100"/>
    </row>
    <row r="709">
      <c r="C709" s="100"/>
      <c r="D709" s="100"/>
    </row>
    <row r="710">
      <c r="C710" s="100"/>
      <c r="D710" s="100"/>
    </row>
    <row r="711">
      <c r="C711" s="100"/>
      <c r="D711" s="100"/>
    </row>
    <row r="712">
      <c r="C712" s="100"/>
      <c r="D712" s="100"/>
    </row>
    <row r="713">
      <c r="C713" s="100"/>
      <c r="D713" s="100"/>
    </row>
    <row r="714">
      <c r="C714" s="100"/>
      <c r="D714" s="100"/>
    </row>
    <row r="715">
      <c r="C715" s="100"/>
      <c r="D715" s="100"/>
    </row>
    <row r="716">
      <c r="C716" s="100"/>
      <c r="D716" s="100"/>
    </row>
    <row r="717">
      <c r="C717" s="100"/>
      <c r="D717" s="100"/>
    </row>
    <row r="718">
      <c r="C718" s="100"/>
      <c r="D718" s="100"/>
    </row>
    <row r="719">
      <c r="C719" s="100"/>
      <c r="D719" s="100"/>
    </row>
    <row r="720">
      <c r="C720" s="100"/>
      <c r="D720" s="100"/>
    </row>
    <row r="721">
      <c r="C721" s="100"/>
      <c r="D721" s="100"/>
    </row>
    <row r="722">
      <c r="C722" s="100"/>
      <c r="D722" s="100"/>
    </row>
    <row r="723">
      <c r="C723" s="100"/>
      <c r="D723" s="100"/>
    </row>
    <row r="724">
      <c r="C724" s="100"/>
      <c r="D724" s="100"/>
    </row>
    <row r="725">
      <c r="C725" s="100"/>
      <c r="D725" s="100"/>
    </row>
    <row r="726">
      <c r="C726" s="100"/>
      <c r="D726" s="100"/>
    </row>
    <row r="727">
      <c r="C727" s="100"/>
      <c r="D727" s="100"/>
    </row>
    <row r="728">
      <c r="C728" s="100"/>
      <c r="D728" s="100"/>
    </row>
    <row r="729">
      <c r="C729" s="100"/>
      <c r="D729" s="100"/>
    </row>
    <row r="730">
      <c r="C730" s="100"/>
      <c r="D730" s="100"/>
    </row>
    <row r="731">
      <c r="C731" s="100"/>
      <c r="D731" s="100"/>
    </row>
    <row r="732">
      <c r="C732" s="100"/>
      <c r="D732" s="100"/>
    </row>
    <row r="733">
      <c r="C733" s="100"/>
      <c r="D733" s="100"/>
    </row>
    <row r="734">
      <c r="C734" s="100"/>
      <c r="D734" s="100"/>
    </row>
    <row r="735">
      <c r="C735" s="100"/>
      <c r="D735" s="100"/>
    </row>
    <row r="736">
      <c r="C736" s="100"/>
      <c r="D736" s="100"/>
    </row>
    <row r="737">
      <c r="C737" s="100"/>
      <c r="D737" s="100"/>
    </row>
    <row r="738">
      <c r="C738" s="100"/>
      <c r="D738" s="100"/>
    </row>
    <row r="739">
      <c r="C739" s="100"/>
      <c r="D739" s="100"/>
    </row>
    <row r="740">
      <c r="C740" s="100"/>
      <c r="D740" s="100"/>
    </row>
    <row r="741">
      <c r="C741" s="100"/>
      <c r="D741" s="100"/>
    </row>
    <row r="742">
      <c r="C742" s="100"/>
      <c r="D742" s="100"/>
    </row>
    <row r="743">
      <c r="C743" s="100"/>
      <c r="D743" s="100"/>
    </row>
    <row r="744">
      <c r="C744" s="100"/>
      <c r="D744" s="100"/>
    </row>
    <row r="745">
      <c r="C745" s="100"/>
      <c r="D745" s="100"/>
    </row>
    <row r="746">
      <c r="C746" s="100"/>
      <c r="D746" s="100"/>
    </row>
    <row r="747">
      <c r="C747" s="100"/>
      <c r="D747" s="100"/>
    </row>
    <row r="748">
      <c r="C748" s="100"/>
      <c r="D748" s="100"/>
    </row>
    <row r="749">
      <c r="C749" s="100"/>
      <c r="D749" s="100"/>
    </row>
    <row r="750">
      <c r="C750" s="100"/>
      <c r="D750" s="100"/>
    </row>
    <row r="751">
      <c r="C751" s="100"/>
      <c r="D751" s="100"/>
    </row>
    <row r="752">
      <c r="C752" s="100"/>
      <c r="D752" s="100"/>
    </row>
    <row r="753">
      <c r="C753" s="100"/>
      <c r="D753" s="100"/>
    </row>
    <row r="754">
      <c r="C754" s="100"/>
      <c r="D754" s="100"/>
    </row>
    <row r="755">
      <c r="C755" s="100"/>
      <c r="D755" s="100"/>
    </row>
    <row r="756">
      <c r="C756" s="100"/>
      <c r="D756" s="100"/>
    </row>
    <row r="757">
      <c r="C757" s="100"/>
      <c r="D757" s="100"/>
    </row>
    <row r="758">
      <c r="C758" s="100"/>
      <c r="D758" s="100"/>
    </row>
    <row r="759">
      <c r="C759" s="100"/>
      <c r="D759" s="100"/>
    </row>
    <row r="760">
      <c r="C760" s="100"/>
      <c r="D760" s="100"/>
    </row>
    <row r="761">
      <c r="C761" s="100"/>
      <c r="D761" s="100"/>
    </row>
    <row r="762">
      <c r="C762" s="100"/>
      <c r="D762" s="100"/>
    </row>
    <row r="763">
      <c r="C763" s="100"/>
      <c r="D763" s="100"/>
    </row>
    <row r="764">
      <c r="C764" s="100"/>
      <c r="D764" s="100"/>
    </row>
    <row r="765">
      <c r="C765" s="100"/>
      <c r="D765" s="100"/>
    </row>
    <row r="766">
      <c r="C766" s="100"/>
      <c r="D766" s="100"/>
    </row>
    <row r="767">
      <c r="C767" s="100"/>
      <c r="D767" s="100"/>
    </row>
    <row r="768">
      <c r="C768" s="100"/>
      <c r="D768" s="100"/>
    </row>
    <row r="769">
      <c r="C769" s="100"/>
      <c r="D769" s="100"/>
    </row>
    <row r="770">
      <c r="C770" s="100"/>
      <c r="D770" s="100"/>
    </row>
    <row r="771">
      <c r="C771" s="100"/>
      <c r="D771" s="100"/>
    </row>
    <row r="772">
      <c r="C772" s="100"/>
      <c r="D772" s="100"/>
    </row>
    <row r="773">
      <c r="C773" s="100"/>
      <c r="D773" s="100"/>
    </row>
    <row r="774">
      <c r="C774" s="100"/>
      <c r="D774" s="100"/>
    </row>
    <row r="775">
      <c r="C775" s="100"/>
      <c r="D775" s="100"/>
    </row>
    <row r="776">
      <c r="C776" s="100"/>
      <c r="D776" s="100"/>
    </row>
    <row r="777">
      <c r="C777" s="100"/>
      <c r="D777" s="100"/>
    </row>
    <row r="778">
      <c r="C778" s="100"/>
      <c r="D778" s="100"/>
    </row>
    <row r="779">
      <c r="C779" s="100"/>
      <c r="D779" s="100"/>
    </row>
    <row r="780">
      <c r="C780" s="100"/>
      <c r="D780" s="100"/>
    </row>
    <row r="781">
      <c r="C781" s="100"/>
      <c r="D781" s="100"/>
    </row>
    <row r="782">
      <c r="C782" s="100"/>
      <c r="D782" s="100"/>
    </row>
    <row r="783">
      <c r="C783" s="100"/>
      <c r="D783" s="100"/>
    </row>
    <row r="784">
      <c r="C784" s="100"/>
      <c r="D784" s="100"/>
    </row>
    <row r="785">
      <c r="C785" s="100"/>
      <c r="D785" s="100"/>
    </row>
    <row r="786">
      <c r="C786" s="100"/>
      <c r="D786" s="100"/>
    </row>
    <row r="787">
      <c r="C787" s="100"/>
      <c r="D787" s="100"/>
    </row>
    <row r="788">
      <c r="C788" s="100"/>
      <c r="D788" s="100"/>
    </row>
    <row r="789">
      <c r="C789" s="100"/>
      <c r="D789" s="100"/>
    </row>
    <row r="790">
      <c r="C790" s="100"/>
      <c r="D790" s="100"/>
    </row>
    <row r="791">
      <c r="C791" s="100"/>
      <c r="D791" s="100"/>
    </row>
    <row r="792">
      <c r="C792" s="100"/>
      <c r="D792" s="100"/>
    </row>
    <row r="793">
      <c r="C793" s="100"/>
      <c r="D793" s="100"/>
    </row>
    <row r="794">
      <c r="C794" s="100"/>
      <c r="D794" s="100"/>
    </row>
    <row r="795">
      <c r="C795" s="100"/>
      <c r="D795" s="100"/>
    </row>
    <row r="796">
      <c r="C796" s="100"/>
      <c r="D796" s="100"/>
    </row>
    <row r="797">
      <c r="C797" s="100"/>
      <c r="D797" s="100"/>
    </row>
    <row r="798">
      <c r="C798" s="100"/>
      <c r="D798" s="100"/>
    </row>
    <row r="799">
      <c r="C799" s="100"/>
      <c r="D799" s="100"/>
    </row>
    <row r="800">
      <c r="C800" s="100"/>
      <c r="D800" s="100"/>
    </row>
    <row r="801">
      <c r="C801" s="100"/>
      <c r="D801" s="100"/>
    </row>
    <row r="802">
      <c r="C802" s="100"/>
      <c r="D802" s="100"/>
    </row>
    <row r="803">
      <c r="C803" s="100"/>
      <c r="D803" s="100"/>
    </row>
    <row r="804">
      <c r="C804" s="100"/>
      <c r="D804" s="100"/>
    </row>
    <row r="805">
      <c r="C805" s="100"/>
      <c r="D805" s="100"/>
    </row>
    <row r="806">
      <c r="C806" s="100"/>
      <c r="D806" s="100"/>
    </row>
    <row r="807">
      <c r="C807" s="100"/>
      <c r="D807" s="100"/>
    </row>
    <row r="808">
      <c r="C808" s="100"/>
      <c r="D808" s="100"/>
    </row>
    <row r="809">
      <c r="C809" s="100"/>
      <c r="D809" s="100"/>
    </row>
    <row r="810">
      <c r="C810" s="100"/>
      <c r="D810" s="100"/>
    </row>
    <row r="811">
      <c r="C811" s="100"/>
      <c r="D811" s="100"/>
    </row>
    <row r="812">
      <c r="C812" s="100"/>
      <c r="D812" s="100"/>
    </row>
    <row r="813">
      <c r="C813" s="100"/>
      <c r="D813" s="100"/>
    </row>
    <row r="814">
      <c r="C814" s="100"/>
      <c r="D814" s="100"/>
    </row>
    <row r="815">
      <c r="C815" s="100"/>
      <c r="D815" s="100"/>
    </row>
    <row r="816">
      <c r="C816" s="100"/>
      <c r="D816" s="100"/>
    </row>
    <row r="817">
      <c r="C817" s="100"/>
      <c r="D817" s="100"/>
    </row>
    <row r="818">
      <c r="C818" s="100"/>
      <c r="D818" s="100"/>
    </row>
    <row r="819">
      <c r="C819" s="100"/>
      <c r="D819" s="100"/>
    </row>
    <row r="820">
      <c r="C820" s="100"/>
      <c r="D820" s="100"/>
    </row>
    <row r="821">
      <c r="C821" s="100"/>
      <c r="D821" s="100"/>
    </row>
    <row r="822">
      <c r="C822" s="100"/>
      <c r="D822" s="100"/>
    </row>
    <row r="823">
      <c r="C823" s="100"/>
      <c r="D823" s="100"/>
    </row>
    <row r="824">
      <c r="C824" s="100"/>
      <c r="D824" s="100"/>
    </row>
    <row r="825">
      <c r="C825" s="100"/>
      <c r="D825" s="100"/>
    </row>
    <row r="826">
      <c r="C826" s="100"/>
      <c r="D826" s="100"/>
    </row>
    <row r="827">
      <c r="C827" s="100"/>
      <c r="D827" s="100"/>
    </row>
    <row r="828">
      <c r="C828" s="100"/>
      <c r="D828" s="100"/>
    </row>
    <row r="829">
      <c r="C829" s="100"/>
      <c r="D829" s="100"/>
    </row>
    <row r="830">
      <c r="C830" s="100"/>
      <c r="D830" s="100"/>
    </row>
    <row r="831">
      <c r="C831" s="100"/>
      <c r="D831" s="100"/>
    </row>
    <row r="832">
      <c r="C832" s="100"/>
      <c r="D832" s="100"/>
    </row>
    <row r="833">
      <c r="C833" s="100"/>
      <c r="D833" s="100"/>
    </row>
    <row r="834">
      <c r="C834" s="100"/>
      <c r="D834" s="100"/>
    </row>
    <row r="835">
      <c r="C835" s="100"/>
      <c r="D835" s="100"/>
    </row>
    <row r="836">
      <c r="C836" s="100"/>
      <c r="D836" s="100"/>
    </row>
    <row r="837">
      <c r="C837" s="100"/>
      <c r="D837" s="100"/>
    </row>
    <row r="838">
      <c r="C838" s="100"/>
      <c r="D838" s="100"/>
    </row>
    <row r="839">
      <c r="C839" s="100"/>
      <c r="D839" s="100"/>
    </row>
    <row r="840">
      <c r="C840" s="100"/>
      <c r="D840" s="100"/>
    </row>
    <row r="841">
      <c r="C841" s="100"/>
      <c r="D841" s="100"/>
    </row>
    <row r="842">
      <c r="C842" s="100"/>
      <c r="D842" s="100"/>
    </row>
    <row r="843">
      <c r="C843" s="100"/>
      <c r="D843" s="100"/>
    </row>
    <row r="844">
      <c r="C844" s="100"/>
      <c r="D844" s="100"/>
    </row>
    <row r="845">
      <c r="C845" s="100"/>
      <c r="D845" s="100"/>
    </row>
    <row r="846">
      <c r="C846" s="100"/>
      <c r="D846" s="100"/>
    </row>
    <row r="847">
      <c r="C847" s="100"/>
      <c r="D847" s="100"/>
    </row>
    <row r="848">
      <c r="C848" s="100"/>
      <c r="D848" s="100"/>
    </row>
    <row r="849">
      <c r="C849" s="100"/>
      <c r="D849" s="100"/>
    </row>
    <row r="850">
      <c r="C850" s="100"/>
      <c r="D850" s="100"/>
    </row>
    <row r="851">
      <c r="C851" s="100"/>
      <c r="D851" s="100"/>
    </row>
    <row r="852">
      <c r="C852" s="100"/>
      <c r="D852" s="100"/>
    </row>
    <row r="853">
      <c r="C853" s="100"/>
      <c r="D853" s="100"/>
    </row>
    <row r="854">
      <c r="C854" s="100"/>
      <c r="D854" s="100"/>
    </row>
    <row r="855">
      <c r="C855" s="100"/>
      <c r="D855" s="100"/>
    </row>
    <row r="856">
      <c r="C856" s="100"/>
      <c r="D856" s="100"/>
    </row>
    <row r="857">
      <c r="C857" s="100"/>
      <c r="D857" s="100"/>
    </row>
    <row r="858">
      <c r="C858" s="100"/>
      <c r="D858" s="100"/>
    </row>
    <row r="859">
      <c r="C859" s="100"/>
      <c r="D859" s="100"/>
    </row>
    <row r="860">
      <c r="C860" s="100"/>
      <c r="D860" s="100"/>
    </row>
    <row r="861">
      <c r="C861" s="100"/>
      <c r="D861" s="100"/>
    </row>
    <row r="862">
      <c r="C862" s="100"/>
      <c r="D862" s="100"/>
    </row>
    <row r="863">
      <c r="C863" s="100"/>
      <c r="D863" s="100"/>
    </row>
    <row r="864">
      <c r="C864" s="100"/>
      <c r="D864" s="100"/>
    </row>
    <row r="865">
      <c r="C865" s="100"/>
      <c r="D865" s="100"/>
    </row>
    <row r="866">
      <c r="C866" s="100"/>
      <c r="D866" s="100"/>
    </row>
    <row r="867">
      <c r="C867" s="100"/>
      <c r="D867" s="100"/>
    </row>
    <row r="868">
      <c r="C868" s="100"/>
      <c r="D868" s="100"/>
    </row>
    <row r="869">
      <c r="C869" s="100"/>
      <c r="D869" s="100"/>
    </row>
    <row r="870">
      <c r="C870" s="100"/>
      <c r="D870" s="100"/>
    </row>
    <row r="871">
      <c r="C871" s="100"/>
      <c r="D871" s="100"/>
    </row>
    <row r="872">
      <c r="C872" s="100"/>
      <c r="D872" s="100"/>
    </row>
    <row r="873">
      <c r="C873" s="100"/>
      <c r="D873" s="100"/>
    </row>
    <row r="874">
      <c r="C874" s="100"/>
      <c r="D874" s="100"/>
    </row>
    <row r="875">
      <c r="C875" s="100"/>
      <c r="D875" s="100"/>
    </row>
    <row r="876">
      <c r="C876" s="100"/>
      <c r="D876" s="100"/>
    </row>
    <row r="877">
      <c r="C877" s="100"/>
      <c r="D877" s="100"/>
    </row>
    <row r="878">
      <c r="C878" s="100"/>
      <c r="D878" s="100"/>
    </row>
    <row r="879">
      <c r="C879" s="100"/>
      <c r="D879" s="100"/>
    </row>
    <row r="880">
      <c r="C880" s="100"/>
      <c r="D880" s="100"/>
    </row>
    <row r="881">
      <c r="C881" s="100"/>
      <c r="D881" s="100"/>
    </row>
    <row r="882">
      <c r="C882" s="100"/>
      <c r="D882" s="100"/>
    </row>
    <row r="883">
      <c r="C883" s="100"/>
      <c r="D883" s="100"/>
    </row>
    <row r="884">
      <c r="C884" s="100"/>
      <c r="D884" s="100"/>
    </row>
    <row r="885">
      <c r="C885" s="100"/>
      <c r="D885" s="100"/>
    </row>
    <row r="886">
      <c r="C886" s="100"/>
      <c r="D886" s="100"/>
    </row>
    <row r="887">
      <c r="C887" s="100"/>
      <c r="D887" s="100"/>
    </row>
    <row r="888">
      <c r="C888" s="100"/>
      <c r="D888" s="100"/>
    </row>
    <row r="889">
      <c r="C889" s="100"/>
      <c r="D889" s="100"/>
    </row>
    <row r="890">
      <c r="C890" s="100"/>
      <c r="D890" s="100"/>
    </row>
    <row r="891">
      <c r="C891" s="100"/>
      <c r="D891" s="100"/>
    </row>
    <row r="892">
      <c r="C892" s="100"/>
      <c r="D892" s="100"/>
    </row>
    <row r="893">
      <c r="C893" s="100"/>
      <c r="D893" s="100"/>
    </row>
    <row r="894">
      <c r="C894" s="100"/>
      <c r="D894" s="100"/>
    </row>
    <row r="895">
      <c r="C895" s="100"/>
      <c r="D895" s="100"/>
    </row>
    <row r="896">
      <c r="C896" s="100"/>
      <c r="D896" s="100"/>
    </row>
    <row r="897">
      <c r="C897" s="100"/>
      <c r="D897" s="100"/>
    </row>
    <row r="898">
      <c r="C898" s="100"/>
      <c r="D898" s="100"/>
    </row>
    <row r="899">
      <c r="C899" s="100"/>
      <c r="D899" s="100"/>
    </row>
    <row r="900">
      <c r="C900" s="100"/>
      <c r="D900" s="100"/>
    </row>
    <row r="901">
      <c r="C901" s="100"/>
      <c r="D901" s="100"/>
    </row>
    <row r="902">
      <c r="C902" s="100"/>
      <c r="D902" s="100"/>
    </row>
    <row r="903">
      <c r="C903" s="100"/>
      <c r="D903" s="100"/>
    </row>
    <row r="904">
      <c r="C904" s="100"/>
      <c r="D904" s="100"/>
    </row>
    <row r="905">
      <c r="C905" s="100"/>
      <c r="D905" s="100"/>
    </row>
    <row r="906">
      <c r="C906" s="100"/>
      <c r="D906" s="100"/>
    </row>
    <row r="907">
      <c r="C907" s="100"/>
      <c r="D907" s="100"/>
    </row>
    <row r="908">
      <c r="C908" s="100"/>
      <c r="D908" s="100"/>
    </row>
    <row r="909">
      <c r="C909" s="100"/>
      <c r="D909" s="100"/>
    </row>
    <row r="910">
      <c r="C910" s="100"/>
      <c r="D910" s="100"/>
    </row>
    <row r="911">
      <c r="C911" s="100"/>
      <c r="D911" s="100"/>
    </row>
    <row r="912">
      <c r="C912" s="100"/>
      <c r="D912" s="100"/>
    </row>
    <row r="913">
      <c r="C913" s="100"/>
      <c r="D913" s="100"/>
    </row>
    <row r="914">
      <c r="C914" s="100"/>
      <c r="D914" s="100"/>
    </row>
    <row r="915">
      <c r="C915" s="100"/>
      <c r="D915" s="100"/>
    </row>
    <row r="916">
      <c r="C916" s="100"/>
      <c r="D916" s="100"/>
    </row>
    <row r="917">
      <c r="C917" s="100"/>
      <c r="D917" s="100"/>
    </row>
    <row r="918">
      <c r="C918" s="100"/>
      <c r="D918" s="100"/>
    </row>
    <row r="919">
      <c r="C919" s="100"/>
      <c r="D919" s="100"/>
    </row>
    <row r="920">
      <c r="C920" s="100"/>
      <c r="D920" s="100"/>
    </row>
    <row r="921">
      <c r="C921" s="100"/>
      <c r="D921" s="100"/>
    </row>
    <row r="922">
      <c r="C922" s="100"/>
      <c r="D922" s="100"/>
    </row>
    <row r="923">
      <c r="C923" s="100"/>
      <c r="D923" s="100"/>
    </row>
    <row r="924">
      <c r="C924" s="100"/>
      <c r="D924" s="100"/>
    </row>
    <row r="925">
      <c r="C925" s="100"/>
      <c r="D925" s="100"/>
    </row>
    <row r="926">
      <c r="C926" s="100"/>
      <c r="D926" s="100"/>
    </row>
    <row r="927">
      <c r="C927" s="100"/>
      <c r="D927" s="100"/>
    </row>
    <row r="928">
      <c r="C928" s="100"/>
      <c r="D928" s="100"/>
    </row>
    <row r="929">
      <c r="C929" s="100"/>
      <c r="D929" s="100"/>
    </row>
    <row r="930">
      <c r="C930" s="100"/>
      <c r="D930" s="100"/>
    </row>
    <row r="931">
      <c r="C931" s="100"/>
      <c r="D931" s="100"/>
    </row>
    <row r="932">
      <c r="C932" s="100"/>
      <c r="D932" s="100"/>
    </row>
    <row r="933">
      <c r="C933" s="100"/>
      <c r="D933" s="100"/>
    </row>
    <row r="934">
      <c r="C934" s="100"/>
      <c r="D934" s="100"/>
    </row>
    <row r="935">
      <c r="C935" s="100"/>
      <c r="D935" s="100"/>
    </row>
    <row r="936">
      <c r="C936" s="100"/>
      <c r="D936" s="100"/>
    </row>
    <row r="937">
      <c r="C937" s="100"/>
      <c r="D937" s="100"/>
    </row>
    <row r="938">
      <c r="C938" s="100"/>
      <c r="D938" s="100"/>
    </row>
    <row r="939">
      <c r="C939" s="100"/>
      <c r="D939" s="100"/>
    </row>
    <row r="940">
      <c r="C940" s="100"/>
      <c r="D940" s="100"/>
    </row>
    <row r="941">
      <c r="C941" s="100"/>
      <c r="D941" s="100"/>
    </row>
    <row r="942">
      <c r="C942" s="100"/>
      <c r="D942" s="100"/>
    </row>
    <row r="943">
      <c r="C943" s="100"/>
      <c r="D943" s="100"/>
    </row>
    <row r="944">
      <c r="C944" s="100"/>
      <c r="D944" s="100"/>
    </row>
    <row r="945">
      <c r="C945" s="100"/>
      <c r="D945" s="100"/>
    </row>
    <row r="946">
      <c r="C946" s="100"/>
      <c r="D946" s="100"/>
    </row>
    <row r="947">
      <c r="C947" s="100"/>
      <c r="D947" s="100"/>
    </row>
    <row r="948">
      <c r="C948" s="100"/>
      <c r="D948" s="100"/>
    </row>
    <row r="949">
      <c r="C949" s="100"/>
      <c r="D949" s="100"/>
    </row>
    <row r="950">
      <c r="C950" s="100"/>
      <c r="D950" s="100"/>
    </row>
    <row r="951">
      <c r="C951" s="100"/>
      <c r="D951" s="100"/>
    </row>
    <row r="952">
      <c r="C952" s="100"/>
      <c r="D952" s="100"/>
    </row>
    <row r="953">
      <c r="C953" s="100"/>
      <c r="D953" s="100"/>
    </row>
    <row r="954">
      <c r="C954" s="100"/>
      <c r="D954" s="100"/>
    </row>
    <row r="955">
      <c r="C955" s="100"/>
      <c r="D955" s="100"/>
    </row>
    <row r="956">
      <c r="C956" s="100"/>
      <c r="D956" s="100"/>
    </row>
    <row r="957">
      <c r="C957" s="100"/>
      <c r="D957" s="100"/>
    </row>
    <row r="958">
      <c r="C958" s="100"/>
      <c r="D958" s="100"/>
    </row>
    <row r="959">
      <c r="C959" s="100"/>
      <c r="D959" s="100"/>
    </row>
    <row r="960">
      <c r="C960" s="100"/>
      <c r="D960" s="100"/>
    </row>
    <row r="961">
      <c r="C961" s="100"/>
      <c r="D961" s="100"/>
    </row>
    <row r="962">
      <c r="C962" s="100"/>
      <c r="D962" s="100"/>
    </row>
    <row r="963">
      <c r="C963" s="100"/>
      <c r="D963" s="100"/>
    </row>
    <row r="964">
      <c r="C964" s="100"/>
      <c r="D964" s="100"/>
    </row>
    <row r="965">
      <c r="C965" s="100"/>
      <c r="D965" s="100"/>
    </row>
    <row r="966">
      <c r="C966" s="100"/>
      <c r="D966" s="100"/>
    </row>
    <row r="967">
      <c r="C967" s="100"/>
      <c r="D967" s="100"/>
    </row>
    <row r="968">
      <c r="C968" s="100"/>
      <c r="D968" s="100"/>
    </row>
    <row r="969">
      <c r="C969" s="100"/>
      <c r="D969" s="100"/>
    </row>
    <row r="970">
      <c r="C970" s="100"/>
      <c r="D970" s="100"/>
    </row>
    <row r="971">
      <c r="C971" s="100"/>
      <c r="D971" s="100"/>
    </row>
    <row r="972">
      <c r="C972" s="100"/>
      <c r="D972" s="100"/>
    </row>
    <row r="973">
      <c r="C973" s="100"/>
      <c r="D973" s="100"/>
    </row>
    <row r="974">
      <c r="C974" s="100"/>
      <c r="D974" s="100"/>
    </row>
    <row r="975">
      <c r="C975" s="100"/>
      <c r="D975" s="100"/>
    </row>
    <row r="976">
      <c r="C976" s="100"/>
      <c r="D976" s="100"/>
    </row>
    <row r="977">
      <c r="C977" s="100"/>
      <c r="D977" s="100"/>
    </row>
    <row r="978">
      <c r="C978" s="100"/>
      <c r="D978" s="100"/>
    </row>
    <row r="979">
      <c r="C979" s="100"/>
      <c r="D979" s="100"/>
    </row>
    <row r="980">
      <c r="C980" s="100"/>
      <c r="D980" s="100"/>
    </row>
    <row r="981">
      <c r="C981" s="100"/>
      <c r="D981" s="100"/>
    </row>
    <row r="982">
      <c r="C982" s="100"/>
      <c r="D982" s="100"/>
    </row>
    <row r="983">
      <c r="C983" s="100"/>
      <c r="D983" s="100"/>
    </row>
    <row r="984">
      <c r="C984" s="100"/>
      <c r="D984" s="100"/>
    </row>
    <row r="985">
      <c r="C985" s="100"/>
      <c r="D985" s="100"/>
    </row>
    <row r="986">
      <c r="C986" s="100"/>
      <c r="D986" s="100"/>
    </row>
    <row r="987">
      <c r="C987" s="100"/>
      <c r="D987" s="100"/>
    </row>
    <row r="988">
      <c r="C988" s="100"/>
      <c r="D988" s="100"/>
    </row>
    <row r="989">
      <c r="C989" s="100"/>
      <c r="D989" s="100"/>
    </row>
    <row r="990">
      <c r="C990" s="100"/>
      <c r="D990" s="100"/>
    </row>
    <row r="991">
      <c r="C991" s="100"/>
      <c r="D991" s="100"/>
    </row>
    <row r="992">
      <c r="C992" s="100"/>
      <c r="D992" s="100"/>
    </row>
    <row r="993">
      <c r="C993" s="100"/>
      <c r="D993" s="100"/>
    </row>
    <row r="994">
      <c r="C994" s="100"/>
      <c r="D994" s="100"/>
    </row>
    <row r="995">
      <c r="C995" s="100"/>
      <c r="D995" s="100"/>
    </row>
    <row r="996">
      <c r="C996" s="100"/>
      <c r="D996" s="100"/>
    </row>
    <row r="997">
      <c r="C997" s="100"/>
      <c r="D997" s="100"/>
    </row>
    <row r="998">
      <c r="C998" s="100"/>
      <c r="D998" s="100"/>
    </row>
    <row r="999">
      <c r="C999" s="100"/>
      <c r="D999" s="100"/>
    </row>
    <row r="1000">
      <c r="C1000" s="100"/>
      <c r="D1000" s="10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  <col customWidth="1" min="4" max="4" width="15.88"/>
  </cols>
  <sheetData>
    <row r="1">
      <c r="A1" s="62" t="s">
        <v>527</v>
      </c>
      <c r="B1" s="62" t="s">
        <v>26</v>
      </c>
      <c r="C1" s="98" t="s">
        <v>15</v>
      </c>
      <c r="D1" s="98" t="s">
        <v>526</v>
      </c>
    </row>
    <row r="2">
      <c r="A2" s="78">
        <v>1.0</v>
      </c>
      <c r="B2" s="62" t="s">
        <v>27</v>
      </c>
      <c r="C2" s="99">
        <v>171.0</v>
      </c>
      <c r="D2" s="79">
        <v>731.233206640282</v>
      </c>
    </row>
    <row r="3">
      <c r="A3" s="78">
        <v>2.0</v>
      </c>
      <c r="B3" s="62" t="s">
        <v>70</v>
      </c>
      <c r="C3" s="99">
        <v>828.0</v>
      </c>
      <c r="D3" s="79">
        <v>3782.8666289874286</v>
      </c>
    </row>
    <row r="4">
      <c r="A4" s="78">
        <v>3.0</v>
      </c>
      <c r="B4" s="81" t="s">
        <v>176</v>
      </c>
      <c r="C4" s="99">
        <v>711.0</v>
      </c>
      <c r="D4" s="79">
        <v>2007.7823701696675</v>
      </c>
    </row>
    <row r="5">
      <c r="A5" s="78">
        <v>4.0</v>
      </c>
      <c r="B5" s="62" t="s">
        <v>230</v>
      </c>
      <c r="C5" s="99">
        <v>80.0</v>
      </c>
      <c r="D5" s="79">
        <v>461.1925463686194</v>
      </c>
    </row>
    <row r="6">
      <c r="A6" s="78">
        <v>5.0</v>
      </c>
      <c r="B6" s="62" t="s">
        <v>480</v>
      </c>
      <c r="C6" s="99">
        <v>528.0</v>
      </c>
      <c r="D6" s="79">
        <v>2414.629481524353</v>
      </c>
    </row>
    <row r="7">
      <c r="A7" s="78">
        <v>6.0</v>
      </c>
      <c r="B7" s="62" t="s">
        <v>333</v>
      </c>
      <c r="C7" s="99">
        <v>122.0</v>
      </c>
      <c r="D7" s="79">
        <v>294.437559633982</v>
      </c>
    </row>
    <row r="8">
      <c r="A8" s="78">
        <v>7.0</v>
      </c>
      <c r="B8" s="62" t="s">
        <v>348</v>
      </c>
      <c r="C8" s="99">
        <v>733.0</v>
      </c>
      <c r="D8" s="79">
        <v>2111.135810655078</v>
      </c>
    </row>
    <row r="9">
      <c r="A9" s="78">
        <v>8.0</v>
      </c>
      <c r="B9" s="62" t="s">
        <v>481</v>
      </c>
      <c r="C9" s="99">
        <v>176.0</v>
      </c>
      <c r="D9" s="79">
        <v>895.1322118579577</v>
      </c>
    </row>
    <row r="10">
      <c r="A10" s="78">
        <v>9.0</v>
      </c>
      <c r="B10" s="62" t="s">
        <v>442</v>
      </c>
      <c r="C10" s="99">
        <v>72.0</v>
      </c>
      <c r="D10" s="79">
        <v>1376.5292302437479</v>
      </c>
    </row>
    <row r="11">
      <c r="A11" s="82">
        <v>10.0</v>
      </c>
      <c r="B11" s="82" t="s">
        <v>482</v>
      </c>
      <c r="C11" s="94">
        <v>34.0</v>
      </c>
      <c r="D11" s="94">
        <v>23.054286063006007</v>
      </c>
    </row>
    <row r="12">
      <c r="A12" s="82">
        <v>11.0</v>
      </c>
      <c r="B12" s="82" t="s">
        <v>21</v>
      </c>
      <c r="C12" s="94">
        <v>3411.0</v>
      </c>
      <c r="D12" s="94">
        <v>33.9070459855489</v>
      </c>
    </row>
    <row r="13">
      <c r="C13" s="100"/>
      <c r="D13" s="100"/>
    </row>
    <row r="14">
      <c r="C14" s="100"/>
      <c r="D14" s="100"/>
    </row>
    <row r="15">
      <c r="C15" s="100"/>
      <c r="D15" s="100"/>
    </row>
    <row r="16">
      <c r="C16" s="100"/>
      <c r="D16" s="100"/>
    </row>
    <row r="17">
      <c r="C17" s="100"/>
      <c r="D17" s="100"/>
    </row>
    <row r="18">
      <c r="C18" s="100"/>
      <c r="D18" s="100"/>
    </row>
    <row r="19">
      <c r="C19" s="100"/>
      <c r="D19" s="100"/>
    </row>
    <row r="20">
      <c r="C20" s="100"/>
      <c r="D20" s="100"/>
    </row>
    <row r="21">
      <c r="C21" s="100"/>
      <c r="D21" s="100"/>
    </row>
    <row r="22">
      <c r="C22" s="100"/>
      <c r="D22" s="100"/>
    </row>
    <row r="23">
      <c r="C23" s="100"/>
      <c r="D23" s="100"/>
    </row>
    <row r="24">
      <c r="C24" s="100"/>
      <c r="D24" s="100"/>
    </row>
    <row r="25">
      <c r="C25" s="100"/>
      <c r="D25" s="100"/>
    </row>
    <row r="26">
      <c r="C26" s="100"/>
      <c r="D26" s="100"/>
    </row>
    <row r="27">
      <c r="C27" s="100"/>
      <c r="D27" s="100"/>
    </row>
    <row r="28">
      <c r="C28" s="100"/>
      <c r="D28" s="100"/>
    </row>
    <row r="29">
      <c r="C29" s="100"/>
      <c r="D29" s="100"/>
    </row>
    <row r="30">
      <c r="C30" s="100"/>
      <c r="D30" s="100"/>
    </row>
    <row r="31">
      <c r="C31" s="100"/>
      <c r="D31" s="100"/>
    </row>
    <row r="32">
      <c r="C32" s="100"/>
      <c r="D32" s="100"/>
    </row>
    <row r="33">
      <c r="C33" s="100"/>
      <c r="D33" s="100"/>
    </row>
    <row r="34">
      <c r="C34" s="100"/>
      <c r="D34" s="100"/>
    </row>
    <row r="35">
      <c r="C35" s="100"/>
      <c r="D35" s="100"/>
    </row>
    <row r="36">
      <c r="C36" s="100"/>
      <c r="D36" s="100"/>
    </row>
    <row r="37">
      <c r="C37" s="100"/>
      <c r="D37" s="100"/>
    </row>
    <row r="38">
      <c r="C38" s="100"/>
      <c r="D38" s="100"/>
    </row>
    <row r="39">
      <c r="C39" s="100"/>
      <c r="D39" s="100"/>
    </row>
    <row r="40">
      <c r="C40" s="100"/>
      <c r="D40" s="100"/>
    </row>
    <row r="41">
      <c r="C41" s="100"/>
      <c r="D41" s="100"/>
    </row>
    <row r="42">
      <c r="C42" s="100"/>
      <c r="D42" s="100"/>
    </row>
    <row r="43">
      <c r="C43" s="100"/>
      <c r="D43" s="100"/>
    </row>
    <row r="44">
      <c r="C44" s="100"/>
      <c r="D44" s="100"/>
    </row>
    <row r="45">
      <c r="C45" s="100"/>
      <c r="D45" s="100"/>
    </row>
    <row r="46">
      <c r="C46" s="100"/>
      <c r="D46" s="100"/>
    </row>
    <row r="47">
      <c r="C47" s="100"/>
      <c r="D47" s="100"/>
    </row>
    <row r="48">
      <c r="C48" s="100"/>
      <c r="D48" s="100"/>
    </row>
    <row r="49">
      <c r="C49" s="100"/>
      <c r="D49" s="100"/>
    </row>
    <row r="50">
      <c r="C50" s="100"/>
      <c r="D50" s="100"/>
    </row>
    <row r="51">
      <c r="C51" s="100"/>
      <c r="D51" s="100"/>
    </row>
    <row r="52">
      <c r="C52" s="100"/>
      <c r="D52" s="100"/>
    </row>
    <row r="53">
      <c r="C53" s="100"/>
      <c r="D53" s="100"/>
    </row>
    <row r="54">
      <c r="C54" s="100"/>
      <c r="D54" s="100"/>
    </row>
    <row r="55">
      <c r="C55" s="100"/>
      <c r="D55" s="100"/>
    </row>
    <row r="56">
      <c r="C56" s="100"/>
      <c r="D56" s="100"/>
    </row>
    <row r="57">
      <c r="C57" s="100"/>
      <c r="D57" s="100"/>
    </row>
    <row r="58">
      <c r="C58" s="100"/>
      <c r="D58" s="100"/>
    </row>
    <row r="59">
      <c r="C59" s="100"/>
      <c r="D59" s="100"/>
    </row>
    <row r="60">
      <c r="C60" s="100"/>
      <c r="D60" s="100"/>
    </row>
    <row r="61">
      <c r="C61" s="100"/>
      <c r="D61" s="100"/>
    </row>
    <row r="62">
      <c r="C62" s="100"/>
      <c r="D62" s="100"/>
    </row>
    <row r="63">
      <c r="C63" s="100"/>
      <c r="D63" s="100"/>
    </row>
    <row r="64">
      <c r="C64" s="100"/>
      <c r="D64" s="100"/>
    </row>
    <row r="65">
      <c r="C65" s="100"/>
      <c r="D65" s="100"/>
    </row>
    <row r="66">
      <c r="C66" s="100"/>
      <c r="D66" s="100"/>
    </row>
    <row r="67">
      <c r="C67" s="100"/>
      <c r="D67" s="100"/>
    </row>
    <row r="68">
      <c r="C68" s="100"/>
      <c r="D68" s="100"/>
    </row>
    <row r="69">
      <c r="C69" s="100"/>
      <c r="D69" s="100"/>
    </row>
    <row r="70">
      <c r="C70" s="100"/>
      <c r="D70" s="100"/>
    </row>
    <row r="71">
      <c r="C71" s="100"/>
      <c r="D71" s="100"/>
    </row>
    <row r="72">
      <c r="C72" s="100"/>
      <c r="D72" s="100"/>
    </row>
    <row r="73">
      <c r="C73" s="100"/>
      <c r="D73" s="100"/>
    </row>
    <row r="74">
      <c r="C74" s="100"/>
      <c r="D74" s="100"/>
    </row>
    <row r="75">
      <c r="C75" s="100"/>
      <c r="D75" s="100"/>
    </row>
    <row r="76">
      <c r="C76" s="100"/>
      <c r="D76" s="100"/>
    </row>
    <row r="77">
      <c r="C77" s="100"/>
      <c r="D77" s="100"/>
    </row>
    <row r="78">
      <c r="C78" s="100"/>
      <c r="D78" s="100"/>
    </row>
    <row r="79">
      <c r="C79" s="100"/>
      <c r="D79" s="100"/>
    </row>
    <row r="80">
      <c r="C80" s="100"/>
      <c r="D80" s="100"/>
    </row>
    <row r="81">
      <c r="C81" s="100"/>
      <c r="D81" s="100"/>
    </row>
    <row r="82">
      <c r="C82" s="100"/>
      <c r="D82" s="100"/>
    </row>
    <row r="83">
      <c r="C83" s="100"/>
      <c r="D83" s="100"/>
    </row>
    <row r="84">
      <c r="C84" s="100"/>
      <c r="D84" s="100"/>
    </row>
    <row r="85">
      <c r="C85" s="100"/>
      <c r="D85" s="100"/>
    </row>
    <row r="86">
      <c r="C86" s="100"/>
      <c r="D86" s="100"/>
    </row>
    <row r="87">
      <c r="C87" s="100"/>
      <c r="D87" s="100"/>
    </row>
    <row r="88">
      <c r="C88" s="100"/>
      <c r="D88" s="100"/>
    </row>
    <row r="89">
      <c r="C89" s="100"/>
      <c r="D89" s="100"/>
    </row>
    <row r="90">
      <c r="C90" s="100"/>
      <c r="D90" s="100"/>
    </row>
    <row r="91">
      <c r="C91" s="100"/>
      <c r="D91" s="100"/>
    </row>
    <row r="92">
      <c r="C92" s="100"/>
      <c r="D92" s="100"/>
    </row>
    <row r="93">
      <c r="C93" s="100"/>
      <c r="D93" s="100"/>
    </row>
    <row r="94">
      <c r="C94" s="100"/>
      <c r="D94" s="100"/>
    </row>
    <row r="95">
      <c r="C95" s="100"/>
      <c r="D95" s="100"/>
    </row>
    <row r="96">
      <c r="C96" s="100"/>
      <c r="D96" s="100"/>
    </row>
    <row r="97">
      <c r="C97" s="100"/>
      <c r="D97" s="100"/>
    </row>
    <row r="98">
      <c r="C98" s="100"/>
      <c r="D98" s="100"/>
    </row>
    <row r="99">
      <c r="C99" s="100"/>
      <c r="D99" s="100"/>
    </row>
    <row r="100">
      <c r="C100" s="100"/>
      <c r="D100" s="100"/>
    </row>
    <row r="101">
      <c r="C101" s="100"/>
      <c r="D101" s="100"/>
    </row>
    <row r="102">
      <c r="C102" s="100"/>
      <c r="D102" s="100"/>
    </row>
    <row r="103">
      <c r="C103" s="100"/>
      <c r="D103" s="100"/>
    </row>
    <row r="104">
      <c r="C104" s="100"/>
      <c r="D104" s="100"/>
    </row>
    <row r="105">
      <c r="C105" s="100"/>
      <c r="D105" s="100"/>
    </row>
    <row r="106">
      <c r="C106" s="100"/>
      <c r="D106" s="100"/>
    </row>
    <row r="107">
      <c r="C107" s="100"/>
      <c r="D107" s="100"/>
    </row>
    <row r="108">
      <c r="C108" s="100"/>
      <c r="D108" s="100"/>
    </row>
    <row r="109">
      <c r="C109" s="100"/>
      <c r="D109" s="100"/>
    </row>
    <row r="110">
      <c r="C110" s="100"/>
      <c r="D110" s="100"/>
    </row>
    <row r="111">
      <c r="C111" s="100"/>
      <c r="D111" s="100"/>
    </row>
    <row r="112">
      <c r="C112" s="100"/>
      <c r="D112" s="100"/>
    </row>
    <row r="113">
      <c r="C113" s="100"/>
      <c r="D113" s="100"/>
    </row>
    <row r="114">
      <c r="C114" s="100"/>
      <c r="D114" s="100"/>
    </row>
    <row r="115">
      <c r="C115" s="100"/>
      <c r="D115" s="100"/>
    </row>
    <row r="116">
      <c r="C116" s="100"/>
      <c r="D116" s="100"/>
    </row>
    <row r="117">
      <c r="C117" s="100"/>
      <c r="D117" s="100"/>
    </row>
    <row r="118">
      <c r="C118" s="100"/>
      <c r="D118" s="100"/>
    </row>
    <row r="119">
      <c r="C119" s="100"/>
      <c r="D119" s="100"/>
    </row>
    <row r="120">
      <c r="C120" s="100"/>
      <c r="D120" s="100"/>
    </row>
    <row r="121">
      <c r="C121" s="100"/>
      <c r="D121" s="100"/>
    </row>
    <row r="122">
      <c r="C122" s="100"/>
      <c r="D122" s="100"/>
    </row>
    <row r="123">
      <c r="C123" s="100"/>
      <c r="D123" s="100"/>
    </row>
    <row r="124">
      <c r="C124" s="100"/>
      <c r="D124" s="100"/>
    </row>
    <row r="125">
      <c r="C125" s="100"/>
      <c r="D125" s="100"/>
    </row>
    <row r="126">
      <c r="C126" s="100"/>
      <c r="D126" s="100"/>
    </row>
    <row r="127">
      <c r="C127" s="100"/>
      <c r="D127" s="100"/>
    </row>
    <row r="128">
      <c r="C128" s="100"/>
      <c r="D128" s="100"/>
    </row>
    <row r="129">
      <c r="C129" s="100"/>
      <c r="D129" s="100"/>
    </row>
    <row r="130">
      <c r="C130" s="100"/>
      <c r="D130" s="100"/>
    </row>
    <row r="131">
      <c r="C131" s="100"/>
      <c r="D131" s="100"/>
    </row>
    <row r="132">
      <c r="C132" s="100"/>
      <c r="D132" s="100"/>
    </row>
    <row r="133">
      <c r="C133" s="100"/>
      <c r="D133" s="100"/>
    </row>
    <row r="134">
      <c r="C134" s="100"/>
      <c r="D134" s="100"/>
    </row>
    <row r="135">
      <c r="C135" s="100"/>
      <c r="D135" s="100"/>
    </row>
    <row r="136">
      <c r="C136" s="100"/>
      <c r="D136" s="100"/>
    </row>
    <row r="137">
      <c r="C137" s="100"/>
      <c r="D137" s="100"/>
    </row>
    <row r="138">
      <c r="C138" s="100"/>
      <c r="D138" s="100"/>
    </row>
    <row r="139">
      <c r="C139" s="100"/>
      <c r="D139" s="100"/>
    </row>
    <row r="140">
      <c r="C140" s="100"/>
      <c r="D140" s="100"/>
    </row>
    <row r="141">
      <c r="C141" s="100"/>
      <c r="D141" s="100"/>
    </row>
    <row r="142">
      <c r="C142" s="100"/>
      <c r="D142" s="100"/>
    </row>
    <row r="143">
      <c r="C143" s="100"/>
      <c r="D143" s="100"/>
    </row>
    <row r="144">
      <c r="C144" s="100"/>
      <c r="D144" s="100"/>
    </row>
    <row r="145">
      <c r="C145" s="100"/>
      <c r="D145" s="100"/>
    </row>
    <row r="146">
      <c r="C146" s="100"/>
      <c r="D146" s="100"/>
    </row>
    <row r="147">
      <c r="C147" s="100"/>
      <c r="D147" s="100"/>
    </row>
    <row r="148">
      <c r="C148" s="100"/>
      <c r="D148" s="100"/>
    </row>
    <row r="149">
      <c r="C149" s="100"/>
      <c r="D149" s="100"/>
    </row>
    <row r="150">
      <c r="C150" s="100"/>
      <c r="D150" s="100"/>
    </row>
    <row r="151">
      <c r="C151" s="100"/>
      <c r="D151" s="100"/>
    </row>
    <row r="152">
      <c r="C152" s="100"/>
      <c r="D152" s="100"/>
    </row>
    <row r="153">
      <c r="C153" s="100"/>
      <c r="D153" s="100"/>
    </row>
    <row r="154">
      <c r="C154" s="100"/>
      <c r="D154" s="100"/>
    </row>
    <row r="155">
      <c r="C155" s="100"/>
      <c r="D155" s="100"/>
    </row>
    <row r="156">
      <c r="C156" s="100"/>
      <c r="D156" s="100"/>
    </row>
    <row r="157">
      <c r="C157" s="100"/>
      <c r="D157" s="100"/>
    </row>
    <row r="158">
      <c r="C158" s="100"/>
      <c r="D158" s="100"/>
    </row>
    <row r="159">
      <c r="C159" s="100"/>
      <c r="D159" s="100"/>
    </row>
    <row r="160">
      <c r="C160" s="100"/>
      <c r="D160" s="100"/>
    </row>
    <row r="161">
      <c r="C161" s="100"/>
      <c r="D161" s="100"/>
    </row>
    <row r="162">
      <c r="C162" s="100"/>
      <c r="D162" s="100"/>
    </row>
    <row r="163">
      <c r="C163" s="100"/>
      <c r="D163" s="100"/>
    </row>
    <row r="164">
      <c r="C164" s="100"/>
      <c r="D164" s="100"/>
    </row>
    <row r="165">
      <c r="C165" s="100"/>
      <c r="D165" s="100"/>
    </row>
    <row r="166">
      <c r="C166" s="100"/>
      <c r="D166" s="100"/>
    </row>
    <row r="167">
      <c r="C167" s="100"/>
      <c r="D167" s="100"/>
    </row>
    <row r="168">
      <c r="C168" s="100"/>
      <c r="D168" s="100"/>
    </row>
    <row r="169">
      <c r="C169" s="100"/>
      <c r="D169" s="100"/>
    </row>
    <row r="170">
      <c r="C170" s="100"/>
      <c r="D170" s="100"/>
    </row>
    <row r="171">
      <c r="C171" s="100"/>
      <c r="D171" s="100"/>
    </row>
    <row r="172">
      <c r="C172" s="100"/>
      <c r="D172" s="100"/>
    </row>
    <row r="173">
      <c r="C173" s="100"/>
      <c r="D173" s="100"/>
    </row>
    <row r="174">
      <c r="C174" s="100"/>
      <c r="D174" s="100"/>
    </row>
    <row r="175">
      <c r="C175" s="100"/>
      <c r="D175" s="100"/>
    </row>
    <row r="176">
      <c r="C176" s="100"/>
      <c r="D176" s="100"/>
    </row>
    <row r="177">
      <c r="C177" s="100"/>
      <c r="D177" s="100"/>
    </row>
    <row r="178">
      <c r="C178" s="100"/>
      <c r="D178" s="100"/>
    </row>
    <row r="179">
      <c r="C179" s="100"/>
      <c r="D179" s="100"/>
    </row>
    <row r="180">
      <c r="C180" s="100"/>
      <c r="D180" s="100"/>
    </row>
    <row r="181">
      <c r="C181" s="100"/>
      <c r="D181" s="100"/>
    </row>
    <row r="182">
      <c r="C182" s="100"/>
      <c r="D182" s="100"/>
    </row>
    <row r="183">
      <c r="C183" s="100"/>
      <c r="D183" s="100"/>
    </row>
    <row r="184">
      <c r="C184" s="100"/>
      <c r="D184" s="100"/>
    </row>
    <row r="185">
      <c r="C185" s="100"/>
      <c r="D185" s="100"/>
    </row>
    <row r="186">
      <c r="C186" s="100"/>
      <c r="D186" s="100"/>
    </row>
    <row r="187">
      <c r="C187" s="100"/>
      <c r="D187" s="100"/>
    </row>
    <row r="188">
      <c r="C188" s="100"/>
      <c r="D188" s="100"/>
    </row>
    <row r="189">
      <c r="C189" s="100"/>
      <c r="D189" s="100"/>
    </row>
    <row r="190">
      <c r="C190" s="100"/>
      <c r="D190" s="100"/>
    </row>
    <row r="191">
      <c r="C191" s="100"/>
      <c r="D191" s="100"/>
    </row>
    <row r="192">
      <c r="C192" s="100"/>
      <c r="D192" s="100"/>
    </row>
    <row r="193">
      <c r="C193" s="100"/>
      <c r="D193" s="100"/>
    </row>
    <row r="194">
      <c r="C194" s="100"/>
      <c r="D194" s="100"/>
    </row>
    <row r="195">
      <c r="C195" s="100"/>
      <c r="D195" s="100"/>
    </row>
    <row r="196">
      <c r="C196" s="100"/>
      <c r="D196" s="100"/>
    </row>
    <row r="197">
      <c r="C197" s="100"/>
      <c r="D197" s="100"/>
    </row>
    <row r="198">
      <c r="C198" s="100"/>
      <c r="D198" s="100"/>
    </row>
    <row r="199">
      <c r="C199" s="100"/>
      <c r="D199" s="100"/>
    </row>
    <row r="200">
      <c r="C200" s="100"/>
      <c r="D200" s="100"/>
    </row>
    <row r="201">
      <c r="C201" s="100"/>
      <c r="D201" s="100"/>
    </row>
    <row r="202">
      <c r="C202" s="100"/>
      <c r="D202" s="100"/>
    </row>
    <row r="203">
      <c r="C203" s="100"/>
      <c r="D203" s="100"/>
    </row>
    <row r="204">
      <c r="C204" s="100"/>
      <c r="D204" s="100"/>
    </row>
    <row r="205">
      <c r="C205" s="100"/>
      <c r="D205" s="100"/>
    </row>
    <row r="206">
      <c r="C206" s="100"/>
      <c r="D206" s="100"/>
    </row>
    <row r="207">
      <c r="C207" s="100"/>
      <c r="D207" s="100"/>
    </row>
    <row r="208">
      <c r="C208" s="100"/>
      <c r="D208" s="100"/>
    </row>
    <row r="209">
      <c r="C209" s="100"/>
      <c r="D209" s="100"/>
    </row>
    <row r="210">
      <c r="C210" s="100"/>
      <c r="D210" s="100"/>
    </row>
    <row r="211">
      <c r="C211" s="100"/>
      <c r="D211" s="100"/>
    </row>
    <row r="212">
      <c r="C212" s="100"/>
      <c r="D212" s="100"/>
    </row>
    <row r="213">
      <c r="C213" s="100"/>
      <c r="D213" s="100"/>
    </row>
    <row r="214">
      <c r="C214" s="100"/>
      <c r="D214" s="100"/>
    </row>
    <row r="215">
      <c r="C215" s="100"/>
      <c r="D215" s="100"/>
    </row>
    <row r="216">
      <c r="C216" s="100"/>
      <c r="D216" s="100"/>
    </row>
    <row r="217">
      <c r="C217" s="100"/>
      <c r="D217" s="100"/>
    </row>
    <row r="218">
      <c r="C218" s="100"/>
      <c r="D218" s="100"/>
    </row>
    <row r="219">
      <c r="C219" s="100"/>
      <c r="D219" s="100"/>
    </row>
    <row r="220">
      <c r="C220" s="100"/>
      <c r="D220" s="100"/>
    </row>
    <row r="221">
      <c r="C221" s="100"/>
      <c r="D221" s="100"/>
    </row>
    <row r="222">
      <c r="C222" s="100"/>
      <c r="D222" s="100"/>
    </row>
    <row r="223">
      <c r="C223" s="100"/>
      <c r="D223" s="100"/>
    </row>
    <row r="224">
      <c r="C224" s="100"/>
      <c r="D224" s="100"/>
    </row>
    <row r="225">
      <c r="C225" s="100"/>
      <c r="D225" s="100"/>
    </row>
    <row r="226">
      <c r="C226" s="100"/>
      <c r="D226" s="100"/>
    </row>
    <row r="227">
      <c r="C227" s="100"/>
      <c r="D227" s="100"/>
    </row>
    <row r="228">
      <c r="C228" s="100"/>
      <c r="D228" s="100"/>
    </row>
    <row r="229">
      <c r="C229" s="100"/>
      <c r="D229" s="100"/>
    </row>
    <row r="230">
      <c r="C230" s="100"/>
      <c r="D230" s="100"/>
    </row>
    <row r="231">
      <c r="C231" s="100"/>
      <c r="D231" s="100"/>
    </row>
    <row r="232">
      <c r="C232" s="100"/>
      <c r="D232" s="100"/>
    </row>
    <row r="233">
      <c r="C233" s="100"/>
      <c r="D233" s="100"/>
    </row>
    <row r="234">
      <c r="C234" s="100"/>
      <c r="D234" s="100"/>
    </row>
    <row r="235">
      <c r="C235" s="100"/>
      <c r="D235" s="100"/>
    </row>
    <row r="236">
      <c r="C236" s="100"/>
      <c r="D236" s="100"/>
    </row>
    <row r="237">
      <c r="C237" s="100"/>
      <c r="D237" s="100"/>
    </row>
    <row r="238">
      <c r="C238" s="100"/>
      <c r="D238" s="100"/>
    </row>
    <row r="239">
      <c r="C239" s="100"/>
      <c r="D239" s="100"/>
    </row>
    <row r="240">
      <c r="C240" s="100"/>
      <c r="D240" s="100"/>
    </row>
    <row r="241">
      <c r="C241" s="100"/>
      <c r="D241" s="100"/>
    </row>
    <row r="242">
      <c r="C242" s="100"/>
      <c r="D242" s="100"/>
    </row>
    <row r="243">
      <c r="C243" s="100"/>
      <c r="D243" s="100"/>
    </row>
    <row r="244">
      <c r="C244" s="100"/>
      <c r="D244" s="100"/>
    </row>
    <row r="245">
      <c r="C245" s="100"/>
      <c r="D245" s="100"/>
    </row>
    <row r="246">
      <c r="C246" s="100"/>
      <c r="D246" s="100"/>
    </row>
    <row r="247">
      <c r="C247" s="100"/>
      <c r="D247" s="100"/>
    </row>
    <row r="248">
      <c r="C248" s="100"/>
      <c r="D248" s="100"/>
    </row>
    <row r="249">
      <c r="C249" s="100"/>
      <c r="D249" s="100"/>
    </row>
    <row r="250">
      <c r="C250" s="100"/>
      <c r="D250" s="100"/>
    </row>
    <row r="251">
      <c r="C251" s="100"/>
      <c r="D251" s="100"/>
    </row>
    <row r="252">
      <c r="C252" s="100"/>
      <c r="D252" s="100"/>
    </row>
    <row r="253">
      <c r="C253" s="100"/>
      <c r="D253" s="100"/>
    </row>
    <row r="254">
      <c r="C254" s="100"/>
      <c r="D254" s="100"/>
    </row>
    <row r="255">
      <c r="C255" s="100"/>
      <c r="D255" s="100"/>
    </row>
    <row r="256">
      <c r="C256" s="100"/>
      <c r="D256" s="100"/>
    </row>
    <row r="257">
      <c r="C257" s="100"/>
      <c r="D257" s="100"/>
    </row>
    <row r="258">
      <c r="C258" s="100"/>
      <c r="D258" s="100"/>
    </row>
    <row r="259">
      <c r="C259" s="100"/>
      <c r="D259" s="100"/>
    </row>
    <row r="260">
      <c r="C260" s="100"/>
      <c r="D260" s="100"/>
    </row>
    <row r="261">
      <c r="C261" s="100"/>
      <c r="D261" s="100"/>
    </row>
    <row r="262">
      <c r="C262" s="100"/>
      <c r="D262" s="100"/>
    </row>
    <row r="263">
      <c r="C263" s="100"/>
      <c r="D263" s="100"/>
    </row>
    <row r="264">
      <c r="C264" s="100"/>
      <c r="D264" s="100"/>
    </row>
    <row r="265">
      <c r="C265" s="100"/>
      <c r="D265" s="100"/>
    </row>
    <row r="266">
      <c r="C266" s="100"/>
      <c r="D266" s="100"/>
    </row>
    <row r="267">
      <c r="C267" s="100"/>
      <c r="D267" s="100"/>
    </row>
    <row r="268">
      <c r="C268" s="100"/>
      <c r="D268" s="100"/>
    </row>
    <row r="269">
      <c r="C269" s="100"/>
      <c r="D269" s="100"/>
    </row>
    <row r="270">
      <c r="C270" s="100"/>
      <c r="D270" s="100"/>
    </row>
    <row r="271">
      <c r="C271" s="100"/>
      <c r="D271" s="100"/>
    </row>
    <row r="272">
      <c r="C272" s="100"/>
      <c r="D272" s="100"/>
    </row>
    <row r="273">
      <c r="C273" s="100"/>
      <c r="D273" s="100"/>
    </row>
    <row r="274">
      <c r="C274" s="100"/>
      <c r="D274" s="100"/>
    </row>
    <row r="275">
      <c r="C275" s="100"/>
      <c r="D275" s="100"/>
    </row>
    <row r="276">
      <c r="C276" s="100"/>
      <c r="D276" s="100"/>
    </row>
    <row r="277">
      <c r="C277" s="100"/>
      <c r="D277" s="100"/>
    </row>
    <row r="278">
      <c r="C278" s="100"/>
      <c r="D278" s="100"/>
    </row>
    <row r="279">
      <c r="C279" s="100"/>
      <c r="D279" s="100"/>
    </row>
    <row r="280">
      <c r="C280" s="100"/>
      <c r="D280" s="100"/>
    </row>
    <row r="281">
      <c r="C281" s="100"/>
      <c r="D281" s="100"/>
    </row>
    <row r="282">
      <c r="C282" s="100"/>
      <c r="D282" s="100"/>
    </row>
    <row r="283">
      <c r="C283" s="100"/>
      <c r="D283" s="100"/>
    </row>
    <row r="284">
      <c r="C284" s="100"/>
      <c r="D284" s="100"/>
    </row>
    <row r="285">
      <c r="C285" s="100"/>
      <c r="D285" s="100"/>
    </row>
    <row r="286">
      <c r="C286" s="100"/>
      <c r="D286" s="100"/>
    </row>
    <row r="287">
      <c r="C287" s="100"/>
      <c r="D287" s="100"/>
    </row>
    <row r="288">
      <c r="C288" s="100"/>
      <c r="D288" s="100"/>
    </row>
    <row r="289">
      <c r="C289" s="100"/>
      <c r="D289" s="100"/>
    </row>
    <row r="290">
      <c r="C290" s="100"/>
      <c r="D290" s="100"/>
    </row>
    <row r="291">
      <c r="C291" s="100"/>
      <c r="D291" s="100"/>
    </row>
    <row r="292">
      <c r="C292" s="100"/>
      <c r="D292" s="100"/>
    </row>
    <row r="293">
      <c r="C293" s="100"/>
      <c r="D293" s="100"/>
    </row>
    <row r="294">
      <c r="C294" s="100"/>
      <c r="D294" s="100"/>
    </row>
    <row r="295">
      <c r="C295" s="100"/>
      <c r="D295" s="100"/>
    </row>
    <row r="296">
      <c r="C296" s="100"/>
      <c r="D296" s="100"/>
    </row>
    <row r="297">
      <c r="C297" s="100"/>
      <c r="D297" s="100"/>
    </row>
    <row r="298">
      <c r="C298" s="100"/>
      <c r="D298" s="100"/>
    </row>
    <row r="299">
      <c r="C299" s="100"/>
      <c r="D299" s="100"/>
    </row>
    <row r="300">
      <c r="C300" s="100"/>
      <c r="D300" s="100"/>
    </row>
    <row r="301">
      <c r="C301" s="100"/>
      <c r="D301" s="100"/>
    </row>
    <row r="302">
      <c r="C302" s="100"/>
      <c r="D302" s="100"/>
    </row>
    <row r="303">
      <c r="C303" s="100"/>
      <c r="D303" s="100"/>
    </row>
    <row r="304">
      <c r="C304" s="100"/>
      <c r="D304" s="100"/>
    </row>
    <row r="305">
      <c r="C305" s="100"/>
      <c r="D305" s="100"/>
    </row>
    <row r="306">
      <c r="C306" s="100"/>
      <c r="D306" s="100"/>
    </row>
    <row r="307">
      <c r="C307" s="100"/>
      <c r="D307" s="100"/>
    </row>
    <row r="308">
      <c r="C308" s="100"/>
      <c r="D308" s="100"/>
    </row>
    <row r="309">
      <c r="C309" s="100"/>
      <c r="D309" s="100"/>
    </row>
    <row r="310">
      <c r="C310" s="100"/>
      <c r="D310" s="100"/>
    </row>
    <row r="311">
      <c r="C311" s="100"/>
      <c r="D311" s="100"/>
    </row>
    <row r="312">
      <c r="C312" s="100"/>
      <c r="D312" s="100"/>
    </row>
    <row r="313">
      <c r="C313" s="100"/>
      <c r="D313" s="100"/>
    </row>
    <row r="314">
      <c r="C314" s="100"/>
      <c r="D314" s="100"/>
    </row>
    <row r="315">
      <c r="C315" s="100"/>
      <c r="D315" s="100"/>
    </row>
    <row r="316">
      <c r="C316" s="100"/>
      <c r="D316" s="100"/>
    </row>
    <row r="317">
      <c r="C317" s="100"/>
      <c r="D317" s="100"/>
    </row>
    <row r="318">
      <c r="C318" s="100"/>
      <c r="D318" s="100"/>
    </row>
    <row r="319">
      <c r="C319" s="100"/>
      <c r="D319" s="100"/>
    </row>
    <row r="320">
      <c r="C320" s="100"/>
      <c r="D320" s="100"/>
    </row>
    <row r="321">
      <c r="C321" s="100"/>
      <c r="D321" s="100"/>
    </row>
    <row r="322">
      <c r="C322" s="100"/>
      <c r="D322" s="100"/>
    </row>
    <row r="323">
      <c r="C323" s="100"/>
      <c r="D323" s="100"/>
    </row>
    <row r="324">
      <c r="C324" s="100"/>
      <c r="D324" s="100"/>
    </row>
    <row r="325">
      <c r="C325" s="100"/>
      <c r="D325" s="100"/>
    </row>
    <row r="326">
      <c r="C326" s="100"/>
      <c r="D326" s="100"/>
    </row>
    <row r="327">
      <c r="C327" s="100"/>
      <c r="D327" s="100"/>
    </row>
    <row r="328">
      <c r="C328" s="100"/>
      <c r="D328" s="100"/>
    </row>
    <row r="329">
      <c r="C329" s="100"/>
      <c r="D329" s="100"/>
    </row>
    <row r="330">
      <c r="C330" s="100"/>
      <c r="D330" s="100"/>
    </row>
    <row r="331">
      <c r="C331" s="100"/>
      <c r="D331" s="100"/>
    </row>
    <row r="332">
      <c r="C332" s="100"/>
      <c r="D332" s="100"/>
    </row>
    <row r="333">
      <c r="C333" s="100"/>
      <c r="D333" s="100"/>
    </row>
    <row r="334">
      <c r="C334" s="100"/>
      <c r="D334" s="100"/>
    </row>
    <row r="335">
      <c r="C335" s="100"/>
      <c r="D335" s="100"/>
    </row>
    <row r="336">
      <c r="C336" s="100"/>
      <c r="D336" s="100"/>
    </row>
    <row r="337">
      <c r="C337" s="100"/>
      <c r="D337" s="100"/>
    </row>
    <row r="338">
      <c r="C338" s="100"/>
      <c r="D338" s="100"/>
    </row>
    <row r="339">
      <c r="C339" s="100"/>
      <c r="D339" s="100"/>
    </row>
    <row r="340">
      <c r="C340" s="100"/>
      <c r="D340" s="100"/>
    </row>
    <row r="341">
      <c r="C341" s="100"/>
      <c r="D341" s="100"/>
    </row>
    <row r="342">
      <c r="C342" s="100"/>
      <c r="D342" s="100"/>
    </row>
    <row r="343">
      <c r="C343" s="100"/>
      <c r="D343" s="100"/>
    </row>
    <row r="344">
      <c r="C344" s="100"/>
      <c r="D344" s="100"/>
    </row>
    <row r="345">
      <c r="C345" s="100"/>
      <c r="D345" s="100"/>
    </row>
    <row r="346">
      <c r="C346" s="100"/>
      <c r="D346" s="100"/>
    </row>
    <row r="347">
      <c r="C347" s="100"/>
      <c r="D347" s="100"/>
    </row>
    <row r="348">
      <c r="C348" s="100"/>
      <c r="D348" s="100"/>
    </row>
    <row r="349">
      <c r="C349" s="100"/>
      <c r="D349" s="100"/>
    </row>
    <row r="350">
      <c r="C350" s="100"/>
      <c r="D350" s="100"/>
    </row>
    <row r="351">
      <c r="C351" s="100"/>
      <c r="D351" s="100"/>
    </row>
    <row r="352">
      <c r="C352" s="100"/>
      <c r="D352" s="100"/>
    </row>
    <row r="353">
      <c r="C353" s="100"/>
      <c r="D353" s="100"/>
    </row>
    <row r="354">
      <c r="C354" s="100"/>
      <c r="D354" s="100"/>
    </row>
    <row r="355">
      <c r="C355" s="100"/>
      <c r="D355" s="100"/>
    </row>
    <row r="356">
      <c r="C356" s="100"/>
      <c r="D356" s="100"/>
    </row>
    <row r="357">
      <c r="C357" s="100"/>
      <c r="D357" s="100"/>
    </row>
    <row r="358">
      <c r="C358" s="100"/>
      <c r="D358" s="100"/>
    </row>
    <row r="359">
      <c r="C359" s="100"/>
      <c r="D359" s="100"/>
    </row>
    <row r="360">
      <c r="C360" s="100"/>
      <c r="D360" s="100"/>
    </row>
    <row r="361">
      <c r="C361" s="100"/>
      <c r="D361" s="100"/>
    </row>
    <row r="362">
      <c r="C362" s="100"/>
      <c r="D362" s="100"/>
    </row>
    <row r="363">
      <c r="C363" s="100"/>
      <c r="D363" s="100"/>
    </row>
    <row r="364">
      <c r="C364" s="100"/>
      <c r="D364" s="100"/>
    </row>
    <row r="365">
      <c r="C365" s="100"/>
      <c r="D365" s="100"/>
    </row>
    <row r="366">
      <c r="C366" s="100"/>
      <c r="D366" s="100"/>
    </row>
    <row r="367">
      <c r="C367" s="100"/>
      <c r="D367" s="100"/>
    </row>
    <row r="368">
      <c r="C368" s="100"/>
      <c r="D368" s="100"/>
    </row>
    <row r="369">
      <c r="C369" s="100"/>
      <c r="D369" s="100"/>
    </row>
    <row r="370">
      <c r="C370" s="100"/>
      <c r="D370" s="100"/>
    </row>
    <row r="371">
      <c r="C371" s="100"/>
      <c r="D371" s="100"/>
    </row>
    <row r="372">
      <c r="C372" s="100"/>
      <c r="D372" s="100"/>
    </row>
    <row r="373">
      <c r="C373" s="100"/>
      <c r="D373" s="100"/>
    </row>
    <row r="374">
      <c r="C374" s="100"/>
      <c r="D374" s="100"/>
    </row>
    <row r="375">
      <c r="C375" s="100"/>
      <c r="D375" s="100"/>
    </row>
    <row r="376">
      <c r="C376" s="100"/>
      <c r="D376" s="100"/>
    </row>
    <row r="377">
      <c r="C377" s="100"/>
      <c r="D377" s="100"/>
    </row>
    <row r="378">
      <c r="C378" s="100"/>
      <c r="D378" s="100"/>
    </row>
    <row r="379">
      <c r="C379" s="100"/>
      <c r="D379" s="100"/>
    </row>
    <row r="380">
      <c r="C380" s="100"/>
      <c r="D380" s="100"/>
    </row>
    <row r="381">
      <c r="C381" s="100"/>
      <c r="D381" s="100"/>
    </row>
    <row r="382">
      <c r="C382" s="100"/>
      <c r="D382" s="100"/>
    </row>
    <row r="383">
      <c r="C383" s="100"/>
      <c r="D383" s="100"/>
    </row>
    <row r="384">
      <c r="C384" s="100"/>
      <c r="D384" s="100"/>
    </row>
    <row r="385">
      <c r="C385" s="100"/>
      <c r="D385" s="100"/>
    </row>
    <row r="386">
      <c r="C386" s="100"/>
      <c r="D386" s="100"/>
    </row>
    <row r="387">
      <c r="C387" s="100"/>
      <c r="D387" s="100"/>
    </row>
    <row r="388">
      <c r="C388" s="100"/>
      <c r="D388" s="100"/>
    </row>
    <row r="389">
      <c r="C389" s="100"/>
      <c r="D389" s="100"/>
    </row>
    <row r="390">
      <c r="C390" s="100"/>
      <c r="D390" s="100"/>
    </row>
    <row r="391">
      <c r="C391" s="100"/>
      <c r="D391" s="100"/>
    </row>
    <row r="392">
      <c r="C392" s="100"/>
      <c r="D392" s="100"/>
    </row>
    <row r="393">
      <c r="C393" s="100"/>
      <c r="D393" s="100"/>
    </row>
    <row r="394">
      <c r="C394" s="100"/>
      <c r="D394" s="100"/>
    </row>
    <row r="395">
      <c r="C395" s="100"/>
      <c r="D395" s="100"/>
    </row>
    <row r="396">
      <c r="C396" s="100"/>
      <c r="D396" s="100"/>
    </row>
    <row r="397">
      <c r="C397" s="100"/>
      <c r="D397" s="100"/>
    </row>
    <row r="398">
      <c r="C398" s="100"/>
      <c r="D398" s="100"/>
    </row>
    <row r="399">
      <c r="C399" s="100"/>
      <c r="D399" s="100"/>
    </row>
    <row r="400">
      <c r="C400" s="100"/>
      <c r="D400" s="100"/>
    </row>
    <row r="401">
      <c r="C401" s="100"/>
      <c r="D401" s="100"/>
    </row>
    <row r="402">
      <c r="C402" s="100"/>
      <c r="D402" s="100"/>
    </row>
    <row r="403">
      <c r="C403" s="100"/>
      <c r="D403" s="100"/>
    </row>
    <row r="404">
      <c r="C404" s="100"/>
      <c r="D404" s="100"/>
    </row>
    <row r="405">
      <c r="C405" s="100"/>
      <c r="D405" s="100"/>
    </row>
    <row r="406">
      <c r="C406" s="100"/>
      <c r="D406" s="100"/>
    </row>
    <row r="407">
      <c r="C407" s="100"/>
      <c r="D407" s="100"/>
    </row>
    <row r="408">
      <c r="C408" s="100"/>
      <c r="D408" s="100"/>
    </row>
    <row r="409">
      <c r="C409" s="100"/>
      <c r="D409" s="100"/>
    </row>
    <row r="410">
      <c r="C410" s="100"/>
      <c r="D410" s="100"/>
    </row>
    <row r="411">
      <c r="C411" s="100"/>
      <c r="D411" s="100"/>
    </row>
    <row r="412">
      <c r="C412" s="100"/>
      <c r="D412" s="100"/>
    </row>
    <row r="413">
      <c r="C413" s="100"/>
      <c r="D413" s="100"/>
    </row>
    <row r="414">
      <c r="C414" s="100"/>
      <c r="D414" s="100"/>
    </row>
    <row r="415">
      <c r="C415" s="100"/>
      <c r="D415" s="100"/>
    </row>
    <row r="416">
      <c r="C416" s="100"/>
      <c r="D416" s="100"/>
    </row>
    <row r="417">
      <c r="C417" s="100"/>
      <c r="D417" s="100"/>
    </row>
    <row r="418">
      <c r="C418" s="100"/>
      <c r="D418" s="100"/>
    </row>
    <row r="419">
      <c r="C419" s="100"/>
      <c r="D419" s="100"/>
    </row>
    <row r="420">
      <c r="C420" s="100"/>
      <c r="D420" s="100"/>
    </row>
    <row r="421">
      <c r="C421" s="100"/>
      <c r="D421" s="100"/>
    </row>
    <row r="422">
      <c r="C422" s="100"/>
      <c r="D422" s="100"/>
    </row>
    <row r="423">
      <c r="C423" s="100"/>
      <c r="D423" s="100"/>
    </row>
    <row r="424">
      <c r="C424" s="100"/>
      <c r="D424" s="100"/>
    </row>
    <row r="425">
      <c r="C425" s="100"/>
      <c r="D425" s="100"/>
    </row>
    <row r="426">
      <c r="C426" s="100"/>
      <c r="D426" s="100"/>
    </row>
    <row r="427">
      <c r="C427" s="100"/>
      <c r="D427" s="100"/>
    </row>
    <row r="428">
      <c r="C428" s="100"/>
      <c r="D428" s="100"/>
    </row>
    <row r="429">
      <c r="C429" s="100"/>
      <c r="D429" s="100"/>
    </row>
    <row r="430">
      <c r="C430" s="100"/>
      <c r="D430" s="100"/>
    </row>
    <row r="431">
      <c r="C431" s="100"/>
      <c r="D431" s="100"/>
    </row>
    <row r="432">
      <c r="C432" s="100"/>
      <c r="D432" s="100"/>
    </row>
    <row r="433">
      <c r="C433" s="100"/>
      <c r="D433" s="100"/>
    </row>
    <row r="434">
      <c r="C434" s="100"/>
      <c r="D434" s="100"/>
    </row>
    <row r="435">
      <c r="C435" s="100"/>
      <c r="D435" s="100"/>
    </row>
    <row r="436">
      <c r="C436" s="100"/>
      <c r="D436" s="100"/>
    </row>
    <row r="437">
      <c r="C437" s="100"/>
      <c r="D437" s="100"/>
    </row>
    <row r="438">
      <c r="C438" s="100"/>
      <c r="D438" s="100"/>
    </row>
    <row r="439">
      <c r="C439" s="100"/>
      <c r="D439" s="100"/>
    </row>
    <row r="440">
      <c r="C440" s="100"/>
      <c r="D440" s="100"/>
    </row>
    <row r="441">
      <c r="C441" s="100"/>
      <c r="D441" s="100"/>
    </row>
    <row r="442">
      <c r="C442" s="100"/>
      <c r="D442" s="100"/>
    </row>
    <row r="443">
      <c r="C443" s="100"/>
      <c r="D443" s="100"/>
    </row>
    <row r="444">
      <c r="C444" s="100"/>
      <c r="D444" s="100"/>
    </row>
    <row r="445">
      <c r="C445" s="100"/>
      <c r="D445" s="100"/>
    </row>
    <row r="446">
      <c r="C446" s="100"/>
      <c r="D446" s="100"/>
    </row>
    <row r="447">
      <c r="C447" s="100"/>
      <c r="D447" s="100"/>
    </row>
    <row r="448">
      <c r="C448" s="100"/>
      <c r="D448" s="100"/>
    </row>
    <row r="449">
      <c r="C449" s="100"/>
      <c r="D449" s="100"/>
    </row>
    <row r="450">
      <c r="C450" s="100"/>
      <c r="D450" s="100"/>
    </row>
    <row r="451">
      <c r="C451" s="100"/>
      <c r="D451" s="100"/>
    </row>
    <row r="452">
      <c r="C452" s="100"/>
      <c r="D452" s="100"/>
    </row>
    <row r="453">
      <c r="C453" s="100"/>
      <c r="D453" s="100"/>
    </row>
    <row r="454">
      <c r="C454" s="100"/>
      <c r="D454" s="100"/>
    </row>
    <row r="455">
      <c r="C455" s="100"/>
      <c r="D455" s="100"/>
    </row>
    <row r="456">
      <c r="C456" s="100"/>
      <c r="D456" s="100"/>
    </row>
    <row r="457">
      <c r="C457" s="100"/>
      <c r="D457" s="100"/>
    </row>
    <row r="458">
      <c r="C458" s="100"/>
      <c r="D458" s="100"/>
    </row>
    <row r="459">
      <c r="C459" s="100"/>
      <c r="D459" s="100"/>
    </row>
    <row r="460">
      <c r="C460" s="100"/>
      <c r="D460" s="100"/>
    </row>
    <row r="461">
      <c r="C461" s="100"/>
      <c r="D461" s="100"/>
    </row>
    <row r="462">
      <c r="C462" s="100"/>
      <c r="D462" s="100"/>
    </row>
    <row r="463">
      <c r="C463" s="100"/>
      <c r="D463" s="100"/>
    </row>
    <row r="464">
      <c r="C464" s="100"/>
      <c r="D464" s="100"/>
    </row>
    <row r="465">
      <c r="C465" s="100"/>
      <c r="D465" s="100"/>
    </row>
    <row r="466">
      <c r="C466" s="100"/>
      <c r="D466" s="100"/>
    </row>
    <row r="467">
      <c r="C467" s="100"/>
      <c r="D467" s="100"/>
    </row>
    <row r="468">
      <c r="C468" s="100"/>
      <c r="D468" s="100"/>
    </row>
    <row r="469">
      <c r="C469" s="100"/>
      <c r="D469" s="100"/>
    </row>
    <row r="470">
      <c r="C470" s="100"/>
      <c r="D470" s="100"/>
    </row>
    <row r="471">
      <c r="C471" s="100"/>
      <c r="D471" s="100"/>
    </row>
    <row r="472">
      <c r="C472" s="100"/>
      <c r="D472" s="100"/>
    </row>
    <row r="473">
      <c r="C473" s="100"/>
      <c r="D473" s="100"/>
    </row>
    <row r="474">
      <c r="C474" s="100"/>
      <c r="D474" s="100"/>
    </row>
    <row r="475">
      <c r="C475" s="100"/>
      <c r="D475" s="100"/>
    </row>
    <row r="476">
      <c r="C476" s="100"/>
      <c r="D476" s="100"/>
    </row>
    <row r="477">
      <c r="C477" s="100"/>
      <c r="D477" s="100"/>
    </row>
    <row r="478">
      <c r="C478" s="100"/>
      <c r="D478" s="100"/>
    </row>
    <row r="479">
      <c r="C479" s="100"/>
      <c r="D479" s="100"/>
    </row>
    <row r="480">
      <c r="C480" s="100"/>
      <c r="D480" s="100"/>
    </row>
    <row r="481">
      <c r="C481" s="100"/>
      <c r="D481" s="100"/>
    </row>
    <row r="482">
      <c r="C482" s="100"/>
      <c r="D482" s="100"/>
    </row>
    <row r="483">
      <c r="C483" s="100"/>
      <c r="D483" s="100"/>
    </row>
    <row r="484">
      <c r="C484" s="100"/>
      <c r="D484" s="100"/>
    </row>
    <row r="485">
      <c r="C485" s="100"/>
      <c r="D485" s="100"/>
    </row>
    <row r="486">
      <c r="C486" s="100"/>
      <c r="D486" s="100"/>
    </row>
    <row r="487">
      <c r="C487" s="100"/>
      <c r="D487" s="100"/>
    </row>
    <row r="488">
      <c r="C488" s="100"/>
      <c r="D488" s="100"/>
    </row>
    <row r="489">
      <c r="C489" s="100"/>
      <c r="D489" s="100"/>
    </row>
    <row r="490">
      <c r="C490" s="100"/>
      <c r="D490" s="100"/>
    </row>
    <row r="491">
      <c r="C491" s="100"/>
      <c r="D491" s="100"/>
    </row>
    <row r="492">
      <c r="C492" s="100"/>
      <c r="D492" s="100"/>
    </row>
    <row r="493">
      <c r="C493" s="100"/>
      <c r="D493" s="100"/>
    </row>
    <row r="494">
      <c r="C494" s="100"/>
      <c r="D494" s="100"/>
    </row>
    <row r="495">
      <c r="C495" s="100"/>
      <c r="D495" s="100"/>
    </row>
    <row r="496">
      <c r="C496" s="100"/>
      <c r="D496" s="100"/>
    </row>
    <row r="497">
      <c r="C497" s="100"/>
      <c r="D497" s="100"/>
    </row>
    <row r="498">
      <c r="C498" s="100"/>
      <c r="D498" s="100"/>
    </row>
    <row r="499">
      <c r="C499" s="100"/>
      <c r="D499" s="100"/>
    </row>
    <row r="500">
      <c r="C500" s="100"/>
      <c r="D500" s="100"/>
    </row>
    <row r="501">
      <c r="C501" s="100"/>
      <c r="D501" s="100"/>
    </row>
    <row r="502">
      <c r="C502" s="100"/>
      <c r="D502" s="100"/>
    </row>
    <row r="503">
      <c r="C503" s="100"/>
      <c r="D503" s="100"/>
    </row>
    <row r="504">
      <c r="C504" s="100"/>
      <c r="D504" s="100"/>
    </row>
    <row r="505">
      <c r="C505" s="100"/>
      <c r="D505" s="100"/>
    </row>
    <row r="506">
      <c r="C506" s="100"/>
      <c r="D506" s="100"/>
    </row>
    <row r="507">
      <c r="C507" s="100"/>
      <c r="D507" s="100"/>
    </row>
    <row r="508">
      <c r="C508" s="100"/>
      <c r="D508" s="100"/>
    </row>
    <row r="509">
      <c r="C509" s="100"/>
      <c r="D509" s="100"/>
    </row>
    <row r="510">
      <c r="C510" s="100"/>
      <c r="D510" s="100"/>
    </row>
    <row r="511">
      <c r="C511" s="100"/>
      <c r="D511" s="100"/>
    </row>
    <row r="512">
      <c r="C512" s="100"/>
      <c r="D512" s="100"/>
    </row>
    <row r="513">
      <c r="C513" s="100"/>
      <c r="D513" s="100"/>
    </row>
    <row r="514">
      <c r="C514" s="100"/>
      <c r="D514" s="100"/>
    </row>
    <row r="515">
      <c r="C515" s="100"/>
      <c r="D515" s="100"/>
    </row>
    <row r="516">
      <c r="C516" s="100"/>
      <c r="D516" s="100"/>
    </row>
    <row r="517">
      <c r="C517" s="100"/>
      <c r="D517" s="100"/>
    </row>
    <row r="518">
      <c r="C518" s="100"/>
      <c r="D518" s="100"/>
    </row>
    <row r="519">
      <c r="C519" s="100"/>
      <c r="D519" s="100"/>
    </row>
    <row r="520">
      <c r="C520" s="100"/>
      <c r="D520" s="100"/>
    </row>
    <row r="521">
      <c r="C521" s="100"/>
      <c r="D521" s="100"/>
    </row>
    <row r="522">
      <c r="C522" s="100"/>
      <c r="D522" s="100"/>
    </row>
    <row r="523">
      <c r="C523" s="100"/>
      <c r="D523" s="100"/>
    </row>
    <row r="524">
      <c r="C524" s="100"/>
      <c r="D524" s="100"/>
    </row>
    <row r="525">
      <c r="C525" s="100"/>
      <c r="D525" s="100"/>
    </row>
    <row r="526">
      <c r="C526" s="100"/>
      <c r="D526" s="100"/>
    </row>
    <row r="527">
      <c r="C527" s="100"/>
      <c r="D527" s="100"/>
    </row>
    <row r="528">
      <c r="C528" s="100"/>
      <c r="D528" s="100"/>
    </row>
    <row r="529">
      <c r="C529" s="100"/>
      <c r="D529" s="100"/>
    </row>
    <row r="530">
      <c r="C530" s="100"/>
      <c r="D530" s="100"/>
    </row>
    <row r="531">
      <c r="C531" s="100"/>
      <c r="D531" s="100"/>
    </row>
    <row r="532">
      <c r="C532" s="100"/>
      <c r="D532" s="100"/>
    </row>
    <row r="533">
      <c r="C533" s="100"/>
      <c r="D533" s="100"/>
    </row>
    <row r="534">
      <c r="C534" s="100"/>
      <c r="D534" s="100"/>
    </row>
    <row r="535">
      <c r="C535" s="100"/>
      <c r="D535" s="100"/>
    </row>
    <row r="536">
      <c r="C536" s="100"/>
      <c r="D536" s="100"/>
    </row>
    <row r="537">
      <c r="C537" s="100"/>
      <c r="D537" s="100"/>
    </row>
    <row r="538">
      <c r="C538" s="100"/>
      <c r="D538" s="100"/>
    </row>
    <row r="539">
      <c r="C539" s="100"/>
      <c r="D539" s="100"/>
    </row>
    <row r="540">
      <c r="C540" s="100"/>
      <c r="D540" s="100"/>
    </row>
    <row r="541">
      <c r="C541" s="100"/>
      <c r="D541" s="100"/>
    </row>
    <row r="542">
      <c r="C542" s="100"/>
      <c r="D542" s="100"/>
    </row>
    <row r="543">
      <c r="C543" s="100"/>
      <c r="D543" s="100"/>
    </row>
    <row r="544">
      <c r="C544" s="100"/>
      <c r="D544" s="100"/>
    </row>
    <row r="545">
      <c r="C545" s="100"/>
      <c r="D545" s="100"/>
    </row>
    <row r="546">
      <c r="C546" s="100"/>
      <c r="D546" s="100"/>
    </row>
    <row r="547">
      <c r="C547" s="100"/>
      <c r="D547" s="100"/>
    </row>
    <row r="548">
      <c r="C548" s="100"/>
      <c r="D548" s="100"/>
    </row>
    <row r="549">
      <c r="C549" s="100"/>
      <c r="D549" s="100"/>
    </row>
    <row r="550">
      <c r="C550" s="100"/>
      <c r="D550" s="100"/>
    </row>
    <row r="551">
      <c r="C551" s="100"/>
      <c r="D551" s="100"/>
    </row>
    <row r="552">
      <c r="C552" s="100"/>
      <c r="D552" s="100"/>
    </row>
    <row r="553">
      <c r="C553" s="100"/>
      <c r="D553" s="100"/>
    </row>
    <row r="554">
      <c r="C554" s="100"/>
      <c r="D554" s="100"/>
    </row>
    <row r="555">
      <c r="C555" s="100"/>
      <c r="D555" s="100"/>
    </row>
    <row r="556">
      <c r="C556" s="100"/>
      <c r="D556" s="100"/>
    </row>
    <row r="557">
      <c r="C557" s="100"/>
      <c r="D557" s="100"/>
    </row>
    <row r="558">
      <c r="C558" s="100"/>
      <c r="D558" s="100"/>
    </row>
    <row r="559">
      <c r="C559" s="100"/>
      <c r="D559" s="100"/>
    </row>
    <row r="560">
      <c r="C560" s="100"/>
      <c r="D560" s="100"/>
    </row>
    <row r="561">
      <c r="C561" s="100"/>
      <c r="D561" s="100"/>
    </row>
    <row r="562">
      <c r="C562" s="100"/>
      <c r="D562" s="100"/>
    </row>
    <row r="563">
      <c r="C563" s="100"/>
      <c r="D563" s="100"/>
    </row>
    <row r="564">
      <c r="C564" s="100"/>
      <c r="D564" s="100"/>
    </row>
    <row r="565">
      <c r="C565" s="100"/>
      <c r="D565" s="100"/>
    </row>
    <row r="566">
      <c r="C566" s="100"/>
      <c r="D566" s="100"/>
    </row>
    <row r="567">
      <c r="C567" s="100"/>
      <c r="D567" s="100"/>
    </row>
    <row r="568">
      <c r="C568" s="100"/>
      <c r="D568" s="100"/>
    </row>
    <row r="569">
      <c r="C569" s="100"/>
      <c r="D569" s="100"/>
    </row>
    <row r="570">
      <c r="C570" s="100"/>
      <c r="D570" s="100"/>
    </row>
    <row r="571">
      <c r="C571" s="100"/>
      <c r="D571" s="100"/>
    </row>
    <row r="572">
      <c r="C572" s="100"/>
      <c r="D572" s="100"/>
    </row>
    <row r="573">
      <c r="C573" s="100"/>
      <c r="D573" s="100"/>
    </row>
    <row r="574">
      <c r="C574" s="100"/>
      <c r="D574" s="100"/>
    </row>
    <row r="575">
      <c r="C575" s="100"/>
      <c r="D575" s="100"/>
    </row>
    <row r="576">
      <c r="C576" s="100"/>
      <c r="D576" s="100"/>
    </row>
    <row r="577">
      <c r="C577" s="100"/>
      <c r="D577" s="100"/>
    </row>
    <row r="578">
      <c r="C578" s="100"/>
      <c r="D578" s="100"/>
    </row>
    <row r="579">
      <c r="C579" s="100"/>
      <c r="D579" s="100"/>
    </row>
    <row r="580">
      <c r="C580" s="100"/>
      <c r="D580" s="100"/>
    </row>
    <row r="581">
      <c r="C581" s="100"/>
      <c r="D581" s="100"/>
    </row>
    <row r="582">
      <c r="C582" s="100"/>
      <c r="D582" s="100"/>
    </row>
    <row r="583">
      <c r="C583" s="100"/>
      <c r="D583" s="100"/>
    </row>
    <row r="584">
      <c r="C584" s="100"/>
      <c r="D584" s="100"/>
    </row>
    <row r="585">
      <c r="C585" s="100"/>
      <c r="D585" s="100"/>
    </row>
    <row r="586">
      <c r="C586" s="100"/>
      <c r="D586" s="100"/>
    </row>
    <row r="587">
      <c r="C587" s="100"/>
      <c r="D587" s="100"/>
    </row>
    <row r="588">
      <c r="C588" s="100"/>
      <c r="D588" s="100"/>
    </row>
    <row r="589">
      <c r="C589" s="100"/>
      <c r="D589" s="100"/>
    </row>
    <row r="590">
      <c r="C590" s="100"/>
      <c r="D590" s="100"/>
    </row>
    <row r="591">
      <c r="C591" s="100"/>
      <c r="D591" s="100"/>
    </row>
    <row r="592">
      <c r="C592" s="100"/>
      <c r="D592" s="100"/>
    </row>
    <row r="593">
      <c r="C593" s="100"/>
      <c r="D593" s="100"/>
    </row>
    <row r="594">
      <c r="C594" s="100"/>
      <c r="D594" s="100"/>
    </row>
    <row r="595">
      <c r="C595" s="100"/>
      <c r="D595" s="100"/>
    </row>
    <row r="596">
      <c r="C596" s="100"/>
      <c r="D596" s="100"/>
    </row>
    <row r="597">
      <c r="C597" s="100"/>
      <c r="D597" s="100"/>
    </row>
    <row r="598">
      <c r="C598" s="100"/>
      <c r="D598" s="100"/>
    </row>
    <row r="599">
      <c r="C599" s="100"/>
      <c r="D599" s="100"/>
    </row>
    <row r="600">
      <c r="C600" s="100"/>
      <c r="D600" s="100"/>
    </row>
    <row r="601">
      <c r="C601" s="100"/>
      <c r="D601" s="100"/>
    </row>
    <row r="602">
      <c r="C602" s="100"/>
      <c r="D602" s="100"/>
    </row>
    <row r="603">
      <c r="C603" s="100"/>
      <c r="D603" s="100"/>
    </row>
    <row r="604">
      <c r="C604" s="100"/>
      <c r="D604" s="100"/>
    </row>
    <row r="605">
      <c r="C605" s="100"/>
      <c r="D605" s="100"/>
    </row>
    <row r="606">
      <c r="C606" s="100"/>
      <c r="D606" s="100"/>
    </row>
    <row r="607">
      <c r="C607" s="100"/>
      <c r="D607" s="100"/>
    </row>
    <row r="608">
      <c r="C608" s="100"/>
      <c r="D608" s="100"/>
    </row>
    <row r="609">
      <c r="C609" s="100"/>
      <c r="D609" s="100"/>
    </row>
    <row r="610">
      <c r="C610" s="100"/>
      <c r="D610" s="100"/>
    </row>
    <row r="611">
      <c r="C611" s="100"/>
      <c r="D611" s="100"/>
    </row>
    <row r="612">
      <c r="C612" s="100"/>
      <c r="D612" s="100"/>
    </row>
    <row r="613">
      <c r="C613" s="100"/>
      <c r="D613" s="100"/>
    </row>
    <row r="614">
      <c r="C614" s="100"/>
      <c r="D614" s="100"/>
    </row>
    <row r="615">
      <c r="C615" s="100"/>
      <c r="D615" s="100"/>
    </row>
    <row r="616">
      <c r="C616" s="100"/>
      <c r="D616" s="100"/>
    </row>
    <row r="617">
      <c r="C617" s="100"/>
      <c r="D617" s="100"/>
    </row>
    <row r="618">
      <c r="C618" s="100"/>
      <c r="D618" s="100"/>
    </row>
    <row r="619">
      <c r="C619" s="100"/>
      <c r="D619" s="100"/>
    </row>
    <row r="620">
      <c r="C620" s="100"/>
      <c r="D620" s="100"/>
    </row>
    <row r="621">
      <c r="C621" s="100"/>
      <c r="D621" s="100"/>
    </row>
    <row r="622">
      <c r="C622" s="100"/>
      <c r="D622" s="100"/>
    </row>
    <row r="623">
      <c r="C623" s="100"/>
      <c r="D623" s="100"/>
    </row>
    <row r="624">
      <c r="C624" s="100"/>
      <c r="D624" s="100"/>
    </row>
    <row r="625">
      <c r="C625" s="100"/>
      <c r="D625" s="100"/>
    </row>
    <row r="626">
      <c r="C626" s="100"/>
      <c r="D626" s="100"/>
    </row>
    <row r="627">
      <c r="C627" s="100"/>
      <c r="D627" s="100"/>
    </row>
    <row r="628">
      <c r="C628" s="100"/>
      <c r="D628" s="100"/>
    </row>
    <row r="629">
      <c r="C629" s="100"/>
      <c r="D629" s="100"/>
    </row>
    <row r="630">
      <c r="C630" s="100"/>
      <c r="D630" s="100"/>
    </row>
    <row r="631">
      <c r="C631" s="100"/>
      <c r="D631" s="100"/>
    </row>
    <row r="632">
      <c r="C632" s="100"/>
      <c r="D632" s="100"/>
    </row>
    <row r="633">
      <c r="C633" s="100"/>
      <c r="D633" s="100"/>
    </row>
    <row r="634">
      <c r="C634" s="100"/>
      <c r="D634" s="100"/>
    </row>
    <row r="635">
      <c r="C635" s="100"/>
      <c r="D635" s="100"/>
    </row>
    <row r="636">
      <c r="C636" s="100"/>
      <c r="D636" s="100"/>
    </row>
    <row r="637">
      <c r="C637" s="100"/>
      <c r="D637" s="100"/>
    </row>
    <row r="638">
      <c r="C638" s="100"/>
      <c r="D638" s="100"/>
    </row>
    <row r="639">
      <c r="C639" s="100"/>
      <c r="D639" s="100"/>
    </row>
    <row r="640">
      <c r="C640" s="100"/>
      <c r="D640" s="100"/>
    </row>
    <row r="641">
      <c r="C641" s="100"/>
      <c r="D641" s="100"/>
    </row>
    <row r="642">
      <c r="C642" s="100"/>
      <c r="D642" s="100"/>
    </row>
    <row r="643">
      <c r="C643" s="100"/>
      <c r="D643" s="100"/>
    </row>
    <row r="644">
      <c r="C644" s="100"/>
      <c r="D644" s="100"/>
    </row>
    <row r="645">
      <c r="C645" s="100"/>
      <c r="D645" s="100"/>
    </row>
    <row r="646">
      <c r="C646" s="100"/>
      <c r="D646" s="100"/>
    </row>
    <row r="647">
      <c r="C647" s="100"/>
      <c r="D647" s="100"/>
    </row>
    <row r="648">
      <c r="C648" s="100"/>
      <c r="D648" s="100"/>
    </row>
    <row r="649">
      <c r="C649" s="100"/>
      <c r="D649" s="100"/>
    </row>
    <row r="650">
      <c r="C650" s="100"/>
      <c r="D650" s="100"/>
    </row>
    <row r="651">
      <c r="C651" s="100"/>
      <c r="D651" s="100"/>
    </row>
    <row r="652">
      <c r="C652" s="100"/>
      <c r="D652" s="100"/>
    </row>
    <row r="653">
      <c r="C653" s="100"/>
      <c r="D653" s="100"/>
    </row>
    <row r="654">
      <c r="C654" s="100"/>
      <c r="D654" s="100"/>
    </row>
    <row r="655">
      <c r="C655" s="100"/>
      <c r="D655" s="100"/>
    </row>
    <row r="656">
      <c r="C656" s="100"/>
      <c r="D656" s="100"/>
    </row>
    <row r="657">
      <c r="C657" s="100"/>
      <c r="D657" s="100"/>
    </row>
    <row r="658">
      <c r="C658" s="100"/>
      <c r="D658" s="100"/>
    </row>
    <row r="659">
      <c r="C659" s="100"/>
      <c r="D659" s="100"/>
    </row>
    <row r="660">
      <c r="C660" s="100"/>
      <c r="D660" s="100"/>
    </row>
    <row r="661">
      <c r="C661" s="100"/>
      <c r="D661" s="100"/>
    </row>
    <row r="662">
      <c r="C662" s="100"/>
      <c r="D662" s="100"/>
    </row>
    <row r="663">
      <c r="C663" s="100"/>
      <c r="D663" s="100"/>
    </row>
    <row r="664">
      <c r="C664" s="100"/>
      <c r="D664" s="100"/>
    </row>
    <row r="665">
      <c r="C665" s="100"/>
      <c r="D665" s="100"/>
    </row>
    <row r="666">
      <c r="C666" s="100"/>
      <c r="D666" s="100"/>
    </row>
    <row r="667">
      <c r="C667" s="100"/>
      <c r="D667" s="100"/>
    </row>
    <row r="668">
      <c r="C668" s="100"/>
      <c r="D668" s="100"/>
    </row>
    <row r="669">
      <c r="C669" s="100"/>
      <c r="D669" s="100"/>
    </row>
    <row r="670">
      <c r="C670" s="100"/>
      <c r="D670" s="100"/>
    </row>
    <row r="671">
      <c r="C671" s="100"/>
      <c r="D671" s="100"/>
    </row>
    <row r="672">
      <c r="C672" s="100"/>
      <c r="D672" s="100"/>
    </row>
    <row r="673">
      <c r="C673" s="100"/>
      <c r="D673" s="100"/>
    </row>
    <row r="674">
      <c r="C674" s="100"/>
      <c r="D674" s="100"/>
    </row>
    <row r="675">
      <c r="C675" s="100"/>
      <c r="D675" s="100"/>
    </row>
    <row r="676">
      <c r="C676" s="100"/>
      <c r="D676" s="100"/>
    </row>
    <row r="677">
      <c r="C677" s="100"/>
      <c r="D677" s="100"/>
    </row>
    <row r="678">
      <c r="C678" s="100"/>
      <c r="D678" s="100"/>
    </row>
    <row r="679">
      <c r="C679" s="100"/>
      <c r="D679" s="100"/>
    </row>
    <row r="680">
      <c r="C680" s="100"/>
      <c r="D680" s="100"/>
    </row>
    <row r="681">
      <c r="C681" s="100"/>
      <c r="D681" s="100"/>
    </row>
    <row r="682">
      <c r="C682" s="100"/>
      <c r="D682" s="100"/>
    </row>
    <row r="683">
      <c r="C683" s="100"/>
      <c r="D683" s="100"/>
    </row>
    <row r="684">
      <c r="C684" s="100"/>
      <c r="D684" s="100"/>
    </row>
    <row r="685">
      <c r="C685" s="100"/>
      <c r="D685" s="100"/>
    </row>
    <row r="686">
      <c r="C686" s="100"/>
      <c r="D686" s="100"/>
    </row>
    <row r="687">
      <c r="C687" s="100"/>
      <c r="D687" s="100"/>
    </row>
    <row r="688">
      <c r="C688" s="100"/>
      <c r="D688" s="100"/>
    </row>
    <row r="689">
      <c r="C689" s="100"/>
      <c r="D689" s="100"/>
    </row>
    <row r="690">
      <c r="C690" s="100"/>
      <c r="D690" s="100"/>
    </row>
    <row r="691">
      <c r="C691" s="100"/>
      <c r="D691" s="100"/>
    </row>
    <row r="692">
      <c r="C692" s="100"/>
      <c r="D692" s="100"/>
    </row>
    <row r="693">
      <c r="C693" s="100"/>
      <c r="D693" s="100"/>
    </row>
    <row r="694">
      <c r="C694" s="100"/>
      <c r="D694" s="100"/>
    </row>
    <row r="695">
      <c r="C695" s="100"/>
      <c r="D695" s="100"/>
    </row>
    <row r="696">
      <c r="C696" s="100"/>
      <c r="D696" s="100"/>
    </row>
    <row r="697">
      <c r="C697" s="100"/>
      <c r="D697" s="100"/>
    </row>
    <row r="698">
      <c r="C698" s="100"/>
      <c r="D698" s="100"/>
    </row>
    <row r="699">
      <c r="C699" s="100"/>
      <c r="D699" s="100"/>
    </row>
    <row r="700">
      <c r="C700" s="100"/>
      <c r="D700" s="100"/>
    </row>
    <row r="701">
      <c r="C701" s="100"/>
      <c r="D701" s="100"/>
    </row>
    <row r="702">
      <c r="C702" s="100"/>
      <c r="D702" s="100"/>
    </row>
    <row r="703">
      <c r="C703" s="100"/>
      <c r="D703" s="100"/>
    </row>
    <row r="704">
      <c r="C704" s="100"/>
      <c r="D704" s="100"/>
    </row>
    <row r="705">
      <c r="C705" s="100"/>
      <c r="D705" s="100"/>
    </row>
    <row r="706">
      <c r="C706" s="100"/>
      <c r="D706" s="100"/>
    </row>
    <row r="707">
      <c r="C707" s="100"/>
      <c r="D707" s="100"/>
    </row>
    <row r="708">
      <c r="C708" s="100"/>
      <c r="D708" s="100"/>
    </row>
    <row r="709">
      <c r="C709" s="100"/>
      <c r="D709" s="100"/>
    </row>
    <row r="710">
      <c r="C710" s="100"/>
      <c r="D710" s="100"/>
    </row>
    <row r="711">
      <c r="C711" s="100"/>
      <c r="D711" s="100"/>
    </row>
    <row r="712">
      <c r="C712" s="100"/>
      <c r="D712" s="100"/>
    </row>
    <row r="713">
      <c r="C713" s="100"/>
      <c r="D713" s="100"/>
    </row>
    <row r="714">
      <c r="C714" s="100"/>
      <c r="D714" s="100"/>
    </row>
    <row r="715">
      <c r="C715" s="100"/>
      <c r="D715" s="100"/>
    </row>
    <row r="716">
      <c r="C716" s="100"/>
      <c r="D716" s="100"/>
    </row>
    <row r="717">
      <c r="C717" s="100"/>
      <c r="D717" s="100"/>
    </row>
    <row r="718">
      <c r="C718" s="100"/>
      <c r="D718" s="100"/>
    </row>
    <row r="719">
      <c r="C719" s="100"/>
      <c r="D719" s="100"/>
    </row>
    <row r="720">
      <c r="C720" s="100"/>
      <c r="D720" s="100"/>
    </row>
    <row r="721">
      <c r="C721" s="100"/>
      <c r="D721" s="100"/>
    </row>
    <row r="722">
      <c r="C722" s="100"/>
      <c r="D722" s="100"/>
    </row>
    <row r="723">
      <c r="C723" s="100"/>
      <c r="D723" s="100"/>
    </row>
    <row r="724">
      <c r="C724" s="100"/>
      <c r="D724" s="100"/>
    </row>
    <row r="725">
      <c r="C725" s="100"/>
      <c r="D725" s="100"/>
    </row>
    <row r="726">
      <c r="C726" s="100"/>
      <c r="D726" s="100"/>
    </row>
    <row r="727">
      <c r="C727" s="100"/>
      <c r="D727" s="100"/>
    </row>
    <row r="728">
      <c r="C728" s="100"/>
      <c r="D728" s="100"/>
    </row>
    <row r="729">
      <c r="C729" s="100"/>
      <c r="D729" s="100"/>
    </row>
    <row r="730">
      <c r="C730" s="100"/>
      <c r="D730" s="100"/>
    </row>
    <row r="731">
      <c r="C731" s="100"/>
      <c r="D731" s="100"/>
    </row>
    <row r="732">
      <c r="C732" s="100"/>
      <c r="D732" s="100"/>
    </row>
    <row r="733">
      <c r="C733" s="100"/>
      <c r="D733" s="100"/>
    </row>
    <row r="734">
      <c r="C734" s="100"/>
      <c r="D734" s="100"/>
    </row>
    <row r="735">
      <c r="C735" s="100"/>
      <c r="D735" s="100"/>
    </row>
    <row r="736">
      <c r="C736" s="100"/>
      <c r="D736" s="100"/>
    </row>
    <row r="737">
      <c r="C737" s="100"/>
      <c r="D737" s="100"/>
    </row>
    <row r="738">
      <c r="C738" s="100"/>
      <c r="D738" s="100"/>
    </row>
    <row r="739">
      <c r="C739" s="100"/>
      <c r="D739" s="100"/>
    </row>
    <row r="740">
      <c r="C740" s="100"/>
      <c r="D740" s="100"/>
    </row>
    <row r="741">
      <c r="C741" s="100"/>
      <c r="D741" s="100"/>
    </row>
    <row r="742">
      <c r="C742" s="100"/>
      <c r="D742" s="100"/>
    </row>
    <row r="743">
      <c r="C743" s="100"/>
      <c r="D743" s="100"/>
    </row>
    <row r="744">
      <c r="C744" s="100"/>
      <c r="D744" s="100"/>
    </row>
    <row r="745">
      <c r="C745" s="100"/>
      <c r="D745" s="100"/>
    </row>
    <row r="746">
      <c r="C746" s="100"/>
      <c r="D746" s="100"/>
    </row>
    <row r="747">
      <c r="C747" s="100"/>
      <c r="D747" s="100"/>
    </row>
    <row r="748">
      <c r="C748" s="100"/>
      <c r="D748" s="100"/>
    </row>
    <row r="749">
      <c r="C749" s="100"/>
      <c r="D749" s="100"/>
    </row>
    <row r="750">
      <c r="C750" s="100"/>
      <c r="D750" s="100"/>
    </row>
    <row r="751">
      <c r="C751" s="100"/>
      <c r="D751" s="100"/>
    </row>
    <row r="752">
      <c r="C752" s="100"/>
      <c r="D752" s="100"/>
    </row>
    <row r="753">
      <c r="C753" s="100"/>
      <c r="D753" s="100"/>
    </row>
    <row r="754">
      <c r="C754" s="100"/>
      <c r="D754" s="100"/>
    </row>
    <row r="755">
      <c r="C755" s="100"/>
      <c r="D755" s="100"/>
    </row>
    <row r="756">
      <c r="C756" s="100"/>
      <c r="D756" s="100"/>
    </row>
    <row r="757">
      <c r="C757" s="100"/>
      <c r="D757" s="100"/>
    </row>
    <row r="758">
      <c r="C758" s="100"/>
      <c r="D758" s="100"/>
    </row>
    <row r="759">
      <c r="C759" s="100"/>
      <c r="D759" s="100"/>
    </row>
    <row r="760">
      <c r="C760" s="100"/>
      <c r="D760" s="100"/>
    </row>
    <row r="761">
      <c r="C761" s="100"/>
      <c r="D761" s="100"/>
    </row>
    <row r="762">
      <c r="C762" s="100"/>
      <c r="D762" s="100"/>
    </row>
    <row r="763">
      <c r="C763" s="100"/>
      <c r="D763" s="100"/>
    </row>
    <row r="764">
      <c r="C764" s="100"/>
      <c r="D764" s="100"/>
    </row>
    <row r="765">
      <c r="C765" s="100"/>
      <c r="D765" s="100"/>
    </row>
    <row r="766">
      <c r="C766" s="100"/>
      <c r="D766" s="100"/>
    </row>
    <row r="767">
      <c r="C767" s="100"/>
      <c r="D767" s="100"/>
    </row>
    <row r="768">
      <c r="C768" s="100"/>
      <c r="D768" s="100"/>
    </row>
    <row r="769">
      <c r="C769" s="100"/>
      <c r="D769" s="100"/>
    </row>
    <row r="770">
      <c r="C770" s="100"/>
      <c r="D770" s="100"/>
    </row>
    <row r="771">
      <c r="C771" s="100"/>
      <c r="D771" s="100"/>
    </row>
    <row r="772">
      <c r="C772" s="100"/>
      <c r="D772" s="100"/>
    </row>
    <row r="773">
      <c r="C773" s="100"/>
      <c r="D773" s="100"/>
    </row>
    <row r="774">
      <c r="C774" s="100"/>
      <c r="D774" s="100"/>
    </row>
    <row r="775">
      <c r="C775" s="100"/>
      <c r="D775" s="100"/>
    </row>
    <row r="776">
      <c r="C776" s="100"/>
      <c r="D776" s="100"/>
    </row>
    <row r="777">
      <c r="C777" s="100"/>
      <c r="D777" s="100"/>
    </row>
    <row r="778">
      <c r="C778" s="100"/>
      <c r="D778" s="100"/>
    </row>
    <row r="779">
      <c r="C779" s="100"/>
      <c r="D779" s="100"/>
    </row>
    <row r="780">
      <c r="C780" s="100"/>
      <c r="D780" s="100"/>
    </row>
    <row r="781">
      <c r="C781" s="100"/>
      <c r="D781" s="100"/>
    </row>
    <row r="782">
      <c r="C782" s="100"/>
      <c r="D782" s="100"/>
    </row>
    <row r="783">
      <c r="C783" s="100"/>
      <c r="D783" s="100"/>
    </row>
    <row r="784">
      <c r="C784" s="100"/>
      <c r="D784" s="100"/>
    </row>
    <row r="785">
      <c r="C785" s="100"/>
      <c r="D785" s="100"/>
    </row>
    <row r="786">
      <c r="C786" s="100"/>
      <c r="D786" s="100"/>
    </row>
    <row r="787">
      <c r="C787" s="100"/>
      <c r="D787" s="100"/>
    </row>
    <row r="788">
      <c r="C788" s="100"/>
      <c r="D788" s="100"/>
    </row>
    <row r="789">
      <c r="C789" s="100"/>
      <c r="D789" s="100"/>
    </row>
    <row r="790">
      <c r="C790" s="100"/>
      <c r="D790" s="100"/>
    </row>
    <row r="791">
      <c r="C791" s="100"/>
      <c r="D791" s="100"/>
    </row>
    <row r="792">
      <c r="C792" s="100"/>
      <c r="D792" s="100"/>
    </row>
    <row r="793">
      <c r="C793" s="100"/>
      <c r="D793" s="100"/>
    </row>
    <row r="794">
      <c r="C794" s="100"/>
      <c r="D794" s="100"/>
    </row>
    <row r="795">
      <c r="C795" s="100"/>
      <c r="D795" s="100"/>
    </row>
    <row r="796">
      <c r="C796" s="100"/>
      <c r="D796" s="100"/>
    </row>
    <row r="797">
      <c r="C797" s="100"/>
      <c r="D797" s="100"/>
    </row>
    <row r="798">
      <c r="C798" s="100"/>
      <c r="D798" s="100"/>
    </row>
    <row r="799">
      <c r="C799" s="100"/>
      <c r="D799" s="100"/>
    </row>
    <row r="800">
      <c r="C800" s="100"/>
      <c r="D800" s="100"/>
    </row>
    <row r="801">
      <c r="C801" s="100"/>
      <c r="D801" s="100"/>
    </row>
    <row r="802">
      <c r="C802" s="100"/>
      <c r="D802" s="100"/>
    </row>
    <row r="803">
      <c r="C803" s="100"/>
      <c r="D803" s="100"/>
    </row>
    <row r="804">
      <c r="C804" s="100"/>
      <c r="D804" s="100"/>
    </row>
    <row r="805">
      <c r="C805" s="100"/>
      <c r="D805" s="100"/>
    </row>
    <row r="806">
      <c r="C806" s="100"/>
      <c r="D806" s="100"/>
    </row>
    <row r="807">
      <c r="C807" s="100"/>
      <c r="D807" s="100"/>
    </row>
    <row r="808">
      <c r="C808" s="100"/>
      <c r="D808" s="100"/>
    </row>
    <row r="809">
      <c r="C809" s="100"/>
      <c r="D809" s="100"/>
    </row>
    <row r="810">
      <c r="C810" s="100"/>
      <c r="D810" s="100"/>
    </row>
    <row r="811">
      <c r="C811" s="100"/>
      <c r="D811" s="100"/>
    </row>
    <row r="812">
      <c r="C812" s="100"/>
      <c r="D812" s="100"/>
    </row>
    <row r="813">
      <c r="C813" s="100"/>
      <c r="D813" s="100"/>
    </row>
    <row r="814">
      <c r="C814" s="100"/>
      <c r="D814" s="100"/>
    </row>
    <row r="815">
      <c r="C815" s="100"/>
      <c r="D815" s="100"/>
    </row>
    <row r="816">
      <c r="C816" s="100"/>
      <c r="D816" s="100"/>
    </row>
    <row r="817">
      <c r="C817" s="100"/>
      <c r="D817" s="100"/>
    </row>
    <row r="818">
      <c r="C818" s="100"/>
      <c r="D818" s="100"/>
    </row>
    <row r="819">
      <c r="C819" s="100"/>
      <c r="D819" s="100"/>
    </row>
    <row r="820">
      <c r="C820" s="100"/>
      <c r="D820" s="100"/>
    </row>
    <row r="821">
      <c r="C821" s="100"/>
      <c r="D821" s="100"/>
    </row>
    <row r="822">
      <c r="C822" s="100"/>
      <c r="D822" s="100"/>
    </row>
    <row r="823">
      <c r="C823" s="100"/>
      <c r="D823" s="100"/>
    </row>
    <row r="824">
      <c r="C824" s="100"/>
      <c r="D824" s="100"/>
    </row>
    <row r="825">
      <c r="C825" s="100"/>
      <c r="D825" s="100"/>
    </row>
    <row r="826">
      <c r="C826" s="100"/>
      <c r="D826" s="100"/>
    </row>
    <row r="827">
      <c r="C827" s="100"/>
      <c r="D827" s="100"/>
    </row>
    <row r="828">
      <c r="C828" s="100"/>
      <c r="D828" s="100"/>
    </row>
    <row r="829">
      <c r="C829" s="100"/>
      <c r="D829" s="100"/>
    </row>
    <row r="830">
      <c r="C830" s="100"/>
      <c r="D830" s="100"/>
    </row>
    <row r="831">
      <c r="C831" s="100"/>
      <c r="D831" s="100"/>
    </row>
    <row r="832">
      <c r="C832" s="100"/>
      <c r="D832" s="100"/>
    </row>
    <row r="833">
      <c r="C833" s="100"/>
      <c r="D833" s="100"/>
    </row>
    <row r="834">
      <c r="C834" s="100"/>
      <c r="D834" s="100"/>
    </row>
    <row r="835">
      <c r="C835" s="100"/>
      <c r="D835" s="100"/>
    </row>
    <row r="836">
      <c r="C836" s="100"/>
      <c r="D836" s="100"/>
    </row>
    <row r="837">
      <c r="C837" s="100"/>
      <c r="D837" s="100"/>
    </row>
    <row r="838">
      <c r="C838" s="100"/>
      <c r="D838" s="100"/>
    </row>
    <row r="839">
      <c r="C839" s="100"/>
      <c r="D839" s="100"/>
    </row>
    <row r="840">
      <c r="C840" s="100"/>
      <c r="D840" s="100"/>
    </row>
    <row r="841">
      <c r="C841" s="100"/>
      <c r="D841" s="100"/>
    </row>
    <row r="842">
      <c r="C842" s="100"/>
      <c r="D842" s="100"/>
    </row>
    <row r="843">
      <c r="C843" s="100"/>
      <c r="D843" s="100"/>
    </row>
    <row r="844">
      <c r="C844" s="100"/>
      <c r="D844" s="100"/>
    </row>
    <row r="845">
      <c r="C845" s="100"/>
      <c r="D845" s="100"/>
    </row>
    <row r="846">
      <c r="C846" s="100"/>
      <c r="D846" s="100"/>
    </row>
    <row r="847">
      <c r="C847" s="100"/>
      <c r="D847" s="100"/>
    </row>
    <row r="848">
      <c r="C848" s="100"/>
      <c r="D848" s="100"/>
    </row>
    <row r="849">
      <c r="C849" s="100"/>
      <c r="D849" s="100"/>
    </row>
    <row r="850">
      <c r="C850" s="100"/>
      <c r="D850" s="100"/>
    </row>
    <row r="851">
      <c r="C851" s="100"/>
      <c r="D851" s="100"/>
    </row>
    <row r="852">
      <c r="C852" s="100"/>
      <c r="D852" s="100"/>
    </row>
    <row r="853">
      <c r="C853" s="100"/>
      <c r="D853" s="100"/>
    </row>
    <row r="854">
      <c r="C854" s="100"/>
      <c r="D854" s="100"/>
    </row>
    <row r="855">
      <c r="C855" s="100"/>
      <c r="D855" s="100"/>
    </row>
    <row r="856">
      <c r="C856" s="100"/>
      <c r="D856" s="100"/>
    </row>
    <row r="857">
      <c r="C857" s="100"/>
      <c r="D857" s="100"/>
    </row>
    <row r="858">
      <c r="C858" s="100"/>
      <c r="D858" s="100"/>
    </row>
    <row r="859">
      <c r="C859" s="100"/>
      <c r="D859" s="100"/>
    </row>
    <row r="860">
      <c r="C860" s="100"/>
      <c r="D860" s="100"/>
    </row>
    <row r="861">
      <c r="C861" s="100"/>
      <c r="D861" s="100"/>
    </row>
    <row r="862">
      <c r="C862" s="100"/>
      <c r="D862" s="100"/>
    </row>
    <row r="863">
      <c r="C863" s="100"/>
      <c r="D863" s="100"/>
    </row>
    <row r="864">
      <c r="C864" s="100"/>
      <c r="D864" s="100"/>
    </row>
    <row r="865">
      <c r="C865" s="100"/>
      <c r="D865" s="100"/>
    </row>
    <row r="866">
      <c r="C866" s="100"/>
      <c r="D866" s="100"/>
    </row>
    <row r="867">
      <c r="C867" s="100"/>
      <c r="D867" s="100"/>
    </row>
    <row r="868">
      <c r="C868" s="100"/>
      <c r="D868" s="100"/>
    </row>
    <row r="869">
      <c r="C869" s="100"/>
      <c r="D869" s="100"/>
    </row>
    <row r="870">
      <c r="C870" s="100"/>
      <c r="D870" s="100"/>
    </row>
    <row r="871">
      <c r="C871" s="100"/>
      <c r="D871" s="100"/>
    </row>
    <row r="872">
      <c r="C872" s="100"/>
      <c r="D872" s="100"/>
    </row>
    <row r="873">
      <c r="C873" s="100"/>
      <c r="D873" s="100"/>
    </row>
    <row r="874">
      <c r="C874" s="100"/>
      <c r="D874" s="100"/>
    </row>
    <row r="875">
      <c r="C875" s="100"/>
      <c r="D875" s="100"/>
    </row>
    <row r="876">
      <c r="C876" s="100"/>
      <c r="D876" s="100"/>
    </row>
    <row r="877">
      <c r="C877" s="100"/>
      <c r="D877" s="100"/>
    </row>
    <row r="878">
      <c r="C878" s="100"/>
      <c r="D878" s="100"/>
    </row>
    <row r="879">
      <c r="C879" s="100"/>
      <c r="D879" s="100"/>
    </row>
    <row r="880">
      <c r="C880" s="100"/>
      <c r="D880" s="100"/>
    </row>
    <row r="881">
      <c r="C881" s="100"/>
      <c r="D881" s="100"/>
    </row>
    <row r="882">
      <c r="C882" s="100"/>
      <c r="D882" s="100"/>
    </row>
    <row r="883">
      <c r="C883" s="100"/>
      <c r="D883" s="100"/>
    </row>
    <row r="884">
      <c r="C884" s="100"/>
      <c r="D884" s="100"/>
    </row>
    <row r="885">
      <c r="C885" s="100"/>
      <c r="D885" s="100"/>
    </row>
    <row r="886">
      <c r="C886" s="100"/>
      <c r="D886" s="100"/>
    </row>
    <row r="887">
      <c r="C887" s="100"/>
      <c r="D887" s="100"/>
    </row>
    <row r="888">
      <c r="C888" s="100"/>
      <c r="D888" s="100"/>
    </row>
    <row r="889">
      <c r="C889" s="100"/>
      <c r="D889" s="100"/>
    </row>
    <row r="890">
      <c r="C890" s="100"/>
      <c r="D890" s="100"/>
    </row>
    <row r="891">
      <c r="C891" s="100"/>
      <c r="D891" s="100"/>
    </row>
    <row r="892">
      <c r="C892" s="100"/>
      <c r="D892" s="100"/>
    </row>
    <row r="893">
      <c r="C893" s="100"/>
      <c r="D893" s="100"/>
    </row>
    <row r="894">
      <c r="C894" s="100"/>
      <c r="D894" s="100"/>
    </row>
    <row r="895">
      <c r="C895" s="100"/>
      <c r="D895" s="100"/>
    </row>
    <row r="896">
      <c r="C896" s="100"/>
      <c r="D896" s="100"/>
    </row>
    <row r="897">
      <c r="C897" s="100"/>
      <c r="D897" s="100"/>
    </row>
    <row r="898">
      <c r="C898" s="100"/>
      <c r="D898" s="100"/>
    </row>
    <row r="899">
      <c r="C899" s="100"/>
      <c r="D899" s="100"/>
    </row>
    <row r="900">
      <c r="C900" s="100"/>
      <c r="D900" s="100"/>
    </row>
    <row r="901">
      <c r="C901" s="100"/>
      <c r="D901" s="100"/>
    </row>
    <row r="902">
      <c r="C902" s="100"/>
      <c r="D902" s="100"/>
    </row>
    <row r="903">
      <c r="C903" s="100"/>
      <c r="D903" s="100"/>
    </row>
    <row r="904">
      <c r="C904" s="100"/>
      <c r="D904" s="100"/>
    </row>
    <row r="905">
      <c r="C905" s="100"/>
      <c r="D905" s="100"/>
    </row>
    <row r="906">
      <c r="C906" s="100"/>
      <c r="D906" s="100"/>
    </row>
    <row r="907">
      <c r="C907" s="100"/>
      <c r="D907" s="100"/>
    </row>
    <row r="908">
      <c r="C908" s="100"/>
      <c r="D908" s="100"/>
    </row>
    <row r="909">
      <c r="C909" s="100"/>
      <c r="D909" s="100"/>
    </row>
    <row r="910">
      <c r="C910" s="100"/>
      <c r="D910" s="100"/>
    </row>
    <row r="911">
      <c r="C911" s="100"/>
      <c r="D911" s="100"/>
    </row>
    <row r="912">
      <c r="C912" s="100"/>
      <c r="D912" s="100"/>
    </row>
    <row r="913">
      <c r="C913" s="100"/>
      <c r="D913" s="100"/>
    </row>
    <row r="914">
      <c r="C914" s="100"/>
      <c r="D914" s="100"/>
    </row>
    <row r="915">
      <c r="C915" s="100"/>
      <c r="D915" s="100"/>
    </row>
    <row r="916">
      <c r="C916" s="100"/>
      <c r="D916" s="100"/>
    </row>
    <row r="917">
      <c r="C917" s="100"/>
      <c r="D917" s="100"/>
    </row>
    <row r="918">
      <c r="C918" s="100"/>
      <c r="D918" s="100"/>
    </row>
    <row r="919">
      <c r="C919" s="100"/>
      <c r="D919" s="100"/>
    </row>
    <row r="920">
      <c r="C920" s="100"/>
      <c r="D920" s="100"/>
    </row>
    <row r="921">
      <c r="C921" s="100"/>
      <c r="D921" s="100"/>
    </row>
    <row r="922">
      <c r="C922" s="100"/>
      <c r="D922" s="100"/>
    </row>
    <row r="923">
      <c r="C923" s="100"/>
      <c r="D923" s="100"/>
    </row>
    <row r="924">
      <c r="C924" s="100"/>
      <c r="D924" s="100"/>
    </row>
    <row r="925">
      <c r="C925" s="100"/>
      <c r="D925" s="100"/>
    </row>
    <row r="926">
      <c r="C926" s="100"/>
      <c r="D926" s="100"/>
    </row>
    <row r="927">
      <c r="C927" s="100"/>
      <c r="D927" s="100"/>
    </row>
    <row r="928">
      <c r="C928" s="100"/>
      <c r="D928" s="100"/>
    </row>
    <row r="929">
      <c r="C929" s="100"/>
      <c r="D929" s="100"/>
    </row>
    <row r="930">
      <c r="C930" s="100"/>
      <c r="D930" s="100"/>
    </row>
    <row r="931">
      <c r="C931" s="100"/>
      <c r="D931" s="100"/>
    </row>
    <row r="932">
      <c r="C932" s="100"/>
      <c r="D932" s="100"/>
    </row>
    <row r="933">
      <c r="C933" s="100"/>
      <c r="D933" s="100"/>
    </row>
    <row r="934">
      <c r="C934" s="100"/>
      <c r="D934" s="100"/>
    </row>
    <row r="935">
      <c r="C935" s="100"/>
      <c r="D935" s="100"/>
    </row>
    <row r="936">
      <c r="C936" s="100"/>
      <c r="D936" s="100"/>
    </row>
    <row r="937">
      <c r="C937" s="100"/>
      <c r="D937" s="100"/>
    </row>
    <row r="938">
      <c r="C938" s="100"/>
      <c r="D938" s="100"/>
    </row>
    <row r="939">
      <c r="C939" s="100"/>
      <c r="D939" s="100"/>
    </row>
    <row r="940">
      <c r="C940" s="100"/>
      <c r="D940" s="100"/>
    </row>
    <row r="941">
      <c r="C941" s="100"/>
      <c r="D941" s="100"/>
    </row>
    <row r="942">
      <c r="C942" s="100"/>
      <c r="D942" s="100"/>
    </row>
    <row r="943">
      <c r="C943" s="100"/>
      <c r="D943" s="100"/>
    </row>
    <row r="944">
      <c r="C944" s="100"/>
      <c r="D944" s="100"/>
    </row>
    <row r="945">
      <c r="C945" s="100"/>
      <c r="D945" s="100"/>
    </row>
    <row r="946">
      <c r="C946" s="100"/>
      <c r="D946" s="100"/>
    </row>
    <row r="947">
      <c r="C947" s="100"/>
      <c r="D947" s="100"/>
    </row>
    <row r="948">
      <c r="C948" s="100"/>
      <c r="D948" s="100"/>
    </row>
    <row r="949">
      <c r="C949" s="100"/>
      <c r="D949" s="100"/>
    </row>
    <row r="950">
      <c r="C950" s="100"/>
      <c r="D950" s="100"/>
    </row>
    <row r="951">
      <c r="C951" s="100"/>
      <c r="D951" s="100"/>
    </row>
    <row r="952">
      <c r="C952" s="100"/>
      <c r="D952" s="100"/>
    </row>
    <row r="953">
      <c r="C953" s="100"/>
      <c r="D953" s="100"/>
    </row>
    <row r="954">
      <c r="C954" s="100"/>
      <c r="D954" s="100"/>
    </row>
    <row r="955">
      <c r="C955" s="100"/>
      <c r="D955" s="100"/>
    </row>
    <row r="956">
      <c r="C956" s="100"/>
      <c r="D956" s="100"/>
    </row>
    <row r="957">
      <c r="C957" s="100"/>
      <c r="D957" s="100"/>
    </row>
    <row r="958">
      <c r="C958" s="100"/>
      <c r="D958" s="100"/>
    </row>
    <row r="959">
      <c r="C959" s="100"/>
      <c r="D959" s="100"/>
    </row>
    <row r="960">
      <c r="C960" s="100"/>
      <c r="D960" s="100"/>
    </row>
    <row r="961">
      <c r="C961" s="100"/>
      <c r="D961" s="100"/>
    </row>
    <row r="962">
      <c r="C962" s="100"/>
      <c r="D962" s="100"/>
    </row>
    <row r="963">
      <c r="C963" s="100"/>
      <c r="D963" s="100"/>
    </row>
    <row r="964">
      <c r="C964" s="100"/>
      <c r="D964" s="100"/>
    </row>
    <row r="965">
      <c r="C965" s="100"/>
      <c r="D965" s="100"/>
    </row>
    <row r="966">
      <c r="C966" s="100"/>
      <c r="D966" s="100"/>
    </row>
    <row r="967">
      <c r="C967" s="100"/>
      <c r="D967" s="100"/>
    </row>
    <row r="968">
      <c r="C968" s="100"/>
      <c r="D968" s="100"/>
    </row>
    <row r="969">
      <c r="C969" s="100"/>
      <c r="D969" s="100"/>
    </row>
    <row r="970">
      <c r="C970" s="100"/>
      <c r="D970" s="100"/>
    </row>
    <row r="971">
      <c r="C971" s="100"/>
      <c r="D971" s="100"/>
    </row>
    <row r="972">
      <c r="C972" s="100"/>
      <c r="D972" s="100"/>
    </row>
    <row r="973">
      <c r="C973" s="100"/>
      <c r="D973" s="100"/>
    </row>
    <row r="974">
      <c r="C974" s="100"/>
      <c r="D974" s="100"/>
    </row>
    <row r="975">
      <c r="C975" s="100"/>
      <c r="D975" s="100"/>
    </row>
    <row r="976">
      <c r="C976" s="100"/>
      <c r="D976" s="100"/>
    </row>
    <row r="977">
      <c r="C977" s="100"/>
      <c r="D977" s="100"/>
    </row>
    <row r="978">
      <c r="C978" s="100"/>
      <c r="D978" s="100"/>
    </row>
    <row r="979">
      <c r="C979" s="100"/>
      <c r="D979" s="100"/>
    </row>
    <row r="980">
      <c r="C980" s="100"/>
      <c r="D980" s="100"/>
    </row>
    <row r="981">
      <c r="C981" s="100"/>
      <c r="D981" s="100"/>
    </row>
    <row r="982">
      <c r="C982" s="100"/>
      <c r="D982" s="100"/>
    </row>
    <row r="983">
      <c r="C983" s="100"/>
      <c r="D983" s="100"/>
    </row>
    <row r="984">
      <c r="C984" s="100"/>
      <c r="D984" s="100"/>
    </row>
    <row r="985">
      <c r="C985" s="100"/>
      <c r="D985" s="100"/>
    </row>
    <row r="986">
      <c r="C986" s="100"/>
      <c r="D986" s="100"/>
    </row>
    <row r="987">
      <c r="C987" s="100"/>
      <c r="D987" s="100"/>
    </row>
    <row r="988">
      <c r="C988" s="100"/>
      <c r="D988" s="100"/>
    </row>
    <row r="989">
      <c r="C989" s="100"/>
      <c r="D989" s="100"/>
    </row>
    <row r="990">
      <c r="C990" s="100"/>
      <c r="D990" s="100"/>
    </row>
    <row r="991">
      <c r="C991" s="100"/>
      <c r="D991" s="100"/>
    </row>
    <row r="992">
      <c r="C992" s="100"/>
      <c r="D992" s="100"/>
    </row>
    <row r="993">
      <c r="C993" s="100"/>
      <c r="D993" s="100"/>
    </row>
    <row r="994">
      <c r="C994" s="100"/>
      <c r="D994" s="100"/>
    </row>
    <row r="995">
      <c r="C995" s="100"/>
      <c r="D995" s="100"/>
    </row>
    <row r="996">
      <c r="C996" s="100"/>
      <c r="D996" s="100"/>
    </row>
    <row r="997">
      <c r="C997" s="100"/>
      <c r="D997" s="100"/>
    </row>
    <row r="998">
      <c r="C998" s="100"/>
      <c r="D998" s="100"/>
    </row>
    <row r="999">
      <c r="C999" s="100"/>
      <c r="D999" s="100"/>
    </row>
    <row r="1000">
      <c r="C1000" s="100"/>
      <c r="D1000" s="10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01" t="s">
        <v>528</v>
      </c>
      <c r="B1" s="101" t="s">
        <v>529</v>
      </c>
      <c r="C1" s="102" t="s">
        <v>530</v>
      </c>
      <c r="D1" s="102" t="s">
        <v>531</v>
      </c>
      <c r="E1" s="103" t="s">
        <v>532</v>
      </c>
      <c r="F1" s="103" t="s">
        <v>533</v>
      </c>
      <c r="G1" s="104" t="s">
        <v>534</v>
      </c>
      <c r="H1" s="104" t="s">
        <v>535</v>
      </c>
      <c r="I1" s="105" t="s">
        <v>536</v>
      </c>
      <c r="J1" s="105" t="s">
        <v>537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>
      <c r="A2" s="107">
        <v>1.0</v>
      </c>
      <c r="B2" s="87" t="s">
        <v>538</v>
      </c>
      <c r="C2" s="107">
        <v>0.0</v>
      </c>
      <c r="D2" s="108">
        <v>70.0</v>
      </c>
      <c r="E2" s="108">
        <v>70.0</v>
      </c>
      <c r="F2" s="108">
        <v>141.0</v>
      </c>
      <c r="G2" s="108">
        <v>141.0</v>
      </c>
      <c r="H2" s="108">
        <v>282.0</v>
      </c>
      <c r="I2" s="108">
        <v>282.0</v>
      </c>
      <c r="J2" s="108">
        <v>1185.0</v>
      </c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5">
      <c r="D5" s="90"/>
    </row>
    <row r="6">
      <c r="D6" s="90"/>
    </row>
    <row r="7">
      <c r="C7" s="4"/>
      <c r="D7" s="90"/>
      <c r="E7" s="109"/>
    </row>
    <row r="8">
      <c r="D8" s="109"/>
      <c r="G8" s="4"/>
    </row>
    <row r="9">
      <c r="D9" s="109"/>
      <c r="G9" s="4"/>
    </row>
    <row r="10">
      <c r="D10" s="109"/>
      <c r="G10" s="4"/>
    </row>
    <row r="12">
      <c r="G12" s="4"/>
    </row>
    <row r="13">
      <c r="G13" s="4"/>
    </row>
    <row r="15">
      <c r="G15" s="4"/>
    </row>
    <row r="16">
      <c r="G16" s="4"/>
    </row>
  </sheetData>
  <drawing r:id="rId1"/>
</worksheet>
</file>