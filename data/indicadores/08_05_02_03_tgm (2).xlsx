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ine" sheetId="1" r:id="rId4"/>
    <sheet state="visible" name="Analisi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/>
  <calcPr/>
  <extLst>
    <ext uri="GoogleSheetsCustomDataVersion2">
      <go:sheetsCustomData xmlns:go="http://customooxmlschemas.google.com/" r:id="rId11" roundtripDataChecksum="W4inNAh4ock2QGvn4Jb6rSM7UcxO+G58TSgSgdt0GlQ="/>
    </ext>
  </extLst>
</workbook>
</file>

<file path=xl/sharedStrings.xml><?xml version="1.0" encoding="utf-8"?>
<sst xmlns="http://schemas.openxmlformats.org/spreadsheetml/2006/main" count="3240" uniqueCount="549">
  <si>
    <t>N°</t>
  </si>
  <si>
    <t>NIVEL</t>
  </si>
  <si>
    <t>DEPARTAMENTO</t>
  </si>
  <si>
    <t>PROVINCIA</t>
  </si>
  <si>
    <t>MUNICIPIO/TIOC</t>
  </si>
  <si>
    <t>ÁREA Y GRUPO DE EDAD</t>
  </si>
  <si>
    <r>
      <rPr>
        <rFont val="Arial"/>
        <b/>
        <color theme="1"/>
      </rPr>
      <t>POBLACIÓN TOTAL
(PT)</t>
    </r>
    <r>
      <rPr>
        <rFont val="Arial"/>
        <b/>
        <color theme="1"/>
        <sz val="10.0"/>
        <vertAlign val="superscript"/>
      </rPr>
      <t>(1)</t>
    </r>
  </si>
  <si>
    <t>POBLACIÓN EN EDAD DE NO TRABAJAR 
(PENT)</t>
  </si>
  <si>
    <t>POBLACIÓN EN EDAD DE TRABAJAR (14 O MÁS AÑOS DE EDAD)
(PET)</t>
  </si>
  <si>
    <r>
      <rPr>
        <rFont val="Arial"/>
        <b/>
        <color theme="1"/>
      </rPr>
      <t>POBLACIÓN TOTAL
(PT)</t>
    </r>
    <r>
      <rPr>
        <rFont val="Arial"/>
        <b/>
        <color theme="1"/>
        <sz val="10.0"/>
        <vertAlign val="superscript"/>
      </rPr>
      <t>(1)</t>
    </r>
  </si>
  <si>
    <t>Población económicamente activa 
(PEA)</t>
  </si>
  <si>
    <t>Población económicamente inactiva
(PEI)</t>
  </si>
  <si>
    <r>
      <rPr>
        <rFont val="Arial"/>
        <b/>
        <color theme="1"/>
      </rPr>
      <t xml:space="preserve">Sin especificar </t>
    </r>
    <r>
      <rPr>
        <rFont val="Arial"/>
        <b/>
        <color theme="1"/>
        <sz val="10.0"/>
        <vertAlign val="superscript"/>
      </rPr>
      <t>(2)</t>
    </r>
  </si>
  <si>
    <r>
      <rPr>
        <rFont val="Arial"/>
        <b/>
        <color theme="1"/>
      </rPr>
      <t xml:space="preserve">Sin especificar </t>
    </r>
    <r>
      <rPr>
        <rFont val="Arial"/>
        <b/>
        <color theme="1"/>
        <sz val="10.0"/>
        <vertAlign val="superscript"/>
      </rPr>
      <t>(2)</t>
    </r>
  </si>
  <si>
    <t>Total</t>
  </si>
  <si>
    <t>Hombres</t>
  </si>
  <si>
    <t>Mujeres</t>
  </si>
  <si>
    <t>Población ocupada
(PO)</t>
  </si>
  <si>
    <t>Población desocupada
(PD)</t>
  </si>
  <si>
    <t>PEA mujeres</t>
  </si>
  <si>
    <t>PEA hombres</t>
  </si>
  <si>
    <t>PET mujeres</t>
  </si>
  <si>
    <t>PET hombres</t>
  </si>
  <si>
    <t>TGP_muj</t>
  </si>
  <si>
    <t>TGP_hom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</si>
  <si>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</si>
  <si>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</si>
  <si>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</si>
  <si>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</si>
  <si>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</si>
  <si>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</si>
  <si>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</si>
  <si>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</si>
  <si>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</si>
  <si>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</si>
  <si>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</si>
  <si>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</si>
  <si>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</si>
  <si>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</si>
  <si>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</si>
  <si>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</si>
  <si>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</si>
  <si>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</si>
  <si>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</si>
  <si>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</si>
  <si>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</si>
  <si>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</si>
  <si>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</si>
  <si>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</si>
  <si>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</si>
  <si>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</si>
  <si>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</si>
  <si>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</si>
  <si>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</si>
  <si>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</si>
  <si>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</si>
  <si>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</si>
  <si>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</si>
  <si>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</si>
  <si>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</si>
  <si>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</si>
  <si>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</si>
  <si>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</si>
  <si>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</si>
  <si>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</si>
  <si>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</si>
  <si>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</si>
  <si>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</si>
  <si>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</si>
  <si>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</si>
  <si>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</si>
  <si>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</si>
  <si>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</si>
  <si>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</si>
  <si>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</si>
  <si>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</si>
  <si>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</si>
  <si>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</si>
  <si>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</si>
  <si>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</si>
  <si>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</si>
  <si>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</si>
  <si>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</si>
  <si>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</si>
  <si>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</si>
  <si>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</si>
  <si>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</si>
  <si>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</si>
  <si>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</si>
  <si>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</si>
  <si>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</si>
  <si>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</si>
  <si>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</si>
  <si>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</si>
  <si>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</si>
  <si>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</si>
  <si>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</si>
  <si>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</si>
  <si>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</si>
  <si>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</si>
  <si>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</si>
  <si>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</si>
  <si>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</si>
  <si>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</si>
  <si>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</si>
  <si>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</si>
  <si>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</si>
  <si>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</si>
  <si>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</si>
  <si>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</si>
  <si>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</si>
  <si>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</si>
  <si>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</si>
  <si>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</si>
  <si>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</si>
  <si>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</si>
  <si>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</si>
  <si>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</si>
  <si>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</si>
  <si>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</si>
  <si>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</si>
  <si>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</si>
  <si>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</si>
  <si>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</si>
  <si>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</si>
  <si>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</si>
  <si>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</si>
  <si>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</si>
  <si>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</si>
  <si>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</si>
  <si>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</si>
  <si>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</si>
  <si>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</si>
  <si>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</si>
  <si>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</si>
  <si>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</si>
  <si>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</si>
  <si>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</si>
  <si>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</si>
  <si>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</si>
  <si>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</si>
  <si>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</si>
  <si>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</si>
  <si>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</si>
  <si>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</si>
  <si>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</si>
  <si>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</si>
  <si>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</si>
  <si>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</si>
  <si>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</si>
  <si>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</si>
  <si>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</si>
  <si>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</si>
  <si>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</si>
  <si>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</si>
  <si>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</si>
  <si>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</si>
  <si>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</si>
  <si>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</si>
  <si>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</si>
  <si>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</si>
  <si>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</si>
  <si>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</si>
  <si>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</si>
  <si>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</si>
  <si>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</si>
  <si>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</si>
  <si>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</si>
  <si>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</si>
  <si>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</si>
  <si>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</si>
  <si>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</si>
  <si>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</si>
  <si>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</si>
  <si>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</si>
  <si>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</si>
  <si>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</si>
  <si>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</si>
  <si>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</si>
  <si>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</si>
  <si>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</si>
  <si>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</si>
  <si>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</si>
  <si>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</si>
  <si>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</si>
  <si>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</si>
  <si>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</si>
  <si>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</si>
  <si>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</si>
  <si>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</si>
  <si>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</si>
  <si>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</si>
  <si>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</si>
  <si>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</si>
  <si>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</si>
  <si>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</si>
  <si>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</si>
  <si>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</si>
  <si>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</si>
  <si>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</si>
  <si>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</si>
  <si>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</si>
  <si>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</si>
  <si>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</si>
  <si>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</si>
  <si>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</si>
  <si>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</si>
  <si>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</si>
  <si>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</si>
  <si>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</si>
  <si>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</si>
  <si>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</si>
  <si>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</si>
  <si>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</si>
  <si>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</si>
  <si>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</si>
  <si>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</si>
  <si>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</si>
  <si>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</si>
  <si>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</si>
  <si>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</si>
  <si>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</si>
  <si>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</si>
  <si>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</si>
  <si>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</si>
  <si>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</si>
  <si>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</si>
  <si>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</si>
  <si>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</si>
  <si>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</si>
  <si>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</si>
  <si>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</si>
  <si>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</si>
  <si>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</si>
  <si>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</si>
  <si>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</si>
  <si>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</si>
  <si>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</si>
  <si>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</si>
  <si>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</si>
  <si>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</si>
  <si>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</si>
  <si>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</si>
  <si>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</si>
  <si>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</si>
  <si>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</si>
  <si>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</si>
  <si>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</si>
  <si>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</si>
  <si>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</si>
  <si>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</si>
  <si>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</si>
  <si>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</si>
  <si>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</si>
  <si>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</si>
  <si>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</si>
  <si>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</si>
  <si>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</si>
  <si>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</si>
  <si>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</si>
  <si>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</si>
  <si>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</si>
  <si>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</si>
  <si>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</si>
  <si>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</si>
  <si>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</si>
  <si>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</si>
  <si>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</si>
  <si>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</si>
  <si>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</si>
  <si>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</si>
  <si>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</si>
  <si>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</si>
  <si>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</si>
  <si>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</si>
  <si>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</si>
  <si>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</si>
  <si>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</si>
  <si>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</si>
  <si>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</si>
  <si>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</si>
  <si>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</si>
  <si>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</si>
  <si>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</si>
  <si>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</si>
  <si>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</si>
  <si>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</si>
  <si>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</si>
  <si>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</si>
  <si>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</si>
  <si>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</si>
  <si>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</si>
  <si>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</si>
  <si>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</si>
  <si>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</si>
  <si>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</si>
  <si>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</si>
  <si>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</si>
  <si>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</si>
  <si>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</si>
  <si>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</si>
  <si>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</si>
  <si>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</si>
  <si>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</si>
  <si>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</si>
  <si>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</si>
  <si>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</si>
  <si>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</si>
  <si>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</si>
  <si>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</si>
  <si>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</si>
  <si>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</si>
  <si>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</si>
  <si>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</si>
  <si>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</si>
  <si>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</si>
  <si>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</si>
  <si>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</si>
  <si>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</si>
  <si>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</si>
  <si>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</si>
  <si>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</si>
  <si>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</si>
  <si>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</si>
  <si>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</si>
  <si>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</si>
  <si>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</si>
  <si>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</si>
  <si>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</si>
  <si>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</si>
  <si>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</si>
  <si>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</si>
  <si>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</si>
  <si>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</si>
  <si>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</si>
  <si>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</si>
  <si>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</si>
  <si>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</si>
  <si>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</si>
  <si>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</si>
  <si>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</si>
  <si>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</si>
  <si>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</si>
  <si>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</si>
  <si>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</si>
  <si>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</si>
  <si>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</si>
  <si>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</si>
  <si>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</si>
  <si>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</si>
  <si>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</si>
  <si>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</si>
  <si>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</si>
  <si>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</si>
  <si>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</si>
  <si>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</si>
  <si>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</si>
  <si>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</si>
  <si>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</si>
  <si>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</si>
  <si>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</si>
  <si>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</si>
  <si>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</si>
  <si>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</si>
  <si>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</si>
  <si>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</si>
  <si>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</si>
  <si>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</si>
  <si>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</si>
  <si>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</si>
  <si>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</si>
  <si>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</si>
  <si>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</si>
  <si>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</si>
  <si>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</si>
  <si>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</si>
  <si>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</si>
  <si>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</si>
  <si>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</si>
  <si>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</si>
  <si>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</si>
  <si>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</si>
  <si>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</si>
  <si>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</si>
  <si>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</si>
  <si>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</si>
  <si>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</si>
  <si>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</si>
  <si>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</si>
  <si>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</si>
  <si>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</si>
  <si>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</si>
  <si>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</si>
  <si>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</si>
  <si>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</si>
  <si>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</si>
  <si>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</si>
  <si>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</si>
  <si>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</si>
  <si>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</si>
  <si>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</si>
  <si>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</si>
  <si>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</si>
  <si>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</si>
  <si>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</si>
  <si>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</si>
  <si>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</si>
  <si>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</si>
  <si>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</si>
  <si>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</si>
  <si>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</si>
  <si>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</si>
  <si>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</si>
  <si>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</si>
  <si>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</si>
  <si>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</si>
  <si>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</si>
  <si>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</si>
  <si>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</si>
  <si>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</si>
  <si>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</si>
  <si>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</si>
  <si>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</si>
  <si>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</si>
  <si>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</si>
  <si>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</si>
  <si>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</si>
  <si>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</si>
  <si>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</si>
  <si>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</si>
  <si>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</si>
  <si>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</si>
  <si>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</si>
  <si>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</si>
  <si>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</si>
  <si>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</si>
  <si>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</si>
  <si>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</si>
  <si>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</si>
  <si>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</si>
  <si>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</si>
  <si>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</si>
  <si>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</si>
  <si>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</si>
  <si>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</si>
  <si>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</si>
  <si>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</si>
  <si>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</si>
  <si>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</si>
  <si>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</si>
  <si>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</si>
  <si>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id</t>
  </si>
  <si>
    <t>Departamento</t>
  </si>
  <si>
    <t>Municipio</t>
  </si>
  <si>
    <t>tgp_muj2012</t>
  </si>
  <si>
    <t>mujeres_noactivas2012</t>
  </si>
  <si>
    <t>tgp_muj2024</t>
  </si>
  <si>
    <t>mujeres_noactivas2024</t>
  </si>
  <si>
    <t>Variacón %</t>
  </si>
  <si>
    <t>max_variación</t>
  </si>
  <si>
    <t>min_variación</t>
  </si>
  <si>
    <t>CPV 2012</t>
  </si>
  <si>
    <t>CPV 2024</t>
  </si>
  <si>
    <t>51002</t>
  </si>
  <si>
    <t>51401</t>
  </si>
  <si>
    <t>Quedan retos grandes</t>
  </si>
  <si>
    <t>Quedan retos importantes</t>
  </si>
  <si>
    <t>Villa Azurduy</t>
  </si>
  <si>
    <t>Sur Lipez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</si>
  <si>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</si>
  <si>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</si>
  <si>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</si>
  <si>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</si>
  <si>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</si>
  <si>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</si>
  <si>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</si>
  <si>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</si>
  <si>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</si>
  <si>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</si>
  <si>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</si>
  <si>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</si>
  <si>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</si>
  <si>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</si>
  <si>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</si>
  <si>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</si>
  <si>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</si>
  <si>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</si>
  <si>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</si>
  <si>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</si>
  <si>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</si>
  <si>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</si>
  <si>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max</t>
  </si>
  <si>
    <t>min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</si>
  <si>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</si>
  <si>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</si>
  <si>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</si>
  <si>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</si>
  <si>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</si>
  <si>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</si>
  <si>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</si>
  <si>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</si>
  <si>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</si>
  <si>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</si>
  <si>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</si>
  <si>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</si>
  <si>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</si>
  <si>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</si>
  <si>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</si>
  <si>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</si>
  <si>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</si>
  <si>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</si>
  <si>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</si>
  <si>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</si>
  <si>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</si>
  <si>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</si>
  <si>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</si>
  <si>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</si>
  <si>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</si>
  <si>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</si>
  <si>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</si>
  <si>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</si>
  <si>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</si>
  <si>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</si>
  <si>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</si>
  <si>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</si>
  <si>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</si>
  <si>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</si>
  <si>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</si>
  <si>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</si>
  <si>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</si>
  <si>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</si>
  <si>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</si>
  <si>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</si>
  <si>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tgp_m_2012</t>
  </si>
  <si>
    <t>tgp_m_2024</t>
  </si>
  <si>
    <t>Bolivia</t>
  </si>
  <si>
    <t>muj_noactivas_2012</t>
  </si>
  <si>
    <t>muj_noactivas_2024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</si>
  <si>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</si>
  <si>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</si>
  <si>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</si>
  <si>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</si>
  <si>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</si>
  <si>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</si>
  <si>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</si>
  <si>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</si>
  <si>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</si>
  <si>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</si>
  <si>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global de participación mujeres (≥ 14 años),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</si>
</sst>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sz val="11.0"/>
      <color theme="1"/>
      <name val="Calibri"/>
    </font>
    <font>
      <sz val="9.0"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>
      <b/>
      <sz val="11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3" numFmtId="0" xfId="0" applyBorder="1" applyFont="1"/>
    <xf borderId="12" fillId="2" fontId="1" numFmtId="0" xfId="0" applyAlignment="1" applyBorder="1" applyFont="1">
      <alignment horizontal="center" shrinkToFit="0" wrapText="1"/>
    </xf>
    <xf borderId="1" fillId="2" fontId="1" numFmtId="3" xfId="0" applyAlignment="1" applyBorder="1" applyFont="1" applyNumberFormat="1">
      <alignment horizontal="center" shrinkToFit="0" wrapText="1"/>
    </xf>
    <xf borderId="1" fillId="2" fontId="1" numFmtId="3" xfId="0" applyAlignment="1" applyBorder="1" applyFont="1" applyNumberFormat="1">
      <alignment horizontal="center"/>
    </xf>
    <xf borderId="2" fillId="2" fontId="1" numFmtId="3" xfId="0" applyAlignment="1" applyBorder="1" applyFont="1" applyNumberFormat="1">
      <alignment horizontal="center" shrinkToFit="0" wrapText="1"/>
    </xf>
    <xf borderId="12" fillId="2" fontId="3" numFmtId="3" xfId="0" applyBorder="1" applyFont="1" applyNumberFormat="1"/>
    <xf borderId="12" fillId="2" fontId="1" numFmtId="3" xfId="0" applyAlignment="1" applyBorder="1" applyFont="1" applyNumberFormat="1">
      <alignment horizontal="center" shrinkToFit="0" wrapText="1"/>
    </xf>
    <xf borderId="0" fillId="0" fontId="3" numFmtId="3" xfId="0" applyAlignment="1" applyFont="1" applyNumberFormat="1">
      <alignment vertical="bottom"/>
    </xf>
    <xf borderId="13" fillId="0" fontId="2" numFmtId="0" xfId="0" applyBorder="1" applyFont="1"/>
    <xf borderId="14" fillId="3" fontId="4" numFmtId="0" xfId="0" applyAlignment="1" applyBorder="1" applyFill="1" applyFont="1">
      <alignment horizontal="right"/>
    </xf>
    <xf borderId="15" fillId="3" fontId="4" numFmtId="0" xfId="0" applyBorder="1" applyFont="1"/>
    <xf borderId="14" fillId="3" fontId="4" numFmtId="0" xfId="0" applyBorder="1" applyFont="1"/>
    <xf borderId="14" fillId="3" fontId="4" numFmtId="3" xfId="0" applyBorder="1" applyFont="1" applyNumberFormat="1"/>
    <xf borderId="14" fillId="3" fontId="4" numFmtId="3" xfId="0" applyAlignment="1" applyBorder="1" applyFont="1" applyNumberFormat="1">
      <alignment horizontal="right"/>
    </xf>
    <xf borderId="0" fillId="0" fontId="4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14" fillId="3" fontId="4" numFmtId="1" xfId="0" applyBorder="1" applyFont="1" applyNumberFormat="1"/>
    <xf borderId="5" fillId="0" fontId="4" numFmtId="3" xfId="0" applyAlignment="1" applyBorder="1" applyFont="1" applyNumberFormat="1">
      <alignment horizontal="right"/>
    </xf>
    <xf borderId="14" fillId="4" fontId="4" numFmtId="0" xfId="0" applyAlignment="1" applyBorder="1" applyFill="1" applyFont="1">
      <alignment horizontal="right"/>
    </xf>
    <xf borderId="15" fillId="4" fontId="4" numFmtId="0" xfId="0" applyBorder="1" applyFont="1"/>
    <xf borderId="14" fillId="4" fontId="4" numFmtId="1" xfId="0" applyBorder="1" applyFont="1" applyNumberFormat="1"/>
    <xf borderId="14" fillId="4" fontId="4" numFmtId="3" xfId="0" applyAlignment="1" applyBorder="1" applyFont="1" applyNumberFormat="1">
      <alignment horizontal="right"/>
    </xf>
    <xf borderId="0" fillId="4" fontId="4" numFmtId="2" xfId="0" applyAlignment="1" applyFont="1" applyNumberFormat="1">
      <alignment horizontal="right" vertical="bottom"/>
    </xf>
    <xf borderId="0" fillId="4" fontId="3" numFmtId="2" xfId="0" applyAlignment="1" applyFont="1" applyNumberFormat="1">
      <alignment vertical="bottom"/>
    </xf>
    <xf borderId="12" fillId="0" fontId="3" numFmtId="1" xfId="0" applyAlignment="1" applyBorder="1" applyFont="1" applyNumberFormat="1">
      <alignment vertical="bottom"/>
    </xf>
    <xf borderId="12" fillId="0" fontId="3" numFmtId="49" xfId="0" applyAlignment="1" applyBorder="1" applyFont="1" applyNumberFormat="1">
      <alignment vertical="bottom"/>
    </xf>
    <xf borderId="12" fillId="0" fontId="5" numFmtId="1" xfId="0" applyAlignment="1" applyBorder="1" applyFont="1" applyNumberFormat="1">
      <alignment readingOrder="0" vertical="bottom"/>
    </xf>
    <xf borderId="12" fillId="0" fontId="5" numFmtId="164" xfId="0" applyAlignment="1" applyBorder="1" applyFont="1" applyNumberFormat="1">
      <alignment vertical="bottom"/>
    </xf>
    <xf borderId="0" fillId="5" fontId="6" numFmtId="0" xfId="0" applyAlignment="1" applyFill="1" applyFont="1">
      <alignment readingOrder="0"/>
    </xf>
    <xf borderId="0" fillId="5" fontId="6" numFmtId="0" xfId="0" applyFont="1"/>
    <xf borderId="12" fillId="6" fontId="6" numFmtId="0" xfId="0" applyBorder="1" applyFill="1" applyFont="1"/>
    <xf borderId="12" fillId="0" fontId="3" numFmtId="1" xfId="0" applyAlignment="1" applyBorder="1" applyFont="1" applyNumberFormat="1">
      <alignment horizontal="right" vertical="bottom"/>
    </xf>
    <xf borderId="12" fillId="0" fontId="5" numFmtId="1" xfId="0" applyAlignment="1" applyBorder="1" applyFont="1" applyNumberFormat="1">
      <alignment horizontal="right" vertical="bottom"/>
    </xf>
    <xf borderId="0" fillId="5" fontId="6" numFmtId="164" xfId="0" applyFont="1" applyNumberFormat="1"/>
    <xf borderId="0" fillId="5" fontId="6" numFmtId="2" xfId="0" applyFont="1" applyNumberFormat="1"/>
    <xf borderId="12" fillId="0" fontId="6" numFmtId="2" xfId="0" applyBorder="1" applyFont="1" applyNumberFormat="1"/>
    <xf borderId="12" fillId="0" fontId="5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0" fillId="5" fontId="3" numFmtId="49" xfId="0" applyFont="1" applyNumberFormat="1"/>
    <xf borderId="12" fillId="0" fontId="3" numFmtId="49" xfId="0" applyBorder="1" applyFont="1" applyNumberFormat="1"/>
    <xf borderId="12" fillId="0" fontId="3" numFmtId="3" xfId="0" applyAlignment="1" applyBorder="1" applyFont="1" applyNumberFormat="1">
      <alignment horizontal="right"/>
    </xf>
    <xf borderId="12" fillId="0" fontId="3" numFmtId="0" xfId="0" applyAlignment="1" applyBorder="1" applyFont="1">
      <alignment horizontal="right"/>
    </xf>
    <xf borderId="0" fillId="5" fontId="7" numFmtId="0" xfId="0" applyFont="1"/>
    <xf borderId="2" fillId="0" fontId="6" numFmtId="0" xfId="0" applyBorder="1" applyFont="1"/>
    <xf borderId="0" fillId="0" fontId="6" numFmtId="0" xfId="0" applyFont="1"/>
    <xf borderId="12" fillId="0" fontId="3" numFmtId="0" xfId="0" applyAlignment="1" applyBorder="1" applyFont="1">
      <alignment horizontal="right" vertical="bottom"/>
    </xf>
    <xf borderId="12" fillId="0" fontId="6" numFmtId="0" xfId="0" applyBorder="1" applyFont="1"/>
    <xf borderId="12" fillId="0" fontId="6" numFmtId="164" xfId="0" applyAlignment="1" applyBorder="1" applyFont="1" applyNumberFormat="1">
      <alignment horizontal="right"/>
    </xf>
    <xf borderId="0" fillId="5" fontId="6" numFmtId="164" xfId="0" applyAlignment="1" applyFont="1" applyNumberFormat="1">
      <alignment horizontal="right"/>
    </xf>
    <xf borderId="0" fillId="5" fontId="3" numFmtId="0" xfId="0" applyFont="1"/>
    <xf borderId="12" fillId="7" fontId="3" numFmtId="0" xfId="0" applyBorder="1" applyFill="1" applyFont="1"/>
    <xf borderId="12" fillId="7" fontId="6" numFmtId="0" xfId="0" applyBorder="1" applyFont="1"/>
    <xf borderId="0" fillId="5" fontId="3" numFmtId="3" xfId="0" applyFont="1" applyNumberFormat="1"/>
    <xf borderId="12" fillId="0" fontId="3" numFmtId="3" xfId="0" applyBorder="1" applyFont="1" applyNumberFormat="1"/>
    <xf borderId="12" fillId="0" fontId="3" numFmtId="0" xfId="0" applyBorder="1" applyFont="1"/>
    <xf borderId="12" fillId="8" fontId="3" numFmtId="0" xfId="0" applyBorder="1" applyFill="1" applyFont="1"/>
    <xf borderId="12" fillId="8" fontId="3" numFmtId="3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0" fillId="0" fontId="7" numFmtId="1" xfId="0" applyFont="1" applyNumberFormat="1"/>
    <xf borderId="0" fillId="0" fontId="8" numFmtId="1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5" numFmtId="1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12" fillId="0" fontId="5" numFmtId="49" xfId="0" applyAlignment="1" applyBorder="1" applyFont="1" applyNumberFormat="1">
      <alignment vertical="bottom"/>
    </xf>
    <xf borderId="12" fillId="0" fontId="3" numFmtId="0" xfId="0" applyAlignment="1" applyBorder="1" applyFont="1">
      <alignment readingOrder="0"/>
    </xf>
    <xf borderId="0" fillId="0" fontId="3" numFmtId="0" xfId="0" applyFont="1"/>
    <xf borderId="12" fillId="0" fontId="3" numFmtId="2" xfId="0" applyAlignment="1" applyBorder="1" applyFont="1" applyNumberFormat="1">
      <alignment horizontal="right" vertical="bottom"/>
    </xf>
    <xf borderId="12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2" fillId="0" fontId="3" numFmtId="0" xfId="0" applyAlignment="1" applyBorder="1" applyFont="1">
      <alignment vertical="bottom"/>
    </xf>
    <xf borderId="12" fillId="9" fontId="9" numFmtId="0" xfId="0" applyBorder="1" applyFill="1" applyFont="1"/>
    <xf borderId="12" fillId="10" fontId="10" numFmtId="0" xfId="0" applyAlignment="1" applyBorder="1" applyFill="1" applyFont="1">
      <alignment horizontal="center" shrinkToFit="0" vertical="center" wrapText="1"/>
    </xf>
    <xf borderId="12" fillId="11" fontId="10" numFmtId="0" xfId="0" applyAlignment="1" applyBorder="1" applyFill="1" applyFont="1">
      <alignment horizontal="center" shrinkToFit="0" vertical="center" wrapText="1"/>
    </xf>
    <xf borderId="12" fillId="12" fontId="10" numFmtId="0" xfId="0" applyAlignment="1" applyBorder="1" applyFill="1" applyFont="1">
      <alignment horizontal="center" shrinkToFit="0" vertical="center" wrapText="1"/>
    </xf>
    <xf borderId="12" fillId="13" fontId="10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12" fillId="5" fontId="3" numFmtId="0" xfId="0" applyAlignment="1" applyBorder="1" applyFont="1">
      <alignment readingOrder="0"/>
    </xf>
    <xf borderId="0" fillId="0" fontId="3" numFmtId="164" xfId="0" applyFont="1" applyNumberFormat="1"/>
    <xf borderId="0" fillId="0" fontId="6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Analisis!$P$3</c:f>
            </c:strRef>
          </c:tx>
          <c:spPr>
            <a:solidFill>
              <a:srgbClr val="CA3545"/>
            </a:solidFill>
            <a:ln cmpd="sng">
              <a:solidFill>
                <a:srgbClr val="000000"/>
              </a:solidFill>
            </a:ln>
          </c:spPr>
          <c:cat>
            <c:strRef>
              <c:f>Analisis!$Q$2:$R$2</c:f>
            </c:strRef>
          </c:cat>
          <c:val>
            <c:numRef>
              <c:f>Analisis!$Q$3:$R$3</c:f>
              <c:numCache/>
            </c:numRef>
          </c:val>
        </c:ser>
        <c:ser>
          <c:idx val="1"/>
          <c:order val="1"/>
          <c:tx>
            <c:strRef>
              <c:f>Analisis!$P$4</c:f>
            </c:strRef>
          </c:tx>
          <c:spPr>
            <a:solidFill>
              <a:srgbClr val="51A858"/>
            </a:solidFill>
            <a:ln cmpd="sng">
              <a:solidFill>
                <a:srgbClr val="000000"/>
              </a:solidFill>
            </a:ln>
          </c:spPr>
          <c:cat>
            <c:strRef>
              <c:f>Analisis!$Q$2:$R$2</c:f>
            </c:strRef>
          </c:cat>
          <c:val>
            <c:numRef>
              <c:f>Analisis!$Q$4:$R$4</c:f>
              <c:numCache/>
            </c:numRef>
          </c:val>
        </c:ser>
        <c:ser>
          <c:idx val="2"/>
          <c:order val="2"/>
          <c:tx>
            <c:strRef>
              <c:f>Analisis!$P$5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Analisis!$Q$2:$R$2</c:f>
            </c:strRef>
          </c:cat>
          <c:val>
            <c:numRef>
              <c:f>Analisis!$Q$5:$R$5</c:f>
              <c:numCache/>
            </c:numRef>
          </c:val>
        </c:ser>
        <c:ser>
          <c:idx val="3"/>
          <c:order val="3"/>
          <c:tx>
            <c:strRef>
              <c:f>Analisis!$P$6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Analisis!$Q$2:$R$2</c:f>
            </c:strRef>
          </c:cat>
          <c:val>
            <c:numRef>
              <c:f>Analisis!$Q$6:$R$6</c:f>
              <c:numCache/>
            </c:numRef>
          </c:val>
        </c:ser>
        <c:axId val="981173220"/>
        <c:axId val="2019816658"/>
      </c:barChart>
      <c:catAx>
        <c:axId val="981173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816658"/>
      </c:catAx>
      <c:valAx>
        <c:axId val="2019816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1732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247650</xdr:colOff>
      <xdr:row>5</xdr:row>
      <xdr:rowOff>57150</xdr:rowOff>
    </xdr:from>
    <xdr:ext cx="5715000" cy="3533775"/>
    <xdr:graphicFrame>
      <xdr:nvGraphicFramePr>
        <xdr:cNvPr id="66438665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2012.0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2">
        <v>2024.0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>
      <c r="A2" s="6"/>
      <c r="B2" s="6"/>
      <c r="C2" s="6"/>
      <c r="D2" s="6"/>
      <c r="E2" s="6"/>
      <c r="F2" s="6"/>
      <c r="G2" s="1" t="s">
        <v>6</v>
      </c>
      <c r="H2" s="7" t="s">
        <v>7</v>
      </c>
      <c r="I2" s="8"/>
      <c r="J2" s="9"/>
      <c r="K2" s="2" t="s">
        <v>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1" t="s">
        <v>9</v>
      </c>
      <c r="AA2" s="7" t="s">
        <v>7</v>
      </c>
      <c r="AB2" s="8"/>
      <c r="AC2" s="9"/>
      <c r="AD2" s="2" t="s">
        <v>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>
      <c r="A3" s="6"/>
      <c r="B3" s="6"/>
      <c r="C3" s="6"/>
      <c r="D3" s="6"/>
      <c r="E3" s="6"/>
      <c r="F3" s="6"/>
      <c r="G3" s="6"/>
      <c r="H3" s="10"/>
      <c r="I3" s="11"/>
      <c r="J3" s="12"/>
      <c r="K3" s="2" t="s">
        <v>10</v>
      </c>
      <c r="L3" s="3"/>
      <c r="M3" s="3"/>
      <c r="N3" s="3"/>
      <c r="O3" s="4"/>
      <c r="P3" s="13"/>
      <c r="Q3" s="13"/>
      <c r="R3" s="13"/>
      <c r="S3" s="13"/>
      <c r="T3" s="13"/>
      <c r="U3" s="13"/>
      <c r="V3" s="2" t="s">
        <v>11</v>
      </c>
      <c r="W3" s="3"/>
      <c r="X3" s="4"/>
      <c r="Y3" s="1" t="s">
        <v>12</v>
      </c>
      <c r="Z3" s="6"/>
      <c r="AA3" s="10"/>
      <c r="AB3" s="11"/>
      <c r="AC3" s="12"/>
      <c r="AD3" s="2" t="s">
        <v>10</v>
      </c>
      <c r="AE3" s="3"/>
      <c r="AF3" s="3"/>
      <c r="AG3" s="3"/>
      <c r="AH3" s="4"/>
      <c r="AI3" s="14"/>
      <c r="AJ3" s="14"/>
      <c r="AK3" s="14"/>
      <c r="AL3" s="14"/>
      <c r="AM3" s="14"/>
      <c r="AN3" s="14"/>
      <c r="AO3" s="2" t="s">
        <v>11</v>
      </c>
      <c r="AP3" s="3"/>
      <c r="AQ3" s="4"/>
      <c r="AR3" s="1" t="s">
        <v>13</v>
      </c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>
      <c r="A4" s="6"/>
      <c r="B4" s="6"/>
      <c r="C4" s="6"/>
      <c r="D4" s="6"/>
      <c r="E4" s="6"/>
      <c r="F4" s="6"/>
      <c r="G4" s="6"/>
      <c r="H4" s="15" t="s">
        <v>14</v>
      </c>
      <c r="I4" s="15" t="s">
        <v>15</v>
      </c>
      <c r="J4" s="15" t="s">
        <v>16</v>
      </c>
      <c r="K4" s="16" t="s">
        <v>14</v>
      </c>
      <c r="L4" s="17" t="s">
        <v>17</v>
      </c>
      <c r="M4" s="4"/>
      <c r="N4" s="17" t="s">
        <v>18</v>
      </c>
      <c r="O4" s="4"/>
      <c r="P4" s="18"/>
      <c r="Q4" s="18"/>
      <c r="R4" s="18"/>
      <c r="S4" s="18"/>
      <c r="T4" s="18"/>
      <c r="U4" s="18"/>
      <c r="V4" s="15" t="s">
        <v>14</v>
      </c>
      <c r="W4" s="15" t="s">
        <v>15</v>
      </c>
      <c r="X4" s="15" t="s">
        <v>16</v>
      </c>
      <c r="Y4" s="6"/>
      <c r="Z4" s="6"/>
      <c r="AA4" s="15" t="s">
        <v>14</v>
      </c>
      <c r="AB4" s="15" t="s">
        <v>15</v>
      </c>
      <c r="AC4" s="15" t="s">
        <v>16</v>
      </c>
      <c r="AD4" s="16" t="s">
        <v>14</v>
      </c>
      <c r="AE4" s="17" t="s">
        <v>17</v>
      </c>
      <c r="AF4" s="4"/>
      <c r="AG4" s="17" t="s">
        <v>18</v>
      </c>
      <c r="AH4" s="4"/>
      <c r="AI4" s="19"/>
      <c r="AJ4" s="19"/>
      <c r="AK4" s="19"/>
      <c r="AL4" s="19"/>
      <c r="AM4" s="19"/>
      <c r="AN4" s="19"/>
      <c r="AO4" s="15" t="s">
        <v>14</v>
      </c>
      <c r="AP4" s="15" t="s">
        <v>15</v>
      </c>
      <c r="AQ4" s="15" t="s">
        <v>16</v>
      </c>
      <c r="AR4" s="6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19" t="s">
        <v>15</v>
      </c>
      <c r="M5" s="19" t="s">
        <v>16</v>
      </c>
      <c r="N5" s="19" t="s">
        <v>15</v>
      </c>
      <c r="O5" s="19" t="s">
        <v>16</v>
      </c>
      <c r="P5" s="19" t="s">
        <v>19</v>
      </c>
      <c r="Q5" s="19" t="s">
        <v>20</v>
      </c>
      <c r="R5" s="19" t="s">
        <v>21</v>
      </c>
      <c r="S5" s="19" t="s">
        <v>22</v>
      </c>
      <c r="T5" s="19" t="s">
        <v>23</v>
      </c>
      <c r="U5" s="19" t="s">
        <v>24</v>
      </c>
      <c r="V5" s="21"/>
      <c r="W5" s="21"/>
      <c r="X5" s="21"/>
      <c r="Y5" s="21"/>
      <c r="Z5" s="21"/>
      <c r="AA5" s="21"/>
      <c r="AB5" s="21"/>
      <c r="AC5" s="21"/>
      <c r="AD5" s="21"/>
      <c r="AE5" s="19" t="s">
        <v>15</v>
      </c>
      <c r="AF5" s="19" t="s">
        <v>16</v>
      </c>
      <c r="AG5" s="19" t="s">
        <v>15</v>
      </c>
      <c r="AH5" s="19" t="s">
        <v>16</v>
      </c>
      <c r="AI5" s="19" t="s">
        <v>19</v>
      </c>
      <c r="AJ5" s="19" t="s">
        <v>20</v>
      </c>
      <c r="AK5" s="19" t="s">
        <v>21</v>
      </c>
      <c r="AL5" s="19" t="s">
        <v>22</v>
      </c>
      <c r="AM5" s="19" t="s">
        <v>23</v>
      </c>
      <c r="AN5" s="19" t="s">
        <v>24</v>
      </c>
      <c r="AO5" s="21"/>
      <c r="AP5" s="21"/>
      <c r="AQ5" s="21"/>
      <c r="AR5" s="21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</row>
    <row r="6">
      <c r="A6" s="22">
        <v>73.0</v>
      </c>
      <c r="B6" s="23" t="s">
        <v>25</v>
      </c>
      <c r="C6" s="24" t="s">
        <v>26</v>
      </c>
      <c r="D6" s="24" t="s">
        <v>27</v>
      </c>
      <c r="E6" s="24" t="s">
        <v>28</v>
      </c>
      <c r="F6" s="25" t="s">
        <v>28</v>
      </c>
      <c r="G6" s="26">
        <v>260868.0</v>
      </c>
      <c r="H6" s="26">
        <v>73630.0</v>
      </c>
      <c r="I6" s="26">
        <v>37126.0</v>
      </c>
      <c r="J6" s="26">
        <v>36504.0</v>
      </c>
      <c r="K6" s="26">
        <v>106212.0</v>
      </c>
      <c r="L6" s="26">
        <v>57340.0</v>
      </c>
      <c r="M6" s="26">
        <v>46139.0</v>
      </c>
      <c r="N6" s="26">
        <v>1400.0</v>
      </c>
      <c r="O6" s="26">
        <v>1333.0</v>
      </c>
      <c r="P6" s="26">
        <f t="shared" ref="P6:P349" si="3">M6+O6</f>
        <v>47472</v>
      </c>
      <c r="Q6" s="26">
        <f t="shared" ref="Q6:Q349" si="4">L6+N6</f>
        <v>58740</v>
      </c>
      <c r="R6" s="26">
        <f t="shared" ref="R6:R349" si="5">P6+X6</f>
        <v>99841</v>
      </c>
      <c r="S6" s="26">
        <f t="shared" ref="S6:S349" si="6">Q6+W6</f>
        <v>87397</v>
      </c>
      <c r="T6" s="26">
        <f t="shared" ref="T6:U6" si="1">(P6/R6)*100</f>
        <v>47.54760069</v>
      </c>
      <c r="U6" s="26">
        <f t="shared" si="1"/>
        <v>67.21054498</v>
      </c>
      <c r="V6" s="26">
        <v>81026.0</v>
      </c>
      <c r="W6" s="26">
        <v>28657.0</v>
      </c>
      <c r="X6" s="26">
        <v>52369.0</v>
      </c>
      <c r="Y6" s="26">
        <v>0.0</v>
      </c>
      <c r="Z6" s="26">
        <v>294699.0</v>
      </c>
      <c r="AA6" s="26">
        <v>68133.0</v>
      </c>
      <c r="AB6" s="26">
        <v>34255.0</v>
      </c>
      <c r="AC6" s="26">
        <v>33878.0</v>
      </c>
      <c r="AD6" s="26">
        <v>149563.0</v>
      </c>
      <c r="AE6" s="26">
        <v>74657.0</v>
      </c>
      <c r="AF6" s="26">
        <v>68248.0</v>
      </c>
      <c r="AG6" s="26">
        <v>3279.0</v>
      </c>
      <c r="AH6" s="26">
        <v>3379.0</v>
      </c>
      <c r="AI6" s="26">
        <f t="shared" ref="AI6:AI349" si="8">AF6+AH6</f>
        <v>71627</v>
      </c>
      <c r="AJ6" s="26">
        <f t="shared" ref="AJ6:AJ349" si="9">AE6+AG6</f>
        <v>77936</v>
      </c>
      <c r="AK6" s="26">
        <f t="shared" ref="AK6:AK349" si="10">AI6+AQ6</f>
        <v>116982</v>
      </c>
      <c r="AL6" s="26">
        <f t="shared" ref="AL6:AL349" si="11">AJ6+AP6</f>
        <v>104927</v>
      </c>
      <c r="AM6" s="26">
        <f t="shared" ref="AM6:AN6" si="2">(AI6/AK6)*100</f>
        <v>61.22907798</v>
      </c>
      <c r="AN6" s="26">
        <f t="shared" si="2"/>
        <v>74.27640169</v>
      </c>
      <c r="AO6" s="26">
        <v>72346.0</v>
      </c>
      <c r="AP6" s="26">
        <v>26991.0</v>
      </c>
      <c r="AQ6" s="26">
        <v>45355.0</v>
      </c>
      <c r="AR6" s="26">
        <v>4657.0</v>
      </c>
      <c r="AS6" s="27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</row>
    <row r="7">
      <c r="A7" s="22">
        <v>97.0</v>
      </c>
      <c r="B7" s="23" t="s">
        <v>25</v>
      </c>
      <c r="C7" s="24" t="s">
        <v>26</v>
      </c>
      <c r="D7" s="24" t="s">
        <v>27</v>
      </c>
      <c r="E7" s="24" t="s">
        <v>29</v>
      </c>
      <c r="F7" s="25" t="s">
        <v>29</v>
      </c>
      <c r="G7" s="26">
        <v>9437.0</v>
      </c>
      <c r="H7" s="26">
        <v>2734.0</v>
      </c>
      <c r="I7" s="26">
        <v>1387.0</v>
      </c>
      <c r="J7" s="26">
        <v>1347.0</v>
      </c>
      <c r="K7" s="26">
        <v>4022.0</v>
      </c>
      <c r="L7" s="26">
        <v>2397.0</v>
      </c>
      <c r="M7" s="26">
        <v>1598.0</v>
      </c>
      <c r="N7" s="26">
        <v>17.0</v>
      </c>
      <c r="O7" s="26">
        <v>10.0</v>
      </c>
      <c r="P7" s="26">
        <f t="shared" si="3"/>
        <v>1608</v>
      </c>
      <c r="Q7" s="26">
        <f t="shared" si="4"/>
        <v>2414</v>
      </c>
      <c r="R7" s="26">
        <f t="shared" si="5"/>
        <v>3402</v>
      </c>
      <c r="S7" s="26">
        <f t="shared" si="6"/>
        <v>3301</v>
      </c>
      <c r="T7" s="26">
        <f t="shared" ref="T7:U7" si="7">(P7/R7)*100</f>
        <v>47.26631393</v>
      </c>
      <c r="U7" s="26">
        <f t="shared" si="7"/>
        <v>73.12935474</v>
      </c>
      <c r="V7" s="26">
        <v>2681.0</v>
      </c>
      <c r="W7" s="26">
        <v>887.0</v>
      </c>
      <c r="X7" s="26">
        <v>1794.0</v>
      </c>
      <c r="Y7" s="26">
        <v>0.0</v>
      </c>
      <c r="Z7" s="26">
        <v>9176.0</v>
      </c>
      <c r="AA7" s="26">
        <v>2078.0</v>
      </c>
      <c r="AB7" s="26">
        <v>1097.0</v>
      </c>
      <c r="AC7" s="26">
        <v>981.0</v>
      </c>
      <c r="AD7" s="26">
        <v>5437.0</v>
      </c>
      <c r="AE7" s="26">
        <v>2874.0</v>
      </c>
      <c r="AF7" s="26">
        <v>2446.0</v>
      </c>
      <c r="AG7" s="26">
        <v>62.0</v>
      </c>
      <c r="AH7" s="26">
        <v>55.0</v>
      </c>
      <c r="AI7" s="26">
        <f t="shared" si="8"/>
        <v>2501</v>
      </c>
      <c r="AJ7" s="26">
        <f t="shared" si="9"/>
        <v>2936</v>
      </c>
      <c r="AK7" s="26">
        <f t="shared" si="10"/>
        <v>3508</v>
      </c>
      <c r="AL7" s="26">
        <f t="shared" si="11"/>
        <v>3438</v>
      </c>
      <c r="AM7" s="26">
        <f t="shared" ref="AM7:AN7" si="12">(AI7/AK7)*100</f>
        <v>71.29418472</v>
      </c>
      <c r="AN7" s="26">
        <f t="shared" si="12"/>
        <v>85.39848749</v>
      </c>
      <c r="AO7" s="26">
        <v>1509.0</v>
      </c>
      <c r="AP7" s="26">
        <v>502.0</v>
      </c>
      <c r="AQ7" s="26">
        <v>1007.0</v>
      </c>
      <c r="AR7" s="26">
        <v>152.0</v>
      </c>
      <c r="AS7" s="27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>
      <c r="A8" s="22">
        <v>121.0</v>
      </c>
      <c r="B8" s="23" t="s">
        <v>25</v>
      </c>
      <c r="C8" s="24" t="s">
        <v>26</v>
      </c>
      <c r="D8" s="24" t="s">
        <v>27</v>
      </c>
      <c r="E8" s="24" t="s">
        <v>30</v>
      </c>
      <c r="F8" s="25" t="s">
        <v>30</v>
      </c>
      <c r="G8" s="26">
        <v>16522.0</v>
      </c>
      <c r="H8" s="26">
        <v>6166.0</v>
      </c>
      <c r="I8" s="26">
        <v>3111.0</v>
      </c>
      <c r="J8" s="26">
        <v>3055.0</v>
      </c>
      <c r="K8" s="26">
        <v>6653.0</v>
      </c>
      <c r="L8" s="26">
        <v>4131.0</v>
      </c>
      <c r="M8" s="26">
        <v>2483.0</v>
      </c>
      <c r="N8" s="26">
        <v>28.0</v>
      </c>
      <c r="O8" s="26">
        <v>11.0</v>
      </c>
      <c r="P8" s="26">
        <f t="shared" si="3"/>
        <v>2494</v>
      </c>
      <c r="Q8" s="26">
        <f t="shared" si="4"/>
        <v>4159</v>
      </c>
      <c r="R8" s="26">
        <f t="shared" si="5"/>
        <v>5174</v>
      </c>
      <c r="S8" s="26">
        <f t="shared" si="6"/>
        <v>5182</v>
      </c>
      <c r="T8" s="26">
        <f t="shared" ref="T8:U8" si="13">(P8/R8)*100</f>
        <v>48.20255122</v>
      </c>
      <c r="U8" s="26">
        <f t="shared" si="13"/>
        <v>80.25858742</v>
      </c>
      <c r="V8" s="26">
        <v>3703.0</v>
      </c>
      <c r="W8" s="26">
        <v>1023.0</v>
      </c>
      <c r="X8" s="26">
        <v>2680.0</v>
      </c>
      <c r="Y8" s="26">
        <v>0.0</v>
      </c>
      <c r="Z8" s="26">
        <v>13504.0</v>
      </c>
      <c r="AA8" s="26">
        <v>3869.0</v>
      </c>
      <c r="AB8" s="26">
        <v>1983.0</v>
      </c>
      <c r="AC8" s="26">
        <v>1886.0</v>
      </c>
      <c r="AD8" s="26">
        <v>7775.0</v>
      </c>
      <c r="AE8" s="26">
        <v>4189.0</v>
      </c>
      <c r="AF8" s="26">
        <v>3470.0</v>
      </c>
      <c r="AG8" s="26">
        <v>73.0</v>
      </c>
      <c r="AH8" s="26">
        <v>43.0</v>
      </c>
      <c r="AI8" s="26">
        <f t="shared" si="8"/>
        <v>3513</v>
      </c>
      <c r="AJ8" s="26">
        <f t="shared" si="9"/>
        <v>4262</v>
      </c>
      <c r="AK8" s="26">
        <f t="shared" si="10"/>
        <v>4617</v>
      </c>
      <c r="AL8" s="26">
        <f t="shared" si="11"/>
        <v>4820</v>
      </c>
      <c r="AM8" s="26">
        <f t="shared" ref="AM8:AN8" si="14">(AI8/AK8)*100</f>
        <v>76.08836907</v>
      </c>
      <c r="AN8" s="26">
        <f t="shared" si="14"/>
        <v>88.42323651</v>
      </c>
      <c r="AO8" s="26">
        <v>1662.0</v>
      </c>
      <c r="AP8" s="26">
        <v>558.0</v>
      </c>
      <c r="AQ8" s="26">
        <v>1104.0</v>
      </c>
      <c r="AR8" s="26">
        <v>198.0</v>
      </c>
      <c r="AS8" s="27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>
      <c r="A9" s="22">
        <v>169.0</v>
      </c>
      <c r="B9" s="23" t="s">
        <v>25</v>
      </c>
      <c r="C9" s="24" t="s">
        <v>26</v>
      </c>
      <c r="D9" s="24" t="s">
        <v>31</v>
      </c>
      <c r="E9" s="24" t="s">
        <v>31</v>
      </c>
      <c r="F9" s="25" t="s">
        <v>31</v>
      </c>
      <c r="G9" s="26">
        <v>10646.0</v>
      </c>
      <c r="H9" s="26">
        <v>4080.0</v>
      </c>
      <c r="I9" s="26">
        <v>2101.0</v>
      </c>
      <c r="J9" s="26">
        <v>1979.0</v>
      </c>
      <c r="K9" s="26">
        <v>3803.0</v>
      </c>
      <c r="L9" s="26">
        <v>2675.0</v>
      </c>
      <c r="M9" s="26">
        <v>1107.0</v>
      </c>
      <c r="N9" s="26">
        <v>12.0</v>
      </c>
      <c r="O9" s="26">
        <v>9.0</v>
      </c>
      <c r="P9" s="26">
        <f t="shared" si="3"/>
        <v>1116</v>
      </c>
      <c r="Q9" s="26">
        <f t="shared" si="4"/>
        <v>2687</v>
      </c>
      <c r="R9" s="26">
        <f t="shared" si="5"/>
        <v>3256</v>
      </c>
      <c r="S9" s="26">
        <f t="shared" si="6"/>
        <v>3310</v>
      </c>
      <c r="T9" s="26">
        <f t="shared" ref="T9:U9" si="15">(P9/R9)*100</f>
        <v>34.27518428</v>
      </c>
      <c r="U9" s="26">
        <f t="shared" si="15"/>
        <v>81.17824773</v>
      </c>
      <c r="V9" s="26">
        <v>2763.0</v>
      </c>
      <c r="W9" s="26">
        <v>623.0</v>
      </c>
      <c r="X9" s="26">
        <v>2140.0</v>
      </c>
      <c r="Y9" s="26">
        <v>0.0</v>
      </c>
      <c r="Z9" s="26">
        <v>7716.0</v>
      </c>
      <c r="AA9" s="26">
        <v>2250.0</v>
      </c>
      <c r="AB9" s="26">
        <v>1186.0</v>
      </c>
      <c r="AC9" s="26">
        <v>1064.0</v>
      </c>
      <c r="AD9" s="26">
        <v>4249.0</v>
      </c>
      <c r="AE9" s="26">
        <v>2272.0</v>
      </c>
      <c r="AF9" s="26">
        <v>1934.0</v>
      </c>
      <c r="AG9" s="26">
        <v>24.0</v>
      </c>
      <c r="AH9" s="26">
        <v>19.0</v>
      </c>
      <c r="AI9" s="26">
        <f t="shared" si="8"/>
        <v>1953</v>
      </c>
      <c r="AJ9" s="26">
        <f t="shared" si="9"/>
        <v>2296</v>
      </c>
      <c r="AK9" s="26">
        <f t="shared" si="10"/>
        <v>2638</v>
      </c>
      <c r="AL9" s="26">
        <f t="shared" si="11"/>
        <v>2634</v>
      </c>
      <c r="AM9" s="26">
        <f t="shared" ref="AM9:AN9" si="16">(AI9/AK9)*100</f>
        <v>74.03335861</v>
      </c>
      <c r="AN9" s="26">
        <f t="shared" si="16"/>
        <v>87.16780562</v>
      </c>
      <c r="AO9" s="26">
        <v>1023.0</v>
      </c>
      <c r="AP9" s="26">
        <v>338.0</v>
      </c>
      <c r="AQ9" s="26">
        <v>685.0</v>
      </c>
      <c r="AR9" s="26">
        <v>194.0</v>
      </c>
      <c r="AS9" s="27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</row>
    <row r="10">
      <c r="A10" s="22">
        <v>193.0</v>
      </c>
      <c r="B10" s="23" t="s">
        <v>25</v>
      </c>
      <c r="C10" s="24" t="s">
        <v>26</v>
      </c>
      <c r="D10" s="24" t="s">
        <v>31</v>
      </c>
      <c r="E10" s="24" t="s">
        <v>32</v>
      </c>
      <c r="F10" s="25" t="s">
        <v>32</v>
      </c>
      <c r="G10" s="26">
        <v>14243.0</v>
      </c>
      <c r="H10" s="26">
        <v>5400.0</v>
      </c>
      <c r="I10" s="26">
        <v>2777.0</v>
      </c>
      <c r="J10" s="26">
        <v>2623.0</v>
      </c>
      <c r="K10" s="26">
        <v>5788.0</v>
      </c>
      <c r="L10" s="26">
        <v>3572.0</v>
      </c>
      <c r="M10" s="26">
        <v>2198.0</v>
      </c>
      <c r="N10" s="26">
        <v>11.0</v>
      </c>
      <c r="O10" s="26">
        <v>7.0</v>
      </c>
      <c r="P10" s="26">
        <f t="shared" si="3"/>
        <v>2205</v>
      </c>
      <c r="Q10" s="26">
        <f t="shared" si="4"/>
        <v>3583</v>
      </c>
      <c r="R10" s="26">
        <f t="shared" si="5"/>
        <v>4394</v>
      </c>
      <c r="S10" s="26">
        <f t="shared" si="6"/>
        <v>4449</v>
      </c>
      <c r="T10" s="26">
        <f t="shared" ref="T10:U10" si="17">(P10/R10)*100</f>
        <v>50.18206645</v>
      </c>
      <c r="U10" s="26">
        <f t="shared" si="17"/>
        <v>80.53495167</v>
      </c>
      <c r="V10" s="26">
        <v>3055.0</v>
      </c>
      <c r="W10" s="26">
        <v>866.0</v>
      </c>
      <c r="X10" s="26">
        <v>2189.0</v>
      </c>
      <c r="Y10" s="26">
        <v>0.0</v>
      </c>
      <c r="Z10" s="26">
        <v>16597.0</v>
      </c>
      <c r="AA10" s="26">
        <v>4419.0</v>
      </c>
      <c r="AB10" s="26">
        <v>2222.0</v>
      </c>
      <c r="AC10" s="26">
        <v>2197.0</v>
      </c>
      <c r="AD10" s="26">
        <v>9098.0</v>
      </c>
      <c r="AE10" s="26">
        <v>4906.0</v>
      </c>
      <c r="AF10" s="26">
        <v>4044.0</v>
      </c>
      <c r="AG10" s="26">
        <v>89.0</v>
      </c>
      <c r="AH10" s="26">
        <v>59.0</v>
      </c>
      <c r="AI10" s="26">
        <f t="shared" si="8"/>
        <v>4103</v>
      </c>
      <c r="AJ10" s="26">
        <f t="shared" si="9"/>
        <v>4995</v>
      </c>
      <c r="AK10" s="26">
        <f t="shared" si="10"/>
        <v>6003</v>
      </c>
      <c r="AL10" s="26">
        <f t="shared" si="11"/>
        <v>5856</v>
      </c>
      <c r="AM10" s="26">
        <f t="shared" ref="AM10:AN10" si="18">(AI10/AK10)*100</f>
        <v>68.34915875</v>
      </c>
      <c r="AN10" s="26">
        <f t="shared" si="18"/>
        <v>85.29713115</v>
      </c>
      <c r="AO10" s="26">
        <v>2761.0</v>
      </c>
      <c r="AP10" s="26">
        <v>861.0</v>
      </c>
      <c r="AQ10" s="26">
        <v>1900.0</v>
      </c>
      <c r="AR10" s="26">
        <v>319.0</v>
      </c>
      <c r="AS10" s="27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</row>
    <row r="11">
      <c r="A11" s="22">
        <v>241.0</v>
      </c>
      <c r="B11" s="23" t="s">
        <v>25</v>
      </c>
      <c r="C11" s="24" t="s">
        <v>26</v>
      </c>
      <c r="D11" s="24" t="s">
        <v>33</v>
      </c>
      <c r="E11" s="24" t="s">
        <v>33</v>
      </c>
      <c r="F11" s="25" t="s">
        <v>33</v>
      </c>
      <c r="G11" s="26">
        <v>11354.0</v>
      </c>
      <c r="H11" s="26">
        <v>3198.0</v>
      </c>
      <c r="I11" s="26">
        <v>1640.0</v>
      </c>
      <c r="J11" s="26">
        <v>1558.0</v>
      </c>
      <c r="K11" s="26">
        <v>4952.0</v>
      </c>
      <c r="L11" s="26">
        <v>3236.0</v>
      </c>
      <c r="M11" s="26">
        <v>1672.0</v>
      </c>
      <c r="N11" s="26">
        <v>29.0</v>
      </c>
      <c r="O11" s="26">
        <v>15.0</v>
      </c>
      <c r="P11" s="26">
        <f t="shared" si="3"/>
        <v>1687</v>
      </c>
      <c r="Q11" s="26">
        <f t="shared" si="4"/>
        <v>3265</v>
      </c>
      <c r="R11" s="26">
        <f t="shared" si="5"/>
        <v>4006</v>
      </c>
      <c r="S11" s="26">
        <f t="shared" si="6"/>
        <v>4150</v>
      </c>
      <c r="T11" s="26">
        <f t="shared" ref="T11:U11" si="19">(P11/R11)*100</f>
        <v>42.11183225</v>
      </c>
      <c r="U11" s="26">
        <f t="shared" si="19"/>
        <v>78.6746988</v>
      </c>
      <c r="V11" s="26">
        <v>3204.0</v>
      </c>
      <c r="W11" s="26">
        <v>885.0</v>
      </c>
      <c r="X11" s="26">
        <v>2319.0</v>
      </c>
      <c r="Y11" s="26">
        <v>0.0</v>
      </c>
      <c r="Z11" s="26">
        <v>13529.0</v>
      </c>
      <c r="AA11" s="26">
        <v>3073.0</v>
      </c>
      <c r="AB11" s="26">
        <v>1573.0</v>
      </c>
      <c r="AC11" s="26">
        <v>1500.0</v>
      </c>
      <c r="AD11" s="26">
        <v>7918.0</v>
      </c>
      <c r="AE11" s="26">
        <v>4563.0</v>
      </c>
      <c r="AF11" s="26">
        <v>3209.0</v>
      </c>
      <c r="AG11" s="26">
        <v>92.0</v>
      </c>
      <c r="AH11" s="26">
        <v>54.0</v>
      </c>
      <c r="AI11" s="26">
        <f t="shared" si="8"/>
        <v>3263</v>
      </c>
      <c r="AJ11" s="26">
        <f t="shared" si="9"/>
        <v>4655</v>
      </c>
      <c r="AK11" s="26">
        <f t="shared" si="10"/>
        <v>4881</v>
      </c>
      <c r="AL11" s="26">
        <f t="shared" si="11"/>
        <v>5409</v>
      </c>
      <c r="AM11" s="26">
        <f t="shared" ref="AM11:AN11" si="20">(AI11/AK11)*100</f>
        <v>66.85105511</v>
      </c>
      <c r="AN11" s="26">
        <f t="shared" si="20"/>
        <v>86.06026992</v>
      </c>
      <c r="AO11" s="26">
        <v>2372.0</v>
      </c>
      <c r="AP11" s="26">
        <v>754.0</v>
      </c>
      <c r="AQ11" s="26">
        <v>1618.0</v>
      </c>
      <c r="AR11" s="26">
        <v>166.0</v>
      </c>
      <c r="AS11" s="27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>
      <c r="A12" s="22">
        <v>265.0</v>
      </c>
      <c r="B12" s="23" t="s">
        <v>25</v>
      </c>
      <c r="C12" s="24" t="s">
        <v>26</v>
      </c>
      <c r="D12" s="24" t="s">
        <v>33</v>
      </c>
      <c r="E12" s="24" t="s">
        <v>34</v>
      </c>
      <c r="F12" s="25" t="s">
        <v>34</v>
      </c>
      <c r="G12" s="26">
        <v>12374.0</v>
      </c>
      <c r="H12" s="26">
        <v>4170.0</v>
      </c>
      <c r="I12" s="26">
        <v>2178.0</v>
      </c>
      <c r="J12" s="26">
        <v>1992.0</v>
      </c>
      <c r="K12" s="26">
        <v>5073.0</v>
      </c>
      <c r="L12" s="26">
        <v>3289.0</v>
      </c>
      <c r="M12" s="26">
        <v>1725.0</v>
      </c>
      <c r="N12" s="26">
        <v>40.0</v>
      </c>
      <c r="O12" s="26">
        <v>19.0</v>
      </c>
      <c r="P12" s="26">
        <f t="shared" si="3"/>
        <v>1744</v>
      </c>
      <c r="Q12" s="26">
        <f t="shared" si="4"/>
        <v>3329</v>
      </c>
      <c r="R12" s="26">
        <f t="shared" si="5"/>
        <v>4084</v>
      </c>
      <c r="S12" s="26">
        <f t="shared" si="6"/>
        <v>4120</v>
      </c>
      <c r="T12" s="26">
        <f t="shared" ref="T12:U12" si="21">(P12/R12)*100</f>
        <v>42.70323213</v>
      </c>
      <c r="U12" s="26">
        <f t="shared" si="21"/>
        <v>80.80097087</v>
      </c>
      <c r="V12" s="26">
        <v>3131.0</v>
      </c>
      <c r="W12" s="26">
        <v>791.0</v>
      </c>
      <c r="X12" s="26">
        <v>2340.0</v>
      </c>
      <c r="Y12" s="26">
        <v>0.0</v>
      </c>
      <c r="Z12" s="26">
        <v>12334.0</v>
      </c>
      <c r="AA12" s="26">
        <v>3271.0</v>
      </c>
      <c r="AB12" s="26">
        <v>1691.0</v>
      </c>
      <c r="AC12" s="26">
        <v>1580.0</v>
      </c>
      <c r="AD12" s="26">
        <v>6918.0</v>
      </c>
      <c r="AE12" s="26">
        <v>3945.0</v>
      </c>
      <c r="AF12" s="26">
        <v>2893.0</v>
      </c>
      <c r="AG12" s="26">
        <v>48.0</v>
      </c>
      <c r="AH12" s="26">
        <v>32.0</v>
      </c>
      <c r="AI12" s="26">
        <f t="shared" si="8"/>
        <v>2925</v>
      </c>
      <c r="AJ12" s="26">
        <f t="shared" si="9"/>
        <v>3993</v>
      </c>
      <c r="AK12" s="26">
        <f t="shared" si="10"/>
        <v>4228</v>
      </c>
      <c r="AL12" s="26">
        <f t="shared" si="11"/>
        <v>4651</v>
      </c>
      <c r="AM12" s="26">
        <f t="shared" ref="AM12:AN12" si="22">(AI12/AK12)*100</f>
        <v>69.18164617</v>
      </c>
      <c r="AN12" s="26">
        <f t="shared" si="22"/>
        <v>85.85250484</v>
      </c>
      <c r="AO12" s="26">
        <v>1961.0</v>
      </c>
      <c r="AP12" s="26">
        <v>658.0</v>
      </c>
      <c r="AQ12" s="26">
        <v>1303.0</v>
      </c>
      <c r="AR12" s="26">
        <v>184.0</v>
      </c>
      <c r="AS12" s="27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>
      <c r="A13" s="22">
        <v>289.0</v>
      </c>
      <c r="B13" s="23" t="s">
        <v>25</v>
      </c>
      <c r="C13" s="24" t="s">
        <v>26</v>
      </c>
      <c r="D13" s="24" t="s">
        <v>33</v>
      </c>
      <c r="E13" s="24" t="s">
        <v>35</v>
      </c>
      <c r="F13" s="25" t="s">
        <v>35</v>
      </c>
      <c r="G13" s="26">
        <v>8059.0</v>
      </c>
      <c r="H13" s="26">
        <v>2730.0</v>
      </c>
      <c r="I13" s="26">
        <v>1365.0</v>
      </c>
      <c r="J13" s="26">
        <v>1365.0</v>
      </c>
      <c r="K13" s="26">
        <v>3276.0</v>
      </c>
      <c r="L13" s="26">
        <v>1997.0</v>
      </c>
      <c r="M13" s="26">
        <v>1268.0</v>
      </c>
      <c r="N13" s="26">
        <v>6.0</v>
      </c>
      <c r="O13" s="26">
        <v>5.0</v>
      </c>
      <c r="P13" s="26">
        <f t="shared" si="3"/>
        <v>1273</v>
      </c>
      <c r="Q13" s="26">
        <f t="shared" si="4"/>
        <v>2003</v>
      </c>
      <c r="R13" s="26">
        <f t="shared" si="5"/>
        <v>2716</v>
      </c>
      <c r="S13" s="26">
        <f t="shared" si="6"/>
        <v>2613</v>
      </c>
      <c r="T13" s="26">
        <f t="shared" ref="T13:U13" si="23">(P13/R13)*100</f>
        <v>46.87039764</v>
      </c>
      <c r="U13" s="26">
        <f t="shared" si="23"/>
        <v>76.65518561</v>
      </c>
      <c r="V13" s="26">
        <v>2053.0</v>
      </c>
      <c r="W13" s="26">
        <v>610.0</v>
      </c>
      <c r="X13" s="26">
        <v>1443.0</v>
      </c>
      <c r="Y13" s="26">
        <v>0.0</v>
      </c>
      <c r="Z13" s="26">
        <v>9013.0</v>
      </c>
      <c r="AA13" s="26">
        <v>2351.0</v>
      </c>
      <c r="AB13" s="26">
        <v>1167.0</v>
      </c>
      <c r="AC13" s="26">
        <v>1184.0</v>
      </c>
      <c r="AD13" s="26">
        <v>5111.0</v>
      </c>
      <c r="AE13" s="26">
        <v>2757.0</v>
      </c>
      <c r="AF13" s="26">
        <v>2224.0</v>
      </c>
      <c r="AG13" s="26">
        <v>64.0</v>
      </c>
      <c r="AH13" s="26">
        <v>66.0</v>
      </c>
      <c r="AI13" s="26">
        <f t="shared" si="8"/>
        <v>2290</v>
      </c>
      <c r="AJ13" s="26">
        <f t="shared" si="9"/>
        <v>2821</v>
      </c>
      <c r="AK13" s="26">
        <f t="shared" si="10"/>
        <v>3293</v>
      </c>
      <c r="AL13" s="26">
        <f t="shared" si="11"/>
        <v>3301</v>
      </c>
      <c r="AM13" s="26">
        <f t="shared" ref="AM13:AN13" si="24">(AI13/AK13)*100</f>
        <v>69.54145156</v>
      </c>
      <c r="AN13" s="26">
        <f t="shared" si="24"/>
        <v>85.45895183</v>
      </c>
      <c r="AO13" s="26">
        <v>1483.0</v>
      </c>
      <c r="AP13" s="26">
        <v>480.0</v>
      </c>
      <c r="AQ13" s="26">
        <v>1003.0</v>
      </c>
      <c r="AR13" s="26">
        <v>68.0</v>
      </c>
      <c r="AS13" s="27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>
      <c r="A14" s="22">
        <v>313.0</v>
      </c>
      <c r="B14" s="23" t="s">
        <v>25</v>
      </c>
      <c r="C14" s="24" t="s">
        <v>26</v>
      </c>
      <c r="D14" s="24" t="s">
        <v>33</v>
      </c>
      <c r="E14" s="24" t="s">
        <v>36</v>
      </c>
      <c r="F14" s="25" t="s">
        <v>36</v>
      </c>
      <c r="G14" s="26">
        <v>7752.0</v>
      </c>
      <c r="H14" s="26">
        <v>2723.0</v>
      </c>
      <c r="I14" s="26">
        <v>1371.0</v>
      </c>
      <c r="J14" s="26">
        <v>1352.0</v>
      </c>
      <c r="K14" s="26">
        <v>2842.0</v>
      </c>
      <c r="L14" s="26">
        <v>1817.0</v>
      </c>
      <c r="M14" s="26">
        <v>1009.0</v>
      </c>
      <c r="N14" s="26">
        <v>14.0</v>
      </c>
      <c r="O14" s="26">
        <v>2.0</v>
      </c>
      <c r="P14" s="26">
        <f t="shared" si="3"/>
        <v>1011</v>
      </c>
      <c r="Q14" s="26">
        <f t="shared" si="4"/>
        <v>1831</v>
      </c>
      <c r="R14" s="26">
        <f t="shared" si="5"/>
        <v>2530</v>
      </c>
      <c r="S14" s="26">
        <f t="shared" si="6"/>
        <v>2499</v>
      </c>
      <c r="T14" s="26">
        <f t="shared" ref="T14:U14" si="25">(P14/R14)*100</f>
        <v>39.96047431</v>
      </c>
      <c r="U14" s="26">
        <f t="shared" si="25"/>
        <v>73.26930772</v>
      </c>
      <c r="V14" s="26">
        <v>2187.0</v>
      </c>
      <c r="W14" s="26">
        <v>668.0</v>
      </c>
      <c r="X14" s="26">
        <v>1519.0</v>
      </c>
      <c r="Y14" s="26">
        <v>0.0</v>
      </c>
      <c r="Z14" s="26">
        <v>8990.0</v>
      </c>
      <c r="AA14" s="26">
        <v>2060.0</v>
      </c>
      <c r="AB14" s="26">
        <v>1085.0</v>
      </c>
      <c r="AC14" s="26">
        <v>975.0</v>
      </c>
      <c r="AD14" s="26">
        <v>5349.0</v>
      </c>
      <c r="AE14" s="26">
        <v>2983.0</v>
      </c>
      <c r="AF14" s="26">
        <v>2254.0</v>
      </c>
      <c r="AG14" s="26">
        <v>65.0</v>
      </c>
      <c r="AH14" s="26">
        <v>47.0</v>
      </c>
      <c r="AI14" s="26">
        <f t="shared" si="8"/>
        <v>2301</v>
      </c>
      <c r="AJ14" s="26">
        <f t="shared" si="9"/>
        <v>3048</v>
      </c>
      <c r="AK14" s="26">
        <f t="shared" si="10"/>
        <v>3345</v>
      </c>
      <c r="AL14" s="26">
        <f t="shared" si="11"/>
        <v>3441</v>
      </c>
      <c r="AM14" s="26">
        <f t="shared" ref="AM14:AN14" si="26">(AI14/AK14)*100</f>
        <v>68.78923767</v>
      </c>
      <c r="AN14" s="26">
        <f t="shared" si="26"/>
        <v>88.57890148</v>
      </c>
      <c r="AO14" s="26">
        <v>1437.0</v>
      </c>
      <c r="AP14" s="26">
        <v>393.0</v>
      </c>
      <c r="AQ14" s="26">
        <v>1044.0</v>
      </c>
      <c r="AR14" s="26">
        <v>144.0</v>
      </c>
      <c r="AS14" s="27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>
      <c r="A15" s="22">
        <v>361.0</v>
      </c>
      <c r="B15" s="23" t="s">
        <v>25</v>
      </c>
      <c r="C15" s="24" t="s">
        <v>26</v>
      </c>
      <c r="D15" s="24" t="s">
        <v>37</v>
      </c>
      <c r="E15" s="24" t="s">
        <v>38</v>
      </c>
      <c r="F15" s="25" t="s">
        <v>38</v>
      </c>
      <c r="G15" s="26">
        <v>10367.0</v>
      </c>
      <c r="H15" s="26">
        <v>3097.0</v>
      </c>
      <c r="I15" s="26">
        <v>1522.0</v>
      </c>
      <c r="J15" s="26">
        <v>1575.0</v>
      </c>
      <c r="K15" s="26">
        <v>5035.0</v>
      </c>
      <c r="L15" s="26">
        <v>3134.0</v>
      </c>
      <c r="M15" s="26">
        <v>1878.0</v>
      </c>
      <c r="N15" s="26">
        <v>15.0</v>
      </c>
      <c r="O15" s="26">
        <v>8.0</v>
      </c>
      <c r="P15" s="26">
        <f t="shared" si="3"/>
        <v>1886</v>
      </c>
      <c r="Q15" s="26">
        <f t="shared" si="4"/>
        <v>3149</v>
      </c>
      <c r="R15" s="26">
        <f t="shared" si="5"/>
        <v>3545</v>
      </c>
      <c r="S15" s="26">
        <f t="shared" si="6"/>
        <v>3725</v>
      </c>
      <c r="T15" s="26">
        <f t="shared" ref="T15:U15" si="27">(P15/R15)*100</f>
        <v>53.20169252</v>
      </c>
      <c r="U15" s="26">
        <f t="shared" si="27"/>
        <v>84.53691275</v>
      </c>
      <c r="V15" s="26">
        <v>2235.0</v>
      </c>
      <c r="W15" s="26">
        <v>576.0</v>
      </c>
      <c r="X15" s="26">
        <v>1659.0</v>
      </c>
      <c r="Y15" s="26">
        <v>0.0</v>
      </c>
      <c r="Z15" s="26">
        <v>9117.0</v>
      </c>
      <c r="AA15" s="26">
        <v>2119.0</v>
      </c>
      <c r="AB15" s="26">
        <v>1028.0</v>
      </c>
      <c r="AC15" s="26">
        <v>1091.0</v>
      </c>
      <c r="AD15" s="26">
        <v>5346.0</v>
      </c>
      <c r="AE15" s="26">
        <v>2993.0</v>
      </c>
      <c r="AF15" s="26">
        <v>2276.0</v>
      </c>
      <c r="AG15" s="26">
        <v>34.0</v>
      </c>
      <c r="AH15" s="26">
        <v>43.0</v>
      </c>
      <c r="AI15" s="26">
        <f t="shared" si="8"/>
        <v>2319</v>
      </c>
      <c r="AJ15" s="26">
        <f t="shared" si="9"/>
        <v>3027</v>
      </c>
      <c r="AK15" s="26">
        <f t="shared" si="10"/>
        <v>3380</v>
      </c>
      <c r="AL15" s="26">
        <f t="shared" si="11"/>
        <v>3505</v>
      </c>
      <c r="AM15" s="26">
        <f t="shared" ref="AM15:AN15" si="28">(AI15/AK15)*100</f>
        <v>68.60946746</v>
      </c>
      <c r="AN15" s="26">
        <f t="shared" si="28"/>
        <v>86.36233951</v>
      </c>
      <c r="AO15" s="26">
        <v>1539.0</v>
      </c>
      <c r="AP15" s="26">
        <v>478.0</v>
      </c>
      <c r="AQ15" s="26">
        <v>1061.0</v>
      </c>
      <c r="AR15" s="26">
        <v>113.0</v>
      </c>
      <c r="AS15" s="27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>
      <c r="A16" s="22">
        <v>385.0</v>
      </c>
      <c r="B16" s="23" t="s">
        <v>25</v>
      </c>
      <c r="C16" s="24" t="s">
        <v>26</v>
      </c>
      <c r="D16" s="24" t="s">
        <v>37</v>
      </c>
      <c r="E16" s="24" t="s">
        <v>37</v>
      </c>
      <c r="F16" s="25" t="s">
        <v>37</v>
      </c>
      <c r="G16" s="26">
        <v>8469.0</v>
      </c>
      <c r="H16" s="26">
        <v>2742.0</v>
      </c>
      <c r="I16" s="26">
        <v>1369.0</v>
      </c>
      <c r="J16" s="26">
        <v>1373.0</v>
      </c>
      <c r="K16" s="26">
        <v>3632.0</v>
      </c>
      <c r="L16" s="26">
        <v>2405.0</v>
      </c>
      <c r="M16" s="26">
        <v>1203.0</v>
      </c>
      <c r="N16" s="26">
        <v>15.0</v>
      </c>
      <c r="O16" s="26">
        <v>9.0</v>
      </c>
      <c r="P16" s="26">
        <f t="shared" si="3"/>
        <v>1212</v>
      </c>
      <c r="Q16" s="26">
        <f t="shared" si="4"/>
        <v>2420</v>
      </c>
      <c r="R16" s="26">
        <f t="shared" si="5"/>
        <v>2814</v>
      </c>
      <c r="S16" s="26">
        <f t="shared" si="6"/>
        <v>2913</v>
      </c>
      <c r="T16" s="26">
        <f t="shared" ref="T16:U16" si="29">(P16/R16)*100</f>
        <v>43.07036247</v>
      </c>
      <c r="U16" s="26">
        <f t="shared" si="29"/>
        <v>83.0758668</v>
      </c>
      <c r="V16" s="26">
        <v>2095.0</v>
      </c>
      <c r="W16" s="26">
        <v>493.0</v>
      </c>
      <c r="X16" s="26">
        <v>1602.0</v>
      </c>
      <c r="Y16" s="26">
        <v>0.0</v>
      </c>
      <c r="Z16" s="26">
        <v>8468.0</v>
      </c>
      <c r="AA16" s="26">
        <v>2093.0</v>
      </c>
      <c r="AB16" s="26">
        <v>1068.0</v>
      </c>
      <c r="AC16" s="26">
        <v>1025.0</v>
      </c>
      <c r="AD16" s="26">
        <v>5023.0</v>
      </c>
      <c r="AE16" s="26">
        <v>2709.0</v>
      </c>
      <c r="AF16" s="26">
        <v>2213.0</v>
      </c>
      <c r="AG16" s="26">
        <v>66.0</v>
      </c>
      <c r="AH16" s="26">
        <v>35.0</v>
      </c>
      <c r="AI16" s="26">
        <f t="shared" si="8"/>
        <v>2248</v>
      </c>
      <c r="AJ16" s="26">
        <f t="shared" si="9"/>
        <v>2775</v>
      </c>
      <c r="AK16" s="26">
        <f t="shared" si="10"/>
        <v>3084</v>
      </c>
      <c r="AL16" s="26">
        <f t="shared" si="11"/>
        <v>3165</v>
      </c>
      <c r="AM16" s="26">
        <f t="shared" ref="AM16:AN16" si="30">(AI16/AK16)*100</f>
        <v>72.8923476</v>
      </c>
      <c r="AN16" s="26">
        <f t="shared" si="30"/>
        <v>87.67772512</v>
      </c>
      <c r="AO16" s="26">
        <v>1226.0</v>
      </c>
      <c r="AP16" s="26">
        <v>390.0</v>
      </c>
      <c r="AQ16" s="26">
        <v>836.0</v>
      </c>
      <c r="AR16" s="26">
        <v>126.0</v>
      </c>
      <c r="AS16" s="27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>
      <c r="A17" s="22">
        <v>409.0</v>
      </c>
      <c r="B17" s="23" t="s">
        <v>25</v>
      </c>
      <c r="C17" s="24" t="s">
        <v>26</v>
      </c>
      <c r="D17" s="24" t="s">
        <v>37</v>
      </c>
      <c r="E17" s="24" t="s">
        <v>39</v>
      </c>
      <c r="F17" s="25" t="s">
        <v>39</v>
      </c>
      <c r="G17" s="26">
        <v>7307.0</v>
      </c>
      <c r="H17" s="26">
        <v>2484.0</v>
      </c>
      <c r="I17" s="26">
        <v>1246.0</v>
      </c>
      <c r="J17" s="26">
        <v>1238.0</v>
      </c>
      <c r="K17" s="26">
        <v>2891.0</v>
      </c>
      <c r="L17" s="26">
        <v>1999.0</v>
      </c>
      <c r="M17" s="26">
        <v>870.0</v>
      </c>
      <c r="N17" s="26">
        <v>15.0</v>
      </c>
      <c r="O17" s="26">
        <v>7.0</v>
      </c>
      <c r="P17" s="26">
        <f t="shared" si="3"/>
        <v>877</v>
      </c>
      <c r="Q17" s="26">
        <f t="shared" si="4"/>
        <v>2014</v>
      </c>
      <c r="R17" s="26">
        <f t="shared" si="5"/>
        <v>2398</v>
      </c>
      <c r="S17" s="26">
        <f t="shared" si="6"/>
        <v>2425</v>
      </c>
      <c r="T17" s="26">
        <f t="shared" ref="T17:U17" si="31">(P17/R17)*100</f>
        <v>36.57214345</v>
      </c>
      <c r="U17" s="26">
        <f t="shared" si="31"/>
        <v>83.05154639</v>
      </c>
      <c r="V17" s="26">
        <v>1932.0</v>
      </c>
      <c r="W17" s="26">
        <v>411.0</v>
      </c>
      <c r="X17" s="26">
        <v>1521.0</v>
      </c>
      <c r="Y17" s="26">
        <v>0.0</v>
      </c>
      <c r="Z17" s="26">
        <v>6891.0</v>
      </c>
      <c r="AA17" s="26">
        <v>1710.0</v>
      </c>
      <c r="AB17" s="26">
        <v>894.0</v>
      </c>
      <c r="AC17" s="26">
        <v>816.0</v>
      </c>
      <c r="AD17" s="26">
        <v>4033.0</v>
      </c>
      <c r="AE17" s="26">
        <v>2185.0</v>
      </c>
      <c r="AF17" s="26">
        <v>1764.0</v>
      </c>
      <c r="AG17" s="26">
        <v>56.0</v>
      </c>
      <c r="AH17" s="26">
        <v>28.0</v>
      </c>
      <c r="AI17" s="26">
        <f t="shared" si="8"/>
        <v>1792</v>
      </c>
      <c r="AJ17" s="26">
        <f t="shared" si="9"/>
        <v>2241</v>
      </c>
      <c r="AK17" s="26">
        <f t="shared" si="10"/>
        <v>2560</v>
      </c>
      <c r="AL17" s="26">
        <f t="shared" si="11"/>
        <v>2567</v>
      </c>
      <c r="AM17" s="26">
        <f t="shared" ref="AM17:AN17" si="32">(AI17/AK17)*100</f>
        <v>70</v>
      </c>
      <c r="AN17" s="26">
        <f t="shared" si="32"/>
        <v>87.3003506</v>
      </c>
      <c r="AO17" s="26">
        <v>1094.0</v>
      </c>
      <c r="AP17" s="26">
        <v>326.0</v>
      </c>
      <c r="AQ17" s="26">
        <v>768.0</v>
      </c>
      <c r="AR17" s="26">
        <v>54.0</v>
      </c>
      <c r="AS17" s="27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>
      <c r="A18" s="22">
        <v>433.0</v>
      </c>
      <c r="B18" s="23" t="s">
        <v>25</v>
      </c>
      <c r="C18" s="24" t="s">
        <v>26</v>
      </c>
      <c r="D18" s="24" t="s">
        <v>37</v>
      </c>
      <c r="E18" s="24" t="s">
        <v>40</v>
      </c>
      <c r="F18" s="25" t="s">
        <v>40</v>
      </c>
      <c r="G18" s="26">
        <v>4898.0</v>
      </c>
      <c r="H18" s="26">
        <v>1325.0</v>
      </c>
      <c r="I18" s="26">
        <v>680.0</v>
      </c>
      <c r="J18" s="26">
        <v>645.0</v>
      </c>
      <c r="K18" s="26">
        <v>2187.0</v>
      </c>
      <c r="L18" s="26">
        <v>1354.0</v>
      </c>
      <c r="M18" s="26">
        <v>815.0</v>
      </c>
      <c r="N18" s="26">
        <v>12.0</v>
      </c>
      <c r="O18" s="26">
        <v>6.0</v>
      </c>
      <c r="P18" s="26">
        <f t="shared" si="3"/>
        <v>821</v>
      </c>
      <c r="Q18" s="26">
        <f t="shared" si="4"/>
        <v>1366</v>
      </c>
      <c r="R18" s="26">
        <f t="shared" si="5"/>
        <v>1767</v>
      </c>
      <c r="S18" s="26">
        <f t="shared" si="6"/>
        <v>1806</v>
      </c>
      <c r="T18" s="26">
        <f t="shared" ref="T18:U18" si="33">(P18/R18)*100</f>
        <v>46.46293152</v>
      </c>
      <c r="U18" s="26">
        <f t="shared" si="33"/>
        <v>75.63676633</v>
      </c>
      <c r="V18" s="26">
        <v>1386.0</v>
      </c>
      <c r="W18" s="26">
        <v>440.0</v>
      </c>
      <c r="X18" s="26">
        <v>946.0</v>
      </c>
      <c r="Y18" s="26">
        <v>0.0</v>
      </c>
      <c r="Z18" s="26">
        <v>3706.0</v>
      </c>
      <c r="AA18" s="26">
        <v>815.0</v>
      </c>
      <c r="AB18" s="26">
        <v>437.0</v>
      </c>
      <c r="AC18" s="26">
        <v>378.0</v>
      </c>
      <c r="AD18" s="26">
        <v>2094.0</v>
      </c>
      <c r="AE18" s="26">
        <v>1146.0</v>
      </c>
      <c r="AF18" s="26">
        <v>890.0</v>
      </c>
      <c r="AG18" s="26">
        <v>38.0</v>
      </c>
      <c r="AH18" s="26">
        <v>20.0</v>
      </c>
      <c r="AI18" s="26">
        <f t="shared" si="8"/>
        <v>910</v>
      </c>
      <c r="AJ18" s="26">
        <f t="shared" si="9"/>
        <v>1184</v>
      </c>
      <c r="AK18" s="26">
        <f t="shared" si="10"/>
        <v>1403</v>
      </c>
      <c r="AL18" s="26">
        <f t="shared" si="11"/>
        <v>1433</v>
      </c>
      <c r="AM18" s="26">
        <f t="shared" ref="AM18:AN18" si="34">(AI18/AK18)*100</f>
        <v>64.86101212</v>
      </c>
      <c r="AN18" s="26">
        <f t="shared" si="34"/>
        <v>82.62386602</v>
      </c>
      <c r="AO18" s="26">
        <v>742.0</v>
      </c>
      <c r="AP18" s="26">
        <v>249.0</v>
      </c>
      <c r="AQ18" s="26">
        <v>493.0</v>
      </c>
      <c r="AR18" s="26">
        <v>55.0</v>
      </c>
      <c r="AS18" s="27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>
      <c r="A19" s="22">
        <v>457.0</v>
      </c>
      <c r="B19" s="23" t="s">
        <v>25</v>
      </c>
      <c r="C19" s="24" t="s">
        <v>26</v>
      </c>
      <c r="D19" s="24" t="s">
        <v>37</v>
      </c>
      <c r="E19" s="24" t="s">
        <v>41</v>
      </c>
      <c r="F19" s="25" t="s">
        <v>41</v>
      </c>
      <c r="G19" s="26">
        <v>4465.0</v>
      </c>
      <c r="H19" s="26">
        <v>1296.0</v>
      </c>
      <c r="I19" s="26">
        <v>660.0</v>
      </c>
      <c r="J19" s="26">
        <v>636.0</v>
      </c>
      <c r="K19" s="26">
        <v>2091.0</v>
      </c>
      <c r="L19" s="26">
        <v>1297.0</v>
      </c>
      <c r="M19" s="26">
        <v>780.0</v>
      </c>
      <c r="N19" s="26">
        <v>11.0</v>
      </c>
      <c r="O19" s="26">
        <v>3.0</v>
      </c>
      <c r="P19" s="26">
        <f t="shared" si="3"/>
        <v>783</v>
      </c>
      <c r="Q19" s="26">
        <f t="shared" si="4"/>
        <v>1308</v>
      </c>
      <c r="R19" s="26">
        <f t="shared" si="5"/>
        <v>1518</v>
      </c>
      <c r="S19" s="26">
        <f t="shared" si="6"/>
        <v>1651</v>
      </c>
      <c r="T19" s="26">
        <f t="shared" ref="T19:U19" si="35">(P19/R19)*100</f>
        <v>51.58102767</v>
      </c>
      <c r="U19" s="26">
        <f t="shared" si="35"/>
        <v>79.2247123</v>
      </c>
      <c r="V19" s="26">
        <v>1078.0</v>
      </c>
      <c r="W19" s="26">
        <v>343.0</v>
      </c>
      <c r="X19" s="26">
        <v>735.0</v>
      </c>
      <c r="Y19" s="26">
        <v>0.0</v>
      </c>
      <c r="Z19" s="26">
        <v>5632.0</v>
      </c>
      <c r="AA19" s="26">
        <v>1364.0</v>
      </c>
      <c r="AB19" s="26">
        <v>687.0</v>
      </c>
      <c r="AC19" s="26">
        <v>677.0</v>
      </c>
      <c r="AD19" s="26">
        <v>3166.0</v>
      </c>
      <c r="AE19" s="26">
        <v>1745.0</v>
      </c>
      <c r="AF19" s="26">
        <v>1305.0</v>
      </c>
      <c r="AG19" s="26">
        <v>70.0</v>
      </c>
      <c r="AH19" s="26">
        <v>46.0</v>
      </c>
      <c r="AI19" s="26">
        <f t="shared" si="8"/>
        <v>1351</v>
      </c>
      <c r="AJ19" s="26">
        <f t="shared" si="9"/>
        <v>1815</v>
      </c>
      <c r="AK19" s="26">
        <f t="shared" si="10"/>
        <v>2089</v>
      </c>
      <c r="AL19" s="26">
        <f t="shared" si="11"/>
        <v>2150</v>
      </c>
      <c r="AM19" s="26">
        <f t="shared" ref="AM19:AN19" si="36">(AI19/AK19)*100</f>
        <v>64.67209191</v>
      </c>
      <c r="AN19" s="26">
        <f t="shared" si="36"/>
        <v>84.41860465</v>
      </c>
      <c r="AO19" s="26">
        <v>1073.0</v>
      </c>
      <c r="AP19" s="26">
        <v>335.0</v>
      </c>
      <c r="AQ19" s="26">
        <v>738.0</v>
      </c>
      <c r="AR19" s="26">
        <v>29.0</v>
      </c>
      <c r="AS19" s="27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>
      <c r="A20" s="22">
        <v>505.0</v>
      </c>
      <c r="B20" s="23" t="s">
        <v>25</v>
      </c>
      <c r="C20" s="24" t="s">
        <v>26</v>
      </c>
      <c r="D20" s="24" t="s">
        <v>42</v>
      </c>
      <c r="E20" s="24" t="s">
        <v>43</v>
      </c>
      <c r="F20" s="25" t="s">
        <v>43</v>
      </c>
      <c r="G20" s="26">
        <v>24270.0</v>
      </c>
      <c r="H20" s="26">
        <v>7323.0</v>
      </c>
      <c r="I20" s="26">
        <v>3737.0</v>
      </c>
      <c r="J20" s="26">
        <v>3586.0</v>
      </c>
      <c r="K20" s="26">
        <v>10986.0</v>
      </c>
      <c r="L20" s="26">
        <v>6905.0</v>
      </c>
      <c r="M20" s="26">
        <v>3998.0</v>
      </c>
      <c r="N20" s="26">
        <v>50.0</v>
      </c>
      <c r="O20" s="26">
        <v>33.0</v>
      </c>
      <c r="P20" s="26">
        <f t="shared" si="3"/>
        <v>4031</v>
      </c>
      <c r="Q20" s="26">
        <f t="shared" si="4"/>
        <v>6955</v>
      </c>
      <c r="R20" s="26">
        <f t="shared" si="5"/>
        <v>8283</v>
      </c>
      <c r="S20" s="26">
        <f t="shared" si="6"/>
        <v>8664</v>
      </c>
      <c r="T20" s="26">
        <f t="shared" ref="T20:U20" si="37">(P20/R20)*100</f>
        <v>48.66594229</v>
      </c>
      <c r="U20" s="26">
        <f t="shared" si="37"/>
        <v>80.27469991</v>
      </c>
      <c r="V20" s="26">
        <v>5961.0</v>
      </c>
      <c r="W20" s="26">
        <v>1709.0</v>
      </c>
      <c r="X20" s="26">
        <v>4252.0</v>
      </c>
      <c r="Y20" s="26">
        <v>0.0</v>
      </c>
      <c r="Z20" s="26">
        <v>24293.0</v>
      </c>
      <c r="AA20" s="26">
        <v>5976.0</v>
      </c>
      <c r="AB20" s="26">
        <v>3162.0</v>
      </c>
      <c r="AC20" s="26">
        <v>2814.0</v>
      </c>
      <c r="AD20" s="26">
        <v>13511.0</v>
      </c>
      <c r="AE20" s="26">
        <v>7569.0</v>
      </c>
      <c r="AF20" s="26">
        <v>5705.0</v>
      </c>
      <c r="AG20" s="26">
        <v>136.0</v>
      </c>
      <c r="AH20" s="26">
        <v>101.0</v>
      </c>
      <c r="AI20" s="26">
        <f t="shared" si="8"/>
        <v>5806</v>
      </c>
      <c r="AJ20" s="26">
        <f t="shared" si="9"/>
        <v>7705</v>
      </c>
      <c r="AK20" s="26">
        <f t="shared" si="10"/>
        <v>8546</v>
      </c>
      <c r="AL20" s="26">
        <f t="shared" si="11"/>
        <v>8991</v>
      </c>
      <c r="AM20" s="26">
        <f t="shared" ref="AM20:AN20" si="38">(AI20/AK20)*100</f>
        <v>67.93821671</v>
      </c>
      <c r="AN20" s="26">
        <f t="shared" si="38"/>
        <v>85.69680792</v>
      </c>
      <c r="AO20" s="26">
        <v>4026.0</v>
      </c>
      <c r="AP20" s="26">
        <v>1286.0</v>
      </c>
      <c r="AQ20" s="26">
        <v>2740.0</v>
      </c>
      <c r="AR20" s="26">
        <v>780.0</v>
      </c>
      <c r="AS20" s="27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>
      <c r="A21" s="22">
        <v>529.0</v>
      </c>
      <c r="B21" s="23" t="s">
        <v>25</v>
      </c>
      <c r="C21" s="24" t="s">
        <v>26</v>
      </c>
      <c r="D21" s="24" t="s">
        <v>42</v>
      </c>
      <c r="E21" s="24" t="s">
        <v>44</v>
      </c>
      <c r="F21" s="25" t="s">
        <v>44</v>
      </c>
      <c r="G21" s="26">
        <v>8349.0</v>
      </c>
      <c r="H21" s="26">
        <v>2762.0</v>
      </c>
      <c r="I21" s="26">
        <v>1411.0</v>
      </c>
      <c r="J21" s="26">
        <v>1351.0</v>
      </c>
      <c r="K21" s="26">
        <v>3627.0</v>
      </c>
      <c r="L21" s="26">
        <v>2404.0</v>
      </c>
      <c r="M21" s="26">
        <v>1208.0</v>
      </c>
      <c r="N21" s="26">
        <v>11.0</v>
      </c>
      <c r="O21" s="26">
        <v>4.0</v>
      </c>
      <c r="P21" s="26">
        <f t="shared" si="3"/>
        <v>1212</v>
      </c>
      <c r="Q21" s="26">
        <f t="shared" si="4"/>
        <v>2415</v>
      </c>
      <c r="R21" s="26">
        <f t="shared" si="5"/>
        <v>2598</v>
      </c>
      <c r="S21" s="26">
        <f t="shared" si="6"/>
        <v>2989</v>
      </c>
      <c r="T21" s="26">
        <f t="shared" ref="T21:U21" si="39">(P21/R21)*100</f>
        <v>46.65127021</v>
      </c>
      <c r="U21" s="26">
        <f t="shared" si="39"/>
        <v>80.79625293</v>
      </c>
      <c r="V21" s="26">
        <v>1960.0</v>
      </c>
      <c r="W21" s="26">
        <v>574.0</v>
      </c>
      <c r="X21" s="26">
        <v>1386.0</v>
      </c>
      <c r="Y21" s="26">
        <v>0.0</v>
      </c>
      <c r="Z21" s="26">
        <v>7019.0</v>
      </c>
      <c r="AA21" s="26">
        <v>1936.0</v>
      </c>
      <c r="AB21" s="26">
        <v>962.0</v>
      </c>
      <c r="AC21" s="26">
        <v>974.0</v>
      </c>
      <c r="AD21" s="26">
        <v>3672.0</v>
      </c>
      <c r="AE21" s="26">
        <v>2201.0</v>
      </c>
      <c r="AF21" s="26">
        <v>1401.0</v>
      </c>
      <c r="AG21" s="26">
        <v>38.0</v>
      </c>
      <c r="AH21" s="26">
        <v>32.0</v>
      </c>
      <c r="AI21" s="26">
        <f t="shared" si="8"/>
        <v>1433</v>
      </c>
      <c r="AJ21" s="26">
        <f t="shared" si="9"/>
        <v>2239</v>
      </c>
      <c r="AK21" s="26">
        <f t="shared" si="10"/>
        <v>2314</v>
      </c>
      <c r="AL21" s="26">
        <f t="shared" si="11"/>
        <v>2620</v>
      </c>
      <c r="AM21" s="26">
        <f t="shared" ref="AM21:AN21" si="40">(AI21/AK21)*100</f>
        <v>61.92739844</v>
      </c>
      <c r="AN21" s="26">
        <f t="shared" si="40"/>
        <v>85.45801527</v>
      </c>
      <c r="AO21" s="26">
        <v>1262.0</v>
      </c>
      <c r="AP21" s="26">
        <v>381.0</v>
      </c>
      <c r="AQ21" s="26">
        <v>881.0</v>
      </c>
      <c r="AR21" s="26">
        <v>149.0</v>
      </c>
      <c r="AS21" s="27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>
      <c r="A22" s="22">
        <v>577.0</v>
      </c>
      <c r="B22" s="23" t="s">
        <v>25</v>
      </c>
      <c r="C22" s="24" t="s">
        <v>26</v>
      </c>
      <c r="D22" s="24" t="s">
        <v>45</v>
      </c>
      <c r="E22" s="24" t="s">
        <v>46</v>
      </c>
      <c r="F22" s="25" t="s">
        <v>46</v>
      </c>
      <c r="G22" s="26">
        <v>16926.0</v>
      </c>
      <c r="H22" s="26">
        <v>5962.0</v>
      </c>
      <c r="I22" s="26">
        <v>2975.0</v>
      </c>
      <c r="J22" s="26">
        <v>2987.0</v>
      </c>
      <c r="K22" s="26">
        <v>6604.0</v>
      </c>
      <c r="L22" s="26">
        <v>4039.0</v>
      </c>
      <c r="M22" s="26">
        <v>2536.0</v>
      </c>
      <c r="N22" s="26">
        <v>21.0</v>
      </c>
      <c r="O22" s="26">
        <v>8.0</v>
      </c>
      <c r="P22" s="26">
        <f t="shared" si="3"/>
        <v>2544</v>
      </c>
      <c r="Q22" s="26">
        <f t="shared" si="4"/>
        <v>4060</v>
      </c>
      <c r="R22" s="26">
        <f t="shared" si="5"/>
        <v>5663</v>
      </c>
      <c r="S22" s="26">
        <f t="shared" si="6"/>
        <v>5301</v>
      </c>
      <c r="T22" s="26">
        <f t="shared" ref="T22:U22" si="41">(P22/R22)*100</f>
        <v>44.92318559</v>
      </c>
      <c r="U22" s="26">
        <f t="shared" si="41"/>
        <v>76.58932277</v>
      </c>
      <c r="V22" s="26">
        <v>4360.0</v>
      </c>
      <c r="W22" s="26">
        <v>1241.0</v>
      </c>
      <c r="X22" s="26">
        <v>3119.0</v>
      </c>
      <c r="Y22" s="26">
        <v>0.0</v>
      </c>
      <c r="Z22" s="26">
        <v>13125.0</v>
      </c>
      <c r="AA22" s="26">
        <v>2994.0</v>
      </c>
      <c r="AB22" s="26">
        <v>1540.0</v>
      </c>
      <c r="AC22" s="26">
        <v>1454.0</v>
      </c>
      <c r="AD22" s="26">
        <v>8025.0</v>
      </c>
      <c r="AE22" s="26">
        <v>4281.0</v>
      </c>
      <c r="AF22" s="26">
        <v>3644.0</v>
      </c>
      <c r="AG22" s="26">
        <v>58.0</v>
      </c>
      <c r="AH22" s="26">
        <v>42.0</v>
      </c>
      <c r="AI22" s="26">
        <f t="shared" si="8"/>
        <v>3686</v>
      </c>
      <c r="AJ22" s="26">
        <f t="shared" si="9"/>
        <v>4339</v>
      </c>
      <c r="AK22" s="26">
        <f t="shared" si="10"/>
        <v>5043</v>
      </c>
      <c r="AL22" s="26">
        <f t="shared" si="11"/>
        <v>4889</v>
      </c>
      <c r="AM22" s="26">
        <f t="shared" ref="AM22:AN22" si="42">(AI22/AK22)*100</f>
        <v>73.09141384</v>
      </c>
      <c r="AN22" s="26">
        <f t="shared" si="42"/>
        <v>88.75025568</v>
      </c>
      <c r="AO22" s="26">
        <v>1907.0</v>
      </c>
      <c r="AP22" s="26">
        <v>550.0</v>
      </c>
      <c r="AQ22" s="26">
        <v>1357.0</v>
      </c>
      <c r="AR22" s="26">
        <v>199.0</v>
      </c>
      <c r="AS22" s="27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>
      <c r="A23" s="22">
        <v>601.0</v>
      </c>
      <c r="B23" s="23" t="s">
        <v>25</v>
      </c>
      <c r="C23" s="24" t="s">
        <v>26</v>
      </c>
      <c r="D23" s="24" t="s">
        <v>45</v>
      </c>
      <c r="E23" s="24" t="s">
        <v>45</v>
      </c>
      <c r="F23" s="25" t="s">
        <v>45</v>
      </c>
      <c r="G23" s="26">
        <v>10102.0</v>
      </c>
      <c r="H23" s="26">
        <v>3019.0</v>
      </c>
      <c r="I23" s="26">
        <v>1544.0</v>
      </c>
      <c r="J23" s="26">
        <v>1475.0</v>
      </c>
      <c r="K23" s="26">
        <v>4263.0</v>
      </c>
      <c r="L23" s="26">
        <v>2768.0</v>
      </c>
      <c r="M23" s="26">
        <v>1462.0</v>
      </c>
      <c r="N23" s="26">
        <v>23.0</v>
      </c>
      <c r="O23" s="26">
        <v>10.0</v>
      </c>
      <c r="P23" s="26">
        <f t="shared" si="3"/>
        <v>1472</v>
      </c>
      <c r="Q23" s="26">
        <f t="shared" si="4"/>
        <v>2791</v>
      </c>
      <c r="R23" s="26">
        <f t="shared" si="5"/>
        <v>3584</v>
      </c>
      <c r="S23" s="26">
        <f t="shared" si="6"/>
        <v>3499</v>
      </c>
      <c r="T23" s="26">
        <f t="shared" ref="T23:U23" si="43">(P23/R23)*100</f>
        <v>41.07142857</v>
      </c>
      <c r="U23" s="26">
        <f t="shared" si="43"/>
        <v>79.76564733</v>
      </c>
      <c r="V23" s="26">
        <v>2820.0</v>
      </c>
      <c r="W23" s="26">
        <v>708.0</v>
      </c>
      <c r="X23" s="26">
        <v>2112.0</v>
      </c>
      <c r="Y23" s="26">
        <v>0.0</v>
      </c>
      <c r="Z23" s="26">
        <v>8344.0</v>
      </c>
      <c r="AA23" s="26">
        <v>1751.0</v>
      </c>
      <c r="AB23" s="26">
        <v>924.0</v>
      </c>
      <c r="AC23" s="26">
        <v>827.0</v>
      </c>
      <c r="AD23" s="26">
        <v>5219.0</v>
      </c>
      <c r="AE23" s="26">
        <v>2837.0</v>
      </c>
      <c r="AF23" s="26">
        <v>2308.0</v>
      </c>
      <c r="AG23" s="26">
        <v>39.0</v>
      </c>
      <c r="AH23" s="26">
        <v>35.0</v>
      </c>
      <c r="AI23" s="26">
        <f t="shared" si="8"/>
        <v>2343</v>
      </c>
      <c r="AJ23" s="26">
        <f t="shared" si="9"/>
        <v>2876</v>
      </c>
      <c r="AK23" s="26">
        <f t="shared" si="10"/>
        <v>3189</v>
      </c>
      <c r="AL23" s="26">
        <f t="shared" si="11"/>
        <v>3193</v>
      </c>
      <c r="AM23" s="26">
        <f t="shared" ref="AM23:AN23" si="44">(AI23/AK23)*100</f>
        <v>73.47130762</v>
      </c>
      <c r="AN23" s="26">
        <f t="shared" si="44"/>
        <v>90.07203257</v>
      </c>
      <c r="AO23" s="26">
        <v>1163.0</v>
      </c>
      <c r="AP23" s="26">
        <v>317.0</v>
      </c>
      <c r="AQ23" s="26">
        <v>846.0</v>
      </c>
      <c r="AR23" s="26">
        <v>211.0</v>
      </c>
      <c r="AS23" s="27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>
      <c r="A24" s="22">
        <v>649.0</v>
      </c>
      <c r="B24" s="23" t="s">
        <v>25</v>
      </c>
      <c r="C24" s="24" t="s">
        <v>26</v>
      </c>
      <c r="D24" s="24" t="s">
        <v>47</v>
      </c>
      <c r="E24" s="24" t="s">
        <v>48</v>
      </c>
      <c r="F24" s="25" t="s">
        <v>48</v>
      </c>
      <c r="G24" s="26">
        <v>15581.0</v>
      </c>
      <c r="H24" s="26">
        <v>4974.0</v>
      </c>
      <c r="I24" s="26">
        <v>2504.0</v>
      </c>
      <c r="J24" s="26">
        <v>2470.0</v>
      </c>
      <c r="K24" s="26">
        <v>6831.0</v>
      </c>
      <c r="L24" s="26">
        <v>4182.0</v>
      </c>
      <c r="M24" s="26">
        <v>2598.0</v>
      </c>
      <c r="N24" s="26">
        <v>32.0</v>
      </c>
      <c r="O24" s="26">
        <v>19.0</v>
      </c>
      <c r="P24" s="26">
        <f t="shared" si="3"/>
        <v>2617</v>
      </c>
      <c r="Q24" s="26">
        <f t="shared" si="4"/>
        <v>4214</v>
      </c>
      <c r="R24" s="26">
        <f t="shared" si="5"/>
        <v>5413</v>
      </c>
      <c r="S24" s="26">
        <f t="shared" si="6"/>
        <v>5194</v>
      </c>
      <c r="T24" s="26">
        <f t="shared" ref="T24:U24" si="45">(P24/R24)*100</f>
        <v>48.34657306</v>
      </c>
      <c r="U24" s="26">
        <f t="shared" si="45"/>
        <v>81.13207547</v>
      </c>
      <c r="V24" s="26">
        <v>3776.0</v>
      </c>
      <c r="W24" s="26">
        <v>980.0</v>
      </c>
      <c r="X24" s="26">
        <v>2796.0</v>
      </c>
      <c r="Y24" s="26">
        <v>0.0</v>
      </c>
      <c r="Z24" s="26">
        <v>14575.0</v>
      </c>
      <c r="AA24" s="26">
        <v>3539.0</v>
      </c>
      <c r="AB24" s="26">
        <v>1845.0</v>
      </c>
      <c r="AC24" s="26">
        <v>1694.0</v>
      </c>
      <c r="AD24" s="26">
        <v>8458.0</v>
      </c>
      <c r="AE24" s="26">
        <v>4392.0</v>
      </c>
      <c r="AF24" s="26">
        <v>3937.0</v>
      </c>
      <c r="AG24" s="26">
        <v>76.0</v>
      </c>
      <c r="AH24" s="26">
        <v>53.0</v>
      </c>
      <c r="AI24" s="26">
        <f t="shared" si="8"/>
        <v>3990</v>
      </c>
      <c r="AJ24" s="26">
        <f t="shared" si="9"/>
        <v>4468</v>
      </c>
      <c r="AK24" s="26">
        <f t="shared" si="10"/>
        <v>5504</v>
      </c>
      <c r="AL24" s="26">
        <f t="shared" si="11"/>
        <v>5220</v>
      </c>
      <c r="AM24" s="26">
        <f t="shared" ref="AM24:AN24" si="46">(AI24/AK24)*100</f>
        <v>72.49273256</v>
      </c>
      <c r="AN24" s="26">
        <f t="shared" si="46"/>
        <v>85.59386973</v>
      </c>
      <c r="AO24" s="26">
        <v>2266.0</v>
      </c>
      <c r="AP24" s="26">
        <v>752.0</v>
      </c>
      <c r="AQ24" s="26">
        <v>1514.0</v>
      </c>
      <c r="AR24" s="26">
        <v>312.0</v>
      </c>
      <c r="AS24" s="27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>
      <c r="A25" s="22">
        <v>673.0</v>
      </c>
      <c r="B25" s="23" t="s">
        <v>25</v>
      </c>
      <c r="C25" s="24" t="s">
        <v>26</v>
      </c>
      <c r="D25" s="24" t="s">
        <v>47</v>
      </c>
      <c r="E25" s="24" t="s">
        <v>49</v>
      </c>
      <c r="F25" s="25" t="s">
        <v>49</v>
      </c>
      <c r="G25" s="26">
        <v>32335.0</v>
      </c>
      <c r="H25" s="26">
        <v>12316.0</v>
      </c>
      <c r="I25" s="26">
        <v>6204.0</v>
      </c>
      <c r="J25" s="26">
        <v>6112.0</v>
      </c>
      <c r="K25" s="26">
        <v>13037.0</v>
      </c>
      <c r="L25" s="26">
        <v>7405.0</v>
      </c>
      <c r="M25" s="26">
        <v>5575.0</v>
      </c>
      <c r="N25" s="26">
        <v>46.0</v>
      </c>
      <c r="O25" s="26">
        <v>11.0</v>
      </c>
      <c r="P25" s="26">
        <f t="shared" si="3"/>
        <v>5586</v>
      </c>
      <c r="Q25" s="26">
        <f t="shared" si="4"/>
        <v>7451</v>
      </c>
      <c r="R25" s="26">
        <f t="shared" si="5"/>
        <v>10464</v>
      </c>
      <c r="S25" s="26">
        <f t="shared" si="6"/>
        <v>9555</v>
      </c>
      <c r="T25" s="26">
        <f t="shared" ref="T25:U25" si="47">(P25/R25)*100</f>
        <v>53.38302752</v>
      </c>
      <c r="U25" s="26">
        <f t="shared" si="47"/>
        <v>77.98011512</v>
      </c>
      <c r="V25" s="26">
        <v>6982.0</v>
      </c>
      <c r="W25" s="26">
        <v>2104.0</v>
      </c>
      <c r="X25" s="26">
        <v>4878.0</v>
      </c>
      <c r="Y25" s="26">
        <v>0.0</v>
      </c>
      <c r="Z25" s="26">
        <v>26329.0</v>
      </c>
      <c r="AA25" s="26">
        <v>7549.0</v>
      </c>
      <c r="AB25" s="26">
        <v>3905.0</v>
      </c>
      <c r="AC25" s="26">
        <v>3644.0</v>
      </c>
      <c r="AD25" s="26">
        <v>14763.0</v>
      </c>
      <c r="AE25" s="26">
        <v>7583.0</v>
      </c>
      <c r="AF25" s="26">
        <v>6988.0</v>
      </c>
      <c r="AG25" s="26">
        <v>123.0</v>
      </c>
      <c r="AH25" s="26">
        <v>69.0</v>
      </c>
      <c r="AI25" s="26">
        <f t="shared" si="8"/>
        <v>7057</v>
      </c>
      <c r="AJ25" s="26">
        <f t="shared" si="9"/>
        <v>7706</v>
      </c>
      <c r="AK25" s="26">
        <f t="shared" si="10"/>
        <v>9514</v>
      </c>
      <c r="AL25" s="26">
        <f t="shared" si="11"/>
        <v>8902</v>
      </c>
      <c r="AM25" s="26">
        <f t="shared" ref="AM25:AN25" si="48">(AI25/AK25)*100</f>
        <v>74.17490015</v>
      </c>
      <c r="AN25" s="26">
        <f t="shared" si="48"/>
        <v>86.5648169</v>
      </c>
      <c r="AO25" s="26">
        <v>3653.0</v>
      </c>
      <c r="AP25" s="26">
        <v>1196.0</v>
      </c>
      <c r="AQ25" s="26">
        <v>2457.0</v>
      </c>
      <c r="AR25" s="26">
        <v>364.0</v>
      </c>
      <c r="AS25" s="27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>
      <c r="A26" s="22">
        <v>697.0</v>
      </c>
      <c r="B26" s="23" t="s">
        <v>25</v>
      </c>
      <c r="C26" s="24" t="s">
        <v>26</v>
      </c>
      <c r="D26" s="24" t="s">
        <v>47</v>
      </c>
      <c r="E26" s="24" t="s">
        <v>50</v>
      </c>
      <c r="F26" s="25" t="s">
        <v>50</v>
      </c>
      <c r="G26" s="26">
        <v>12946.0</v>
      </c>
      <c r="H26" s="26">
        <v>4875.0</v>
      </c>
      <c r="I26" s="26">
        <v>2443.0</v>
      </c>
      <c r="J26" s="26">
        <v>2432.0</v>
      </c>
      <c r="K26" s="26">
        <v>5289.0</v>
      </c>
      <c r="L26" s="26">
        <v>3292.0</v>
      </c>
      <c r="M26" s="26">
        <v>1917.0</v>
      </c>
      <c r="N26" s="26">
        <v>64.0</v>
      </c>
      <c r="O26" s="26">
        <v>16.0</v>
      </c>
      <c r="P26" s="26">
        <f t="shared" si="3"/>
        <v>1933</v>
      </c>
      <c r="Q26" s="26">
        <f t="shared" si="4"/>
        <v>3356</v>
      </c>
      <c r="R26" s="26">
        <f t="shared" si="5"/>
        <v>3993</v>
      </c>
      <c r="S26" s="26">
        <f t="shared" si="6"/>
        <v>4078</v>
      </c>
      <c r="T26" s="26">
        <f t="shared" ref="T26:U26" si="49">(P26/R26)*100</f>
        <v>48.409717</v>
      </c>
      <c r="U26" s="26">
        <f t="shared" si="49"/>
        <v>82.29524277</v>
      </c>
      <c r="V26" s="26">
        <v>2782.0</v>
      </c>
      <c r="W26" s="26">
        <v>722.0</v>
      </c>
      <c r="X26" s="26">
        <v>2060.0</v>
      </c>
      <c r="Y26" s="26">
        <v>0.0</v>
      </c>
      <c r="Z26" s="26">
        <v>16155.0</v>
      </c>
      <c r="AA26" s="26">
        <v>4061.0</v>
      </c>
      <c r="AB26" s="26">
        <v>2006.0</v>
      </c>
      <c r="AC26" s="26">
        <v>2055.0</v>
      </c>
      <c r="AD26" s="26">
        <v>9636.0</v>
      </c>
      <c r="AE26" s="26">
        <v>5392.0</v>
      </c>
      <c r="AF26" s="26">
        <v>4109.0</v>
      </c>
      <c r="AG26" s="26">
        <v>73.0</v>
      </c>
      <c r="AH26" s="26">
        <v>62.0</v>
      </c>
      <c r="AI26" s="26">
        <f t="shared" si="8"/>
        <v>4171</v>
      </c>
      <c r="AJ26" s="26">
        <f t="shared" si="9"/>
        <v>5465</v>
      </c>
      <c r="AK26" s="26">
        <f t="shared" si="10"/>
        <v>5689</v>
      </c>
      <c r="AL26" s="26">
        <f t="shared" si="11"/>
        <v>6202</v>
      </c>
      <c r="AM26" s="26">
        <f t="shared" ref="AM26:AN26" si="50">(AI26/AK26)*100</f>
        <v>73.3169274</v>
      </c>
      <c r="AN26" s="26">
        <f t="shared" si="50"/>
        <v>88.11673654</v>
      </c>
      <c r="AO26" s="26">
        <v>2255.0</v>
      </c>
      <c r="AP26" s="26">
        <v>737.0</v>
      </c>
      <c r="AQ26" s="26">
        <v>1518.0</v>
      </c>
      <c r="AR26" s="26">
        <v>203.0</v>
      </c>
      <c r="AS26" s="27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>
      <c r="A27" s="22">
        <v>721.0</v>
      </c>
      <c r="B27" s="23" t="s">
        <v>25</v>
      </c>
      <c r="C27" s="24" t="s">
        <v>26</v>
      </c>
      <c r="D27" s="24" t="s">
        <v>47</v>
      </c>
      <c r="E27" s="24" t="s">
        <v>51</v>
      </c>
      <c r="F27" s="25" t="s">
        <v>51</v>
      </c>
      <c r="G27" s="26">
        <v>16039.0</v>
      </c>
      <c r="H27" s="26">
        <v>5980.0</v>
      </c>
      <c r="I27" s="26">
        <v>2999.0</v>
      </c>
      <c r="J27" s="26">
        <v>2981.0</v>
      </c>
      <c r="K27" s="26">
        <v>6574.0</v>
      </c>
      <c r="L27" s="26">
        <v>4103.0</v>
      </c>
      <c r="M27" s="26">
        <v>2401.0</v>
      </c>
      <c r="N27" s="26">
        <v>47.0</v>
      </c>
      <c r="O27" s="26">
        <v>23.0</v>
      </c>
      <c r="P27" s="26">
        <f t="shared" si="3"/>
        <v>2424</v>
      </c>
      <c r="Q27" s="26">
        <f t="shared" si="4"/>
        <v>4150</v>
      </c>
      <c r="R27" s="26">
        <f t="shared" si="5"/>
        <v>5130</v>
      </c>
      <c r="S27" s="26">
        <f t="shared" si="6"/>
        <v>4929</v>
      </c>
      <c r="T27" s="26">
        <f t="shared" ref="T27:U27" si="51">(P27/R27)*100</f>
        <v>47.25146199</v>
      </c>
      <c r="U27" s="26">
        <f t="shared" si="51"/>
        <v>84.1955772</v>
      </c>
      <c r="V27" s="26">
        <v>3485.0</v>
      </c>
      <c r="W27" s="26">
        <v>779.0</v>
      </c>
      <c r="X27" s="26">
        <v>2706.0</v>
      </c>
      <c r="Y27" s="26">
        <v>0.0</v>
      </c>
      <c r="Z27" s="26">
        <v>14058.0</v>
      </c>
      <c r="AA27" s="26">
        <v>3891.0</v>
      </c>
      <c r="AB27" s="26">
        <v>1979.0</v>
      </c>
      <c r="AC27" s="26">
        <v>1912.0</v>
      </c>
      <c r="AD27" s="26">
        <v>8012.0</v>
      </c>
      <c r="AE27" s="26">
        <v>4217.0</v>
      </c>
      <c r="AF27" s="26">
        <v>3671.0</v>
      </c>
      <c r="AG27" s="26">
        <v>74.0</v>
      </c>
      <c r="AH27" s="26">
        <v>50.0</v>
      </c>
      <c r="AI27" s="26">
        <f t="shared" si="8"/>
        <v>3721</v>
      </c>
      <c r="AJ27" s="26">
        <f t="shared" si="9"/>
        <v>4291</v>
      </c>
      <c r="AK27" s="26">
        <f t="shared" si="10"/>
        <v>5109</v>
      </c>
      <c r="AL27" s="26">
        <f t="shared" si="11"/>
        <v>4929</v>
      </c>
      <c r="AM27" s="26">
        <f t="shared" ref="AM27:AN27" si="52">(AI27/AK27)*100</f>
        <v>72.8322568</v>
      </c>
      <c r="AN27" s="26">
        <f t="shared" si="52"/>
        <v>87.05619801</v>
      </c>
      <c r="AO27" s="26">
        <v>2026.0</v>
      </c>
      <c r="AP27" s="26">
        <v>638.0</v>
      </c>
      <c r="AQ27" s="26">
        <v>1388.0</v>
      </c>
      <c r="AR27" s="26">
        <v>129.0</v>
      </c>
      <c r="AS27" s="27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>
      <c r="A28" s="22">
        <v>769.0</v>
      </c>
      <c r="B28" s="23" t="s">
        <v>25</v>
      </c>
      <c r="C28" s="24" t="s">
        <v>26</v>
      </c>
      <c r="D28" s="24" t="s">
        <v>52</v>
      </c>
      <c r="E28" s="24" t="s">
        <v>53</v>
      </c>
      <c r="F28" s="25" t="s">
        <v>53</v>
      </c>
      <c r="G28" s="26">
        <v>11152.0</v>
      </c>
      <c r="H28" s="26">
        <v>3352.0</v>
      </c>
      <c r="I28" s="26">
        <v>1723.0</v>
      </c>
      <c r="J28" s="26">
        <v>1629.0</v>
      </c>
      <c r="K28" s="26">
        <v>4765.0</v>
      </c>
      <c r="L28" s="26">
        <v>3045.0</v>
      </c>
      <c r="M28" s="26">
        <v>1710.0</v>
      </c>
      <c r="N28" s="26">
        <v>6.0</v>
      </c>
      <c r="O28" s="26">
        <v>4.0</v>
      </c>
      <c r="P28" s="26">
        <f t="shared" si="3"/>
        <v>1714</v>
      </c>
      <c r="Q28" s="26">
        <f t="shared" si="4"/>
        <v>3051</v>
      </c>
      <c r="R28" s="26">
        <f t="shared" si="5"/>
        <v>3819</v>
      </c>
      <c r="S28" s="26">
        <f t="shared" si="6"/>
        <v>3981</v>
      </c>
      <c r="T28" s="26">
        <f t="shared" ref="T28:U28" si="53">(P28/R28)*100</f>
        <v>44.88085886</v>
      </c>
      <c r="U28" s="26">
        <f t="shared" si="53"/>
        <v>76.63903542</v>
      </c>
      <c r="V28" s="26">
        <v>3035.0</v>
      </c>
      <c r="W28" s="26">
        <v>930.0</v>
      </c>
      <c r="X28" s="26">
        <v>2105.0</v>
      </c>
      <c r="Y28" s="26">
        <v>0.0</v>
      </c>
      <c r="Z28" s="26">
        <v>9059.0</v>
      </c>
      <c r="AA28" s="26">
        <v>1974.0</v>
      </c>
      <c r="AB28" s="26">
        <v>974.0</v>
      </c>
      <c r="AC28" s="26">
        <v>1000.0</v>
      </c>
      <c r="AD28" s="26">
        <v>5098.0</v>
      </c>
      <c r="AE28" s="26">
        <v>2894.0</v>
      </c>
      <c r="AF28" s="26">
        <v>2136.0</v>
      </c>
      <c r="AG28" s="26">
        <v>38.0</v>
      </c>
      <c r="AH28" s="26">
        <v>30.0</v>
      </c>
      <c r="AI28" s="26">
        <f t="shared" si="8"/>
        <v>2166</v>
      </c>
      <c r="AJ28" s="26">
        <f t="shared" si="9"/>
        <v>2932</v>
      </c>
      <c r="AK28" s="26">
        <f t="shared" si="10"/>
        <v>3365</v>
      </c>
      <c r="AL28" s="26">
        <f t="shared" si="11"/>
        <v>3648</v>
      </c>
      <c r="AM28" s="26">
        <f t="shared" ref="AM28:AN28" si="54">(AI28/AK28)*100</f>
        <v>64.36849926</v>
      </c>
      <c r="AN28" s="26">
        <f t="shared" si="54"/>
        <v>80.37280702</v>
      </c>
      <c r="AO28" s="26">
        <v>1915.0</v>
      </c>
      <c r="AP28" s="26">
        <v>716.0</v>
      </c>
      <c r="AQ28" s="26">
        <v>1199.0</v>
      </c>
      <c r="AR28" s="26">
        <v>72.0</v>
      </c>
      <c r="AS28" s="27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>
      <c r="A29" s="22">
        <v>817.0</v>
      </c>
      <c r="B29" s="23" t="s">
        <v>25</v>
      </c>
      <c r="C29" s="24" t="s">
        <v>26</v>
      </c>
      <c r="D29" s="24" t="s">
        <v>54</v>
      </c>
      <c r="E29" s="24" t="s">
        <v>55</v>
      </c>
      <c r="F29" s="25" t="s">
        <v>55</v>
      </c>
      <c r="G29" s="26">
        <v>3470.0</v>
      </c>
      <c r="H29" s="26">
        <v>1008.0</v>
      </c>
      <c r="I29" s="26">
        <v>544.0</v>
      </c>
      <c r="J29" s="26">
        <v>464.0</v>
      </c>
      <c r="K29" s="26">
        <v>1670.0</v>
      </c>
      <c r="L29" s="26">
        <v>1064.0</v>
      </c>
      <c r="M29" s="26">
        <v>597.0</v>
      </c>
      <c r="N29" s="26">
        <v>4.0</v>
      </c>
      <c r="O29" s="26">
        <v>5.0</v>
      </c>
      <c r="P29" s="26">
        <f t="shared" si="3"/>
        <v>602</v>
      </c>
      <c r="Q29" s="26">
        <f t="shared" si="4"/>
        <v>1068</v>
      </c>
      <c r="R29" s="26">
        <f t="shared" si="5"/>
        <v>1240</v>
      </c>
      <c r="S29" s="26">
        <f t="shared" si="6"/>
        <v>1222</v>
      </c>
      <c r="T29" s="26">
        <f t="shared" ref="T29:U29" si="55">(P29/R29)*100</f>
        <v>48.5483871</v>
      </c>
      <c r="U29" s="26">
        <f t="shared" si="55"/>
        <v>87.39770867</v>
      </c>
      <c r="V29" s="26">
        <v>792.0</v>
      </c>
      <c r="W29" s="26">
        <v>154.0</v>
      </c>
      <c r="X29" s="26">
        <v>638.0</v>
      </c>
      <c r="Y29" s="26">
        <v>0.0</v>
      </c>
      <c r="Z29" s="26">
        <v>5286.0</v>
      </c>
      <c r="AA29" s="26">
        <v>1170.0</v>
      </c>
      <c r="AB29" s="26">
        <v>596.0</v>
      </c>
      <c r="AC29" s="26">
        <v>574.0</v>
      </c>
      <c r="AD29" s="26">
        <v>3095.0</v>
      </c>
      <c r="AE29" s="26">
        <v>1716.0</v>
      </c>
      <c r="AF29" s="26">
        <v>1331.0</v>
      </c>
      <c r="AG29" s="26">
        <v>24.0</v>
      </c>
      <c r="AH29" s="26">
        <v>24.0</v>
      </c>
      <c r="AI29" s="26">
        <f t="shared" si="8"/>
        <v>1355</v>
      </c>
      <c r="AJ29" s="26">
        <f t="shared" si="9"/>
        <v>1740</v>
      </c>
      <c r="AK29" s="26">
        <f t="shared" si="10"/>
        <v>2039</v>
      </c>
      <c r="AL29" s="26">
        <f t="shared" si="11"/>
        <v>2052</v>
      </c>
      <c r="AM29" s="26">
        <f t="shared" ref="AM29:AN29" si="56">(AI29/AK29)*100</f>
        <v>66.45414419</v>
      </c>
      <c r="AN29" s="26">
        <f t="shared" si="56"/>
        <v>84.79532164</v>
      </c>
      <c r="AO29" s="26">
        <v>996.0</v>
      </c>
      <c r="AP29" s="26">
        <v>312.0</v>
      </c>
      <c r="AQ29" s="26">
        <v>684.0</v>
      </c>
      <c r="AR29" s="26">
        <v>25.0</v>
      </c>
      <c r="AS29" s="27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>
      <c r="A30" s="22">
        <v>841.0</v>
      </c>
      <c r="B30" s="23" t="s">
        <v>25</v>
      </c>
      <c r="C30" s="24" t="s">
        <v>26</v>
      </c>
      <c r="D30" s="24" t="s">
        <v>54</v>
      </c>
      <c r="E30" s="24" t="s">
        <v>56</v>
      </c>
      <c r="F30" s="25" t="s">
        <v>56</v>
      </c>
      <c r="G30" s="26">
        <v>17653.0</v>
      </c>
      <c r="H30" s="26">
        <v>6259.0</v>
      </c>
      <c r="I30" s="26">
        <v>3152.0</v>
      </c>
      <c r="J30" s="26">
        <v>3107.0</v>
      </c>
      <c r="K30" s="26">
        <v>7824.0</v>
      </c>
      <c r="L30" s="26">
        <v>4527.0</v>
      </c>
      <c r="M30" s="26">
        <v>3198.0</v>
      </c>
      <c r="N30" s="26">
        <v>85.0</v>
      </c>
      <c r="O30" s="26">
        <v>14.0</v>
      </c>
      <c r="P30" s="26">
        <f t="shared" si="3"/>
        <v>3212</v>
      </c>
      <c r="Q30" s="26">
        <f t="shared" si="4"/>
        <v>4612</v>
      </c>
      <c r="R30" s="26">
        <f t="shared" si="5"/>
        <v>5959</v>
      </c>
      <c r="S30" s="26">
        <f t="shared" si="6"/>
        <v>5435</v>
      </c>
      <c r="T30" s="26">
        <f t="shared" ref="T30:U30" si="57">(P30/R30)*100</f>
        <v>53.90166135</v>
      </c>
      <c r="U30" s="26">
        <f t="shared" si="57"/>
        <v>84.8574057</v>
      </c>
      <c r="V30" s="26">
        <v>3570.0</v>
      </c>
      <c r="W30" s="26">
        <v>823.0</v>
      </c>
      <c r="X30" s="26">
        <v>2747.0</v>
      </c>
      <c r="Y30" s="26">
        <v>0.0</v>
      </c>
      <c r="Z30" s="26">
        <v>14681.0</v>
      </c>
      <c r="AA30" s="26">
        <v>4004.0</v>
      </c>
      <c r="AB30" s="26">
        <v>2027.0</v>
      </c>
      <c r="AC30" s="26">
        <v>1977.0</v>
      </c>
      <c r="AD30" s="26">
        <v>8698.0</v>
      </c>
      <c r="AE30" s="26">
        <v>4499.0</v>
      </c>
      <c r="AF30" s="26">
        <v>4098.0</v>
      </c>
      <c r="AG30" s="26">
        <v>65.0</v>
      </c>
      <c r="AH30" s="26">
        <v>36.0</v>
      </c>
      <c r="AI30" s="26">
        <f t="shared" si="8"/>
        <v>4134</v>
      </c>
      <c r="AJ30" s="26">
        <f t="shared" si="9"/>
        <v>4564</v>
      </c>
      <c r="AK30" s="26">
        <f t="shared" si="10"/>
        <v>5404</v>
      </c>
      <c r="AL30" s="26">
        <f t="shared" si="11"/>
        <v>5147</v>
      </c>
      <c r="AM30" s="26">
        <f t="shared" ref="AM30:AN30" si="58">(AI30/AK30)*100</f>
        <v>76.49888971</v>
      </c>
      <c r="AN30" s="26">
        <f t="shared" si="58"/>
        <v>88.67301341</v>
      </c>
      <c r="AO30" s="26">
        <v>1853.0</v>
      </c>
      <c r="AP30" s="26">
        <v>583.0</v>
      </c>
      <c r="AQ30" s="26">
        <v>1270.0</v>
      </c>
      <c r="AR30" s="26">
        <v>126.0</v>
      </c>
      <c r="AS30" s="27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>
      <c r="A31" s="22">
        <v>865.0</v>
      </c>
      <c r="B31" s="23" t="s">
        <v>25</v>
      </c>
      <c r="C31" s="24" t="s">
        <v>26</v>
      </c>
      <c r="D31" s="24" t="s">
        <v>54</v>
      </c>
      <c r="E31" s="24" t="s">
        <v>57</v>
      </c>
      <c r="F31" s="25" t="s">
        <v>57</v>
      </c>
      <c r="G31" s="26">
        <v>4062.0</v>
      </c>
      <c r="H31" s="26">
        <v>1088.0</v>
      </c>
      <c r="I31" s="26">
        <v>586.0</v>
      </c>
      <c r="J31" s="26">
        <v>502.0</v>
      </c>
      <c r="K31" s="26">
        <v>2134.0</v>
      </c>
      <c r="L31" s="26">
        <v>1301.0</v>
      </c>
      <c r="M31" s="26">
        <v>816.0</v>
      </c>
      <c r="N31" s="26">
        <v>7.0</v>
      </c>
      <c r="O31" s="26">
        <v>10.0</v>
      </c>
      <c r="P31" s="26">
        <f t="shared" si="3"/>
        <v>826</v>
      </c>
      <c r="Q31" s="26">
        <f t="shared" si="4"/>
        <v>1308</v>
      </c>
      <c r="R31" s="26">
        <f t="shared" si="5"/>
        <v>1451</v>
      </c>
      <c r="S31" s="26">
        <f t="shared" si="6"/>
        <v>1523</v>
      </c>
      <c r="T31" s="26">
        <f t="shared" ref="T31:U31" si="59">(P31/R31)*100</f>
        <v>56.92625775</v>
      </c>
      <c r="U31" s="26">
        <f t="shared" si="59"/>
        <v>85.88312541</v>
      </c>
      <c r="V31" s="26">
        <v>840.0</v>
      </c>
      <c r="W31" s="26">
        <v>215.0</v>
      </c>
      <c r="X31" s="26">
        <v>625.0</v>
      </c>
      <c r="Y31" s="26">
        <v>0.0</v>
      </c>
      <c r="Z31" s="26">
        <v>4983.0</v>
      </c>
      <c r="AA31" s="26">
        <v>1000.0</v>
      </c>
      <c r="AB31" s="26">
        <v>505.0</v>
      </c>
      <c r="AC31" s="26">
        <v>495.0</v>
      </c>
      <c r="AD31" s="26">
        <v>2896.0</v>
      </c>
      <c r="AE31" s="26">
        <v>1642.0</v>
      </c>
      <c r="AF31" s="26">
        <v>1177.0</v>
      </c>
      <c r="AG31" s="26">
        <v>46.0</v>
      </c>
      <c r="AH31" s="26">
        <v>31.0</v>
      </c>
      <c r="AI31" s="26">
        <f t="shared" si="8"/>
        <v>1208</v>
      </c>
      <c r="AJ31" s="26">
        <f t="shared" si="9"/>
        <v>1688</v>
      </c>
      <c r="AK31" s="26">
        <f t="shared" si="10"/>
        <v>1911</v>
      </c>
      <c r="AL31" s="26">
        <f t="shared" si="11"/>
        <v>2042</v>
      </c>
      <c r="AM31" s="26">
        <f t="shared" ref="AM31:AN31" si="60">(AI31/AK31)*100</f>
        <v>63.2129775</v>
      </c>
      <c r="AN31" s="26">
        <f t="shared" si="60"/>
        <v>82.66405485</v>
      </c>
      <c r="AO31" s="26">
        <v>1057.0</v>
      </c>
      <c r="AP31" s="26">
        <v>354.0</v>
      </c>
      <c r="AQ31" s="26">
        <v>703.0</v>
      </c>
      <c r="AR31" s="26">
        <v>30.0</v>
      </c>
      <c r="AS31" s="27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>
      <c r="A32" s="22">
        <v>913.0</v>
      </c>
      <c r="B32" s="23" t="s">
        <v>25</v>
      </c>
      <c r="C32" s="24" t="s">
        <v>26</v>
      </c>
      <c r="D32" s="24" t="s">
        <v>58</v>
      </c>
      <c r="E32" s="24" t="s">
        <v>59</v>
      </c>
      <c r="F32" s="25" t="s">
        <v>59</v>
      </c>
      <c r="G32" s="26">
        <v>9713.0</v>
      </c>
      <c r="H32" s="26">
        <v>3048.0</v>
      </c>
      <c r="I32" s="26">
        <v>1537.0</v>
      </c>
      <c r="J32" s="26">
        <v>1511.0</v>
      </c>
      <c r="K32" s="26">
        <v>4053.0</v>
      </c>
      <c r="L32" s="26">
        <v>2740.0</v>
      </c>
      <c r="M32" s="26">
        <v>1267.0</v>
      </c>
      <c r="N32" s="26">
        <v>36.0</v>
      </c>
      <c r="O32" s="26">
        <v>10.0</v>
      </c>
      <c r="P32" s="26">
        <f t="shared" si="3"/>
        <v>1277</v>
      </c>
      <c r="Q32" s="26">
        <f t="shared" si="4"/>
        <v>2776</v>
      </c>
      <c r="R32" s="26">
        <f t="shared" si="5"/>
        <v>3080</v>
      </c>
      <c r="S32" s="26">
        <f t="shared" si="6"/>
        <v>3585</v>
      </c>
      <c r="T32" s="26">
        <f t="shared" ref="T32:U32" si="61">(P32/R32)*100</f>
        <v>41.46103896</v>
      </c>
      <c r="U32" s="26">
        <f t="shared" si="61"/>
        <v>77.43375174</v>
      </c>
      <c r="V32" s="26">
        <v>2612.0</v>
      </c>
      <c r="W32" s="26">
        <v>809.0</v>
      </c>
      <c r="X32" s="26">
        <v>1803.0</v>
      </c>
      <c r="Y32" s="26">
        <v>0.0</v>
      </c>
      <c r="Z32" s="26">
        <v>13203.0</v>
      </c>
      <c r="AA32" s="26">
        <v>3520.0</v>
      </c>
      <c r="AB32" s="26">
        <v>1802.0</v>
      </c>
      <c r="AC32" s="26">
        <v>1718.0</v>
      </c>
      <c r="AD32" s="26">
        <v>6640.0</v>
      </c>
      <c r="AE32" s="26">
        <v>3959.0</v>
      </c>
      <c r="AF32" s="26">
        <v>2521.0</v>
      </c>
      <c r="AG32" s="26">
        <v>102.0</v>
      </c>
      <c r="AH32" s="26">
        <v>58.0</v>
      </c>
      <c r="AI32" s="26">
        <f t="shared" si="8"/>
        <v>2579</v>
      </c>
      <c r="AJ32" s="26">
        <f t="shared" si="9"/>
        <v>4061</v>
      </c>
      <c r="AK32" s="26">
        <f t="shared" si="10"/>
        <v>4160</v>
      </c>
      <c r="AL32" s="26">
        <f t="shared" si="11"/>
        <v>5282</v>
      </c>
      <c r="AM32" s="26">
        <f t="shared" ref="AM32:AN32" si="62">(AI32/AK32)*100</f>
        <v>61.99519231</v>
      </c>
      <c r="AN32" s="26">
        <f t="shared" si="62"/>
        <v>76.88375615</v>
      </c>
      <c r="AO32" s="26">
        <v>2802.0</v>
      </c>
      <c r="AP32" s="26">
        <v>1221.0</v>
      </c>
      <c r="AQ32" s="26">
        <v>1581.0</v>
      </c>
      <c r="AR32" s="26">
        <v>241.0</v>
      </c>
      <c r="AS32" s="27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>
      <c r="A33" s="22">
        <v>937.0</v>
      </c>
      <c r="B33" s="23" t="s">
        <v>25</v>
      </c>
      <c r="C33" s="24" t="s">
        <v>26</v>
      </c>
      <c r="D33" s="24" t="s">
        <v>58</v>
      </c>
      <c r="E33" s="24" t="s">
        <v>60</v>
      </c>
      <c r="F33" s="25" t="s">
        <v>60</v>
      </c>
      <c r="G33" s="26">
        <v>2539.0</v>
      </c>
      <c r="H33" s="26">
        <v>873.0</v>
      </c>
      <c r="I33" s="26">
        <v>464.0</v>
      </c>
      <c r="J33" s="26">
        <v>409.0</v>
      </c>
      <c r="K33" s="26">
        <v>1028.0</v>
      </c>
      <c r="L33" s="26">
        <v>721.0</v>
      </c>
      <c r="M33" s="26">
        <v>300.0</v>
      </c>
      <c r="N33" s="26">
        <v>5.0</v>
      </c>
      <c r="O33" s="26">
        <v>2.0</v>
      </c>
      <c r="P33" s="26">
        <f t="shared" si="3"/>
        <v>302</v>
      </c>
      <c r="Q33" s="26">
        <f t="shared" si="4"/>
        <v>726</v>
      </c>
      <c r="R33" s="26">
        <f t="shared" si="5"/>
        <v>729</v>
      </c>
      <c r="S33" s="26">
        <f t="shared" si="6"/>
        <v>937</v>
      </c>
      <c r="T33" s="26">
        <f t="shared" ref="T33:U33" si="63">(P33/R33)*100</f>
        <v>41.4266118</v>
      </c>
      <c r="U33" s="26">
        <f t="shared" si="63"/>
        <v>77.48132337</v>
      </c>
      <c r="V33" s="26">
        <v>638.0</v>
      </c>
      <c r="W33" s="26">
        <v>211.0</v>
      </c>
      <c r="X33" s="26">
        <v>427.0</v>
      </c>
      <c r="Y33" s="26">
        <v>0.0</v>
      </c>
      <c r="Z33" s="26">
        <v>2526.0</v>
      </c>
      <c r="AA33" s="26">
        <v>778.0</v>
      </c>
      <c r="AB33" s="26">
        <v>395.0</v>
      </c>
      <c r="AC33" s="26">
        <v>383.0</v>
      </c>
      <c r="AD33" s="26">
        <v>1309.0</v>
      </c>
      <c r="AE33" s="26">
        <v>784.0</v>
      </c>
      <c r="AF33" s="26">
        <v>504.0</v>
      </c>
      <c r="AG33" s="26">
        <v>15.0</v>
      </c>
      <c r="AH33" s="26">
        <v>6.0</v>
      </c>
      <c r="AI33" s="26">
        <f t="shared" si="8"/>
        <v>510</v>
      </c>
      <c r="AJ33" s="26">
        <f t="shared" si="9"/>
        <v>799</v>
      </c>
      <c r="AK33" s="26">
        <f t="shared" si="10"/>
        <v>773</v>
      </c>
      <c r="AL33" s="26">
        <f t="shared" si="11"/>
        <v>922</v>
      </c>
      <c r="AM33" s="26">
        <f t="shared" ref="AM33:AN33" si="64">(AI33/AK33)*100</f>
        <v>65.9767141</v>
      </c>
      <c r="AN33" s="26">
        <f t="shared" si="64"/>
        <v>86.65943601</v>
      </c>
      <c r="AO33" s="26">
        <v>386.0</v>
      </c>
      <c r="AP33" s="26">
        <v>123.0</v>
      </c>
      <c r="AQ33" s="26">
        <v>263.0</v>
      </c>
      <c r="AR33" s="26">
        <v>53.0</v>
      </c>
      <c r="AS33" s="27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>
      <c r="A34" s="22">
        <v>961.0</v>
      </c>
      <c r="B34" s="23" t="s">
        <v>25</v>
      </c>
      <c r="C34" s="24" t="s">
        <v>26</v>
      </c>
      <c r="D34" s="24" t="s">
        <v>58</v>
      </c>
      <c r="E34" s="24" t="s">
        <v>61</v>
      </c>
      <c r="F34" s="25" t="s">
        <v>61</v>
      </c>
      <c r="G34" s="26">
        <v>7413.0</v>
      </c>
      <c r="H34" s="26">
        <v>2247.0</v>
      </c>
      <c r="I34" s="26">
        <v>1175.0</v>
      </c>
      <c r="J34" s="26">
        <v>1072.0</v>
      </c>
      <c r="K34" s="26">
        <v>3296.0</v>
      </c>
      <c r="L34" s="26">
        <v>2260.0</v>
      </c>
      <c r="M34" s="26">
        <v>1018.0</v>
      </c>
      <c r="N34" s="26">
        <v>16.0</v>
      </c>
      <c r="O34" s="26">
        <v>2.0</v>
      </c>
      <c r="P34" s="26">
        <f t="shared" si="3"/>
        <v>1020</v>
      </c>
      <c r="Q34" s="26">
        <f t="shared" si="4"/>
        <v>2276</v>
      </c>
      <c r="R34" s="26">
        <f t="shared" si="5"/>
        <v>2304</v>
      </c>
      <c r="S34" s="26">
        <f t="shared" si="6"/>
        <v>2862</v>
      </c>
      <c r="T34" s="26">
        <f t="shared" ref="T34:U34" si="65">(P34/R34)*100</f>
        <v>44.27083333</v>
      </c>
      <c r="U34" s="26">
        <f t="shared" si="65"/>
        <v>79.52480783</v>
      </c>
      <c r="V34" s="26">
        <v>1870.0</v>
      </c>
      <c r="W34" s="26">
        <v>586.0</v>
      </c>
      <c r="X34" s="26">
        <v>1284.0</v>
      </c>
      <c r="Y34" s="26">
        <v>0.0</v>
      </c>
      <c r="Z34" s="26">
        <v>7161.0</v>
      </c>
      <c r="AA34" s="26">
        <v>1773.0</v>
      </c>
      <c r="AB34" s="26">
        <v>876.0</v>
      </c>
      <c r="AC34" s="26">
        <v>897.0</v>
      </c>
      <c r="AD34" s="26">
        <v>3505.0</v>
      </c>
      <c r="AE34" s="26">
        <v>2074.0</v>
      </c>
      <c r="AF34" s="26">
        <v>1308.0</v>
      </c>
      <c r="AG34" s="26">
        <v>79.0</v>
      </c>
      <c r="AH34" s="26">
        <v>44.0</v>
      </c>
      <c r="AI34" s="26">
        <f t="shared" si="8"/>
        <v>1352</v>
      </c>
      <c r="AJ34" s="26">
        <f t="shared" si="9"/>
        <v>2153</v>
      </c>
      <c r="AK34" s="26">
        <f t="shared" si="10"/>
        <v>2269</v>
      </c>
      <c r="AL34" s="26">
        <f t="shared" si="11"/>
        <v>2885</v>
      </c>
      <c r="AM34" s="26">
        <f t="shared" ref="AM34:AN34" si="66">(AI34/AK34)*100</f>
        <v>59.58572058</v>
      </c>
      <c r="AN34" s="26">
        <f t="shared" si="66"/>
        <v>74.62738302</v>
      </c>
      <c r="AO34" s="26">
        <v>1649.0</v>
      </c>
      <c r="AP34" s="26">
        <v>732.0</v>
      </c>
      <c r="AQ34" s="26">
        <v>917.0</v>
      </c>
      <c r="AR34" s="26">
        <v>234.0</v>
      </c>
      <c r="AS34" s="27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>
      <c r="A35" s="22">
        <v>1033.0</v>
      </c>
      <c r="B35" s="23" t="s">
        <v>25</v>
      </c>
      <c r="C35" s="24" t="s">
        <v>62</v>
      </c>
      <c r="D35" s="24" t="s">
        <v>63</v>
      </c>
      <c r="E35" s="24" t="s">
        <v>64</v>
      </c>
      <c r="F35" s="25" t="s">
        <v>64</v>
      </c>
      <c r="G35" s="26">
        <v>763924.0</v>
      </c>
      <c r="H35" s="26">
        <v>172880.0</v>
      </c>
      <c r="I35" s="26">
        <v>87920.0</v>
      </c>
      <c r="J35" s="26">
        <v>84960.0</v>
      </c>
      <c r="K35" s="26">
        <v>375228.0</v>
      </c>
      <c r="L35" s="26">
        <v>192436.0</v>
      </c>
      <c r="M35" s="26">
        <v>173328.0</v>
      </c>
      <c r="N35" s="26">
        <v>4895.0</v>
      </c>
      <c r="O35" s="26">
        <v>4569.0</v>
      </c>
      <c r="P35" s="26">
        <f t="shared" si="3"/>
        <v>177897</v>
      </c>
      <c r="Q35" s="26">
        <f t="shared" si="4"/>
        <v>197331</v>
      </c>
      <c r="R35" s="26">
        <f t="shared" si="5"/>
        <v>312571</v>
      </c>
      <c r="S35" s="26">
        <f t="shared" si="6"/>
        <v>278473</v>
      </c>
      <c r="T35" s="26">
        <f t="shared" ref="T35:U35" si="67">(P35/R35)*100</f>
        <v>56.91410911</v>
      </c>
      <c r="U35" s="26">
        <f t="shared" si="67"/>
        <v>70.86180707</v>
      </c>
      <c r="V35" s="26">
        <v>215816.0</v>
      </c>
      <c r="W35" s="26">
        <v>81142.0</v>
      </c>
      <c r="X35" s="26">
        <v>134674.0</v>
      </c>
      <c r="Y35" s="26">
        <v>0.0</v>
      </c>
      <c r="Z35" s="26">
        <v>752927.0</v>
      </c>
      <c r="AA35" s="26">
        <v>136958.0</v>
      </c>
      <c r="AB35" s="26">
        <v>69700.0</v>
      </c>
      <c r="AC35" s="26">
        <v>67258.0</v>
      </c>
      <c r="AD35" s="26">
        <v>424235.0</v>
      </c>
      <c r="AE35" s="26">
        <v>209447.0</v>
      </c>
      <c r="AF35" s="26">
        <v>196482.0</v>
      </c>
      <c r="AG35" s="26">
        <v>8944.0</v>
      </c>
      <c r="AH35" s="26">
        <v>9362.0</v>
      </c>
      <c r="AI35" s="26">
        <f t="shared" si="8"/>
        <v>205844</v>
      </c>
      <c r="AJ35" s="26">
        <f t="shared" si="9"/>
        <v>218391</v>
      </c>
      <c r="AK35" s="26">
        <f t="shared" si="10"/>
        <v>314534</v>
      </c>
      <c r="AL35" s="26">
        <f t="shared" si="11"/>
        <v>289382</v>
      </c>
      <c r="AM35" s="26">
        <f t="shared" ref="AM35:AN35" si="68">(AI35/AK35)*100</f>
        <v>65.44411733</v>
      </c>
      <c r="AN35" s="26">
        <f t="shared" si="68"/>
        <v>75.46806643</v>
      </c>
      <c r="AO35" s="26">
        <v>179681.0</v>
      </c>
      <c r="AP35" s="26">
        <v>70991.0</v>
      </c>
      <c r="AQ35" s="26">
        <v>108690.0</v>
      </c>
      <c r="AR35" s="26">
        <v>12053.0</v>
      </c>
      <c r="AS35" s="27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>
      <c r="A36" s="22">
        <v>1057.0</v>
      </c>
      <c r="B36" s="23" t="s">
        <v>25</v>
      </c>
      <c r="C36" s="29" t="s">
        <v>62</v>
      </c>
      <c r="D36" s="29" t="s">
        <v>63</v>
      </c>
      <c r="E36" s="29" t="s">
        <v>65</v>
      </c>
      <c r="F36" s="29" t="s">
        <v>65</v>
      </c>
      <c r="G36" s="26">
        <v>16610.0</v>
      </c>
      <c r="H36" s="26">
        <v>4859.0</v>
      </c>
      <c r="I36" s="26">
        <v>2482.0</v>
      </c>
      <c r="J36" s="26">
        <v>2377.0</v>
      </c>
      <c r="K36" s="26">
        <v>9437.0</v>
      </c>
      <c r="L36" s="26">
        <v>5156.0</v>
      </c>
      <c r="M36" s="26">
        <v>4259.0</v>
      </c>
      <c r="N36" s="26">
        <v>17.0</v>
      </c>
      <c r="O36" s="26">
        <v>5.0</v>
      </c>
      <c r="P36" s="26">
        <f t="shared" si="3"/>
        <v>4264</v>
      </c>
      <c r="Q36" s="26">
        <f t="shared" si="4"/>
        <v>5173</v>
      </c>
      <c r="R36" s="26">
        <f t="shared" si="5"/>
        <v>5712</v>
      </c>
      <c r="S36" s="26">
        <f t="shared" si="6"/>
        <v>6039</v>
      </c>
      <c r="T36" s="26">
        <f t="shared" ref="T36:U36" si="69">(P36/R36)*100</f>
        <v>74.64985994</v>
      </c>
      <c r="U36" s="26">
        <f t="shared" si="69"/>
        <v>85.65987746</v>
      </c>
      <c r="V36" s="26">
        <v>2314.0</v>
      </c>
      <c r="W36" s="26">
        <v>866.0</v>
      </c>
      <c r="X36" s="26">
        <v>1448.0</v>
      </c>
      <c r="Y36" s="26">
        <v>0.0</v>
      </c>
      <c r="Z36" s="26">
        <v>21525.0</v>
      </c>
      <c r="AA36" s="26">
        <v>5783.0</v>
      </c>
      <c r="AB36" s="26">
        <v>2960.0</v>
      </c>
      <c r="AC36" s="26">
        <v>2823.0</v>
      </c>
      <c r="AD36" s="26">
        <v>13139.0</v>
      </c>
      <c r="AE36" s="26">
        <v>6752.0</v>
      </c>
      <c r="AF36" s="26">
        <v>6209.0</v>
      </c>
      <c r="AG36" s="26">
        <v>123.0</v>
      </c>
      <c r="AH36" s="26">
        <v>55.0</v>
      </c>
      <c r="AI36" s="26">
        <f t="shared" si="8"/>
        <v>6264</v>
      </c>
      <c r="AJ36" s="26">
        <f t="shared" si="9"/>
        <v>6875</v>
      </c>
      <c r="AK36" s="26">
        <f t="shared" si="10"/>
        <v>7674</v>
      </c>
      <c r="AL36" s="26">
        <f t="shared" si="11"/>
        <v>7616</v>
      </c>
      <c r="AM36" s="26">
        <f t="shared" ref="AM36:AN36" si="70">(AI36/AK36)*100</f>
        <v>81.62627052</v>
      </c>
      <c r="AN36" s="26">
        <f t="shared" si="70"/>
        <v>90.27048319</v>
      </c>
      <c r="AO36" s="26">
        <v>2151.0</v>
      </c>
      <c r="AP36" s="26">
        <v>741.0</v>
      </c>
      <c r="AQ36" s="26">
        <v>1410.0</v>
      </c>
      <c r="AR36" s="26">
        <v>452.0</v>
      </c>
      <c r="AS36" s="27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>
      <c r="A37" s="22">
        <v>1081.0</v>
      </c>
      <c r="B37" s="23" t="s">
        <v>25</v>
      </c>
      <c r="C37" s="29" t="s">
        <v>62</v>
      </c>
      <c r="D37" s="29" t="s">
        <v>63</v>
      </c>
      <c r="E37" s="29" t="s">
        <v>66</v>
      </c>
      <c r="F37" s="29" t="s">
        <v>66</v>
      </c>
      <c r="G37" s="26">
        <v>15805.0</v>
      </c>
      <c r="H37" s="26">
        <v>3925.0</v>
      </c>
      <c r="I37" s="26">
        <v>1977.0</v>
      </c>
      <c r="J37" s="26">
        <v>1948.0</v>
      </c>
      <c r="K37" s="26">
        <v>9414.0</v>
      </c>
      <c r="L37" s="26">
        <v>5059.0</v>
      </c>
      <c r="M37" s="26">
        <v>4314.0</v>
      </c>
      <c r="N37" s="26">
        <v>21.0</v>
      </c>
      <c r="O37" s="26">
        <v>20.0</v>
      </c>
      <c r="P37" s="26">
        <f t="shared" si="3"/>
        <v>4334</v>
      </c>
      <c r="Q37" s="26">
        <f t="shared" si="4"/>
        <v>5080</v>
      </c>
      <c r="R37" s="26">
        <f t="shared" si="5"/>
        <v>5840</v>
      </c>
      <c r="S37" s="26">
        <f t="shared" si="6"/>
        <v>6040</v>
      </c>
      <c r="T37" s="26">
        <f t="shared" ref="T37:U37" si="71">(P37/R37)*100</f>
        <v>74.21232877</v>
      </c>
      <c r="U37" s="26">
        <f t="shared" si="71"/>
        <v>84.10596026</v>
      </c>
      <c r="V37" s="26">
        <v>2466.0</v>
      </c>
      <c r="W37" s="26">
        <v>960.0</v>
      </c>
      <c r="X37" s="26">
        <v>1506.0</v>
      </c>
      <c r="Y37" s="26">
        <v>0.0</v>
      </c>
      <c r="Z37" s="26">
        <v>20300.0</v>
      </c>
      <c r="AA37" s="26">
        <v>4621.0</v>
      </c>
      <c r="AB37" s="26">
        <v>2332.0</v>
      </c>
      <c r="AC37" s="26">
        <v>2289.0</v>
      </c>
      <c r="AD37" s="26">
        <v>12829.0</v>
      </c>
      <c r="AE37" s="26">
        <v>6629.0</v>
      </c>
      <c r="AF37" s="26">
        <v>6019.0</v>
      </c>
      <c r="AG37" s="26">
        <v>99.0</v>
      </c>
      <c r="AH37" s="26">
        <v>82.0</v>
      </c>
      <c r="AI37" s="26">
        <f t="shared" si="8"/>
        <v>6101</v>
      </c>
      <c r="AJ37" s="26">
        <f t="shared" si="9"/>
        <v>6728</v>
      </c>
      <c r="AK37" s="26">
        <f t="shared" si="10"/>
        <v>7664</v>
      </c>
      <c r="AL37" s="26">
        <f t="shared" si="11"/>
        <v>7701</v>
      </c>
      <c r="AM37" s="26">
        <f t="shared" ref="AM37:AN37" si="72">(AI37/AK37)*100</f>
        <v>79.6059499</v>
      </c>
      <c r="AN37" s="26">
        <f t="shared" si="72"/>
        <v>87.36527724</v>
      </c>
      <c r="AO37" s="26">
        <v>2536.0</v>
      </c>
      <c r="AP37" s="26">
        <v>973.0</v>
      </c>
      <c r="AQ37" s="26">
        <v>1563.0</v>
      </c>
      <c r="AR37" s="26">
        <v>314.0</v>
      </c>
      <c r="AS37" s="27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>
      <c r="A38" s="22">
        <v>1105.0</v>
      </c>
      <c r="B38" s="23" t="s">
        <v>25</v>
      </c>
      <c r="C38" s="29" t="s">
        <v>62</v>
      </c>
      <c r="D38" s="29" t="s">
        <v>63</v>
      </c>
      <c r="E38" s="29" t="s">
        <v>67</v>
      </c>
      <c r="F38" s="29" t="s">
        <v>67</v>
      </c>
      <c r="G38" s="26">
        <v>22410.0</v>
      </c>
      <c r="H38" s="26">
        <v>6273.0</v>
      </c>
      <c r="I38" s="26">
        <v>3228.0</v>
      </c>
      <c r="J38" s="26">
        <v>3045.0</v>
      </c>
      <c r="K38" s="26">
        <v>11333.0</v>
      </c>
      <c r="L38" s="26">
        <v>6155.0</v>
      </c>
      <c r="M38" s="26">
        <v>5066.0</v>
      </c>
      <c r="N38" s="26">
        <v>60.0</v>
      </c>
      <c r="O38" s="26">
        <v>52.0</v>
      </c>
      <c r="P38" s="26">
        <f t="shared" si="3"/>
        <v>5118</v>
      </c>
      <c r="Q38" s="26">
        <f t="shared" si="4"/>
        <v>6215</v>
      </c>
      <c r="R38" s="26">
        <f t="shared" si="5"/>
        <v>8224</v>
      </c>
      <c r="S38" s="26">
        <f t="shared" si="6"/>
        <v>7913</v>
      </c>
      <c r="T38" s="26">
        <f t="shared" ref="T38:U38" si="73">(P38/R38)*100</f>
        <v>62.23249027</v>
      </c>
      <c r="U38" s="26">
        <f t="shared" si="73"/>
        <v>78.54164034</v>
      </c>
      <c r="V38" s="26">
        <v>4804.0</v>
      </c>
      <c r="W38" s="26">
        <v>1698.0</v>
      </c>
      <c r="X38" s="26">
        <v>3106.0</v>
      </c>
      <c r="Y38" s="26">
        <v>0.0</v>
      </c>
      <c r="Z38" s="26">
        <v>45886.0</v>
      </c>
      <c r="AA38" s="26">
        <v>11108.0</v>
      </c>
      <c r="AB38" s="26">
        <v>5653.0</v>
      </c>
      <c r="AC38" s="26">
        <v>5455.0</v>
      </c>
      <c r="AD38" s="26">
        <v>26421.0</v>
      </c>
      <c r="AE38" s="26">
        <v>13670.0</v>
      </c>
      <c r="AF38" s="26">
        <v>12130.0</v>
      </c>
      <c r="AG38" s="26">
        <v>325.0</v>
      </c>
      <c r="AH38" s="26">
        <v>296.0</v>
      </c>
      <c r="AI38" s="26">
        <f t="shared" si="8"/>
        <v>12426</v>
      </c>
      <c r="AJ38" s="26">
        <f t="shared" si="9"/>
        <v>13995</v>
      </c>
      <c r="AK38" s="26">
        <f t="shared" si="10"/>
        <v>17050</v>
      </c>
      <c r="AL38" s="26">
        <f t="shared" si="11"/>
        <v>16560</v>
      </c>
      <c r="AM38" s="26">
        <f t="shared" ref="AM38:AN38" si="74">(AI38/AK38)*100</f>
        <v>72.8797654</v>
      </c>
      <c r="AN38" s="26">
        <f t="shared" si="74"/>
        <v>84.51086957</v>
      </c>
      <c r="AO38" s="26">
        <v>7189.0</v>
      </c>
      <c r="AP38" s="26">
        <v>2565.0</v>
      </c>
      <c r="AQ38" s="26">
        <v>4624.0</v>
      </c>
      <c r="AR38" s="26">
        <v>1168.0</v>
      </c>
      <c r="AS38" s="27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>
      <c r="A39" s="22">
        <v>1129.0</v>
      </c>
      <c r="B39" s="23" t="s">
        <v>25</v>
      </c>
      <c r="C39" s="29" t="s">
        <v>62</v>
      </c>
      <c r="D39" s="29" t="s">
        <v>63</v>
      </c>
      <c r="E39" s="29" t="s">
        <v>68</v>
      </c>
      <c r="F39" s="29" t="s">
        <v>68</v>
      </c>
      <c r="G39" s="26">
        <v>847588.0</v>
      </c>
      <c r="H39" s="26">
        <v>255294.0</v>
      </c>
      <c r="I39" s="26">
        <v>128858.0</v>
      </c>
      <c r="J39" s="26">
        <v>126436.0</v>
      </c>
      <c r="K39" s="26">
        <v>379339.0</v>
      </c>
      <c r="L39" s="26">
        <v>202603.0</v>
      </c>
      <c r="M39" s="26">
        <v>169466.0</v>
      </c>
      <c r="N39" s="26">
        <v>3942.0</v>
      </c>
      <c r="O39" s="26">
        <v>3328.0</v>
      </c>
      <c r="P39" s="26">
        <f t="shared" si="3"/>
        <v>172794</v>
      </c>
      <c r="Q39" s="26">
        <f t="shared" si="4"/>
        <v>206545</v>
      </c>
      <c r="R39" s="26">
        <f t="shared" si="5"/>
        <v>312668</v>
      </c>
      <c r="S39" s="26">
        <f t="shared" si="6"/>
        <v>279626</v>
      </c>
      <c r="T39" s="26">
        <f t="shared" ref="T39:U39" si="75">(P39/R39)*100</f>
        <v>55.26436987</v>
      </c>
      <c r="U39" s="26">
        <f t="shared" si="75"/>
        <v>73.86473361</v>
      </c>
      <c r="V39" s="26">
        <v>212955.0</v>
      </c>
      <c r="W39" s="26">
        <v>73081.0</v>
      </c>
      <c r="X39" s="26">
        <v>139874.0</v>
      </c>
      <c r="Y39" s="26">
        <v>0.0</v>
      </c>
      <c r="Z39" s="26">
        <v>881962.0</v>
      </c>
      <c r="AA39" s="26">
        <v>216293.0</v>
      </c>
      <c r="AB39" s="26">
        <v>109764.0</v>
      </c>
      <c r="AC39" s="26">
        <v>106529.0</v>
      </c>
      <c r="AD39" s="26">
        <v>473314.0</v>
      </c>
      <c r="AE39" s="26">
        <v>236825.0</v>
      </c>
      <c r="AF39" s="26">
        <v>219745.0</v>
      </c>
      <c r="AG39" s="26">
        <v>8530.0</v>
      </c>
      <c r="AH39" s="26">
        <v>8214.0</v>
      </c>
      <c r="AI39" s="26">
        <f t="shared" si="8"/>
        <v>227959</v>
      </c>
      <c r="AJ39" s="26">
        <f t="shared" si="9"/>
        <v>245355</v>
      </c>
      <c r="AK39" s="26">
        <f t="shared" si="10"/>
        <v>342453</v>
      </c>
      <c r="AL39" s="26">
        <f t="shared" si="11"/>
        <v>310655</v>
      </c>
      <c r="AM39" s="26">
        <f t="shared" ref="AM39:AN39" si="76">(AI39/AK39)*100</f>
        <v>66.56650694</v>
      </c>
      <c r="AN39" s="26">
        <f t="shared" si="76"/>
        <v>78.97989731</v>
      </c>
      <c r="AO39" s="26">
        <v>179794.0</v>
      </c>
      <c r="AP39" s="26">
        <v>65300.0</v>
      </c>
      <c r="AQ39" s="26">
        <v>114494.0</v>
      </c>
      <c r="AR39" s="26">
        <v>12561.0</v>
      </c>
      <c r="AS39" s="27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>
      <c r="A40" s="22">
        <v>1177.0</v>
      </c>
      <c r="B40" s="23" t="s">
        <v>25</v>
      </c>
      <c r="C40" s="29" t="s">
        <v>62</v>
      </c>
      <c r="D40" s="29" t="s">
        <v>69</v>
      </c>
      <c r="E40" s="29" t="s">
        <v>70</v>
      </c>
      <c r="F40" s="29" t="s">
        <v>70</v>
      </c>
      <c r="G40" s="30">
        <v>46006.0</v>
      </c>
      <c r="H40" s="30">
        <v>11735.0</v>
      </c>
      <c r="I40" s="30">
        <v>6019.0</v>
      </c>
      <c r="J40" s="30">
        <v>5716.0</v>
      </c>
      <c r="K40" s="30">
        <v>24441.0</v>
      </c>
      <c r="L40" s="30">
        <v>12475.0</v>
      </c>
      <c r="M40" s="30">
        <v>11757.0</v>
      </c>
      <c r="N40" s="30">
        <v>144.0</v>
      </c>
      <c r="O40" s="30">
        <v>65.0</v>
      </c>
      <c r="P40" s="26">
        <f t="shared" si="3"/>
        <v>11822</v>
      </c>
      <c r="Q40" s="26">
        <f t="shared" si="4"/>
        <v>12619</v>
      </c>
      <c r="R40" s="26">
        <f t="shared" si="5"/>
        <v>17757</v>
      </c>
      <c r="S40" s="26">
        <f t="shared" si="6"/>
        <v>16514</v>
      </c>
      <c r="T40" s="26">
        <f t="shared" ref="T40:U40" si="77">(P40/R40)*100</f>
        <v>66.57656136</v>
      </c>
      <c r="U40" s="26">
        <f t="shared" si="77"/>
        <v>76.4139518</v>
      </c>
      <c r="V40" s="30">
        <v>9830.0</v>
      </c>
      <c r="W40" s="30">
        <v>3895.0</v>
      </c>
      <c r="X40" s="30">
        <v>5935.0</v>
      </c>
      <c r="Y40" s="30">
        <v>0.0</v>
      </c>
      <c r="Z40" s="30">
        <v>46788.0</v>
      </c>
      <c r="AA40" s="30">
        <v>10164.0</v>
      </c>
      <c r="AB40" s="30">
        <v>5154.0</v>
      </c>
      <c r="AC40" s="30">
        <v>5010.0</v>
      </c>
      <c r="AD40" s="30">
        <v>29416.0</v>
      </c>
      <c r="AE40" s="30">
        <v>14643.0</v>
      </c>
      <c r="AF40" s="30">
        <v>14460.0</v>
      </c>
      <c r="AG40" s="30">
        <v>189.0</v>
      </c>
      <c r="AH40" s="30">
        <v>124.0</v>
      </c>
      <c r="AI40" s="26">
        <f t="shared" si="8"/>
        <v>14584</v>
      </c>
      <c r="AJ40" s="26">
        <f t="shared" si="9"/>
        <v>14832</v>
      </c>
      <c r="AK40" s="26">
        <f t="shared" si="10"/>
        <v>18270</v>
      </c>
      <c r="AL40" s="26">
        <f t="shared" si="11"/>
        <v>17255</v>
      </c>
      <c r="AM40" s="26">
        <f t="shared" ref="AM40:AN40" si="78">(AI40/AK40)*100</f>
        <v>79.82484948</v>
      </c>
      <c r="AN40" s="26">
        <f t="shared" si="78"/>
        <v>85.95769342</v>
      </c>
      <c r="AO40" s="30">
        <v>6109.0</v>
      </c>
      <c r="AP40" s="30">
        <v>2423.0</v>
      </c>
      <c r="AQ40" s="30">
        <v>3686.0</v>
      </c>
      <c r="AR40" s="30">
        <v>1099.0</v>
      </c>
      <c r="AS40" s="27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>
      <c r="A41" s="22">
        <v>1201.0</v>
      </c>
      <c r="B41" s="23" t="s">
        <v>25</v>
      </c>
      <c r="C41" s="29" t="s">
        <v>62</v>
      </c>
      <c r="D41" s="29" t="s">
        <v>69</v>
      </c>
      <c r="E41" s="29" t="s">
        <v>71</v>
      </c>
      <c r="F41" s="29" t="s">
        <v>71</v>
      </c>
      <c r="G41" s="26">
        <v>13132.0</v>
      </c>
      <c r="H41" s="26">
        <v>3076.0</v>
      </c>
      <c r="I41" s="26">
        <v>1546.0</v>
      </c>
      <c r="J41" s="26">
        <v>1530.0</v>
      </c>
      <c r="K41" s="26">
        <v>7838.0</v>
      </c>
      <c r="L41" s="26">
        <v>3970.0</v>
      </c>
      <c r="M41" s="26">
        <v>3852.0</v>
      </c>
      <c r="N41" s="26">
        <v>11.0</v>
      </c>
      <c r="O41" s="26">
        <v>5.0</v>
      </c>
      <c r="P41" s="26">
        <f t="shared" si="3"/>
        <v>3857</v>
      </c>
      <c r="Q41" s="26">
        <f t="shared" si="4"/>
        <v>3981</v>
      </c>
      <c r="R41" s="26">
        <f t="shared" si="5"/>
        <v>5153</v>
      </c>
      <c r="S41" s="26">
        <f t="shared" si="6"/>
        <v>4903</v>
      </c>
      <c r="T41" s="26">
        <f t="shared" ref="T41:U41" si="79">(P41/R41)*100</f>
        <v>74.84960217</v>
      </c>
      <c r="U41" s="26">
        <f t="shared" si="79"/>
        <v>81.19518662</v>
      </c>
      <c r="V41" s="26">
        <v>2218.0</v>
      </c>
      <c r="W41" s="26">
        <v>922.0</v>
      </c>
      <c r="X41" s="26">
        <v>1296.0</v>
      </c>
      <c r="Y41" s="26">
        <v>0.0</v>
      </c>
      <c r="Z41" s="26">
        <v>16739.0</v>
      </c>
      <c r="AA41" s="26">
        <v>3757.0</v>
      </c>
      <c r="AB41" s="26">
        <v>1881.0</v>
      </c>
      <c r="AC41" s="26">
        <v>1876.0</v>
      </c>
      <c r="AD41" s="26">
        <v>10669.0</v>
      </c>
      <c r="AE41" s="26">
        <v>5476.0</v>
      </c>
      <c r="AF41" s="26">
        <v>5039.0</v>
      </c>
      <c r="AG41" s="26">
        <v>93.0</v>
      </c>
      <c r="AH41" s="26">
        <v>61.0</v>
      </c>
      <c r="AI41" s="26">
        <f t="shared" si="8"/>
        <v>5100</v>
      </c>
      <c r="AJ41" s="26">
        <f t="shared" si="9"/>
        <v>5569</v>
      </c>
      <c r="AK41" s="26">
        <f t="shared" si="10"/>
        <v>6310</v>
      </c>
      <c r="AL41" s="26">
        <f t="shared" si="11"/>
        <v>6361</v>
      </c>
      <c r="AM41" s="26">
        <f t="shared" ref="AM41:AN41" si="80">(AI41/AK41)*100</f>
        <v>80.82408875</v>
      </c>
      <c r="AN41" s="26">
        <f t="shared" si="80"/>
        <v>87.5491275</v>
      </c>
      <c r="AO41" s="26">
        <v>2002.0</v>
      </c>
      <c r="AP41" s="26">
        <v>792.0</v>
      </c>
      <c r="AQ41" s="26">
        <v>1210.0</v>
      </c>
      <c r="AR41" s="26">
        <v>311.0</v>
      </c>
      <c r="AS41" s="27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>
      <c r="A42" s="22">
        <v>1225.0</v>
      </c>
      <c r="B42" s="23" t="s">
        <v>25</v>
      </c>
      <c r="C42" s="29" t="s">
        <v>62</v>
      </c>
      <c r="D42" s="29" t="s">
        <v>69</v>
      </c>
      <c r="E42" s="29" t="s">
        <v>72</v>
      </c>
      <c r="F42" s="29" t="s">
        <v>72</v>
      </c>
      <c r="G42" s="26">
        <v>7946.0</v>
      </c>
      <c r="H42" s="26">
        <v>1624.0</v>
      </c>
      <c r="I42" s="26">
        <v>816.0</v>
      </c>
      <c r="J42" s="26">
        <v>808.0</v>
      </c>
      <c r="K42" s="26">
        <v>4844.0</v>
      </c>
      <c r="L42" s="26">
        <v>2419.0</v>
      </c>
      <c r="M42" s="26">
        <v>2412.0</v>
      </c>
      <c r="N42" s="26">
        <v>8.0</v>
      </c>
      <c r="O42" s="26">
        <v>5.0</v>
      </c>
      <c r="P42" s="26">
        <f t="shared" si="3"/>
        <v>2417</v>
      </c>
      <c r="Q42" s="26">
        <f t="shared" si="4"/>
        <v>2427</v>
      </c>
      <c r="R42" s="26">
        <f t="shared" si="5"/>
        <v>3347</v>
      </c>
      <c r="S42" s="26">
        <f t="shared" si="6"/>
        <v>2975</v>
      </c>
      <c r="T42" s="26">
        <f t="shared" ref="T42:U42" si="81">(P42/R42)*100</f>
        <v>72.21392292</v>
      </c>
      <c r="U42" s="26">
        <f t="shared" si="81"/>
        <v>81.57983193</v>
      </c>
      <c r="V42" s="26">
        <v>1478.0</v>
      </c>
      <c r="W42" s="26">
        <v>548.0</v>
      </c>
      <c r="X42" s="26">
        <v>930.0</v>
      </c>
      <c r="Y42" s="26">
        <v>0.0</v>
      </c>
      <c r="Z42" s="26">
        <v>8578.0</v>
      </c>
      <c r="AA42" s="26">
        <v>1711.0</v>
      </c>
      <c r="AB42" s="26">
        <v>862.0</v>
      </c>
      <c r="AC42" s="26">
        <v>849.0</v>
      </c>
      <c r="AD42" s="26">
        <v>5580.0</v>
      </c>
      <c r="AE42" s="26">
        <v>2670.0</v>
      </c>
      <c r="AF42" s="26">
        <v>2872.0</v>
      </c>
      <c r="AG42" s="26">
        <v>20.0</v>
      </c>
      <c r="AH42" s="26">
        <v>18.0</v>
      </c>
      <c r="AI42" s="26">
        <f t="shared" si="8"/>
        <v>2890</v>
      </c>
      <c r="AJ42" s="26">
        <f t="shared" si="9"/>
        <v>2690</v>
      </c>
      <c r="AK42" s="26">
        <f t="shared" si="10"/>
        <v>3590</v>
      </c>
      <c r="AL42" s="26">
        <f t="shared" si="11"/>
        <v>3063</v>
      </c>
      <c r="AM42" s="26">
        <f t="shared" ref="AM42:AN42" si="82">(AI42/AK42)*100</f>
        <v>80.50139276</v>
      </c>
      <c r="AN42" s="26">
        <f t="shared" si="82"/>
        <v>87.82239634</v>
      </c>
      <c r="AO42" s="26">
        <v>1073.0</v>
      </c>
      <c r="AP42" s="26">
        <v>373.0</v>
      </c>
      <c r="AQ42" s="26">
        <v>700.0</v>
      </c>
      <c r="AR42" s="26">
        <v>214.0</v>
      </c>
      <c r="AS42" s="27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>
      <c r="A43" s="22">
        <v>1249.0</v>
      </c>
      <c r="B43" s="23" t="s">
        <v>25</v>
      </c>
      <c r="C43" s="29" t="s">
        <v>62</v>
      </c>
      <c r="D43" s="29" t="s">
        <v>69</v>
      </c>
      <c r="E43" s="29" t="s">
        <v>73</v>
      </c>
      <c r="F43" s="29" t="s">
        <v>73</v>
      </c>
      <c r="G43" s="26">
        <v>8556.0</v>
      </c>
      <c r="H43" s="26">
        <v>1750.0</v>
      </c>
      <c r="I43" s="26">
        <v>892.0</v>
      </c>
      <c r="J43" s="26">
        <v>858.0</v>
      </c>
      <c r="K43" s="26">
        <v>4833.0</v>
      </c>
      <c r="L43" s="26">
        <v>2606.0</v>
      </c>
      <c r="M43" s="26">
        <v>2212.0</v>
      </c>
      <c r="N43" s="26">
        <v>10.0</v>
      </c>
      <c r="O43" s="26">
        <v>5.0</v>
      </c>
      <c r="P43" s="26">
        <f t="shared" si="3"/>
        <v>2217</v>
      </c>
      <c r="Q43" s="26">
        <f t="shared" si="4"/>
        <v>2616</v>
      </c>
      <c r="R43" s="26">
        <f t="shared" si="5"/>
        <v>3523</v>
      </c>
      <c r="S43" s="26">
        <f t="shared" si="6"/>
        <v>3283</v>
      </c>
      <c r="T43" s="26">
        <f t="shared" ref="T43:U43" si="83">(P43/R43)*100</f>
        <v>62.9293216</v>
      </c>
      <c r="U43" s="26">
        <f t="shared" si="83"/>
        <v>79.68321657</v>
      </c>
      <c r="V43" s="26">
        <v>1973.0</v>
      </c>
      <c r="W43" s="26">
        <v>667.0</v>
      </c>
      <c r="X43" s="26">
        <v>1306.0</v>
      </c>
      <c r="Y43" s="26">
        <v>0.0</v>
      </c>
      <c r="Z43" s="26">
        <v>9137.0</v>
      </c>
      <c r="AA43" s="26">
        <v>1653.0</v>
      </c>
      <c r="AB43" s="26">
        <v>867.0</v>
      </c>
      <c r="AC43" s="26">
        <v>786.0</v>
      </c>
      <c r="AD43" s="26">
        <v>5884.0</v>
      </c>
      <c r="AE43" s="26">
        <v>2976.0</v>
      </c>
      <c r="AF43" s="26">
        <v>2824.0</v>
      </c>
      <c r="AG43" s="26">
        <v>50.0</v>
      </c>
      <c r="AH43" s="26">
        <v>34.0</v>
      </c>
      <c r="AI43" s="26">
        <f t="shared" si="8"/>
        <v>2858</v>
      </c>
      <c r="AJ43" s="26">
        <f t="shared" si="9"/>
        <v>3026</v>
      </c>
      <c r="AK43" s="26">
        <f t="shared" si="10"/>
        <v>3670</v>
      </c>
      <c r="AL43" s="26">
        <f t="shared" si="11"/>
        <v>3553</v>
      </c>
      <c r="AM43" s="26">
        <f t="shared" ref="AM43:AN43" si="84">(AI43/AK43)*100</f>
        <v>77.8746594</v>
      </c>
      <c r="AN43" s="26">
        <f t="shared" si="84"/>
        <v>85.16746411</v>
      </c>
      <c r="AO43" s="26">
        <v>1339.0</v>
      </c>
      <c r="AP43" s="26">
        <v>527.0</v>
      </c>
      <c r="AQ43" s="26">
        <v>812.0</v>
      </c>
      <c r="AR43" s="26">
        <v>261.0</v>
      </c>
      <c r="AS43" s="27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>
      <c r="A44" s="22">
        <v>1273.0</v>
      </c>
      <c r="B44" s="23" t="s">
        <v>25</v>
      </c>
      <c r="C44" s="29" t="s">
        <v>62</v>
      </c>
      <c r="D44" s="29" t="s">
        <v>69</v>
      </c>
      <c r="E44" s="29" t="s">
        <v>74</v>
      </c>
      <c r="F44" s="29" t="s">
        <v>74</v>
      </c>
      <c r="G44" s="26">
        <v>3925.0</v>
      </c>
      <c r="H44" s="26">
        <v>819.0</v>
      </c>
      <c r="I44" s="26">
        <v>405.0</v>
      </c>
      <c r="J44" s="26">
        <v>414.0</v>
      </c>
      <c r="K44" s="26">
        <v>2002.0</v>
      </c>
      <c r="L44" s="26">
        <v>1084.0</v>
      </c>
      <c r="M44" s="26">
        <v>907.0</v>
      </c>
      <c r="N44" s="26">
        <v>9.0</v>
      </c>
      <c r="O44" s="26">
        <v>2.0</v>
      </c>
      <c r="P44" s="26">
        <f t="shared" si="3"/>
        <v>909</v>
      </c>
      <c r="Q44" s="26">
        <f t="shared" si="4"/>
        <v>1093</v>
      </c>
      <c r="R44" s="26">
        <f t="shared" si="5"/>
        <v>1591</v>
      </c>
      <c r="S44" s="26">
        <f t="shared" si="6"/>
        <v>1515</v>
      </c>
      <c r="T44" s="26">
        <f t="shared" ref="T44:U44" si="85">(P44/R44)*100</f>
        <v>57.13387806</v>
      </c>
      <c r="U44" s="26">
        <f t="shared" si="85"/>
        <v>72.14521452</v>
      </c>
      <c r="V44" s="26">
        <v>1104.0</v>
      </c>
      <c r="W44" s="26">
        <v>422.0</v>
      </c>
      <c r="X44" s="26">
        <v>682.0</v>
      </c>
      <c r="Y44" s="26">
        <v>0.0</v>
      </c>
      <c r="Z44" s="26">
        <v>5073.0</v>
      </c>
      <c r="AA44" s="26">
        <v>956.0</v>
      </c>
      <c r="AB44" s="26">
        <v>512.0</v>
      </c>
      <c r="AC44" s="26">
        <v>444.0</v>
      </c>
      <c r="AD44" s="26">
        <v>3018.0</v>
      </c>
      <c r="AE44" s="26">
        <v>1530.0</v>
      </c>
      <c r="AF44" s="26">
        <v>1408.0</v>
      </c>
      <c r="AG44" s="26">
        <v>53.0</v>
      </c>
      <c r="AH44" s="26">
        <v>27.0</v>
      </c>
      <c r="AI44" s="26">
        <f t="shared" si="8"/>
        <v>1435</v>
      </c>
      <c r="AJ44" s="26">
        <f t="shared" si="9"/>
        <v>1583</v>
      </c>
      <c r="AK44" s="26">
        <f t="shared" si="10"/>
        <v>1965</v>
      </c>
      <c r="AL44" s="26">
        <f t="shared" si="11"/>
        <v>1991</v>
      </c>
      <c r="AM44" s="26">
        <f t="shared" ref="AM44:AN44" si="86">(AI44/AK44)*100</f>
        <v>73.02798982</v>
      </c>
      <c r="AN44" s="26">
        <f t="shared" si="86"/>
        <v>79.50778503</v>
      </c>
      <c r="AO44" s="26">
        <v>938.0</v>
      </c>
      <c r="AP44" s="26">
        <v>408.0</v>
      </c>
      <c r="AQ44" s="26">
        <v>530.0</v>
      </c>
      <c r="AR44" s="26">
        <v>161.0</v>
      </c>
      <c r="AS44" s="27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>
      <c r="A45" s="22">
        <v>1297.0</v>
      </c>
      <c r="B45" s="23" t="s">
        <v>25</v>
      </c>
      <c r="C45" s="29" t="s">
        <v>62</v>
      </c>
      <c r="D45" s="29" t="s">
        <v>69</v>
      </c>
      <c r="E45" s="29" t="s">
        <v>75</v>
      </c>
      <c r="F45" s="29" t="s">
        <v>75</v>
      </c>
      <c r="G45" s="26">
        <v>5000.0</v>
      </c>
      <c r="H45" s="26">
        <v>1038.0</v>
      </c>
      <c r="I45" s="26">
        <v>541.0</v>
      </c>
      <c r="J45" s="26">
        <v>497.0</v>
      </c>
      <c r="K45" s="26">
        <v>2650.0</v>
      </c>
      <c r="L45" s="26">
        <v>1391.0</v>
      </c>
      <c r="M45" s="26">
        <v>1228.0</v>
      </c>
      <c r="N45" s="26">
        <v>21.0</v>
      </c>
      <c r="O45" s="26">
        <v>10.0</v>
      </c>
      <c r="P45" s="26">
        <f t="shared" si="3"/>
        <v>1238</v>
      </c>
      <c r="Q45" s="26">
        <f t="shared" si="4"/>
        <v>1412</v>
      </c>
      <c r="R45" s="26">
        <f t="shared" si="5"/>
        <v>1981</v>
      </c>
      <c r="S45" s="26">
        <f t="shared" si="6"/>
        <v>1981</v>
      </c>
      <c r="T45" s="26">
        <f t="shared" ref="T45:U45" si="87">(P45/R45)*100</f>
        <v>62.49369006</v>
      </c>
      <c r="U45" s="26">
        <f t="shared" si="87"/>
        <v>71.27713276</v>
      </c>
      <c r="V45" s="26">
        <v>1312.0</v>
      </c>
      <c r="W45" s="26">
        <v>569.0</v>
      </c>
      <c r="X45" s="26">
        <v>743.0</v>
      </c>
      <c r="Y45" s="26">
        <v>0.0</v>
      </c>
      <c r="Z45" s="26">
        <v>7181.0</v>
      </c>
      <c r="AA45" s="26">
        <v>1451.0</v>
      </c>
      <c r="AB45" s="26">
        <v>745.0</v>
      </c>
      <c r="AC45" s="26">
        <v>706.0</v>
      </c>
      <c r="AD45" s="26">
        <v>4346.0</v>
      </c>
      <c r="AE45" s="26">
        <v>2230.0</v>
      </c>
      <c r="AF45" s="26">
        <v>2060.0</v>
      </c>
      <c r="AG45" s="26">
        <v>37.0</v>
      </c>
      <c r="AH45" s="26">
        <v>19.0</v>
      </c>
      <c r="AI45" s="26">
        <f t="shared" si="8"/>
        <v>2079</v>
      </c>
      <c r="AJ45" s="26">
        <f t="shared" si="9"/>
        <v>2267</v>
      </c>
      <c r="AK45" s="26">
        <f t="shared" si="10"/>
        <v>2765</v>
      </c>
      <c r="AL45" s="26">
        <f t="shared" si="11"/>
        <v>2810</v>
      </c>
      <c r="AM45" s="26">
        <f t="shared" ref="AM45:AN45" si="88">(AI45/AK45)*100</f>
        <v>75.18987342</v>
      </c>
      <c r="AN45" s="26">
        <f t="shared" si="88"/>
        <v>80.67615658</v>
      </c>
      <c r="AO45" s="26">
        <v>1229.0</v>
      </c>
      <c r="AP45" s="26">
        <v>543.0</v>
      </c>
      <c r="AQ45" s="26">
        <v>686.0</v>
      </c>
      <c r="AR45" s="26">
        <v>155.0</v>
      </c>
      <c r="AS45" s="27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>
      <c r="A46" s="22">
        <v>1345.0</v>
      </c>
      <c r="B46" s="23" t="s">
        <v>25</v>
      </c>
      <c r="C46" s="29" t="s">
        <v>62</v>
      </c>
      <c r="D46" s="29" t="s">
        <v>76</v>
      </c>
      <c r="E46" s="29" t="s">
        <v>77</v>
      </c>
      <c r="F46" s="29" t="s">
        <v>77</v>
      </c>
      <c r="G46" s="26">
        <v>10637.0</v>
      </c>
      <c r="H46" s="26">
        <v>2618.0</v>
      </c>
      <c r="I46" s="26">
        <v>1386.0</v>
      </c>
      <c r="J46" s="26">
        <v>1232.0</v>
      </c>
      <c r="K46" s="26">
        <v>5857.0</v>
      </c>
      <c r="L46" s="26">
        <v>3214.0</v>
      </c>
      <c r="M46" s="26">
        <v>2621.0</v>
      </c>
      <c r="N46" s="26">
        <v>13.0</v>
      </c>
      <c r="O46" s="26">
        <v>9.0</v>
      </c>
      <c r="P46" s="26">
        <f t="shared" si="3"/>
        <v>2630</v>
      </c>
      <c r="Q46" s="26">
        <f t="shared" si="4"/>
        <v>3227</v>
      </c>
      <c r="R46" s="26">
        <f t="shared" si="5"/>
        <v>3796</v>
      </c>
      <c r="S46" s="26">
        <f t="shared" si="6"/>
        <v>4223</v>
      </c>
      <c r="T46" s="26">
        <f t="shared" ref="T46:U46" si="89">(P46/R46)*100</f>
        <v>69.28345627</v>
      </c>
      <c r="U46" s="26">
        <f t="shared" si="89"/>
        <v>76.41487094</v>
      </c>
      <c r="V46" s="26">
        <v>2162.0</v>
      </c>
      <c r="W46" s="26">
        <v>996.0</v>
      </c>
      <c r="X46" s="26">
        <v>1166.0</v>
      </c>
      <c r="Y46" s="26">
        <v>0.0</v>
      </c>
      <c r="Z46" s="26">
        <v>13402.0</v>
      </c>
      <c r="AA46" s="26">
        <v>3135.0</v>
      </c>
      <c r="AB46" s="26">
        <v>1575.0</v>
      </c>
      <c r="AC46" s="26">
        <v>1560.0</v>
      </c>
      <c r="AD46" s="26">
        <v>8319.0</v>
      </c>
      <c r="AE46" s="26">
        <v>4304.0</v>
      </c>
      <c r="AF46" s="26">
        <v>3897.0</v>
      </c>
      <c r="AG46" s="26">
        <v>63.0</v>
      </c>
      <c r="AH46" s="26">
        <v>55.0</v>
      </c>
      <c r="AI46" s="26">
        <f t="shared" si="8"/>
        <v>3952</v>
      </c>
      <c r="AJ46" s="26">
        <f t="shared" si="9"/>
        <v>4367</v>
      </c>
      <c r="AK46" s="26">
        <f t="shared" si="10"/>
        <v>4828</v>
      </c>
      <c r="AL46" s="26">
        <f t="shared" si="11"/>
        <v>5217</v>
      </c>
      <c r="AM46" s="26">
        <f t="shared" ref="AM46:AN46" si="90">(AI46/AK46)*100</f>
        <v>81.85584093</v>
      </c>
      <c r="AN46" s="26">
        <f t="shared" si="90"/>
        <v>83.70711137</v>
      </c>
      <c r="AO46" s="26">
        <v>1726.0</v>
      </c>
      <c r="AP46" s="26">
        <v>850.0</v>
      </c>
      <c r="AQ46" s="26">
        <v>876.0</v>
      </c>
      <c r="AR46" s="26">
        <v>222.0</v>
      </c>
      <c r="AS46" s="27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>
      <c r="A47" s="22">
        <v>1369.0</v>
      </c>
      <c r="B47" s="23" t="s">
        <v>25</v>
      </c>
      <c r="C47" s="29" t="s">
        <v>62</v>
      </c>
      <c r="D47" s="29" t="s">
        <v>76</v>
      </c>
      <c r="E47" s="29" t="s">
        <v>78</v>
      </c>
      <c r="F47" s="29" t="s">
        <v>78</v>
      </c>
      <c r="G47" s="26">
        <v>14667.0</v>
      </c>
      <c r="H47" s="26">
        <v>3682.0</v>
      </c>
      <c r="I47" s="26">
        <v>1900.0</v>
      </c>
      <c r="J47" s="26">
        <v>1782.0</v>
      </c>
      <c r="K47" s="26">
        <v>8505.0</v>
      </c>
      <c r="L47" s="26">
        <v>4579.0</v>
      </c>
      <c r="M47" s="26">
        <v>3905.0</v>
      </c>
      <c r="N47" s="26">
        <v>18.0</v>
      </c>
      <c r="O47" s="26">
        <v>3.0</v>
      </c>
      <c r="P47" s="26">
        <f t="shared" si="3"/>
        <v>3908</v>
      </c>
      <c r="Q47" s="26">
        <f t="shared" si="4"/>
        <v>4597</v>
      </c>
      <c r="R47" s="26">
        <f t="shared" si="5"/>
        <v>5432</v>
      </c>
      <c r="S47" s="26">
        <f t="shared" si="6"/>
        <v>5553</v>
      </c>
      <c r="T47" s="26">
        <f t="shared" ref="T47:U47" si="91">(P47/R47)*100</f>
        <v>71.94403535</v>
      </c>
      <c r="U47" s="26">
        <f t="shared" si="91"/>
        <v>82.78408068</v>
      </c>
      <c r="V47" s="26">
        <v>2480.0</v>
      </c>
      <c r="W47" s="26">
        <v>956.0</v>
      </c>
      <c r="X47" s="26">
        <v>1524.0</v>
      </c>
      <c r="Y47" s="26">
        <v>0.0</v>
      </c>
      <c r="Z47" s="26">
        <v>15359.0</v>
      </c>
      <c r="AA47" s="26">
        <v>3704.0</v>
      </c>
      <c r="AB47" s="26">
        <v>1901.0</v>
      </c>
      <c r="AC47" s="26">
        <v>1803.0</v>
      </c>
      <c r="AD47" s="26">
        <v>9677.0</v>
      </c>
      <c r="AE47" s="26">
        <v>5013.0</v>
      </c>
      <c r="AF47" s="26">
        <v>4574.0</v>
      </c>
      <c r="AG47" s="26">
        <v>54.0</v>
      </c>
      <c r="AH47" s="26">
        <v>36.0</v>
      </c>
      <c r="AI47" s="26">
        <f t="shared" si="8"/>
        <v>4610</v>
      </c>
      <c r="AJ47" s="26">
        <f t="shared" si="9"/>
        <v>5067</v>
      </c>
      <c r="AK47" s="26">
        <f t="shared" si="10"/>
        <v>5628</v>
      </c>
      <c r="AL47" s="26">
        <f t="shared" si="11"/>
        <v>5703</v>
      </c>
      <c r="AM47" s="26">
        <f t="shared" ref="AM47:AN47" si="92">(AI47/AK47)*100</f>
        <v>81.91186923</v>
      </c>
      <c r="AN47" s="26">
        <f t="shared" si="92"/>
        <v>88.84797475</v>
      </c>
      <c r="AO47" s="26">
        <v>1654.0</v>
      </c>
      <c r="AP47" s="26">
        <v>636.0</v>
      </c>
      <c r="AQ47" s="26">
        <v>1018.0</v>
      </c>
      <c r="AR47" s="26">
        <v>324.0</v>
      </c>
      <c r="AS47" s="27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>
      <c r="A48" s="22">
        <v>1393.0</v>
      </c>
      <c r="B48" s="23" t="s">
        <v>25</v>
      </c>
      <c r="C48" s="29" t="s">
        <v>62</v>
      </c>
      <c r="D48" s="29" t="s">
        <v>76</v>
      </c>
      <c r="E48" s="29" t="s">
        <v>79</v>
      </c>
      <c r="F48" s="29" t="s">
        <v>79</v>
      </c>
      <c r="G48" s="26">
        <v>9875.0</v>
      </c>
      <c r="H48" s="26">
        <v>2289.0</v>
      </c>
      <c r="I48" s="26">
        <v>1212.0</v>
      </c>
      <c r="J48" s="26">
        <v>1077.0</v>
      </c>
      <c r="K48" s="26">
        <v>5739.0</v>
      </c>
      <c r="L48" s="26">
        <v>3197.0</v>
      </c>
      <c r="M48" s="26">
        <v>2510.0</v>
      </c>
      <c r="N48" s="26">
        <v>26.0</v>
      </c>
      <c r="O48" s="26">
        <v>6.0</v>
      </c>
      <c r="P48" s="26">
        <f t="shared" si="3"/>
        <v>2516</v>
      </c>
      <c r="Q48" s="26">
        <f t="shared" si="4"/>
        <v>3223</v>
      </c>
      <c r="R48" s="26">
        <f t="shared" si="5"/>
        <v>3603</v>
      </c>
      <c r="S48" s="26">
        <f t="shared" si="6"/>
        <v>3983</v>
      </c>
      <c r="T48" s="26">
        <f t="shared" ref="T48:U48" si="93">(P48/R48)*100</f>
        <v>69.83069664</v>
      </c>
      <c r="U48" s="26">
        <f t="shared" si="93"/>
        <v>80.91890535</v>
      </c>
      <c r="V48" s="26">
        <v>1847.0</v>
      </c>
      <c r="W48" s="26">
        <v>760.0</v>
      </c>
      <c r="X48" s="26">
        <v>1087.0</v>
      </c>
      <c r="Y48" s="26">
        <v>0.0</v>
      </c>
      <c r="Z48" s="26">
        <v>12020.0</v>
      </c>
      <c r="AA48" s="26">
        <v>2695.0</v>
      </c>
      <c r="AB48" s="26">
        <v>1419.0</v>
      </c>
      <c r="AC48" s="26">
        <v>1276.0</v>
      </c>
      <c r="AD48" s="26">
        <v>7728.0</v>
      </c>
      <c r="AE48" s="26">
        <v>4079.0</v>
      </c>
      <c r="AF48" s="26">
        <v>3553.0</v>
      </c>
      <c r="AG48" s="26">
        <v>62.0</v>
      </c>
      <c r="AH48" s="26">
        <v>34.0</v>
      </c>
      <c r="AI48" s="26">
        <f t="shared" si="8"/>
        <v>3587</v>
      </c>
      <c r="AJ48" s="26">
        <f t="shared" si="9"/>
        <v>4141</v>
      </c>
      <c r="AK48" s="26">
        <f t="shared" si="10"/>
        <v>4502</v>
      </c>
      <c r="AL48" s="26">
        <f t="shared" si="11"/>
        <v>4661</v>
      </c>
      <c r="AM48" s="26">
        <f t="shared" ref="AM48:AN48" si="94">(AI48/AK48)*100</f>
        <v>79.67569969</v>
      </c>
      <c r="AN48" s="26">
        <f t="shared" si="94"/>
        <v>88.84359579</v>
      </c>
      <c r="AO48" s="26">
        <v>1435.0</v>
      </c>
      <c r="AP48" s="26">
        <v>520.0</v>
      </c>
      <c r="AQ48" s="26">
        <v>915.0</v>
      </c>
      <c r="AR48" s="26">
        <v>162.0</v>
      </c>
      <c r="AS48" s="27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>
      <c r="A49" s="22">
        <v>1417.0</v>
      </c>
      <c r="B49" s="23" t="s">
        <v>25</v>
      </c>
      <c r="C49" s="29" t="s">
        <v>62</v>
      </c>
      <c r="D49" s="29" t="s">
        <v>76</v>
      </c>
      <c r="E49" s="29" t="s">
        <v>80</v>
      </c>
      <c r="F49" s="29" t="s">
        <v>80</v>
      </c>
      <c r="G49" s="26">
        <v>3870.0</v>
      </c>
      <c r="H49" s="26">
        <v>1055.0</v>
      </c>
      <c r="I49" s="26">
        <v>561.0</v>
      </c>
      <c r="J49" s="26">
        <v>494.0</v>
      </c>
      <c r="K49" s="26">
        <v>1994.0</v>
      </c>
      <c r="L49" s="26">
        <v>1077.0</v>
      </c>
      <c r="M49" s="26">
        <v>909.0</v>
      </c>
      <c r="N49" s="26">
        <v>7.0</v>
      </c>
      <c r="O49" s="26">
        <v>1.0</v>
      </c>
      <c r="P49" s="26">
        <f t="shared" si="3"/>
        <v>910</v>
      </c>
      <c r="Q49" s="26">
        <f t="shared" si="4"/>
        <v>1084</v>
      </c>
      <c r="R49" s="26">
        <f t="shared" si="5"/>
        <v>1423</v>
      </c>
      <c r="S49" s="26">
        <f t="shared" si="6"/>
        <v>1392</v>
      </c>
      <c r="T49" s="26">
        <f t="shared" ref="T49:U49" si="95">(P49/R49)*100</f>
        <v>63.94940267</v>
      </c>
      <c r="U49" s="26">
        <f t="shared" si="95"/>
        <v>77.87356322</v>
      </c>
      <c r="V49" s="26">
        <v>821.0</v>
      </c>
      <c r="W49" s="26">
        <v>308.0</v>
      </c>
      <c r="X49" s="26">
        <v>513.0</v>
      </c>
      <c r="Y49" s="26">
        <v>0.0</v>
      </c>
      <c r="Z49" s="26">
        <v>5203.0</v>
      </c>
      <c r="AA49" s="26">
        <v>1307.0</v>
      </c>
      <c r="AB49" s="26">
        <v>660.0</v>
      </c>
      <c r="AC49" s="26">
        <v>647.0</v>
      </c>
      <c r="AD49" s="26">
        <v>3368.0</v>
      </c>
      <c r="AE49" s="26">
        <v>1663.0</v>
      </c>
      <c r="AF49" s="26">
        <v>1682.0</v>
      </c>
      <c r="AG49" s="26">
        <v>10.0</v>
      </c>
      <c r="AH49" s="26">
        <v>13.0</v>
      </c>
      <c r="AI49" s="26">
        <f t="shared" si="8"/>
        <v>1695</v>
      </c>
      <c r="AJ49" s="26">
        <f t="shared" si="9"/>
        <v>1673</v>
      </c>
      <c r="AK49" s="26">
        <f t="shared" si="10"/>
        <v>1995</v>
      </c>
      <c r="AL49" s="26">
        <f t="shared" si="11"/>
        <v>1847</v>
      </c>
      <c r="AM49" s="26">
        <f t="shared" ref="AM49:AN49" si="96">(AI49/AK49)*100</f>
        <v>84.96240602</v>
      </c>
      <c r="AN49" s="26">
        <f t="shared" si="96"/>
        <v>90.57931781</v>
      </c>
      <c r="AO49" s="26">
        <v>474.0</v>
      </c>
      <c r="AP49" s="26">
        <v>174.0</v>
      </c>
      <c r="AQ49" s="26">
        <v>300.0</v>
      </c>
      <c r="AR49" s="26">
        <v>54.0</v>
      </c>
      <c r="AS49" s="27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>
      <c r="A50" s="22">
        <v>1441.0</v>
      </c>
      <c r="B50" s="23" t="s">
        <v>25</v>
      </c>
      <c r="C50" s="29" t="s">
        <v>62</v>
      </c>
      <c r="D50" s="29" t="s">
        <v>76</v>
      </c>
      <c r="E50" s="29" t="s">
        <v>81</v>
      </c>
      <c r="F50" s="29" t="s">
        <v>81</v>
      </c>
      <c r="G50" s="26">
        <v>3238.0</v>
      </c>
      <c r="H50" s="26">
        <v>838.0</v>
      </c>
      <c r="I50" s="26">
        <v>426.0</v>
      </c>
      <c r="J50" s="26">
        <v>412.0</v>
      </c>
      <c r="K50" s="26">
        <v>1599.0</v>
      </c>
      <c r="L50" s="26">
        <v>894.0</v>
      </c>
      <c r="M50" s="26">
        <v>678.0</v>
      </c>
      <c r="N50" s="26">
        <v>21.0</v>
      </c>
      <c r="O50" s="26">
        <v>6.0</v>
      </c>
      <c r="P50" s="26">
        <f t="shared" si="3"/>
        <v>684</v>
      </c>
      <c r="Q50" s="26">
        <f t="shared" si="4"/>
        <v>915</v>
      </c>
      <c r="R50" s="26">
        <f t="shared" si="5"/>
        <v>1186</v>
      </c>
      <c r="S50" s="26">
        <f t="shared" si="6"/>
        <v>1214</v>
      </c>
      <c r="T50" s="26">
        <f t="shared" ref="T50:U50" si="97">(P50/R50)*100</f>
        <v>57.67284992</v>
      </c>
      <c r="U50" s="26">
        <f t="shared" si="97"/>
        <v>75.37067545</v>
      </c>
      <c r="V50" s="26">
        <v>801.0</v>
      </c>
      <c r="W50" s="26">
        <v>299.0</v>
      </c>
      <c r="X50" s="26">
        <v>502.0</v>
      </c>
      <c r="Y50" s="26">
        <v>0.0</v>
      </c>
      <c r="Z50" s="26">
        <v>4117.0</v>
      </c>
      <c r="AA50" s="26">
        <v>903.0</v>
      </c>
      <c r="AB50" s="26">
        <v>460.0</v>
      </c>
      <c r="AC50" s="26">
        <v>443.0</v>
      </c>
      <c r="AD50" s="26">
        <v>2476.0</v>
      </c>
      <c r="AE50" s="26">
        <v>1314.0</v>
      </c>
      <c r="AF50" s="26">
        <v>1087.0</v>
      </c>
      <c r="AG50" s="26">
        <v>45.0</v>
      </c>
      <c r="AH50" s="26">
        <v>30.0</v>
      </c>
      <c r="AI50" s="26">
        <f t="shared" si="8"/>
        <v>1117</v>
      </c>
      <c r="AJ50" s="26">
        <f t="shared" si="9"/>
        <v>1359</v>
      </c>
      <c r="AK50" s="26">
        <f t="shared" si="10"/>
        <v>1462</v>
      </c>
      <c r="AL50" s="26">
        <f t="shared" si="11"/>
        <v>1607</v>
      </c>
      <c r="AM50" s="26">
        <f t="shared" ref="AM50:AN50" si="98">(AI50/AK50)*100</f>
        <v>76.40218878</v>
      </c>
      <c r="AN50" s="26">
        <f t="shared" si="98"/>
        <v>84.56751711</v>
      </c>
      <c r="AO50" s="26">
        <v>593.0</v>
      </c>
      <c r="AP50" s="26">
        <v>248.0</v>
      </c>
      <c r="AQ50" s="26">
        <v>345.0</v>
      </c>
      <c r="AR50" s="26">
        <v>145.0</v>
      </c>
      <c r="AS50" s="27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>
      <c r="A51" s="22">
        <v>1465.0</v>
      </c>
      <c r="B51" s="23" t="s">
        <v>25</v>
      </c>
      <c r="C51" s="29" t="s">
        <v>62</v>
      </c>
      <c r="D51" s="29" t="s">
        <v>76</v>
      </c>
      <c r="E51" s="29" t="s">
        <v>82</v>
      </c>
      <c r="F51" s="29" t="s">
        <v>82</v>
      </c>
      <c r="G51" s="26">
        <v>5044.0</v>
      </c>
      <c r="H51" s="26">
        <v>1561.0</v>
      </c>
      <c r="I51" s="26">
        <v>748.0</v>
      </c>
      <c r="J51" s="26">
        <v>813.0</v>
      </c>
      <c r="K51" s="26">
        <v>2349.0</v>
      </c>
      <c r="L51" s="26">
        <v>1321.0</v>
      </c>
      <c r="M51" s="26">
        <v>985.0</v>
      </c>
      <c r="N51" s="26">
        <v>27.0</v>
      </c>
      <c r="O51" s="26">
        <v>16.0</v>
      </c>
      <c r="P51" s="26">
        <f t="shared" si="3"/>
        <v>1001</v>
      </c>
      <c r="Q51" s="26">
        <f t="shared" si="4"/>
        <v>1348</v>
      </c>
      <c r="R51" s="26">
        <f t="shared" si="5"/>
        <v>1642</v>
      </c>
      <c r="S51" s="26">
        <f t="shared" si="6"/>
        <v>1841</v>
      </c>
      <c r="T51" s="26">
        <f t="shared" ref="T51:U51" si="99">(P51/R51)*100</f>
        <v>60.96224117</v>
      </c>
      <c r="U51" s="26">
        <f t="shared" si="99"/>
        <v>73.2210755</v>
      </c>
      <c r="V51" s="26">
        <v>1134.0</v>
      </c>
      <c r="W51" s="26">
        <v>493.0</v>
      </c>
      <c r="X51" s="26">
        <v>641.0</v>
      </c>
      <c r="Y51" s="26">
        <v>0.0</v>
      </c>
      <c r="Z51" s="26">
        <v>6259.0</v>
      </c>
      <c r="AA51" s="26">
        <v>1259.0</v>
      </c>
      <c r="AB51" s="26">
        <v>663.0</v>
      </c>
      <c r="AC51" s="26">
        <v>596.0</v>
      </c>
      <c r="AD51" s="26">
        <v>4101.0</v>
      </c>
      <c r="AE51" s="26">
        <v>2349.0</v>
      </c>
      <c r="AF51" s="26">
        <v>1704.0</v>
      </c>
      <c r="AG51" s="26">
        <v>37.0</v>
      </c>
      <c r="AH51" s="26">
        <v>11.0</v>
      </c>
      <c r="AI51" s="26">
        <f t="shared" si="8"/>
        <v>1715</v>
      </c>
      <c r="AJ51" s="26">
        <f t="shared" si="9"/>
        <v>2386</v>
      </c>
      <c r="AK51" s="26">
        <f t="shared" si="10"/>
        <v>2102</v>
      </c>
      <c r="AL51" s="26">
        <f t="shared" si="11"/>
        <v>2691</v>
      </c>
      <c r="AM51" s="26">
        <f t="shared" ref="AM51:AN51" si="100">(AI51/AK51)*100</f>
        <v>81.58896289</v>
      </c>
      <c r="AN51" s="26">
        <f t="shared" si="100"/>
        <v>88.66592345</v>
      </c>
      <c r="AO51" s="26">
        <v>692.0</v>
      </c>
      <c r="AP51" s="26">
        <v>305.0</v>
      </c>
      <c r="AQ51" s="26">
        <v>387.0</v>
      </c>
      <c r="AR51" s="26">
        <v>207.0</v>
      </c>
      <c r="AS51" s="27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>
      <c r="A52" s="22">
        <v>1489.0</v>
      </c>
      <c r="B52" s="23" t="s">
        <v>25</v>
      </c>
      <c r="C52" s="29" t="s">
        <v>62</v>
      </c>
      <c r="D52" s="29" t="s">
        <v>76</v>
      </c>
      <c r="E52" s="29" t="s">
        <v>83</v>
      </c>
      <c r="F52" s="29" t="s">
        <v>83</v>
      </c>
      <c r="G52" s="26">
        <v>619.0</v>
      </c>
      <c r="H52" s="26">
        <v>150.0</v>
      </c>
      <c r="I52" s="26">
        <v>78.0</v>
      </c>
      <c r="J52" s="26">
        <v>72.0</v>
      </c>
      <c r="K52" s="26">
        <v>336.0</v>
      </c>
      <c r="L52" s="26">
        <v>203.0</v>
      </c>
      <c r="M52" s="26">
        <v>131.0</v>
      </c>
      <c r="N52" s="26">
        <v>2.0</v>
      </c>
      <c r="O52" s="26">
        <v>0.0</v>
      </c>
      <c r="P52" s="26">
        <f t="shared" si="3"/>
        <v>131</v>
      </c>
      <c r="Q52" s="26">
        <f t="shared" si="4"/>
        <v>205</v>
      </c>
      <c r="R52" s="26">
        <f t="shared" si="5"/>
        <v>213</v>
      </c>
      <c r="S52" s="26">
        <f t="shared" si="6"/>
        <v>256</v>
      </c>
      <c r="T52" s="26">
        <f t="shared" ref="T52:U52" si="101">(P52/R52)*100</f>
        <v>61.50234742</v>
      </c>
      <c r="U52" s="26">
        <f t="shared" si="101"/>
        <v>80.078125</v>
      </c>
      <c r="V52" s="26">
        <v>133.0</v>
      </c>
      <c r="W52" s="26">
        <v>51.0</v>
      </c>
      <c r="X52" s="26">
        <v>82.0</v>
      </c>
      <c r="Y52" s="26">
        <v>0.0</v>
      </c>
      <c r="Z52" s="26">
        <v>3935.0</v>
      </c>
      <c r="AA52" s="26">
        <v>1035.0</v>
      </c>
      <c r="AB52" s="26">
        <v>548.0</v>
      </c>
      <c r="AC52" s="26">
        <v>487.0</v>
      </c>
      <c r="AD52" s="26">
        <v>2389.0</v>
      </c>
      <c r="AE52" s="26">
        <v>1232.0</v>
      </c>
      <c r="AF52" s="26">
        <v>1134.0</v>
      </c>
      <c r="AG52" s="26">
        <v>15.0</v>
      </c>
      <c r="AH52" s="26">
        <v>8.0</v>
      </c>
      <c r="AI52" s="26">
        <f t="shared" si="8"/>
        <v>1142</v>
      </c>
      <c r="AJ52" s="26">
        <f t="shared" si="9"/>
        <v>1247</v>
      </c>
      <c r="AK52" s="26">
        <f t="shared" si="10"/>
        <v>1389</v>
      </c>
      <c r="AL52" s="26">
        <f t="shared" si="11"/>
        <v>1401</v>
      </c>
      <c r="AM52" s="26">
        <f t="shared" ref="AM52:AN52" si="102">(AI52/AK52)*100</f>
        <v>82.21742261</v>
      </c>
      <c r="AN52" s="26">
        <f t="shared" si="102"/>
        <v>89.00785153</v>
      </c>
      <c r="AO52" s="26">
        <v>401.0</v>
      </c>
      <c r="AP52" s="26">
        <v>154.0</v>
      </c>
      <c r="AQ52" s="26">
        <v>247.0</v>
      </c>
      <c r="AR52" s="26">
        <v>110.0</v>
      </c>
      <c r="AS52" s="27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>
      <c r="A53" s="22">
        <v>1513.0</v>
      </c>
      <c r="B53" s="23" t="s">
        <v>25</v>
      </c>
      <c r="C53" s="29" t="s">
        <v>62</v>
      </c>
      <c r="D53" s="29" t="s">
        <v>76</v>
      </c>
      <c r="E53" s="29" t="s">
        <v>84</v>
      </c>
      <c r="F53" s="29" t="s">
        <v>84</v>
      </c>
      <c r="G53" s="26">
        <v>7284.0</v>
      </c>
      <c r="H53" s="26">
        <v>1708.0</v>
      </c>
      <c r="I53" s="26">
        <v>887.0</v>
      </c>
      <c r="J53" s="26">
        <v>821.0</v>
      </c>
      <c r="K53" s="26">
        <v>4370.0</v>
      </c>
      <c r="L53" s="26">
        <v>2559.0</v>
      </c>
      <c r="M53" s="26">
        <v>1796.0</v>
      </c>
      <c r="N53" s="26">
        <v>13.0</v>
      </c>
      <c r="O53" s="26">
        <v>2.0</v>
      </c>
      <c r="P53" s="26">
        <f t="shared" si="3"/>
        <v>1798</v>
      </c>
      <c r="Q53" s="26">
        <f t="shared" si="4"/>
        <v>2572</v>
      </c>
      <c r="R53" s="26">
        <f t="shared" si="5"/>
        <v>2535</v>
      </c>
      <c r="S53" s="26">
        <f t="shared" si="6"/>
        <v>3041</v>
      </c>
      <c r="T53" s="26">
        <f t="shared" ref="T53:U53" si="103">(P53/R53)*100</f>
        <v>70.9270217</v>
      </c>
      <c r="U53" s="26">
        <f t="shared" si="103"/>
        <v>84.57744163</v>
      </c>
      <c r="V53" s="26">
        <v>1206.0</v>
      </c>
      <c r="W53" s="26">
        <v>469.0</v>
      </c>
      <c r="X53" s="26">
        <v>737.0</v>
      </c>
      <c r="Y53" s="26">
        <v>0.0</v>
      </c>
      <c r="Z53" s="26">
        <v>7858.0</v>
      </c>
      <c r="AA53" s="26">
        <v>1570.0</v>
      </c>
      <c r="AB53" s="26">
        <v>806.0</v>
      </c>
      <c r="AC53" s="26">
        <v>764.0</v>
      </c>
      <c r="AD53" s="26">
        <v>5304.0</v>
      </c>
      <c r="AE53" s="26">
        <v>2852.0</v>
      </c>
      <c r="AF53" s="26">
        <v>2412.0</v>
      </c>
      <c r="AG53" s="26">
        <v>31.0</v>
      </c>
      <c r="AH53" s="26">
        <v>9.0</v>
      </c>
      <c r="AI53" s="26">
        <f t="shared" si="8"/>
        <v>2421</v>
      </c>
      <c r="AJ53" s="26">
        <f t="shared" si="9"/>
        <v>2883</v>
      </c>
      <c r="AK53" s="26">
        <f t="shared" si="10"/>
        <v>2850</v>
      </c>
      <c r="AL53" s="26">
        <f t="shared" si="11"/>
        <v>3121</v>
      </c>
      <c r="AM53" s="26">
        <f t="shared" ref="AM53:AN53" si="104">(AI53/AK53)*100</f>
        <v>84.94736842</v>
      </c>
      <c r="AN53" s="26">
        <f t="shared" si="104"/>
        <v>92.37423903</v>
      </c>
      <c r="AO53" s="26">
        <v>667.0</v>
      </c>
      <c r="AP53" s="26">
        <v>238.0</v>
      </c>
      <c r="AQ53" s="26">
        <v>429.0</v>
      </c>
      <c r="AR53" s="26">
        <v>317.0</v>
      </c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>
      <c r="A54" s="22">
        <v>1561.0</v>
      </c>
      <c r="B54" s="23" t="s">
        <v>25</v>
      </c>
      <c r="C54" s="29" t="s">
        <v>62</v>
      </c>
      <c r="D54" s="29" t="s">
        <v>85</v>
      </c>
      <c r="E54" s="29" t="s">
        <v>86</v>
      </c>
      <c r="F54" s="29" t="s">
        <v>86</v>
      </c>
      <c r="G54" s="26">
        <v>11282.0</v>
      </c>
      <c r="H54" s="26">
        <v>2532.0</v>
      </c>
      <c r="I54" s="26">
        <v>1313.0</v>
      </c>
      <c r="J54" s="26">
        <v>1219.0</v>
      </c>
      <c r="K54" s="26">
        <v>7072.0</v>
      </c>
      <c r="L54" s="26">
        <v>3633.0</v>
      </c>
      <c r="M54" s="26">
        <v>3421.0</v>
      </c>
      <c r="N54" s="26">
        <v>13.0</v>
      </c>
      <c r="O54" s="26">
        <v>5.0</v>
      </c>
      <c r="P54" s="26">
        <f t="shared" si="3"/>
        <v>3426</v>
      </c>
      <c r="Q54" s="26">
        <f t="shared" si="4"/>
        <v>3646</v>
      </c>
      <c r="R54" s="26">
        <f t="shared" si="5"/>
        <v>4446</v>
      </c>
      <c r="S54" s="26">
        <f t="shared" si="6"/>
        <v>4304</v>
      </c>
      <c r="T54" s="26">
        <f t="shared" ref="T54:U54" si="105">(P54/R54)*100</f>
        <v>77.05802969</v>
      </c>
      <c r="U54" s="26">
        <f t="shared" si="105"/>
        <v>84.71189591</v>
      </c>
      <c r="V54" s="26">
        <v>1678.0</v>
      </c>
      <c r="W54" s="26">
        <v>658.0</v>
      </c>
      <c r="X54" s="26">
        <v>1020.0</v>
      </c>
      <c r="Y54" s="26">
        <v>0.0</v>
      </c>
      <c r="Z54" s="26">
        <v>13893.0</v>
      </c>
      <c r="AA54" s="26">
        <v>2664.0</v>
      </c>
      <c r="AB54" s="26">
        <v>1403.0</v>
      </c>
      <c r="AC54" s="26">
        <v>1261.0</v>
      </c>
      <c r="AD54" s="26">
        <v>9281.0</v>
      </c>
      <c r="AE54" s="26">
        <v>4781.0</v>
      </c>
      <c r="AF54" s="26">
        <v>4376.0</v>
      </c>
      <c r="AG54" s="26">
        <v>80.0</v>
      </c>
      <c r="AH54" s="26">
        <v>44.0</v>
      </c>
      <c r="AI54" s="26">
        <f t="shared" si="8"/>
        <v>4420</v>
      </c>
      <c r="AJ54" s="26">
        <f t="shared" si="9"/>
        <v>4861</v>
      </c>
      <c r="AK54" s="26">
        <f t="shared" si="10"/>
        <v>5435</v>
      </c>
      <c r="AL54" s="26">
        <f t="shared" si="11"/>
        <v>5598</v>
      </c>
      <c r="AM54" s="26">
        <f t="shared" ref="AM54:AN54" si="106">(AI54/AK54)*100</f>
        <v>81.32474701</v>
      </c>
      <c r="AN54" s="26">
        <f t="shared" si="106"/>
        <v>86.83458378</v>
      </c>
      <c r="AO54" s="26">
        <v>1752.0</v>
      </c>
      <c r="AP54" s="26">
        <v>737.0</v>
      </c>
      <c r="AQ54" s="26">
        <v>1015.0</v>
      </c>
      <c r="AR54" s="26">
        <v>196.0</v>
      </c>
      <c r="AS54" s="27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>
      <c r="A55" s="22">
        <v>1585.0</v>
      </c>
      <c r="B55" s="23" t="s">
        <v>25</v>
      </c>
      <c r="C55" s="29" t="s">
        <v>62</v>
      </c>
      <c r="D55" s="29" t="s">
        <v>85</v>
      </c>
      <c r="E55" s="29" t="s">
        <v>87</v>
      </c>
      <c r="F55" s="29" t="s">
        <v>87</v>
      </c>
      <c r="G55" s="26">
        <v>15663.0</v>
      </c>
      <c r="H55" s="26">
        <v>3941.0</v>
      </c>
      <c r="I55" s="26">
        <v>2016.0</v>
      </c>
      <c r="J55" s="26">
        <v>1925.0</v>
      </c>
      <c r="K55" s="26">
        <v>9430.0</v>
      </c>
      <c r="L55" s="26">
        <v>5109.0</v>
      </c>
      <c r="M55" s="26">
        <v>4288.0</v>
      </c>
      <c r="N55" s="26">
        <v>25.0</v>
      </c>
      <c r="O55" s="26">
        <v>8.0</v>
      </c>
      <c r="P55" s="26">
        <f t="shared" si="3"/>
        <v>4296</v>
      </c>
      <c r="Q55" s="26">
        <f t="shared" si="4"/>
        <v>5134</v>
      </c>
      <c r="R55" s="26">
        <f t="shared" si="5"/>
        <v>5562</v>
      </c>
      <c r="S55" s="26">
        <f t="shared" si="6"/>
        <v>6160</v>
      </c>
      <c r="T55" s="26">
        <f t="shared" ref="T55:U55" si="107">(P55/R55)*100</f>
        <v>77.23840345</v>
      </c>
      <c r="U55" s="26">
        <f t="shared" si="107"/>
        <v>83.34415584</v>
      </c>
      <c r="V55" s="26">
        <v>2292.0</v>
      </c>
      <c r="W55" s="26">
        <v>1026.0</v>
      </c>
      <c r="X55" s="26">
        <v>1266.0</v>
      </c>
      <c r="Y55" s="26">
        <v>0.0</v>
      </c>
      <c r="Z55" s="26">
        <v>17468.0</v>
      </c>
      <c r="AA55" s="26">
        <v>3677.0</v>
      </c>
      <c r="AB55" s="26">
        <v>1852.0</v>
      </c>
      <c r="AC55" s="26">
        <v>1825.0</v>
      </c>
      <c r="AD55" s="26">
        <v>11495.0</v>
      </c>
      <c r="AE55" s="26">
        <v>6209.0</v>
      </c>
      <c r="AF55" s="26">
        <v>5145.0</v>
      </c>
      <c r="AG55" s="26">
        <v>84.0</v>
      </c>
      <c r="AH55" s="26">
        <v>57.0</v>
      </c>
      <c r="AI55" s="26">
        <f t="shared" si="8"/>
        <v>5202</v>
      </c>
      <c r="AJ55" s="26">
        <f t="shared" si="9"/>
        <v>6293</v>
      </c>
      <c r="AK55" s="26">
        <f t="shared" si="10"/>
        <v>6228</v>
      </c>
      <c r="AL55" s="26">
        <f t="shared" si="11"/>
        <v>7022</v>
      </c>
      <c r="AM55" s="26">
        <f t="shared" ref="AM55:AN55" si="108">(AI55/AK55)*100</f>
        <v>83.52601156</v>
      </c>
      <c r="AN55" s="26">
        <f t="shared" si="108"/>
        <v>89.61834235</v>
      </c>
      <c r="AO55" s="26">
        <v>1755.0</v>
      </c>
      <c r="AP55" s="26">
        <v>729.0</v>
      </c>
      <c r="AQ55" s="26">
        <v>1026.0</v>
      </c>
      <c r="AR55" s="26">
        <v>541.0</v>
      </c>
      <c r="AS55" s="27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>
      <c r="A56" s="22">
        <v>1609.0</v>
      </c>
      <c r="B56" s="23" t="s">
        <v>25</v>
      </c>
      <c r="C56" s="29" t="s">
        <v>62</v>
      </c>
      <c r="D56" s="29" t="s">
        <v>85</v>
      </c>
      <c r="E56" s="29" t="s">
        <v>88</v>
      </c>
      <c r="F56" s="29" t="s">
        <v>88</v>
      </c>
      <c r="G56" s="26">
        <v>14585.0</v>
      </c>
      <c r="H56" s="26">
        <v>3498.0</v>
      </c>
      <c r="I56" s="26">
        <v>1772.0</v>
      </c>
      <c r="J56" s="26">
        <v>1726.0</v>
      </c>
      <c r="K56" s="26">
        <v>8501.0</v>
      </c>
      <c r="L56" s="26">
        <v>4670.0</v>
      </c>
      <c r="M56" s="26">
        <v>3799.0</v>
      </c>
      <c r="N56" s="26">
        <v>27.0</v>
      </c>
      <c r="O56" s="26">
        <v>5.0</v>
      </c>
      <c r="P56" s="26">
        <f t="shared" si="3"/>
        <v>3804</v>
      </c>
      <c r="Q56" s="26">
        <f t="shared" si="4"/>
        <v>4697</v>
      </c>
      <c r="R56" s="26">
        <f t="shared" si="5"/>
        <v>5283</v>
      </c>
      <c r="S56" s="26">
        <f t="shared" si="6"/>
        <v>5804</v>
      </c>
      <c r="T56" s="26">
        <f t="shared" ref="T56:U56" si="109">(P56/R56)*100</f>
        <v>72.00454287</v>
      </c>
      <c r="U56" s="26">
        <f t="shared" si="109"/>
        <v>80.92694693</v>
      </c>
      <c r="V56" s="26">
        <v>2586.0</v>
      </c>
      <c r="W56" s="26">
        <v>1107.0</v>
      </c>
      <c r="X56" s="26">
        <v>1479.0</v>
      </c>
      <c r="Y56" s="26">
        <v>0.0</v>
      </c>
      <c r="Z56" s="26">
        <v>17140.0</v>
      </c>
      <c r="AA56" s="26">
        <v>3671.0</v>
      </c>
      <c r="AB56" s="26">
        <v>1949.0</v>
      </c>
      <c r="AC56" s="26">
        <v>1722.0</v>
      </c>
      <c r="AD56" s="26">
        <v>10830.0</v>
      </c>
      <c r="AE56" s="26">
        <v>5751.0</v>
      </c>
      <c r="AF56" s="26">
        <v>4946.0</v>
      </c>
      <c r="AG56" s="26">
        <v>84.0</v>
      </c>
      <c r="AH56" s="26">
        <v>49.0</v>
      </c>
      <c r="AI56" s="26">
        <f t="shared" si="8"/>
        <v>4995</v>
      </c>
      <c r="AJ56" s="26">
        <f t="shared" si="9"/>
        <v>5835</v>
      </c>
      <c r="AK56" s="26">
        <f t="shared" si="10"/>
        <v>6283</v>
      </c>
      <c r="AL56" s="26">
        <f t="shared" si="11"/>
        <v>6714</v>
      </c>
      <c r="AM56" s="26">
        <f t="shared" ref="AM56:AN56" si="110">(AI56/AK56)*100</f>
        <v>79.50023874</v>
      </c>
      <c r="AN56" s="26">
        <f t="shared" si="110"/>
        <v>86.90795353</v>
      </c>
      <c r="AO56" s="26">
        <v>2167.0</v>
      </c>
      <c r="AP56" s="26">
        <v>879.0</v>
      </c>
      <c r="AQ56" s="26">
        <v>1288.0</v>
      </c>
      <c r="AR56" s="26">
        <v>472.0</v>
      </c>
      <c r="AS56" s="27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>
      <c r="A57" s="22">
        <v>1633.0</v>
      </c>
      <c r="B57" s="23" t="s">
        <v>25</v>
      </c>
      <c r="C57" s="29" t="s">
        <v>62</v>
      </c>
      <c r="D57" s="29" t="s">
        <v>85</v>
      </c>
      <c r="E57" s="29" t="s">
        <v>89</v>
      </c>
      <c r="F57" s="29" t="s">
        <v>89</v>
      </c>
      <c r="G57" s="26">
        <v>5338.0</v>
      </c>
      <c r="H57" s="26">
        <v>1352.0</v>
      </c>
      <c r="I57" s="26">
        <v>717.0</v>
      </c>
      <c r="J57" s="26">
        <v>635.0</v>
      </c>
      <c r="K57" s="26">
        <v>3164.0</v>
      </c>
      <c r="L57" s="26">
        <v>1611.0</v>
      </c>
      <c r="M57" s="26">
        <v>1532.0</v>
      </c>
      <c r="N57" s="26">
        <v>18.0</v>
      </c>
      <c r="O57" s="26">
        <v>3.0</v>
      </c>
      <c r="P57" s="26">
        <f t="shared" si="3"/>
        <v>1535</v>
      </c>
      <c r="Q57" s="26">
        <f t="shared" si="4"/>
        <v>1629</v>
      </c>
      <c r="R57" s="26">
        <f t="shared" si="5"/>
        <v>1996</v>
      </c>
      <c r="S57" s="26">
        <f t="shared" si="6"/>
        <v>1990</v>
      </c>
      <c r="T57" s="26">
        <f t="shared" ref="T57:U57" si="111">(P57/R57)*100</f>
        <v>76.90380762</v>
      </c>
      <c r="U57" s="26">
        <f t="shared" si="111"/>
        <v>81.85929648</v>
      </c>
      <c r="V57" s="26">
        <v>822.0</v>
      </c>
      <c r="W57" s="26">
        <v>361.0</v>
      </c>
      <c r="X57" s="26">
        <v>461.0</v>
      </c>
      <c r="Y57" s="26">
        <v>0.0</v>
      </c>
      <c r="Z57" s="26">
        <v>5616.0</v>
      </c>
      <c r="AA57" s="26">
        <v>1246.0</v>
      </c>
      <c r="AB57" s="26">
        <v>632.0</v>
      </c>
      <c r="AC57" s="26">
        <v>614.0</v>
      </c>
      <c r="AD57" s="26">
        <v>3949.0</v>
      </c>
      <c r="AE57" s="26">
        <v>2063.0</v>
      </c>
      <c r="AF57" s="26">
        <v>1848.0</v>
      </c>
      <c r="AG57" s="26">
        <v>23.0</v>
      </c>
      <c r="AH57" s="26">
        <v>15.0</v>
      </c>
      <c r="AI57" s="26">
        <f t="shared" si="8"/>
        <v>1863</v>
      </c>
      <c r="AJ57" s="26">
        <f t="shared" si="9"/>
        <v>2086</v>
      </c>
      <c r="AK57" s="26">
        <f t="shared" si="10"/>
        <v>2077</v>
      </c>
      <c r="AL57" s="26">
        <f t="shared" si="11"/>
        <v>2249</v>
      </c>
      <c r="AM57" s="26">
        <f t="shared" ref="AM57:AN57" si="112">(AI57/AK57)*100</f>
        <v>89.6966779</v>
      </c>
      <c r="AN57" s="26">
        <f t="shared" si="112"/>
        <v>92.75233437</v>
      </c>
      <c r="AO57" s="26">
        <v>377.0</v>
      </c>
      <c r="AP57" s="26">
        <v>163.0</v>
      </c>
      <c r="AQ57" s="26">
        <v>214.0</v>
      </c>
      <c r="AR57" s="26">
        <v>44.0</v>
      </c>
      <c r="AS57" s="27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>
      <c r="A58" s="22">
        <v>1657.0</v>
      </c>
      <c r="B58" s="23" t="s">
        <v>25</v>
      </c>
      <c r="C58" s="29" t="s">
        <v>62</v>
      </c>
      <c r="D58" s="29" t="s">
        <v>85</v>
      </c>
      <c r="E58" s="29" t="s">
        <v>90</v>
      </c>
      <c r="F58" s="29" t="s">
        <v>90</v>
      </c>
      <c r="G58" s="26">
        <v>7184.0</v>
      </c>
      <c r="H58" s="26">
        <v>1466.0</v>
      </c>
      <c r="I58" s="26">
        <v>743.0</v>
      </c>
      <c r="J58" s="26">
        <v>723.0</v>
      </c>
      <c r="K58" s="26">
        <v>4357.0</v>
      </c>
      <c r="L58" s="26">
        <v>2232.0</v>
      </c>
      <c r="M58" s="26">
        <v>2095.0</v>
      </c>
      <c r="N58" s="26">
        <v>17.0</v>
      </c>
      <c r="O58" s="26">
        <v>13.0</v>
      </c>
      <c r="P58" s="26">
        <f t="shared" si="3"/>
        <v>2108</v>
      </c>
      <c r="Q58" s="26">
        <f t="shared" si="4"/>
        <v>2249</v>
      </c>
      <c r="R58" s="26">
        <f t="shared" si="5"/>
        <v>2913</v>
      </c>
      <c r="S58" s="26">
        <f t="shared" si="6"/>
        <v>2805</v>
      </c>
      <c r="T58" s="26">
        <f t="shared" ref="T58:U58" si="113">(P58/R58)*100</f>
        <v>72.36525918</v>
      </c>
      <c r="U58" s="26">
        <f t="shared" si="113"/>
        <v>80.17825312</v>
      </c>
      <c r="V58" s="26">
        <v>1361.0</v>
      </c>
      <c r="W58" s="26">
        <v>556.0</v>
      </c>
      <c r="X58" s="26">
        <v>805.0</v>
      </c>
      <c r="Y58" s="26">
        <v>0.0</v>
      </c>
      <c r="Z58" s="26">
        <v>8761.0</v>
      </c>
      <c r="AA58" s="26">
        <v>1601.0</v>
      </c>
      <c r="AB58" s="26">
        <v>816.0</v>
      </c>
      <c r="AC58" s="26">
        <v>785.0</v>
      </c>
      <c r="AD58" s="26">
        <v>5703.0</v>
      </c>
      <c r="AE58" s="26">
        <v>2936.0</v>
      </c>
      <c r="AF58" s="26">
        <v>2712.0</v>
      </c>
      <c r="AG58" s="26">
        <v>32.0</v>
      </c>
      <c r="AH58" s="26">
        <v>23.0</v>
      </c>
      <c r="AI58" s="26">
        <f t="shared" si="8"/>
        <v>2735</v>
      </c>
      <c r="AJ58" s="26">
        <f t="shared" si="9"/>
        <v>2968</v>
      </c>
      <c r="AK58" s="26">
        <f t="shared" si="10"/>
        <v>3394</v>
      </c>
      <c r="AL58" s="26">
        <f t="shared" si="11"/>
        <v>3433</v>
      </c>
      <c r="AM58" s="26">
        <f t="shared" ref="AM58:AN58" si="114">(AI58/AK58)*100</f>
        <v>80.58338244</v>
      </c>
      <c r="AN58" s="26">
        <f t="shared" si="114"/>
        <v>86.45499563</v>
      </c>
      <c r="AO58" s="26">
        <v>1124.0</v>
      </c>
      <c r="AP58" s="26">
        <v>465.0</v>
      </c>
      <c r="AQ58" s="26">
        <v>659.0</v>
      </c>
      <c r="AR58" s="26">
        <v>333.0</v>
      </c>
      <c r="AS58" s="27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>
      <c r="A59" s="22">
        <v>1705.0</v>
      </c>
      <c r="B59" s="23" t="s">
        <v>25</v>
      </c>
      <c r="C59" s="29" t="s">
        <v>62</v>
      </c>
      <c r="D59" s="29" t="s">
        <v>91</v>
      </c>
      <c r="E59" s="29" t="s">
        <v>92</v>
      </c>
      <c r="F59" s="29" t="s">
        <v>92</v>
      </c>
      <c r="G59" s="26">
        <v>11463.0</v>
      </c>
      <c r="H59" s="26">
        <v>2986.0</v>
      </c>
      <c r="I59" s="26">
        <v>1554.0</v>
      </c>
      <c r="J59" s="26">
        <v>1432.0</v>
      </c>
      <c r="K59" s="26">
        <v>6696.0</v>
      </c>
      <c r="L59" s="26">
        <v>3668.0</v>
      </c>
      <c r="M59" s="26">
        <v>3012.0</v>
      </c>
      <c r="N59" s="26">
        <v>11.0</v>
      </c>
      <c r="O59" s="26">
        <v>5.0</v>
      </c>
      <c r="P59" s="26">
        <f t="shared" si="3"/>
        <v>3017</v>
      </c>
      <c r="Q59" s="26">
        <f t="shared" si="4"/>
        <v>3679</v>
      </c>
      <c r="R59" s="26">
        <f t="shared" si="5"/>
        <v>4085</v>
      </c>
      <c r="S59" s="26">
        <f t="shared" si="6"/>
        <v>4392</v>
      </c>
      <c r="T59" s="26">
        <f t="shared" ref="T59:U59" si="115">(P59/R59)*100</f>
        <v>73.85556916</v>
      </c>
      <c r="U59" s="26">
        <f t="shared" si="115"/>
        <v>83.76593807</v>
      </c>
      <c r="V59" s="26">
        <v>1781.0</v>
      </c>
      <c r="W59" s="26">
        <v>713.0</v>
      </c>
      <c r="X59" s="26">
        <v>1068.0</v>
      </c>
      <c r="Y59" s="26">
        <v>0.0</v>
      </c>
      <c r="Z59" s="26">
        <v>17534.0</v>
      </c>
      <c r="AA59" s="26">
        <v>4292.0</v>
      </c>
      <c r="AB59" s="26">
        <v>2197.0</v>
      </c>
      <c r="AC59" s="26">
        <v>2095.0</v>
      </c>
      <c r="AD59" s="26">
        <v>11021.0</v>
      </c>
      <c r="AE59" s="26">
        <v>5809.0</v>
      </c>
      <c r="AF59" s="26">
        <v>5027.0</v>
      </c>
      <c r="AG59" s="26">
        <v>131.0</v>
      </c>
      <c r="AH59" s="26">
        <v>54.0</v>
      </c>
      <c r="AI59" s="26">
        <f t="shared" si="8"/>
        <v>5081</v>
      </c>
      <c r="AJ59" s="26">
        <f t="shared" si="9"/>
        <v>5940</v>
      </c>
      <c r="AK59" s="26">
        <f t="shared" si="10"/>
        <v>6164</v>
      </c>
      <c r="AL59" s="26">
        <f t="shared" si="11"/>
        <v>6773</v>
      </c>
      <c r="AM59" s="26">
        <f t="shared" ref="AM59:AN59" si="116">(AI59/AK59)*100</f>
        <v>82.4302401</v>
      </c>
      <c r="AN59" s="26">
        <f t="shared" si="116"/>
        <v>87.7011664</v>
      </c>
      <c r="AO59" s="26">
        <v>1916.0</v>
      </c>
      <c r="AP59" s="26">
        <v>833.0</v>
      </c>
      <c r="AQ59" s="26">
        <v>1083.0</v>
      </c>
      <c r="AR59" s="26">
        <v>305.0</v>
      </c>
      <c r="AS59" s="27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>
      <c r="A60" s="22">
        <v>1729.0</v>
      </c>
      <c r="B60" s="23" t="s">
        <v>25</v>
      </c>
      <c r="C60" s="29" t="s">
        <v>62</v>
      </c>
      <c r="D60" s="29" t="s">
        <v>91</v>
      </c>
      <c r="E60" s="29" t="s">
        <v>93</v>
      </c>
      <c r="F60" s="29" t="s">
        <v>93</v>
      </c>
      <c r="G60" s="26">
        <v>8407.0</v>
      </c>
      <c r="H60" s="26">
        <v>2533.0</v>
      </c>
      <c r="I60" s="26">
        <v>1284.0</v>
      </c>
      <c r="J60" s="26">
        <v>1249.0</v>
      </c>
      <c r="K60" s="26">
        <v>4668.0</v>
      </c>
      <c r="L60" s="26">
        <v>2595.0</v>
      </c>
      <c r="M60" s="26">
        <v>2064.0</v>
      </c>
      <c r="N60" s="26">
        <v>5.0</v>
      </c>
      <c r="O60" s="26">
        <v>4.0</v>
      </c>
      <c r="P60" s="26">
        <f t="shared" si="3"/>
        <v>2068</v>
      </c>
      <c r="Q60" s="26">
        <f t="shared" si="4"/>
        <v>2600</v>
      </c>
      <c r="R60" s="26">
        <f t="shared" si="5"/>
        <v>2776</v>
      </c>
      <c r="S60" s="26">
        <f t="shared" si="6"/>
        <v>3098</v>
      </c>
      <c r="T60" s="26">
        <f t="shared" ref="T60:U60" si="117">(P60/R60)*100</f>
        <v>74.49567723</v>
      </c>
      <c r="U60" s="26">
        <f t="shared" si="117"/>
        <v>83.92511298</v>
      </c>
      <c r="V60" s="26">
        <v>1206.0</v>
      </c>
      <c r="W60" s="26">
        <v>498.0</v>
      </c>
      <c r="X60" s="26">
        <v>708.0</v>
      </c>
      <c r="Y60" s="26">
        <v>0.0</v>
      </c>
      <c r="Z60" s="26">
        <v>8862.0</v>
      </c>
      <c r="AA60" s="26">
        <v>2242.0</v>
      </c>
      <c r="AB60" s="26">
        <v>1206.0</v>
      </c>
      <c r="AC60" s="26">
        <v>1036.0</v>
      </c>
      <c r="AD60" s="26">
        <v>5349.0</v>
      </c>
      <c r="AE60" s="26">
        <v>2864.0</v>
      </c>
      <c r="AF60" s="26">
        <v>2375.0</v>
      </c>
      <c r="AG60" s="26">
        <v>66.0</v>
      </c>
      <c r="AH60" s="26">
        <v>44.0</v>
      </c>
      <c r="AI60" s="26">
        <f t="shared" si="8"/>
        <v>2419</v>
      </c>
      <c r="AJ60" s="26">
        <f t="shared" si="9"/>
        <v>2930</v>
      </c>
      <c r="AK60" s="26">
        <f t="shared" si="10"/>
        <v>3009</v>
      </c>
      <c r="AL60" s="26">
        <f t="shared" si="11"/>
        <v>3364</v>
      </c>
      <c r="AM60" s="26">
        <f t="shared" ref="AM60:AN60" si="118">(AI60/AK60)*100</f>
        <v>80.39215686</v>
      </c>
      <c r="AN60" s="26">
        <f t="shared" si="118"/>
        <v>87.09869203</v>
      </c>
      <c r="AO60" s="26">
        <v>1024.0</v>
      </c>
      <c r="AP60" s="26">
        <v>434.0</v>
      </c>
      <c r="AQ60" s="26">
        <v>590.0</v>
      </c>
      <c r="AR60" s="26">
        <v>247.0</v>
      </c>
      <c r="AS60" s="27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>
      <c r="A61" s="22">
        <v>1753.0</v>
      </c>
      <c r="B61" s="23" t="s">
        <v>25</v>
      </c>
      <c r="C61" s="29" t="s">
        <v>62</v>
      </c>
      <c r="D61" s="29" t="s">
        <v>91</v>
      </c>
      <c r="E61" s="29" t="s">
        <v>94</v>
      </c>
      <c r="F61" s="29" t="s">
        <v>94</v>
      </c>
      <c r="G61" s="26">
        <v>5492.0</v>
      </c>
      <c r="H61" s="26">
        <v>1651.0</v>
      </c>
      <c r="I61" s="26">
        <v>824.0</v>
      </c>
      <c r="J61" s="26">
        <v>827.0</v>
      </c>
      <c r="K61" s="26">
        <v>2742.0</v>
      </c>
      <c r="L61" s="26">
        <v>1661.0</v>
      </c>
      <c r="M61" s="26">
        <v>1067.0</v>
      </c>
      <c r="N61" s="26">
        <v>9.0</v>
      </c>
      <c r="O61" s="26">
        <v>5.0</v>
      </c>
      <c r="P61" s="26">
        <f t="shared" si="3"/>
        <v>1072</v>
      </c>
      <c r="Q61" s="26">
        <f t="shared" si="4"/>
        <v>1670</v>
      </c>
      <c r="R61" s="26">
        <f t="shared" si="5"/>
        <v>1726</v>
      </c>
      <c r="S61" s="26">
        <f t="shared" si="6"/>
        <v>2115</v>
      </c>
      <c r="T61" s="26">
        <f t="shared" ref="T61:U61" si="119">(P61/R61)*100</f>
        <v>62.10892236</v>
      </c>
      <c r="U61" s="26">
        <f t="shared" si="119"/>
        <v>78.95981087</v>
      </c>
      <c r="V61" s="26">
        <v>1099.0</v>
      </c>
      <c r="W61" s="26">
        <v>445.0</v>
      </c>
      <c r="X61" s="26">
        <v>654.0</v>
      </c>
      <c r="Y61" s="26">
        <v>0.0</v>
      </c>
      <c r="Z61" s="26">
        <v>6643.0</v>
      </c>
      <c r="AA61" s="26">
        <v>1707.0</v>
      </c>
      <c r="AB61" s="26">
        <v>879.0</v>
      </c>
      <c r="AC61" s="26">
        <v>828.0</v>
      </c>
      <c r="AD61" s="26">
        <v>3944.0</v>
      </c>
      <c r="AE61" s="26">
        <v>2298.0</v>
      </c>
      <c r="AF61" s="26">
        <v>1597.0</v>
      </c>
      <c r="AG61" s="26">
        <v>35.0</v>
      </c>
      <c r="AH61" s="26">
        <v>14.0</v>
      </c>
      <c r="AI61" s="26">
        <f t="shared" si="8"/>
        <v>1611</v>
      </c>
      <c r="AJ61" s="26">
        <f t="shared" si="9"/>
        <v>2333</v>
      </c>
      <c r="AK61" s="26">
        <f t="shared" si="10"/>
        <v>2071</v>
      </c>
      <c r="AL61" s="26">
        <f t="shared" si="11"/>
        <v>2618</v>
      </c>
      <c r="AM61" s="26">
        <f t="shared" ref="AM61:AN61" si="120">(AI61/AK61)*100</f>
        <v>77.78850797</v>
      </c>
      <c r="AN61" s="26">
        <f t="shared" si="120"/>
        <v>89.11382735</v>
      </c>
      <c r="AO61" s="26">
        <v>745.0</v>
      </c>
      <c r="AP61" s="26">
        <v>285.0</v>
      </c>
      <c r="AQ61" s="26">
        <v>460.0</v>
      </c>
      <c r="AR61" s="26">
        <v>247.0</v>
      </c>
      <c r="AS61" s="27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>
      <c r="A62" s="22">
        <v>1801.0</v>
      </c>
      <c r="B62" s="23" t="s">
        <v>25</v>
      </c>
      <c r="C62" s="29" t="s">
        <v>62</v>
      </c>
      <c r="D62" s="29" t="s">
        <v>95</v>
      </c>
      <c r="E62" s="29" t="s">
        <v>96</v>
      </c>
      <c r="F62" s="29" t="s">
        <v>96</v>
      </c>
      <c r="G62" s="26">
        <v>23494.0</v>
      </c>
      <c r="H62" s="26">
        <v>6279.0</v>
      </c>
      <c r="I62" s="26">
        <v>3180.0</v>
      </c>
      <c r="J62" s="26">
        <v>3099.0</v>
      </c>
      <c r="K62" s="26">
        <v>12813.0</v>
      </c>
      <c r="L62" s="26">
        <v>7444.0</v>
      </c>
      <c r="M62" s="26">
        <v>5304.0</v>
      </c>
      <c r="N62" s="26">
        <v>45.0</v>
      </c>
      <c r="O62" s="26">
        <v>20.0</v>
      </c>
      <c r="P62" s="26">
        <f t="shared" si="3"/>
        <v>5324</v>
      </c>
      <c r="Q62" s="26">
        <f t="shared" si="4"/>
        <v>7489</v>
      </c>
      <c r="R62" s="26">
        <f t="shared" si="5"/>
        <v>8248</v>
      </c>
      <c r="S62" s="26">
        <f t="shared" si="6"/>
        <v>8967</v>
      </c>
      <c r="T62" s="26">
        <f t="shared" ref="T62:U62" si="121">(P62/R62)*100</f>
        <v>64.54898157</v>
      </c>
      <c r="U62" s="26">
        <f t="shared" si="121"/>
        <v>83.51734136</v>
      </c>
      <c r="V62" s="26">
        <v>4402.0</v>
      </c>
      <c r="W62" s="26">
        <v>1478.0</v>
      </c>
      <c r="X62" s="26">
        <v>2924.0</v>
      </c>
      <c r="Y62" s="26">
        <v>0.0</v>
      </c>
      <c r="Z62" s="26">
        <v>29735.0</v>
      </c>
      <c r="AA62" s="26">
        <v>7588.0</v>
      </c>
      <c r="AB62" s="26">
        <v>3950.0</v>
      </c>
      <c r="AC62" s="26">
        <v>3638.0</v>
      </c>
      <c r="AD62" s="26">
        <v>17097.0</v>
      </c>
      <c r="AE62" s="26">
        <v>9126.0</v>
      </c>
      <c r="AF62" s="26">
        <v>7685.0</v>
      </c>
      <c r="AG62" s="26">
        <v>199.0</v>
      </c>
      <c r="AH62" s="26">
        <v>87.0</v>
      </c>
      <c r="AI62" s="26">
        <f t="shared" si="8"/>
        <v>7772</v>
      </c>
      <c r="AJ62" s="26">
        <f t="shared" si="9"/>
        <v>9325</v>
      </c>
      <c r="AK62" s="26">
        <f t="shared" si="10"/>
        <v>10508</v>
      </c>
      <c r="AL62" s="26">
        <f t="shared" si="11"/>
        <v>10736</v>
      </c>
      <c r="AM62" s="26">
        <f t="shared" ref="AM62:AN62" si="122">(AI62/AK62)*100</f>
        <v>73.96269509</v>
      </c>
      <c r="AN62" s="26">
        <f t="shared" si="122"/>
        <v>86.85730253</v>
      </c>
      <c r="AO62" s="26">
        <v>4147.0</v>
      </c>
      <c r="AP62" s="26">
        <v>1411.0</v>
      </c>
      <c r="AQ62" s="26">
        <v>2736.0</v>
      </c>
      <c r="AR62" s="26">
        <v>903.0</v>
      </c>
      <c r="AS62" s="27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>
      <c r="A63" s="22">
        <v>1825.0</v>
      </c>
      <c r="B63" s="23" t="s">
        <v>25</v>
      </c>
      <c r="C63" s="29" t="s">
        <v>62</v>
      </c>
      <c r="D63" s="29" t="s">
        <v>95</v>
      </c>
      <c r="E63" s="29" t="s">
        <v>97</v>
      </c>
      <c r="F63" s="29" t="s">
        <v>97</v>
      </c>
      <c r="G63" s="26">
        <v>14773.0</v>
      </c>
      <c r="H63" s="26">
        <v>4289.0</v>
      </c>
      <c r="I63" s="26">
        <v>2145.0</v>
      </c>
      <c r="J63" s="26">
        <v>2144.0</v>
      </c>
      <c r="K63" s="26">
        <v>7605.0</v>
      </c>
      <c r="L63" s="26">
        <v>4872.0</v>
      </c>
      <c r="M63" s="26">
        <v>2685.0</v>
      </c>
      <c r="N63" s="26">
        <v>36.0</v>
      </c>
      <c r="O63" s="26">
        <v>12.0</v>
      </c>
      <c r="P63" s="26">
        <f t="shared" si="3"/>
        <v>2697</v>
      </c>
      <c r="Q63" s="26">
        <f t="shared" si="4"/>
        <v>4908</v>
      </c>
      <c r="R63" s="26">
        <f t="shared" si="5"/>
        <v>4566</v>
      </c>
      <c r="S63" s="26">
        <f t="shared" si="6"/>
        <v>5918</v>
      </c>
      <c r="T63" s="26">
        <f t="shared" ref="T63:U63" si="123">(P63/R63)*100</f>
        <v>59.06701708</v>
      </c>
      <c r="U63" s="26">
        <f t="shared" si="123"/>
        <v>82.93342345</v>
      </c>
      <c r="V63" s="26">
        <v>2879.0</v>
      </c>
      <c r="W63" s="26">
        <v>1010.0</v>
      </c>
      <c r="X63" s="26">
        <v>1869.0</v>
      </c>
      <c r="Y63" s="26">
        <v>0.0</v>
      </c>
      <c r="Z63" s="26">
        <v>16231.0</v>
      </c>
      <c r="AA63" s="26">
        <v>4206.0</v>
      </c>
      <c r="AB63" s="26">
        <v>2107.0</v>
      </c>
      <c r="AC63" s="26">
        <v>2099.0</v>
      </c>
      <c r="AD63" s="26">
        <v>9192.0</v>
      </c>
      <c r="AE63" s="26">
        <v>5466.0</v>
      </c>
      <c r="AF63" s="26">
        <v>3520.0</v>
      </c>
      <c r="AG63" s="26">
        <v>138.0</v>
      </c>
      <c r="AH63" s="26">
        <v>68.0</v>
      </c>
      <c r="AI63" s="26">
        <f t="shared" si="8"/>
        <v>3588</v>
      </c>
      <c r="AJ63" s="26">
        <f t="shared" si="9"/>
        <v>5604</v>
      </c>
      <c r="AK63" s="26">
        <f t="shared" si="10"/>
        <v>5199</v>
      </c>
      <c r="AL63" s="26">
        <f t="shared" si="11"/>
        <v>6359</v>
      </c>
      <c r="AM63" s="26">
        <f t="shared" ref="AM63:AN63" si="124">(AI63/AK63)*100</f>
        <v>69.01327178</v>
      </c>
      <c r="AN63" s="26">
        <f t="shared" si="124"/>
        <v>88.127064</v>
      </c>
      <c r="AO63" s="26">
        <v>2366.0</v>
      </c>
      <c r="AP63" s="26">
        <v>755.0</v>
      </c>
      <c r="AQ63" s="26">
        <v>1611.0</v>
      </c>
      <c r="AR63" s="26">
        <v>467.0</v>
      </c>
      <c r="AS63" s="27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>
      <c r="A64" s="22">
        <v>1849.0</v>
      </c>
      <c r="B64" s="23" t="s">
        <v>25</v>
      </c>
      <c r="C64" s="29" t="s">
        <v>62</v>
      </c>
      <c r="D64" s="29" t="s">
        <v>95</v>
      </c>
      <c r="E64" s="29" t="s">
        <v>98</v>
      </c>
      <c r="F64" s="29" t="s">
        <v>98</v>
      </c>
      <c r="G64" s="26">
        <v>8178.0</v>
      </c>
      <c r="H64" s="26">
        <v>2286.0</v>
      </c>
      <c r="I64" s="26">
        <v>1180.0</v>
      </c>
      <c r="J64" s="26">
        <v>1106.0</v>
      </c>
      <c r="K64" s="26">
        <v>4503.0</v>
      </c>
      <c r="L64" s="26">
        <v>2846.0</v>
      </c>
      <c r="M64" s="26">
        <v>1629.0</v>
      </c>
      <c r="N64" s="26">
        <v>17.0</v>
      </c>
      <c r="O64" s="26">
        <v>11.0</v>
      </c>
      <c r="P64" s="26">
        <f t="shared" si="3"/>
        <v>1640</v>
      </c>
      <c r="Q64" s="26">
        <f t="shared" si="4"/>
        <v>2863</v>
      </c>
      <c r="R64" s="26">
        <f t="shared" si="5"/>
        <v>2606</v>
      </c>
      <c r="S64" s="26">
        <f t="shared" si="6"/>
        <v>3286</v>
      </c>
      <c r="T64" s="26">
        <f t="shared" ref="T64:U64" si="125">(P64/R64)*100</f>
        <v>62.93169609</v>
      </c>
      <c r="U64" s="26">
        <f t="shared" si="125"/>
        <v>87.12720633</v>
      </c>
      <c r="V64" s="26">
        <v>1389.0</v>
      </c>
      <c r="W64" s="26">
        <v>423.0</v>
      </c>
      <c r="X64" s="26">
        <v>966.0</v>
      </c>
      <c r="Y64" s="26">
        <v>0.0</v>
      </c>
      <c r="Z64" s="26">
        <v>9675.0</v>
      </c>
      <c r="AA64" s="26">
        <v>2542.0</v>
      </c>
      <c r="AB64" s="26">
        <v>1297.0</v>
      </c>
      <c r="AC64" s="26">
        <v>1245.0</v>
      </c>
      <c r="AD64" s="26">
        <v>5480.0</v>
      </c>
      <c r="AE64" s="26">
        <v>3136.0</v>
      </c>
      <c r="AF64" s="26">
        <v>2209.0</v>
      </c>
      <c r="AG64" s="26">
        <v>90.0</v>
      </c>
      <c r="AH64" s="26">
        <v>45.0</v>
      </c>
      <c r="AI64" s="26">
        <f t="shared" si="8"/>
        <v>2254</v>
      </c>
      <c r="AJ64" s="26">
        <f t="shared" si="9"/>
        <v>3226</v>
      </c>
      <c r="AK64" s="26">
        <f t="shared" si="10"/>
        <v>3210</v>
      </c>
      <c r="AL64" s="26">
        <f t="shared" si="11"/>
        <v>3729</v>
      </c>
      <c r="AM64" s="26">
        <f t="shared" ref="AM64:AN64" si="126">(AI64/AK64)*100</f>
        <v>70.21806854</v>
      </c>
      <c r="AN64" s="26">
        <f t="shared" si="126"/>
        <v>86.51112899</v>
      </c>
      <c r="AO64" s="26">
        <v>1459.0</v>
      </c>
      <c r="AP64" s="26">
        <v>503.0</v>
      </c>
      <c r="AQ64" s="26">
        <v>956.0</v>
      </c>
      <c r="AR64" s="26">
        <v>194.0</v>
      </c>
      <c r="AS64" s="27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>
      <c r="A65" s="22">
        <v>1873.0</v>
      </c>
      <c r="B65" s="23" t="s">
        <v>25</v>
      </c>
      <c r="C65" s="29" t="s">
        <v>62</v>
      </c>
      <c r="D65" s="29" t="s">
        <v>95</v>
      </c>
      <c r="E65" s="29" t="s">
        <v>99</v>
      </c>
      <c r="F65" s="29" t="s">
        <v>99</v>
      </c>
      <c r="G65" s="26">
        <v>2684.0</v>
      </c>
      <c r="H65" s="26">
        <v>761.0</v>
      </c>
      <c r="I65" s="26">
        <v>402.0</v>
      </c>
      <c r="J65" s="26">
        <v>359.0</v>
      </c>
      <c r="K65" s="26">
        <v>1610.0</v>
      </c>
      <c r="L65" s="26">
        <v>885.0</v>
      </c>
      <c r="M65" s="26">
        <v>725.0</v>
      </c>
      <c r="N65" s="26">
        <v>0.0</v>
      </c>
      <c r="O65" s="26">
        <v>0.0</v>
      </c>
      <c r="P65" s="26">
        <f t="shared" si="3"/>
        <v>725</v>
      </c>
      <c r="Q65" s="26">
        <f t="shared" si="4"/>
        <v>885</v>
      </c>
      <c r="R65" s="26">
        <f t="shared" si="5"/>
        <v>923</v>
      </c>
      <c r="S65" s="26">
        <f t="shared" si="6"/>
        <v>1000</v>
      </c>
      <c r="T65" s="26">
        <f t="shared" ref="T65:U65" si="127">(P65/R65)*100</f>
        <v>78.54821235</v>
      </c>
      <c r="U65" s="26">
        <f t="shared" si="127"/>
        <v>88.5</v>
      </c>
      <c r="V65" s="26">
        <v>313.0</v>
      </c>
      <c r="W65" s="26">
        <v>115.0</v>
      </c>
      <c r="X65" s="26">
        <v>198.0</v>
      </c>
      <c r="Y65" s="26">
        <v>0.0</v>
      </c>
      <c r="Z65" s="26">
        <v>4184.0</v>
      </c>
      <c r="AA65" s="26">
        <v>1172.0</v>
      </c>
      <c r="AB65" s="26">
        <v>621.0</v>
      </c>
      <c r="AC65" s="26">
        <v>551.0</v>
      </c>
      <c r="AD65" s="26">
        <v>2374.0</v>
      </c>
      <c r="AE65" s="26">
        <v>1269.0</v>
      </c>
      <c r="AF65" s="26">
        <v>1054.0</v>
      </c>
      <c r="AG65" s="26">
        <v>37.0</v>
      </c>
      <c r="AH65" s="26">
        <v>14.0</v>
      </c>
      <c r="AI65" s="26">
        <f t="shared" si="8"/>
        <v>1068</v>
      </c>
      <c r="AJ65" s="26">
        <f t="shared" si="9"/>
        <v>1306</v>
      </c>
      <c r="AK65" s="26">
        <f t="shared" si="10"/>
        <v>1406</v>
      </c>
      <c r="AL65" s="26">
        <f t="shared" si="11"/>
        <v>1501</v>
      </c>
      <c r="AM65" s="26">
        <f t="shared" ref="AM65:AN65" si="128">(AI65/AK65)*100</f>
        <v>75.9601707</v>
      </c>
      <c r="AN65" s="26">
        <f t="shared" si="128"/>
        <v>87.00866089</v>
      </c>
      <c r="AO65" s="26">
        <v>533.0</v>
      </c>
      <c r="AP65" s="26">
        <v>195.0</v>
      </c>
      <c r="AQ65" s="26">
        <v>338.0</v>
      </c>
      <c r="AR65" s="26">
        <v>105.0</v>
      </c>
      <c r="AS65" s="27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>
      <c r="A66" s="22">
        <v>1897.0</v>
      </c>
      <c r="B66" s="23" t="s">
        <v>25</v>
      </c>
      <c r="C66" s="29" t="s">
        <v>62</v>
      </c>
      <c r="D66" s="29" t="s">
        <v>95</v>
      </c>
      <c r="E66" s="29" t="s">
        <v>100</v>
      </c>
      <c r="F66" s="29" t="s">
        <v>100</v>
      </c>
      <c r="G66" s="26">
        <v>3731.0</v>
      </c>
      <c r="H66" s="26">
        <v>743.0</v>
      </c>
      <c r="I66" s="26">
        <v>389.0</v>
      </c>
      <c r="J66" s="26">
        <v>354.0</v>
      </c>
      <c r="K66" s="26">
        <v>2383.0</v>
      </c>
      <c r="L66" s="26">
        <v>1295.0</v>
      </c>
      <c r="M66" s="26">
        <v>1084.0</v>
      </c>
      <c r="N66" s="26">
        <v>3.0</v>
      </c>
      <c r="O66" s="26">
        <v>1.0</v>
      </c>
      <c r="P66" s="26">
        <f t="shared" si="3"/>
        <v>1085</v>
      </c>
      <c r="Q66" s="26">
        <f t="shared" si="4"/>
        <v>1298</v>
      </c>
      <c r="R66" s="26">
        <f t="shared" si="5"/>
        <v>1446</v>
      </c>
      <c r="S66" s="26">
        <f t="shared" si="6"/>
        <v>1542</v>
      </c>
      <c r="T66" s="26">
        <f t="shared" ref="T66:U66" si="129">(P66/R66)*100</f>
        <v>75.03457815</v>
      </c>
      <c r="U66" s="26">
        <f t="shared" si="129"/>
        <v>84.17639429</v>
      </c>
      <c r="V66" s="26">
        <v>605.0</v>
      </c>
      <c r="W66" s="26">
        <v>244.0</v>
      </c>
      <c r="X66" s="26">
        <v>361.0</v>
      </c>
      <c r="Y66" s="26">
        <v>0.0</v>
      </c>
      <c r="Z66" s="26">
        <v>3466.0</v>
      </c>
      <c r="AA66" s="26">
        <v>676.0</v>
      </c>
      <c r="AB66" s="26">
        <v>355.0</v>
      </c>
      <c r="AC66" s="26">
        <v>321.0</v>
      </c>
      <c r="AD66" s="26">
        <v>2267.0</v>
      </c>
      <c r="AE66" s="26">
        <v>1203.0</v>
      </c>
      <c r="AF66" s="26">
        <v>1014.0</v>
      </c>
      <c r="AG66" s="26">
        <v>26.0</v>
      </c>
      <c r="AH66" s="26">
        <v>24.0</v>
      </c>
      <c r="AI66" s="26">
        <f t="shared" si="8"/>
        <v>1038</v>
      </c>
      <c r="AJ66" s="26">
        <f t="shared" si="9"/>
        <v>1229</v>
      </c>
      <c r="AK66" s="26">
        <f t="shared" si="10"/>
        <v>1274</v>
      </c>
      <c r="AL66" s="26">
        <f t="shared" si="11"/>
        <v>1389</v>
      </c>
      <c r="AM66" s="26">
        <f t="shared" ref="AM66:AN66" si="130">(AI66/AK66)*100</f>
        <v>81.47566719</v>
      </c>
      <c r="AN66" s="26">
        <f t="shared" si="130"/>
        <v>88.48092153</v>
      </c>
      <c r="AO66" s="26">
        <v>396.0</v>
      </c>
      <c r="AP66" s="26">
        <v>160.0</v>
      </c>
      <c r="AQ66" s="26">
        <v>236.0</v>
      </c>
      <c r="AR66" s="26">
        <v>127.0</v>
      </c>
      <c r="AS66" s="27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>
      <c r="A67" s="22">
        <v>1921.0</v>
      </c>
      <c r="B67" s="23" t="s">
        <v>25</v>
      </c>
      <c r="C67" s="29" t="s">
        <v>62</v>
      </c>
      <c r="D67" s="29" t="s">
        <v>95</v>
      </c>
      <c r="E67" s="29" t="s">
        <v>101</v>
      </c>
      <c r="F67" s="29" t="s">
        <v>101</v>
      </c>
      <c r="G67" s="26">
        <v>9977.0</v>
      </c>
      <c r="H67" s="26">
        <v>2985.0</v>
      </c>
      <c r="I67" s="26">
        <v>1545.0</v>
      </c>
      <c r="J67" s="26">
        <v>1440.0</v>
      </c>
      <c r="K67" s="26">
        <v>4893.0</v>
      </c>
      <c r="L67" s="26">
        <v>3124.0</v>
      </c>
      <c r="M67" s="26">
        <v>1738.0</v>
      </c>
      <c r="N67" s="26">
        <v>21.0</v>
      </c>
      <c r="O67" s="26">
        <v>10.0</v>
      </c>
      <c r="P67" s="26">
        <f t="shared" si="3"/>
        <v>1748</v>
      </c>
      <c r="Q67" s="26">
        <f t="shared" si="4"/>
        <v>3145</v>
      </c>
      <c r="R67" s="26">
        <f t="shared" si="5"/>
        <v>3206</v>
      </c>
      <c r="S67" s="26">
        <f t="shared" si="6"/>
        <v>3786</v>
      </c>
      <c r="T67" s="26">
        <f t="shared" ref="T67:U67" si="131">(P67/R67)*100</f>
        <v>54.52276981</v>
      </c>
      <c r="U67" s="26">
        <f t="shared" si="131"/>
        <v>83.06920232</v>
      </c>
      <c r="V67" s="26">
        <v>2099.0</v>
      </c>
      <c r="W67" s="26">
        <v>641.0</v>
      </c>
      <c r="X67" s="26">
        <v>1458.0</v>
      </c>
      <c r="Y67" s="26">
        <v>0.0</v>
      </c>
      <c r="Z67" s="26">
        <v>7643.0</v>
      </c>
      <c r="AA67" s="26">
        <v>1982.0</v>
      </c>
      <c r="AB67" s="26">
        <v>1035.0</v>
      </c>
      <c r="AC67" s="26">
        <v>947.0</v>
      </c>
      <c r="AD67" s="26">
        <v>4190.0</v>
      </c>
      <c r="AE67" s="26">
        <v>2581.0</v>
      </c>
      <c r="AF67" s="26">
        <v>1468.0</v>
      </c>
      <c r="AG67" s="26">
        <v>98.0</v>
      </c>
      <c r="AH67" s="26">
        <v>43.0</v>
      </c>
      <c r="AI67" s="26">
        <f t="shared" si="8"/>
        <v>1511</v>
      </c>
      <c r="AJ67" s="26">
        <f t="shared" si="9"/>
        <v>2679</v>
      </c>
      <c r="AK67" s="26">
        <f t="shared" si="10"/>
        <v>2359</v>
      </c>
      <c r="AL67" s="26">
        <f t="shared" si="11"/>
        <v>3048</v>
      </c>
      <c r="AM67" s="26">
        <f t="shared" ref="AM67:AN67" si="132">(AI67/AK67)*100</f>
        <v>64.05256465</v>
      </c>
      <c r="AN67" s="26">
        <f t="shared" si="132"/>
        <v>87.89370079</v>
      </c>
      <c r="AO67" s="26">
        <v>1217.0</v>
      </c>
      <c r="AP67" s="26">
        <v>369.0</v>
      </c>
      <c r="AQ67" s="26">
        <v>848.0</v>
      </c>
      <c r="AR67" s="26">
        <v>254.0</v>
      </c>
      <c r="AS67" s="27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>
      <c r="A68" s="22">
        <v>1945.0</v>
      </c>
      <c r="B68" s="23" t="s">
        <v>25</v>
      </c>
      <c r="C68" s="29" t="s">
        <v>62</v>
      </c>
      <c r="D68" s="29" t="s">
        <v>95</v>
      </c>
      <c r="E68" s="29" t="s">
        <v>102</v>
      </c>
      <c r="F68" s="29" t="s">
        <v>102</v>
      </c>
      <c r="G68" s="26">
        <v>13889.0</v>
      </c>
      <c r="H68" s="26">
        <v>4572.0</v>
      </c>
      <c r="I68" s="26">
        <v>2331.0</v>
      </c>
      <c r="J68" s="26">
        <v>2241.0</v>
      </c>
      <c r="K68" s="26">
        <v>6615.0</v>
      </c>
      <c r="L68" s="26">
        <v>4457.0</v>
      </c>
      <c r="M68" s="26">
        <v>2128.0</v>
      </c>
      <c r="N68" s="26">
        <v>21.0</v>
      </c>
      <c r="O68" s="26">
        <v>9.0</v>
      </c>
      <c r="P68" s="26">
        <f t="shared" si="3"/>
        <v>2137</v>
      </c>
      <c r="Q68" s="26">
        <f t="shared" si="4"/>
        <v>4478</v>
      </c>
      <c r="R68" s="26">
        <f t="shared" si="5"/>
        <v>4119</v>
      </c>
      <c r="S68" s="26">
        <f t="shared" si="6"/>
        <v>5198</v>
      </c>
      <c r="T68" s="26">
        <f t="shared" ref="T68:U68" si="133">(P68/R68)*100</f>
        <v>51.88152464</v>
      </c>
      <c r="U68" s="26">
        <f t="shared" si="133"/>
        <v>86.14851866</v>
      </c>
      <c r="V68" s="26">
        <v>2702.0</v>
      </c>
      <c r="W68" s="26">
        <v>720.0</v>
      </c>
      <c r="X68" s="26">
        <v>1982.0</v>
      </c>
      <c r="Y68" s="26">
        <v>0.0</v>
      </c>
      <c r="Z68" s="26">
        <v>21667.0</v>
      </c>
      <c r="AA68" s="26">
        <v>5912.0</v>
      </c>
      <c r="AB68" s="26">
        <v>3003.0</v>
      </c>
      <c r="AC68" s="26">
        <v>2909.0</v>
      </c>
      <c r="AD68" s="26">
        <v>11501.0</v>
      </c>
      <c r="AE68" s="26">
        <v>6932.0</v>
      </c>
      <c r="AF68" s="26">
        <v>4192.0</v>
      </c>
      <c r="AG68" s="26">
        <v>248.0</v>
      </c>
      <c r="AH68" s="26">
        <v>129.0</v>
      </c>
      <c r="AI68" s="26">
        <f t="shared" si="8"/>
        <v>4321</v>
      </c>
      <c r="AJ68" s="26">
        <f t="shared" si="9"/>
        <v>7180</v>
      </c>
      <c r="AK68" s="26">
        <f t="shared" si="10"/>
        <v>6609</v>
      </c>
      <c r="AL68" s="26">
        <f t="shared" si="11"/>
        <v>8272</v>
      </c>
      <c r="AM68" s="26">
        <f t="shared" ref="AM68:AN68" si="134">(AI68/AK68)*100</f>
        <v>65.38054169</v>
      </c>
      <c r="AN68" s="26">
        <f t="shared" si="134"/>
        <v>86.79883946</v>
      </c>
      <c r="AO68" s="26">
        <v>3380.0</v>
      </c>
      <c r="AP68" s="26">
        <v>1092.0</v>
      </c>
      <c r="AQ68" s="26">
        <v>2288.0</v>
      </c>
      <c r="AR68" s="26">
        <v>874.0</v>
      </c>
      <c r="AS68" s="27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>
      <c r="A69" s="22">
        <v>1969.0</v>
      </c>
      <c r="B69" s="23" t="s">
        <v>25</v>
      </c>
      <c r="C69" s="29" t="s">
        <v>62</v>
      </c>
      <c r="D69" s="29" t="s">
        <v>95</v>
      </c>
      <c r="E69" s="29" t="s">
        <v>103</v>
      </c>
      <c r="F69" s="29" t="s">
        <v>103</v>
      </c>
      <c r="G69" s="26">
        <v>9346.0</v>
      </c>
      <c r="H69" s="26">
        <v>2754.0</v>
      </c>
      <c r="I69" s="26">
        <v>1369.0</v>
      </c>
      <c r="J69" s="26">
        <v>1385.0</v>
      </c>
      <c r="K69" s="26">
        <v>5250.0</v>
      </c>
      <c r="L69" s="26">
        <v>3297.0</v>
      </c>
      <c r="M69" s="26">
        <v>1931.0</v>
      </c>
      <c r="N69" s="26">
        <v>11.0</v>
      </c>
      <c r="O69" s="26">
        <v>11.0</v>
      </c>
      <c r="P69" s="26">
        <f t="shared" si="3"/>
        <v>1942</v>
      </c>
      <c r="Q69" s="26">
        <f t="shared" si="4"/>
        <v>3308</v>
      </c>
      <c r="R69" s="26">
        <f t="shared" si="5"/>
        <v>2811</v>
      </c>
      <c r="S69" s="26">
        <f t="shared" si="6"/>
        <v>3781</v>
      </c>
      <c r="T69" s="26">
        <f t="shared" ref="T69:U69" si="135">(P69/R69)*100</f>
        <v>69.08573461</v>
      </c>
      <c r="U69" s="26">
        <f t="shared" si="135"/>
        <v>87.49008199</v>
      </c>
      <c r="V69" s="26">
        <v>1342.0</v>
      </c>
      <c r="W69" s="26">
        <v>473.0</v>
      </c>
      <c r="X69" s="26">
        <v>869.0</v>
      </c>
      <c r="Y69" s="26">
        <v>0.0</v>
      </c>
      <c r="Z69" s="26">
        <v>13230.0</v>
      </c>
      <c r="AA69" s="26">
        <v>3479.0</v>
      </c>
      <c r="AB69" s="26">
        <v>1807.0</v>
      </c>
      <c r="AC69" s="26">
        <v>1672.0</v>
      </c>
      <c r="AD69" s="26">
        <v>7835.0</v>
      </c>
      <c r="AE69" s="26">
        <v>4579.0</v>
      </c>
      <c r="AF69" s="26">
        <v>3053.0</v>
      </c>
      <c r="AG69" s="26">
        <v>146.0</v>
      </c>
      <c r="AH69" s="26">
        <v>57.0</v>
      </c>
      <c r="AI69" s="26">
        <f t="shared" si="8"/>
        <v>3110</v>
      </c>
      <c r="AJ69" s="26">
        <f t="shared" si="9"/>
        <v>4725</v>
      </c>
      <c r="AK69" s="26">
        <f t="shared" si="10"/>
        <v>4156</v>
      </c>
      <c r="AL69" s="26">
        <f t="shared" si="11"/>
        <v>5260</v>
      </c>
      <c r="AM69" s="26">
        <f t="shared" ref="AM69:AN69" si="136">(AI69/AK69)*100</f>
        <v>74.83156882</v>
      </c>
      <c r="AN69" s="26">
        <f t="shared" si="136"/>
        <v>89.82889734</v>
      </c>
      <c r="AO69" s="26">
        <v>1581.0</v>
      </c>
      <c r="AP69" s="26">
        <v>535.0</v>
      </c>
      <c r="AQ69" s="26">
        <v>1046.0</v>
      </c>
      <c r="AR69" s="26">
        <v>335.0</v>
      </c>
      <c r="AS69" s="27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>
      <c r="A70" s="22">
        <v>2017.0</v>
      </c>
      <c r="B70" s="23" t="s">
        <v>25</v>
      </c>
      <c r="C70" s="29" t="s">
        <v>62</v>
      </c>
      <c r="D70" s="29" t="s">
        <v>104</v>
      </c>
      <c r="E70" s="29" t="s">
        <v>105</v>
      </c>
      <c r="F70" s="29" t="s">
        <v>105</v>
      </c>
      <c r="G70" s="26">
        <v>20298.0</v>
      </c>
      <c r="H70" s="26">
        <v>6860.0</v>
      </c>
      <c r="I70" s="26">
        <v>3539.0</v>
      </c>
      <c r="J70" s="26">
        <v>3321.0</v>
      </c>
      <c r="K70" s="26">
        <v>9069.0</v>
      </c>
      <c r="L70" s="26">
        <v>5431.0</v>
      </c>
      <c r="M70" s="26">
        <v>3517.0</v>
      </c>
      <c r="N70" s="26">
        <v>93.0</v>
      </c>
      <c r="O70" s="26">
        <v>28.0</v>
      </c>
      <c r="P70" s="26">
        <f t="shared" si="3"/>
        <v>3545</v>
      </c>
      <c r="Q70" s="26">
        <f t="shared" si="4"/>
        <v>5524</v>
      </c>
      <c r="R70" s="26">
        <f t="shared" si="5"/>
        <v>5998</v>
      </c>
      <c r="S70" s="26">
        <f t="shared" si="6"/>
        <v>7440</v>
      </c>
      <c r="T70" s="26">
        <f t="shared" ref="T70:U70" si="137">(P70/R70)*100</f>
        <v>59.10303434</v>
      </c>
      <c r="U70" s="26">
        <f t="shared" si="137"/>
        <v>74.24731183</v>
      </c>
      <c r="V70" s="26">
        <v>4369.0</v>
      </c>
      <c r="W70" s="26">
        <v>1916.0</v>
      </c>
      <c r="X70" s="26">
        <v>2453.0</v>
      </c>
      <c r="Y70" s="26">
        <v>0.0</v>
      </c>
      <c r="Z70" s="26">
        <v>18940.0</v>
      </c>
      <c r="AA70" s="26">
        <v>5718.0</v>
      </c>
      <c r="AB70" s="26">
        <v>2894.0</v>
      </c>
      <c r="AC70" s="26">
        <v>2824.0</v>
      </c>
      <c r="AD70" s="26">
        <v>9813.0</v>
      </c>
      <c r="AE70" s="26">
        <v>5555.0</v>
      </c>
      <c r="AF70" s="26">
        <v>4061.0</v>
      </c>
      <c r="AG70" s="26">
        <v>134.0</v>
      </c>
      <c r="AH70" s="26">
        <v>63.0</v>
      </c>
      <c r="AI70" s="26">
        <f t="shared" si="8"/>
        <v>4124</v>
      </c>
      <c r="AJ70" s="26">
        <f t="shared" si="9"/>
        <v>5689</v>
      </c>
      <c r="AK70" s="26">
        <f t="shared" si="10"/>
        <v>5715</v>
      </c>
      <c r="AL70" s="26">
        <f t="shared" si="11"/>
        <v>6893</v>
      </c>
      <c r="AM70" s="26">
        <f t="shared" ref="AM70:AN70" si="138">(AI70/AK70)*100</f>
        <v>72.16097988</v>
      </c>
      <c r="AN70" s="26">
        <f t="shared" si="138"/>
        <v>82.5330045</v>
      </c>
      <c r="AO70" s="26">
        <v>2795.0</v>
      </c>
      <c r="AP70" s="26">
        <v>1204.0</v>
      </c>
      <c r="AQ70" s="26">
        <v>1591.0</v>
      </c>
      <c r="AR70" s="26">
        <v>614.0</v>
      </c>
      <c r="AS70" s="27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>
      <c r="A71" s="22">
        <v>2041.0</v>
      </c>
      <c r="B71" s="23" t="s">
        <v>25</v>
      </c>
      <c r="C71" s="29" t="s">
        <v>62</v>
      </c>
      <c r="D71" s="29" t="s">
        <v>104</v>
      </c>
      <c r="E71" s="29" t="s">
        <v>106</v>
      </c>
      <c r="F71" s="29" t="s">
        <v>106</v>
      </c>
      <c r="G71" s="26">
        <v>6770.0</v>
      </c>
      <c r="H71" s="26">
        <v>1923.0</v>
      </c>
      <c r="I71" s="26">
        <v>1036.0</v>
      </c>
      <c r="J71" s="26">
        <v>887.0</v>
      </c>
      <c r="K71" s="26">
        <v>3498.0</v>
      </c>
      <c r="L71" s="26">
        <v>2297.0</v>
      </c>
      <c r="M71" s="26">
        <v>1165.0</v>
      </c>
      <c r="N71" s="26">
        <v>30.0</v>
      </c>
      <c r="O71" s="26">
        <v>6.0</v>
      </c>
      <c r="P71" s="26">
        <f t="shared" si="3"/>
        <v>1171</v>
      </c>
      <c r="Q71" s="26">
        <f t="shared" si="4"/>
        <v>2327</v>
      </c>
      <c r="R71" s="26">
        <f t="shared" si="5"/>
        <v>1984</v>
      </c>
      <c r="S71" s="26">
        <f t="shared" si="6"/>
        <v>2863</v>
      </c>
      <c r="T71" s="26">
        <f t="shared" ref="T71:U71" si="139">(P71/R71)*100</f>
        <v>59.02217742</v>
      </c>
      <c r="U71" s="26">
        <f t="shared" si="139"/>
        <v>81.27837932</v>
      </c>
      <c r="V71" s="26">
        <v>1349.0</v>
      </c>
      <c r="W71" s="26">
        <v>536.0</v>
      </c>
      <c r="X71" s="26">
        <v>813.0</v>
      </c>
      <c r="Y71" s="26">
        <v>0.0</v>
      </c>
      <c r="Z71" s="26">
        <v>8882.0</v>
      </c>
      <c r="AA71" s="26">
        <v>2214.0</v>
      </c>
      <c r="AB71" s="26">
        <v>1151.0</v>
      </c>
      <c r="AC71" s="26">
        <v>1063.0</v>
      </c>
      <c r="AD71" s="26">
        <v>5370.0</v>
      </c>
      <c r="AE71" s="26">
        <v>3355.0</v>
      </c>
      <c r="AF71" s="26">
        <v>1885.0</v>
      </c>
      <c r="AG71" s="26">
        <v>83.0</v>
      </c>
      <c r="AH71" s="26">
        <v>47.0</v>
      </c>
      <c r="AI71" s="26">
        <f t="shared" si="8"/>
        <v>1932</v>
      </c>
      <c r="AJ71" s="26">
        <f t="shared" si="9"/>
        <v>3438</v>
      </c>
      <c r="AK71" s="26">
        <f t="shared" si="10"/>
        <v>2554</v>
      </c>
      <c r="AL71" s="26">
        <f t="shared" si="11"/>
        <v>3902</v>
      </c>
      <c r="AM71" s="26">
        <f t="shared" ref="AM71:AN71" si="140">(AI71/AK71)*100</f>
        <v>75.64604542</v>
      </c>
      <c r="AN71" s="26">
        <f t="shared" si="140"/>
        <v>88.10866222</v>
      </c>
      <c r="AO71" s="26">
        <v>1086.0</v>
      </c>
      <c r="AP71" s="26">
        <v>464.0</v>
      </c>
      <c r="AQ71" s="26">
        <v>622.0</v>
      </c>
      <c r="AR71" s="26">
        <v>212.0</v>
      </c>
      <c r="AS71" s="27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>
      <c r="A72" s="22">
        <v>2089.0</v>
      </c>
      <c r="B72" s="23" t="s">
        <v>25</v>
      </c>
      <c r="C72" s="29" t="s">
        <v>62</v>
      </c>
      <c r="D72" s="29" t="s">
        <v>107</v>
      </c>
      <c r="E72" s="29" t="s">
        <v>108</v>
      </c>
      <c r="F72" s="29" t="s">
        <v>108</v>
      </c>
      <c r="G72" s="26">
        <v>80665.0</v>
      </c>
      <c r="H72" s="26">
        <v>22732.0</v>
      </c>
      <c r="I72" s="26">
        <v>11583.0</v>
      </c>
      <c r="J72" s="26">
        <v>11149.0</v>
      </c>
      <c r="K72" s="26">
        <v>37927.0</v>
      </c>
      <c r="L72" s="26">
        <v>20879.0</v>
      </c>
      <c r="M72" s="26">
        <v>16649.0</v>
      </c>
      <c r="N72" s="26">
        <v>227.0</v>
      </c>
      <c r="O72" s="26">
        <v>172.0</v>
      </c>
      <c r="P72" s="26">
        <f t="shared" si="3"/>
        <v>16821</v>
      </c>
      <c r="Q72" s="26">
        <f t="shared" si="4"/>
        <v>21106</v>
      </c>
      <c r="R72" s="26">
        <f t="shared" si="5"/>
        <v>29860</v>
      </c>
      <c r="S72" s="26">
        <f t="shared" si="6"/>
        <v>28073</v>
      </c>
      <c r="T72" s="26">
        <f t="shared" ref="T72:U72" si="141">(P72/R72)*100</f>
        <v>56.33288681</v>
      </c>
      <c r="U72" s="26">
        <f t="shared" si="141"/>
        <v>75.18255975</v>
      </c>
      <c r="V72" s="26">
        <v>20006.0</v>
      </c>
      <c r="W72" s="26">
        <v>6967.0</v>
      </c>
      <c r="X72" s="26">
        <v>13039.0</v>
      </c>
      <c r="Y72" s="26">
        <v>0.0</v>
      </c>
      <c r="Z72" s="26">
        <v>112872.0</v>
      </c>
      <c r="AA72" s="26">
        <v>28308.0</v>
      </c>
      <c r="AB72" s="26">
        <v>14492.0</v>
      </c>
      <c r="AC72" s="26">
        <v>13816.0</v>
      </c>
      <c r="AD72" s="26">
        <v>61511.0</v>
      </c>
      <c r="AE72" s="26">
        <v>31793.0</v>
      </c>
      <c r="AF72" s="26">
        <v>27903.0</v>
      </c>
      <c r="AG72" s="26">
        <v>981.0</v>
      </c>
      <c r="AH72" s="26">
        <v>834.0</v>
      </c>
      <c r="AI72" s="26">
        <f t="shared" si="8"/>
        <v>28737</v>
      </c>
      <c r="AJ72" s="26">
        <f t="shared" si="9"/>
        <v>32774</v>
      </c>
      <c r="AK72" s="26">
        <f t="shared" si="10"/>
        <v>41805</v>
      </c>
      <c r="AL72" s="26">
        <f t="shared" si="11"/>
        <v>40379</v>
      </c>
      <c r="AM72" s="26">
        <f t="shared" ref="AM72:AN72" si="142">(AI72/AK72)*100</f>
        <v>68.74058127</v>
      </c>
      <c r="AN72" s="26">
        <f t="shared" si="142"/>
        <v>81.1659526</v>
      </c>
      <c r="AO72" s="26">
        <v>20673.0</v>
      </c>
      <c r="AP72" s="26">
        <v>7605.0</v>
      </c>
      <c r="AQ72" s="26">
        <v>13068.0</v>
      </c>
      <c r="AR72" s="26">
        <v>2380.0</v>
      </c>
      <c r="AS72" s="27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>
      <c r="A73" s="22">
        <v>2113.0</v>
      </c>
      <c r="B73" s="23" t="s">
        <v>25</v>
      </c>
      <c r="C73" s="29" t="s">
        <v>62</v>
      </c>
      <c r="D73" s="29" t="s">
        <v>107</v>
      </c>
      <c r="E73" s="29" t="s">
        <v>109</v>
      </c>
      <c r="F73" s="29" t="s">
        <v>109</v>
      </c>
      <c r="G73" s="26">
        <v>7271.0</v>
      </c>
      <c r="H73" s="26">
        <v>1500.0</v>
      </c>
      <c r="I73" s="26">
        <v>787.0</v>
      </c>
      <c r="J73" s="26">
        <v>713.0</v>
      </c>
      <c r="K73" s="26">
        <v>3733.0</v>
      </c>
      <c r="L73" s="26">
        <v>1890.0</v>
      </c>
      <c r="M73" s="26">
        <v>1827.0</v>
      </c>
      <c r="N73" s="26">
        <v>10.0</v>
      </c>
      <c r="O73" s="26">
        <v>6.0</v>
      </c>
      <c r="P73" s="26">
        <f t="shared" si="3"/>
        <v>1833</v>
      </c>
      <c r="Q73" s="26">
        <f t="shared" si="4"/>
        <v>1900</v>
      </c>
      <c r="R73" s="26">
        <f t="shared" si="5"/>
        <v>2965</v>
      </c>
      <c r="S73" s="26">
        <f t="shared" si="6"/>
        <v>2806</v>
      </c>
      <c r="T73" s="26">
        <f t="shared" ref="T73:U73" si="143">(P73/R73)*100</f>
        <v>61.82124789</v>
      </c>
      <c r="U73" s="26">
        <f t="shared" si="143"/>
        <v>67.71204562</v>
      </c>
      <c r="V73" s="26">
        <v>2038.0</v>
      </c>
      <c r="W73" s="26">
        <v>906.0</v>
      </c>
      <c r="X73" s="26">
        <v>1132.0</v>
      </c>
      <c r="Y73" s="26">
        <v>0.0</v>
      </c>
      <c r="Z73" s="26">
        <v>8522.0</v>
      </c>
      <c r="AA73" s="26">
        <v>1673.0</v>
      </c>
      <c r="AB73" s="26">
        <v>884.0</v>
      </c>
      <c r="AC73" s="26">
        <v>789.0</v>
      </c>
      <c r="AD73" s="26">
        <v>5411.0</v>
      </c>
      <c r="AE73" s="26">
        <v>2639.0</v>
      </c>
      <c r="AF73" s="26">
        <v>2713.0</v>
      </c>
      <c r="AG73" s="26">
        <v>32.0</v>
      </c>
      <c r="AH73" s="26">
        <v>27.0</v>
      </c>
      <c r="AI73" s="26">
        <f t="shared" si="8"/>
        <v>2740</v>
      </c>
      <c r="AJ73" s="26">
        <f t="shared" si="9"/>
        <v>2671</v>
      </c>
      <c r="AK73" s="26">
        <f t="shared" si="10"/>
        <v>3400</v>
      </c>
      <c r="AL73" s="26">
        <f t="shared" si="11"/>
        <v>3341</v>
      </c>
      <c r="AM73" s="26">
        <f t="shared" ref="AM73:AN73" si="144">(AI73/AK73)*100</f>
        <v>80.58823529</v>
      </c>
      <c r="AN73" s="26">
        <f t="shared" si="144"/>
        <v>79.94612391</v>
      </c>
      <c r="AO73" s="26">
        <v>1330.0</v>
      </c>
      <c r="AP73" s="26">
        <v>670.0</v>
      </c>
      <c r="AQ73" s="26">
        <v>660.0</v>
      </c>
      <c r="AR73" s="26">
        <v>108.0</v>
      </c>
      <c r="AS73" s="27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>
      <c r="A74" s="22">
        <v>2137.0</v>
      </c>
      <c r="B74" s="23" t="s">
        <v>25</v>
      </c>
      <c r="C74" s="29" t="s">
        <v>62</v>
      </c>
      <c r="D74" s="29" t="s">
        <v>107</v>
      </c>
      <c r="E74" s="29" t="s">
        <v>110</v>
      </c>
      <c r="F74" s="29" t="s">
        <v>110</v>
      </c>
      <c r="G74" s="26">
        <v>12183.0</v>
      </c>
      <c r="H74" s="26">
        <v>2779.0</v>
      </c>
      <c r="I74" s="26">
        <v>1438.0</v>
      </c>
      <c r="J74" s="26">
        <v>1341.0</v>
      </c>
      <c r="K74" s="26">
        <v>6039.0</v>
      </c>
      <c r="L74" s="26">
        <v>3203.0</v>
      </c>
      <c r="M74" s="26">
        <v>2743.0</v>
      </c>
      <c r="N74" s="26">
        <v>68.0</v>
      </c>
      <c r="O74" s="26">
        <v>25.0</v>
      </c>
      <c r="P74" s="26">
        <f t="shared" si="3"/>
        <v>2768</v>
      </c>
      <c r="Q74" s="26">
        <f t="shared" si="4"/>
        <v>3271</v>
      </c>
      <c r="R74" s="26">
        <f t="shared" si="5"/>
        <v>4800</v>
      </c>
      <c r="S74" s="26">
        <f t="shared" si="6"/>
        <v>4604</v>
      </c>
      <c r="T74" s="26">
        <f t="shared" ref="T74:U74" si="145">(P74/R74)*100</f>
        <v>57.66666667</v>
      </c>
      <c r="U74" s="26">
        <f t="shared" si="145"/>
        <v>71.04691573</v>
      </c>
      <c r="V74" s="26">
        <v>3365.0</v>
      </c>
      <c r="W74" s="26">
        <v>1333.0</v>
      </c>
      <c r="X74" s="26">
        <v>2032.0</v>
      </c>
      <c r="Y74" s="26">
        <v>0.0</v>
      </c>
      <c r="Z74" s="26">
        <v>13484.0</v>
      </c>
      <c r="AA74" s="26">
        <v>3244.0</v>
      </c>
      <c r="AB74" s="26">
        <v>1654.0</v>
      </c>
      <c r="AC74" s="26">
        <v>1590.0</v>
      </c>
      <c r="AD74" s="26">
        <v>8718.0</v>
      </c>
      <c r="AE74" s="26">
        <v>4171.0</v>
      </c>
      <c r="AF74" s="26">
        <v>4478.0</v>
      </c>
      <c r="AG74" s="26">
        <v>45.0</v>
      </c>
      <c r="AH74" s="26">
        <v>24.0</v>
      </c>
      <c r="AI74" s="26">
        <f t="shared" si="8"/>
        <v>4502</v>
      </c>
      <c r="AJ74" s="26">
        <f t="shared" si="9"/>
        <v>4216</v>
      </c>
      <c r="AK74" s="26">
        <f t="shared" si="10"/>
        <v>5345</v>
      </c>
      <c r="AL74" s="26">
        <f t="shared" si="11"/>
        <v>4707</v>
      </c>
      <c r="AM74" s="26">
        <f t="shared" ref="AM74:AN74" si="146">(AI74/AK74)*100</f>
        <v>84.2282507</v>
      </c>
      <c r="AN74" s="26">
        <f t="shared" si="146"/>
        <v>89.56872743</v>
      </c>
      <c r="AO74" s="26">
        <v>1334.0</v>
      </c>
      <c r="AP74" s="26">
        <v>491.0</v>
      </c>
      <c r="AQ74" s="26">
        <v>843.0</v>
      </c>
      <c r="AR74" s="26">
        <v>188.0</v>
      </c>
      <c r="AS74" s="27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>
      <c r="A75" s="22">
        <v>2161.0</v>
      </c>
      <c r="B75" s="23" t="s">
        <v>25</v>
      </c>
      <c r="C75" s="29" t="s">
        <v>62</v>
      </c>
      <c r="D75" s="29" t="s">
        <v>107</v>
      </c>
      <c r="E75" s="29" t="s">
        <v>111</v>
      </c>
      <c r="F75" s="29" t="s">
        <v>111</v>
      </c>
      <c r="G75" s="26">
        <v>6974.0</v>
      </c>
      <c r="H75" s="26">
        <v>1794.0</v>
      </c>
      <c r="I75" s="26">
        <v>964.0</v>
      </c>
      <c r="J75" s="26">
        <v>830.0</v>
      </c>
      <c r="K75" s="26">
        <v>3919.0</v>
      </c>
      <c r="L75" s="26">
        <v>2054.0</v>
      </c>
      <c r="M75" s="26">
        <v>1838.0</v>
      </c>
      <c r="N75" s="26">
        <v>20.0</v>
      </c>
      <c r="O75" s="26">
        <v>7.0</v>
      </c>
      <c r="P75" s="26">
        <f t="shared" si="3"/>
        <v>1845</v>
      </c>
      <c r="Q75" s="26">
        <f t="shared" si="4"/>
        <v>2074</v>
      </c>
      <c r="R75" s="26">
        <f t="shared" si="5"/>
        <v>2684</v>
      </c>
      <c r="S75" s="26">
        <f t="shared" si="6"/>
        <v>2496</v>
      </c>
      <c r="T75" s="26">
        <f t="shared" ref="T75:U75" si="147">(P75/R75)*100</f>
        <v>68.74068554</v>
      </c>
      <c r="U75" s="26">
        <f t="shared" si="147"/>
        <v>83.09294872</v>
      </c>
      <c r="V75" s="26">
        <v>1261.0</v>
      </c>
      <c r="W75" s="26">
        <v>422.0</v>
      </c>
      <c r="X75" s="26">
        <v>839.0</v>
      </c>
      <c r="Y75" s="26">
        <v>0.0</v>
      </c>
      <c r="Z75" s="26">
        <v>7849.0</v>
      </c>
      <c r="AA75" s="26">
        <v>1846.0</v>
      </c>
      <c r="AB75" s="26">
        <v>953.0</v>
      </c>
      <c r="AC75" s="26">
        <v>893.0</v>
      </c>
      <c r="AD75" s="26">
        <v>4511.0</v>
      </c>
      <c r="AE75" s="26">
        <v>2337.0</v>
      </c>
      <c r="AF75" s="26">
        <v>2106.0</v>
      </c>
      <c r="AG75" s="26">
        <v>43.0</v>
      </c>
      <c r="AH75" s="26">
        <v>25.0</v>
      </c>
      <c r="AI75" s="26">
        <f t="shared" si="8"/>
        <v>2131</v>
      </c>
      <c r="AJ75" s="26">
        <f t="shared" si="9"/>
        <v>2380</v>
      </c>
      <c r="AK75" s="26">
        <f t="shared" si="10"/>
        <v>2995</v>
      </c>
      <c r="AL75" s="26">
        <f t="shared" si="11"/>
        <v>2867</v>
      </c>
      <c r="AM75" s="26">
        <f t="shared" ref="AM75:AN75" si="148">(AI75/AK75)*100</f>
        <v>71.15191987</v>
      </c>
      <c r="AN75" s="26">
        <f t="shared" si="148"/>
        <v>83.01360307</v>
      </c>
      <c r="AO75" s="26">
        <v>1351.0</v>
      </c>
      <c r="AP75" s="26">
        <v>487.0</v>
      </c>
      <c r="AQ75" s="26">
        <v>864.0</v>
      </c>
      <c r="AR75" s="26">
        <v>141.0</v>
      </c>
      <c r="AS75" s="27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>
      <c r="A76" s="22">
        <v>2185.0</v>
      </c>
      <c r="B76" s="23" t="s">
        <v>25</v>
      </c>
      <c r="C76" s="29" t="s">
        <v>62</v>
      </c>
      <c r="D76" s="29" t="s">
        <v>107</v>
      </c>
      <c r="E76" s="29" t="s">
        <v>112</v>
      </c>
      <c r="F76" s="29" t="s">
        <v>112</v>
      </c>
      <c r="G76" s="26">
        <v>6140.0</v>
      </c>
      <c r="H76" s="26">
        <v>1348.0</v>
      </c>
      <c r="I76" s="26">
        <v>679.0</v>
      </c>
      <c r="J76" s="26">
        <v>669.0</v>
      </c>
      <c r="K76" s="26">
        <v>3546.0</v>
      </c>
      <c r="L76" s="26">
        <v>1856.0</v>
      </c>
      <c r="M76" s="26">
        <v>1665.0</v>
      </c>
      <c r="N76" s="26">
        <v>20.0</v>
      </c>
      <c r="O76" s="26">
        <v>5.0</v>
      </c>
      <c r="P76" s="26">
        <f t="shared" si="3"/>
        <v>1670</v>
      </c>
      <c r="Q76" s="26">
        <f t="shared" si="4"/>
        <v>1876</v>
      </c>
      <c r="R76" s="26">
        <f t="shared" si="5"/>
        <v>2390</v>
      </c>
      <c r="S76" s="26">
        <f t="shared" si="6"/>
        <v>2402</v>
      </c>
      <c r="T76" s="26">
        <f t="shared" ref="T76:U76" si="149">(P76/R76)*100</f>
        <v>69.87447699</v>
      </c>
      <c r="U76" s="26">
        <f t="shared" si="149"/>
        <v>78.10158201</v>
      </c>
      <c r="V76" s="26">
        <v>1246.0</v>
      </c>
      <c r="W76" s="26">
        <v>526.0</v>
      </c>
      <c r="X76" s="26">
        <v>720.0</v>
      </c>
      <c r="Y76" s="26">
        <v>0.0</v>
      </c>
      <c r="Z76" s="26">
        <v>7821.0</v>
      </c>
      <c r="AA76" s="26">
        <v>1704.0</v>
      </c>
      <c r="AB76" s="26">
        <v>879.0</v>
      </c>
      <c r="AC76" s="26">
        <v>825.0</v>
      </c>
      <c r="AD76" s="26">
        <v>5280.0</v>
      </c>
      <c r="AE76" s="26">
        <v>2735.0</v>
      </c>
      <c r="AF76" s="26">
        <v>2517.0</v>
      </c>
      <c r="AG76" s="26">
        <v>15.0</v>
      </c>
      <c r="AH76" s="26">
        <v>13.0</v>
      </c>
      <c r="AI76" s="26">
        <f t="shared" si="8"/>
        <v>2530</v>
      </c>
      <c r="AJ76" s="26">
        <f t="shared" si="9"/>
        <v>2750</v>
      </c>
      <c r="AK76" s="26">
        <f t="shared" si="10"/>
        <v>2942</v>
      </c>
      <c r="AL76" s="26">
        <f t="shared" si="11"/>
        <v>3039</v>
      </c>
      <c r="AM76" s="26">
        <f t="shared" ref="AM76:AN76" si="150">(AI76/AK76)*100</f>
        <v>85.99592114</v>
      </c>
      <c r="AN76" s="26">
        <f t="shared" si="150"/>
        <v>90.49029286</v>
      </c>
      <c r="AO76" s="26">
        <v>701.0</v>
      </c>
      <c r="AP76" s="26">
        <v>289.0</v>
      </c>
      <c r="AQ76" s="26">
        <v>412.0</v>
      </c>
      <c r="AR76" s="26">
        <v>136.0</v>
      </c>
      <c r="AS76" s="27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>
      <c r="A77" s="22">
        <v>2209.0</v>
      </c>
      <c r="B77" s="23" t="s">
        <v>25</v>
      </c>
      <c r="C77" s="29" t="s">
        <v>62</v>
      </c>
      <c r="D77" s="29" t="s">
        <v>107</v>
      </c>
      <c r="E77" s="29" t="s">
        <v>113</v>
      </c>
      <c r="F77" s="29" t="s">
        <v>113</v>
      </c>
      <c r="G77" s="26">
        <v>15030.0</v>
      </c>
      <c r="H77" s="26">
        <v>3647.0</v>
      </c>
      <c r="I77" s="26">
        <v>1868.0</v>
      </c>
      <c r="J77" s="26">
        <v>1779.0</v>
      </c>
      <c r="K77" s="26">
        <v>8373.0</v>
      </c>
      <c r="L77" s="26">
        <v>4362.0</v>
      </c>
      <c r="M77" s="26">
        <v>3974.0</v>
      </c>
      <c r="N77" s="26">
        <v>30.0</v>
      </c>
      <c r="O77" s="26">
        <v>7.0</v>
      </c>
      <c r="P77" s="26">
        <f t="shared" si="3"/>
        <v>3981</v>
      </c>
      <c r="Q77" s="26">
        <f t="shared" si="4"/>
        <v>4392</v>
      </c>
      <c r="R77" s="26">
        <f t="shared" si="5"/>
        <v>5811</v>
      </c>
      <c r="S77" s="26">
        <f t="shared" si="6"/>
        <v>5572</v>
      </c>
      <c r="T77" s="26">
        <f t="shared" ref="T77:U77" si="151">(P77/R77)*100</f>
        <v>68.50800207</v>
      </c>
      <c r="U77" s="26">
        <f t="shared" si="151"/>
        <v>78.82268485</v>
      </c>
      <c r="V77" s="26">
        <v>3010.0</v>
      </c>
      <c r="W77" s="26">
        <v>1180.0</v>
      </c>
      <c r="X77" s="26">
        <v>1830.0</v>
      </c>
      <c r="Y77" s="26">
        <v>0.0</v>
      </c>
      <c r="Z77" s="26">
        <v>16850.0</v>
      </c>
      <c r="AA77" s="26">
        <v>4062.0</v>
      </c>
      <c r="AB77" s="26">
        <v>2108.0</v>
      </c>
      <c r="AC77" s="26">
        <v>1954.0</v>
      </c>
      <c r="AD77" s="26">
        <v>10532.0</v>
      </c>
      <c r="AE77" s="26">
        <v>5428.0</v>
      </c>
      <c r="AF77" s="26">
        <v>5043.0</v>
      </c>
      <c r="AG77" s="26">
        <v>35.0</v>
      </c>
      <c r="AH77" s="26">
        <v>26.0</v>
      </c>
      <c r="AI77" s="26">
        <f t="shared" si="8"/>
        <v>5069</v>
      </c>
      <c r="AJ77" s="26">
        <f t="shared" si="9"/>
        <v>5463</v>
      </c>
      <c r="AK77" s="26">
        <f t="shared" si="10"/>
        <v>6196</v>
      </c>
      <c r="AL77" s="26">
        <f t="shared" si="11"/>
        <v>6173</v>
      </c>
      <c r="AM77" s="26">
        <f t="shared" ref="AM77:AN77" si="152">(AI77/AK77)*100</f>
        <v>81.81084571</v>
      </c>
      <c r="AN77" s="26">
        <f t="shared" si="152"/>
        <v>88.49829904</v>
      </c>
      <c r="AO77" s="26">
        <v>1837.0</v>
      </c>
      <c r="AP77" s="26">
        <v>710.0</v>
      </c>
      <c r="AQ77" s="26">
        <v>1127.0</v>
      </c>
      <c r="AR77" s="26">
        <v>419.0</v>
      </c>
      <c r="AS77" s="27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>
      <c r="A78" s="22">
        <v>2233.0</v>
      </c>
      <c r="B78" s="23" t="s">
        <v>25</v>
      </c>
      <c r="C78" s="29" t="s">
        <v>62</v>
      </c>
      <c r="D78" s="29" t="s">
        <v>107</v>
      </c>
      <c r="E78" s="29" t="s">
        <v>114</v>
      </c>
      <c r="F78" s="29" t="s">
        <v>114</v>
      </c>
      <c r="G78" s="26">
        <v>6587.0</v>
      </c>
      <c r="H78" s="26">
        <v>1299.0</v>
      </c>
      <c r="I78" s="26">
        <v>675.0</v>
      </c>
      <c r="J78" s="26">
        <v>624.0</v>
      </c>
      <c r="K78" s="26">
        <v>4051.0</v>
      </c>
      <c r="L78" s="26">
        <v>2101.0</v>
      </c>
      <c r="M78" s="26">
        <v>1922.0</v>
      </c>
      <c r="N78" s="26">
        <v>21.0</v>
      </c>
      <c r="O78" s="26">
        <v>7.0</v>
      </c>
      <c r="P78" s="26">
        <f t="shared" si="3"/>
        <v>1929</v>
      </c>
      <c r="Q78" s="26">
        <f t="shared" si="4"/>
        <v>2122</v>
      </c>
      <c r="R78" s="26">
        <f t="shared" si="5"/>
        <v>2662</v>
      </c>
      <c r="S78" s="26">
        <f t="shared" si="6"/>
        <v>2626</v>
      </c>
      <c r="T78" s="26">
        <f t="shared" ref="T78:U78" si="153">(P78/R78)*100</f>
        <v>72.46431255</v>
      </c>
      <c r="U78" s="26">
        <f t="shared" si="153"/>
        <v>80.8073115</v>
      </c>
      <c r="V78" s="26">
        <v>1237.0</v>
      </c>
      <c r="W78" s="26">
        <v>504.0</v>
      </c>
      <c r="X78" s="26">
        <v>733.0</v>
      </c>
      <c r="Y78" s="26">
        <v>0.0</v>
      </c>
      <c r="Z78" s="26">
        <v>7469.0</v>
      </c>
      <c r="AA78" s="26">
        <v>1500.0</v>
      </c>
      <c r="AB78" s="26">
        <v>765.0</v>
      </c>
      <c r="AC78" s="26">
        <v>735.0</v>
      </c>
      <c r="AD78" s="26">
        <v>4968.0</v>
      </c>
      <c r="AE78" s="26">
        <v>2460.0</v>
      </c>
      <c r="AF78" s="26">
        <v>2474.0</v>
      </c>
      <c r="AG78" s="26">
        <v>16.0</v>
      </c>
      <c r="AH78" s="26">
        <v>18.0</v>
      </c>
      <c r="AI78" s="26">
        <f t="shared" si="8"/>
        <v>2492</v>
      </c>
      <c r="AJ78" s="26">
        <f t="shared" si="9"/>
        <v>2476</v>
      </c>
      <c r="AK78" s="26">
        <f t="shared" si="10"/>
        <v>3044</v>
      </c>
      <c r="AL78" s="26">
        <f t="shared" si="11"/>
        <v>2765</v>
      </c>
      <c r="AM78" s="26">
        <f t="shared" ref="AM78:AN78" si="154">(AI78/AK78)*100</f>
        <v>81.86596583</v>
      </c>
      <c r="AN78" s="26">
        <f t="shared" si="154"/>
        <v>89.54792043</v>
      </c>
      <c r="AO78" s="26">
        <v>841.0</v>
      </c>
      <c r="AP78" s="26">
        <v>289.0</v>
      </c>
      <c r="AQ78" s="26">
        <v>552.0</v>
      </c>
      <c r="AR78" s="26">
        <v>160.0</v>
      </c>
      <c r="AS78" s="27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>
      <c r="A79" s="22">
        <v>2281.0</v>
      </c>
      <c r="B79" s="23" t="s">
        <v>25</v>
      </c>
      <c r="C79" s="29" t="s">
        <v>62</v>
      </c>
      <c r="D79" s="29" t="s">
        <v>115</v>
      </c>
      <c r="E79" s="29" t="s">
        <v>116</v>
      </c>
      <c r="F79" s="29" t="s">
        <v>116</v>
      </c>
      <c r="G79" s="26">
        <v>11133.0</v>
      </c>
      <c r="H79" s="26">
        <v>2665.0</v>
      </c>
      <c r="I79" s="26">
        <v>1338.0</v>
      </c>
      <c r="J79" s="26">
        <v>1327.0</v>
      </c>
      <c r="K79" s="26">
        <v>6811.0</v>
      </c>
      <c r="L79" s="26">
        <v>3762.0</v>
      </c>
      <c r="M79" s="26">
        <v>3014.0</v>
      </c>
      <c r="N79" s="26">
        <v>20.0</v>
      </c>
      <c r="O79" s="26">
        <v>15.0</v>
      </c>
      <c r="P79" s="26">
        <f t="shared" si="3"/>
        <v>3029</v>
      </c>
      <c r="Q79" s="26">
        <f t="shared" si="4"/>
        <v>3782</v>
      </c>
      <c r="R79" s="26">
        <f t="shared" si="5"/>
        <v>4124</v>
      </c>
      <c r="S79" s="26">
        <f t="shared" si="6"/>
        <v>4344</v>
      </c>
      <c r="T79" s="26">
        <f t="shared" ref="T79:U79" si="155">(P79/R79)*100</f>
        <v>73.44810863</v>
      </c>
      <c r="U79" s="26">
        <f t="shared" si="155"/>
        <v>87.0626151</v>
      </c>
      <c r="V79" s="26">
        <v>1657.0</v>
      </c>
      <c r="W79" s="26">
        <v>562.0</v>
      </c>
      <c r="X79" s="26">
        <v>1095.0</v>
      </c>
      <c r="Y79" s="26">
        <v>0.0</v>
      </c>
      <c r="Z79" s="26">
        <v>10563.0</v>
      </c>
      <c r="AA79" s="26">
        <v>2245.0</v>
      </c>
      <c r="AB79" s="26">
        <v>1128.0</v>
      </c>
      <c r="AC79" s="26">
        <v>1117.0</v>
      </c>
      <c r="AD79" s="26">
        <v>6868.0</v>
      </c>
      <c r="AE79" s="26">
        <v>3646.0</v>
      </c>
      <c r="AF79" s="26">
        <v>3160.0</v>
      </c>
      <c r="AG79" s="26">
        <v>46.0</v>
      </c>
      <c r="AH79" s="26">
        <v>16.0</v>
      </c>
      <c r="AI79" s="26">
        <f t="shared" si="8"/>
        <v>3176</v>
      </c>
      <c r="AJ79" s="26">
        <f t="shared" si="9"/>
        <v>3692</v>
      </c>
      <c r="AK79" s="26">
        <f t="shared" si="10"/>
        <v>3899</v>
      </c>
      <c r="AL79" s="26">
        <f t="shared" si="11"/>
        <v>4118</v>
      </c>
      <c r="AM79" s="26">
        <f t="shared" ref="AM79:AN79" si="156">(AI79/AK79)*100</f>
        <v>81.45678379</v>
      </c>
      <c r="AN79" s="26">
        <f t="shared" si="156"/>
        <v>89.65517241</v>
      </c>
      <c r="AO79" s="26">
        <v>1149.0</v>
      </c>
      <c r="AP79" s="26">
        <v>426.0</v>
      </c>
      <c r="AQ79" s="26">
        <v>723.0</v>
      </c>
      <c r="AR79" s="26">
        <v>301.0</v>
      </c>
      <c r="AS79" s="27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>
      <c r="A80" s="22">
        <v>2305.0</v>
      </c>
      <c r="B80" s="23" t="s">
        <v>25</v>
      </c>
      <c r="C80" s="29" t="s">
        <v>62</v>
      </c>
      <c r="D80" s="29" t="s">
        <v>115</v>
      </c>
      <c r="E80" s="29" t="s">
        <v>117</v>
      </c>
      <c r="F80" s="29" t="s">
        <v>117</v>
      </c>
      <c r="G80" s="26">
        <v>12474.0</v>
      </c>
      <c r="H80" s="26">
        <v>3252.0</v>
      </c>
      <c r="I80" s="26">
        <v>1686.0</v>
      </c>
      <c r="J80" s="26">
        <v>1566.0</v>
      </c>
      <c r="K80" s="26">
        <v>7520.0</v>
      </c>
      <c r="L80" s="26">
        <v>3961.0</v>
      </c>
      <c r="M80" s="26">
        <v>3545.0</v>
      </c>
      <c r="N80" s="26">
        <v>10.0</v>
      </c>
      <c r="O80" s="26">
        <v>4.0</v>
      </c>
      <c r="P80" s="26">
        <f t="shared" si="3"/>
        <v>3549</v>
      </c>
      <c r="Q80" s="26">
        <f t="shared" si="4"/>
        <v>3971</v>
      </c>
      <c r="R80" s="26">
        <f t="shared" si="5"/>
        <v>4607</v>
      </c>
      <c r="S80" s="26">
        <f t="shared" si="6"/>
        <v>4615</v>
      </c>
      <c r="T80" s="26">
        <f t="shared" ref="T80:U80" si="157">(P80/R80)*100</f>
        <v>77.03494682</v>
      </c>
      <c r="U80" s="26">
        <f t="shared" si="157"/>
        <v>86.04550379</v>
      </c>
      <c r="V80" s="26">
        <v>1702.0</v>
      </c>
      <c r="W80" s="26">
        <v>644.0</v>
      </c>
      <c r="X80" s="26">
        <v>1058.0</v>
      </c>
      <c r="Y80" s="26">
        <v>0.0</v>
      </c>
      <c r="Z80" s="26">
        <v>16318.0</v>
      </c>
      <c r="AA80" s="26">
        <v>3679.0</v>
      </c>
      <c r="AB80" s="26">
        <v>1889.0</v>
      </c>
      <c r="AC80" s="26">
        <v>1790.0</v>
      </c>
      <c r="AD80" s="26">
        <v>10759.0</v>
      </c>
      <c r="AE80" s="26">
        <v>5514.0</v>
      </c>
      <c r="AF80" s="26">
        <v>5162.0</v>
      </c>
      <c r="AG80" s="26">
        <v>61.0</v>
      </c>
      <c r="AH80" s="26">
        <v>22.0</v>
      </c>
      <c r="AI80" s="26">
        <f t="shared" si="8"/>
        <v>5184</v>
      </c>
      <c r="AJ80" s="26">
        <f t="shared" si="9"/>
        <v>5575</v>
      </c>
      <c r="AK80" s="26">
        <f t="shared" si="10"/>
        <v>6186</v>
      </c>
      <c r="AL80" s="26">
        <f t="shared" si="11"/>
        <v>6205</v>
      </c>
      <c r="AM80" s="26">
        <f t="shared" ref="AM80:AN80" si="158">(AI80/AK80)*100</f>
        <v>83.80213385</v>
      </c>
      <c r="AN80" s="26">
        <f t="shared" si="158"/>
        <v>89.84689766</v>
      </c>
      <c r="AO80" s="26">
        <v>1632.0</v>
      </c>
      <c r="AP80" s="26">
        <v>630.0</v>
      </c>
      <c r="AQ80" s="26">
        <v>1002.0</v>
      </c>
      <c r="AR80" s="26">
        <v>248.0</v>
      </c>
      <c r="AS80" s="27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>
      <c r="A81" s="22">
        <v>2329.0</v>
      </c>
      <c r="B81" s="23" t="s">
        <v>25</v>
      </c>
      <c r="C81" s="29" t="s">
        <v>62</v>
      </c>
      <c r="D81" s="29" t="s">
        <v>115</v>
      </c>
      <c r="E81" s="29" t="s">
        <v>118</v>
      </c>
      <c r="F81" s="29" t="s">
        <v>118</v>
      </c>
      <c r="G81" s="26">
        <v>7313.0</v>
      </c>
      <c r="H81" s="26">
        <v>2180.0</v>
      </c>
      <c r="I81" s="26">
        <v>1117.0</v>
      </c>
      <c r="J81" s="26">
        <v>1063.0</v>
      </c>
      <c r="K81" s="26">
        <v>3907.0</v>
      </c>
      <c r="L81" s="26">
        <v>2202.0</v>
      </c>
      <c r="M81" s="26">
        <v>1694.0</v>
      </c>
      <c r="N81" s="26">
        <v>10.0</v>
      </c>
      <c r="O81" s="26">
        <v>1.0</v>
      </c>
      <c r="P81" s="26">
        <f t="shared" si="3"/>
        <v>1695</v>
      </c>
      <c r="Q81" s="26">
        <f t="shared" si="4"/>
        <v>2212</v>
      </c>
      <c r="R81" s="26">
        <f t="shared" si="5"/>
        <v>2447</v>
      </c>
      <c r="S81" s="26">
        <f t="shared" si="6"/>
        <v>2686</v>
      </c>
      <c r="T81" s="26">
        <f t="shared" ref="T81:U81" si="159">(P81/R81)*100</f>
        <v>69.26849203</v>
      </c>
      <c r="U81" s="26">
        <f t="shared" si="159"/>
        <v>82.35294118</v>
      </c>
      <c r="V81" s="26">
        <v>1226.0</v>
      </c>
      <c r="W81" s="26">
        <v>474.0</v>
      </c>
      <c r="X81" s="26">
        <v>752.0</v>
      </c>
      <c r="Y81" s="26">
        <v>0.0</v>
      </c>
      <c r="Z81" s="26">
        <v>12165.0</v>
      </c>
      <c r="AA81" s="26">
        <v>2972.0</v>
      </c>
      <c r="AB81" s="26">
        <v>1519.0</v>
      </c>
      <c r="AC81" s="26">
        <v>1453.0</v>
      </c>
      <c r="AD81" s="26">
        <v>7432.0</v>
      </c>
      <c r="AE81" s="26">
        <v>4165.0</v>
      </c>
      <c r="AF81" s="26">
        <v>3134.0</v>
      </c>
      <c r="AG81" s="26">
        <v>91.0</v>
      </c>
      <c r="AH81" s="26">
        <v>42.0</v>
      </c>
      <c r="AI81" s="26">
        <f t="shared" si="8"/>
        <v>3176</v>
      </c>
      <c r="AJ81" s="26">
        <f t="shared" si="9"/>
        <v>4256</v>
      </c>
      <c r="AK81" s="26">
        <f t="shared" si="10"/>
        <v>4089</v>
      </c>
      <c r="AL81" s="26">
        <f t="shared" si="11"/>
        <v>4870</v>
      </c>
      <c r="AM81" s="26">
        <f t="shared" ref="AM81:AN81" si="160">(AI81/AK81)*100</f>
        <v>77.6718024</v>
      </c>
      <c r="AN81" s="26">
        <f t="shared" si="160"/>
        <v>87.39219713</v>
      </c>
      <c r="AO81" s="26">
        <v>1527.0</v>
      </c>
      <c r="AP81" s="26">
        <v>614.0</v>
      </c>
      <c r="AQ81" s="26">
        <v>913.0</v>
      </c>
      <c r="AR81" s="26">
        <v>234.0</v>
      </c>
      <c r="AS81" s="27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>
      <c r="A82" s="22">
        <v>2353.0</v>
      </c>
      <c r="B82" s="23" t="s">
        <v>25</v>
      </c>
      <c r="C82" s="29" t="s">
        <v>62</v>
      </c>
      <c r="D82" s="29" t="s">
        <v>115</v>
      </c>
      <c r="E82" s="29" t="s">
        <v>119</v>
      </c>
      <c r="F82" s="29" t="s">
        <v>119</v>
      </c>
      <c r="G82" s="26">
        <v>5168.0</v>
      </c>
      <c r="H82" s="26">
        <v>1432.0</v>
      </c>
      <c r="I82" s="26">
        <v>720.0</v>
      </c>
      <c r="J82" s="26">
        <v>712.0</v>
      </c>
      <c r="K82" s="26">
        <v>2625.0</v>
      </c>
      <c r="L82" s="26">
        <v>1561.0</v>
      </c>
      <c r="M82" s="26">
        <v>1027.0</v>
      </c>
      <c r="N82" s="26">
        <v>27.0</v>
      </c>
      <c r="O82" s="26">
        <v>10.0</v>
      </c>
      <c r="P82" s="26">
        <f t="shared" si="3"/>
        <v>1037</v>
      </c>
      <c r="Q82" s="26">
        <f t="shared" si="4"/>
        <v>1588</v>
      </c>
      <c r="R82" s="26">
        <f t="shared" si="5"/>
        <v>1764</v>
      </c>
      <c r="S82" s="26">
        <f t="shared" si="6"/>
        <v>1972</v>
      </c>
      <c r="T82" s="26">
        <f t="shared" ref="T82:U82" si="161">(P82/R82)*100</f>
        <v>58.78684807</v>
      </c>
      <c r="U82" s="26">
        <f t="shared" si="161"/>
        <v>80.52738337</v>
      </c>
      <c r="V82" s="26">
        <v>1111.0</v>
      </c>
      <c r="W82" s="26">
        <v>384.0</v>
      </c>
      <c r="X82" s="26">
        <v>727.0</v>
      </c>
      <c r="Y82" s="26">
        <v>0.0</v>
      </c>
      <c r="Z82" s="26">
        <v>5245.0</v>
      </c>
      <c r="AA82" s="26">
        <v>1461.0</v>
      </c>
      <c r="AB82" s="26">
        <v>814.0</v>
      </c>
      <c r="AC82" s="26">
        <v>647.0</v>
      </c>
      <c r="AD82" s="26">
        <v>3078.0</v>
      </c>
      <c r="AE82" s="26">
        <v>1735.0</v>
      </c>
      <c r="AF82" s="26">
        <v>1265.0</v>
      </c>
      <c r="AG82" s="26">
        <v>49.0</v>
      </c>
      <c r="AH82" s="26">
        <v>29.0</v>
      </c>
      <c r="AI82" s="26">
        <f t="shared" si="8"/>
        <v>1294</v>
      </c>
      <c r="AJ82" s="26">
        <f t="shared" si="9"/>
        <v>1784</v>
      </c>
      <c r="AK82" s="26">
        <f t="shared" si="10"/>
        <v>1705</v>
      </c>
      <c r="AL82" s="26">
        <f t="shared" si="11"/>
        <v>2018</v>
      </c>
      <c r="AM82" s="26">
        <f t="shared" ref="AM82:AN82" si="162">(AI82/AK82)*100</f>
        <v>75.89442815</v>
      </c>
      <c r="AN82" s="26">
        <f t="shared" si="162"/>
        <v>88.40436075</v>
      </c>
      <c r="AO82" s="26">
        <v>645.0</v>
      </c>
      <c r="AP82" s="26">
        <v>234.0</v>
      </c>
      <c r="AQ82" s="26">
        <v>411.0</v>
      </c>
      <c r="AR82" s="26">
        <v>61.0</v>
      </c>
      <c r="AS82" s="27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>
      <c r="A83" s="22">
        <v>2377.0</v>
      </c>
      <c r="B83" s="23" t="s">
        <v>25</v>
      </c>
      <c r="C83" s="29" t="s">
        <v>62</v>
      </c>
      <c r="D83" s="29" t="s">
        <v>115</v>
      </c>
      <c r="E83" s="29" t="s">
        <v>120</v>
      </c>
      <c r="F83" s="29" t="s">
        <v>120</v>
      </c>
      <c r="G83" s="26">
        <v>11351.0</v>
      </c>
      <c r="H83" s="26">
        <v>3404.0</v>
      </c>
      <c r="I83" s="26">
        <v>1687.0</v>
      </c>
      <c r="J83" s="26">
        <v>1717.0</v>
      </c>
      <c r="K83" s="26">
        <v>6324.0</v>
      </c>
      <c r="L83" s="26">
        <v>3673.0</v>
      </c>
      <c r="M83" s="26">
        <v>2637.0</v>
      </c>
      <c r="N83" s="26">
        <v>10.0</v>
      </c>
      <c r="O83" s="26">
        <v>4.0</v>
      </c>
      <c r="P83" s="26">
        <f t="shared" si="3"/>
        <v>2641</v>
      </c>
      <c r="Q83" s="26">
        <f t="shared" si="4"/>
        <v>3683</v>
      </c>
      <c r="R83" s="26">
        <f t="shared" si="5"/>
        <v>3734</v>
      </c>
      <c r="S83" s="26">
        <f t="shared" si="6"/>
        <v>4213</v>
      </c>
      <c r="T83" s="26">
        <f t="shared" ref="T83:U83" si="163">(P83/R83)*100</f>
        <v>70.72844135</v>
      </c>
      <c r="U83" s="26">
        <f t="shared" si="163"/>
        <v>87.41989081</v>
      </c>
      <c r="V83" s="26">
        <v>1623.0</v>
      </c>
      <c r="W83" s="26">
        <v>530.0</v>
      </c>
      <c r="X83" s="26">
        <v>1093.0</v>
      </c>
      <c r="Y83" s="26">
        <v>0.0</v>
      </c>
      <c r="Z83" s="26">
        <v>13477.0</v>
      </c>
      <c r="AA83" s="26">
        <v>3534.0</v>
      </c>
      <c r="AB83" s="26">
        <v>1813.0</v>
      </c>
      <c r="AC83" s="26">
        <v>1721.0</v>
      </c>
      <c r="AD83" s="26">
        <v>8238.0</v>
      </c>
      <c r="AE83" s="26">
        <v>4515.0</v>
      </c>
      <c r="AF83" s="26">
        <v>3626.0</v>
      </c>
      <c r="AG83" s="26">
        <v>61.0</v>
      </c>
      <c r="AH83" s="26">
        <v>36.0</v>
      </c>
      <c r="AI83" s="26">
        <f t="shared" si="8"/>
        <v>3662</v>
      </c>
      <c r="AJ83" s="26">
        <f t="shared" si="9"/>
        <v>4576</v>
      </c>
      <c r="AK83" s="26">
        <f t="shared" si="10"/>
        <v>4634</v>
      </c>
      <c r="AL83" s="26">
        <f t="shared" si="11"/>
        <v>5138</v>
      </c>
      <c r="AM83" s="26">
        <f t="shared" ref="AM83:AN83" si="164">(AI83/AK83)*100</f>
        <v>79.02460078</v>
      </c>
      <c r="AN83" s="26">
        <f t="shared" si="164"/>
        <v>89.06189179</v>
      </c>
      <c r="AO83" s="26">
        <v>1534.0</v>
      </c>
      <c r="AP83" s="26">
        <v>562.0</v>
      </c>
      <c r="AQ83" s="26">
        <v>972.0</v>
      </c>
      <c r="AR83" s="26">
        <v>171.0</v>
      </c>
      <c r="AS83" s="27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>
      <c r="A84" s="22">
        <v>2425.0</v>
      </c>
      <c r="B84" s="23" t="s">
        <v>25</v>
      </c>
      <c r="C84" s="29" t="s">
        <v>62</v>
      </c>
      <c r="D84" s="29" t="s">
        <v>121</v>
      </c>
      <c r="E84" s="29" t="s">
        <v>121</v>
      </c>
      <c r="F84" s="29" t="s">
        <v>121</v>
      </c>
      <c r="G84" s="26">
        <v>14713.0</v>
      </c>
      <c r="H84" s="26">
        <v>4519.0</v>
      </c>
      <c r="I84" s="26">
        <v>2311.0</v>
      </c>
      <c r="J84" s="26">
        <v>2208.0</v>
      </c>
      <c r="K84" s="26">
        <v>7755.0</v>
      </c>
      <c r="L84" s="26">
        <v>4757.0</v>
      </c>
      <c r="M84" s="26">
        <v>2971.0</v>
      </c>
      <c r="N84" s="26">
        <v>19.0</v>
      </c>
      <c r="O84" s="26">
        <v>8.0</v>
      </c>
      <c r="P84" s="26">
        <f t="shared" si="3"/>
        <v>2979</v>
      </c>
      <c r="Q84" s="26">
        <f t="shared" si="4"/>
        <v>4776</v>
      </c>
      <c r="R84" s="26">
        <f t="shared" si="5"/>
        <v>4619</v>
      </c>
      <c r="S84" s="26">
        <f t="shared" si="6"/>
        <v>5575</v>
      </c>
      <c r="T84" s="26">
        <f t="shared" ref="T84:U84" si="165">(P84/R84)*100</f>
        <v>64.49447932</v>
      </c>
      <c r="U84" s="26">
        <f t="shared" si="165"/>
        <v>85.66816143</v>
      </c>
      <c r="V84" s="26">
        <v>2439.0</v>
      </c>
      <c r="W84" s="26">
        <v>799.0</v>
      </c>
      <c r="X84" s="26">
        <v>1640.0</v>
      </c>
      <c r="Y84" s="26">
        <v>0.0</v>
      </c>
      <c r="Z84" s="26">
        <v>18512.0</v>
      </c>
      <c r="AA84" s="26">
        <v>4817.0</v>
      </c>
      <c r="AB84" s="26">
        <v>2469.0</v>
      </c>
      <c r="AC84" s="26">
        <v>2348.0</v>
      </c>
      <c r="AD84" s="26">
        <v>11305.0</v>
      </c>
      <c r="AE84" s="26">
        <v>6486.0</v>
      </c>
      <c r="AF84" s="26">
        <v>4654.0</v>
      </c>
      <c r="AG84" s="26">
        <v>113.0</v>
      </c>
      <c r="AH84" s="26">
        <v>52.0</v>
      </c>
      <c r="AI84" s="26">
        <f t="shared" si="8"/>
        <v>4706</v>
      </c>
      <c r="AJ84" s="26">
        <f t="shared" si="9"/>
        <v>6599</v>
      </c>
      <c r="AK84" s="26">
        <f t="shared" si="10"/>
        <v>6060</v>
      </c>
      <c r="AL84" s="26">
        <f t="shared" si="11"/>
        <v>7407</v>
      </c>
      <c r="AM84" s="26">
        <f t="shared" ref="AM84:AN84" si="166">(AI84/AK84)*100</f>
        <v>77.65676568</v>
      </c>
      <c r="AN84" s="26">
        <f t="shared" si="166"/>
        <v>89.09140003</v>
      </c>
      <c r="AO84" s="26">
        <v>2162.0</v>
      </c>
      <c r="AP84" s="26">
        <v>808.0</v>
      </c>
      <c r="AQ84" s="26">
        <v>1354.0</v>
      </c>
      <c r="AR84" s="26">
        <v>228.0</v>
      </c>
      <c r="AS84" s="27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>
      <c r="A85" s="22">
        <v>2449.0</v>
      </c>
      <c r="B85" s="23" t="s">
        <v>25</v>
      </c>
      <c r="C85" s="29" t="s">
        <v>62</v>
      </c>
      <c r="D85" s="29" t="s">
        <v>121</v>
      </c>
      <c r="E85" s="29" t="s">
        <v>122</v>
      </c>
      <c r="F85" s="29" t="s">
        <v>122</v>
      </c>
      <c r="G85" s="26">
        <v>8264.0</v>
      </c>
      <c r="H85" s="26">
        <v>2104.0</v>
      </c>
      <c r="I85" s="26">
        <v>1108.0</v>
      </c>
      <c r="J85" s="26">
        <v>996.0</v>
      </c>
      <c r="K85" s="26">
        <v>4272.0</v>
      </c>
      <c r="L85" s="26">
        <v>2857.0</v>
      </c>
      <c r="M85" s="26">
        <v>1389.0</v>
      </c>
      <c r="N85" s="26">
        <v>15.0</v>
      </c>
      <c r="O85" s="26">
        <v>11.0</v>
      </c>
      <c r="P85" s="26">
        <f t="shared" si="3"/>
        <v>1400</v>
      </c>
      <c r="Q85" s="26">
        <f t="shared" si="4"/>
        <v>2872</v>
      </c>
      <c r="R85" s="26">
        <f t="shared" si="5"/>
        <v>2735</v>
      </c>
      <c r="S85" s="26">
        <f t="shared" si="6"/>
        <v>3425</v>
      </c>
      <c r="T85" s="26">
        <f t="shared" ref="T85:U85" si="167">(P85/R85)*100</f>
        <v>51.18829982</v>
      </c>
      <c r="U85" s="26">
        <f t="shared" si="167"/>
        <v>83.8540146</v>
      </c>
      <c r="V85" s="26">
        <v>1888.0</v>
      </c>
      <c r="W85" s="26">
        <v>553.0</v>
      </c>
      <c r="X85" s="26">
        <v>1335.0</v>
      </c>
      <c r="Y85" s="26">
        <v>0.0</v>
      </c>
      <c r="Z85" s="26">
        <v>10750.0</v>
      </c>
      <c r="AA85" s="26">
        <v>2555.0</v>
      </c>
      <c r="AB85" s="26">
        <v>1330.0</v>
      </c>
      <c r="AC85" s="26">
        <v>1225.0</v>
      </c>
      <c r="AD85" s="26">
        <v>6287.0</v>
      </c>
      <c r="AE85" s="26">
        <v>3962.0</v>
      </c>
      <c r="AF85" s="26">
        <v>2165.0</v>
      </c>
      <c r="AG85" s="26">
        <v>86.0</v>
      </c>
      <c r="AH85" s="26">
        <v>74.0</v>
      </c>
      <c r="AI85" s="26">
        <f t="shared" si="8"/>
        <v>2239</v>
      </c>
      <c r="AJ85" s="26">
        <f t="shared" si="9"/>
        <v>4048</v>
      </c>
      <c r="AK85" s="26">
        <f t="shared" si="10"/>
        <v>3418</v>
      </c>
      <c r="AL85" s="26">
        <f t="shared" si="11"/>
        <v>4575</v>
      </c>
      <c r="AM85" s="26">
        <f t="shared" ref="AM85:AN85" si="168">(AI85/AK85)*100</f>
        <v>65.50614394</v>
      </c>
      <c r="AN85" s="26">
        <f t="shared" si="168"/>
        <v>88.48087432</v>
      </c>
      <c r="AO85" s="26">
        <v>1706.0</v>
      </c>
      <c r="AP85" s="26">
        <v>527.0</v>
      </c>
      <c r="AQ85" s="26">
        <v>1179.0</v>
      </c>
      <c r="AR85" s="26">
        <v>202.0</v>
      </c>
      <c r="AS85" s="27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>
      <c r="A86" s="22">
        <v>2473.0</v>
      </c>
      <c r="B86" s="23" t="s">
        <v>25</v>
      </c>
      <c r="C86" s="29" t="s">
        <v>62</v>
      </c>
      <c r="D86" s="29" t="s">
        <v>121</v>
      </c>
      <c r="E86" s="29" t="s">
        <v>123</v>
      </c>
      <c r="F86" s="29" t="s">
        <v>123</v>
      </c>
      <c r="G86" s="26">
        <v>10457.0</v>
      </c>
      <c r="H86" s="26">
        <v>3127.0</v>
      </c>
      <c r="I86" s="26">
        <v>1613.0</v>
      </c>
      <c r="J86" s="26">
        <v>1514.0</v>
      </c>
      <c r="K86" s="26">
        <v>5971.0</v>
      </c>
      <c r="L86" s="26">
        <v>3384.0</v>
      </c>
      <c r="M86" s="26">
        <v>2583.0</v>
      </c>
      <c r="N86" s="26">
        <v>3.0</v>
      </c>
      <c r="O86" s="26">
        <v>1.0</v>
      </c>
      <c r="P86" s="26">
        <f t="shared" si="3"/>
        <v>2584</v>
      </c>
      <c r="Q86" s="26">
        <f t="shared" si="4"/>
        <v>3387</v>
      </c>
      <c r="R86" s="26">
        <f t="shared" si="5"/>
        <v>3464</v>
      </c>
      <c r="S86" s="26">
        <f t="shared" si="6"/>
        <v>3866</v>
      </c>
      <c r="T86" s="26">
        <f t="shared" ref="T86:U86" si="169">(P86/R86)*100</f>
        <v>74.59584296</v>
      </c>
      <c r="U86" s="26">
        <f t="shared" si="169"/>
        <v>87.60993275</v>
      </c>
      <c r="V86" s="26">
        <v>1359.0</v>
      </c>
      <c r="W86" s="26">
        <v>479.0</v>
      </c>
      <c r="X86" s="26">
        <v>880.0</v>
      </c>
      <c r="Y86" s="26">
        <v>0.0</v>
      </c>
      <c r="Z86" s="26">
        <v>15448.0</v>
      </c>
      <c r="AA86" s="26">
        <v>4136.0</v>
      </c>
      <c r="AB86" s="26">
        <v>2068.0</v>
      </c>
      <c r="AC86" s="26">
        <v>2068.0</v>
      </c>
      <c r="AD86" s="26">
        <v>9381.0</v>
      </c>
      <c r="AE86" s="26">
        <v>5136.0</v>
      </c>
      <c r="AF86" s="26">
        <v>4111.0</v>
      </c>
      <c r="AG86" s="26">
        <v>83.0</v>
      </c>
      <c r="AH86" s="26">
        <v>51.0</v>
      </c>
      <c r="AI86" s="26">
        <f t="shared" si="8"/>
        <v>4162</v>
      </c>
      <c r="AJ86" s="26">
        <f t="shared" si="9"/>
        <v>5219</v>
      </c>
      <c r="AK86" s="26">
        <f t="shared" si="10"/>
        <v>5276</v>
      </c>
      <c r="AL86" s="26">
        <f t="shared" si="11"/>
        <v>5803</v>
      </c>
      <c r="AM86" s="26">
        <f t="shared" ref="AM86:AN86" si="170">(AI86/AK86)*100</f>
        <v>78.88551933</v>
      </c>
      <c r="AN86" s="26">
        <f t="shared" si="170"/>
        <v>89.93623988</v>
      </c>
      <c r="AO86" s="26">
        <v>1698.0</v>
      </c>
      <c r="AP86" s="26">
        <v>584.0</v>
      </c>
      <c r="AQ86" s="26">
        <v>1114.0</v>
      </c>
      <c r="AR86" s="26">
        <v>233.0</v>
      </c>
      <c r="AS86" s="27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>
      <c r="A87" s="22">
        <v>2497.0</v>
      </c>
      <c r="B87" s="23" t="s">
        <v>25</v>
      </c>
      <c r="C87" s="29" t="s">
        <v>62</v>
      </c>
      <c r="D87" s="29" t="s">
        <v>121</v>
      </c>
      <c r="E87" s="29" t="s">
        <v>124</v>
      </c>
      <c r="F87" s="29" t="s">
        <v>124</v>
      </c>
      <c r="G87" s="26">
        <v>19618.0</v>
      </c>
      <c r="H87" s="26">
        <v>6218.0</v>
      </c>
      <c r="I87" s="26">
        <v>3226.0</v>
      </c>
      <c r="J87" s="26">
        <v>2992.0</v>
      </c>
      <c r="K87" s="26">
        <v>9046.0</v>
      </c>
      <c r="L87" s="26">
        <v>6013.0</v>
      </c>
      <c r="M87" s="26">
        <v>2963.0</v>
      </c>
      <c r="N87" s="26">
        <v>57.0</v>
      </c>
      <c r="O87" s="26">
        <v>13.0</v>
      </c>
      <c r="P87" s="26">
        <f t="shared" si="3"/>
        <v>2976</v>
      </c>
      <c r="Q87" s="26">
        <f t="shared" si="4"/>
        <v>6070</v>
      </c>
      <c r="R87" s="26">
        <f t="shared" si="5"/>
        <v>6042</v>
      </c>
      <c r="S87" s="26">
        <f t="shared" si="6"/>
        <v>7358</v>
      </c>
      <c r="T87" s="26">
        <f t="shared" ref="T87:U87" si="171">(P87/R87)*100</f>
        <v>49.25521351</v>
      </c>
      <c r="U87" s="26">
        <f t="shared" si="171"/>
        <v>82.49524327</v>
      </c>
      <c r="V87" s="26">
        <v>4354.0</v>
      </c>
      <c r="W87" s="26">
        <v>1288.0</v>
      </c>
      <c r="X87" s="26">
        <v>3066.0</v>
      </c>
      <c r="Y87" s="26">
        <v>0.0</v>
      </c>
      <c r="Z87" s="26">
        <v>23228.0</v>
      </c>
      <c r="AA87" s="26">
        <v>6411.0</v>
      </c>
      <c r="AB87" s="26">
        <v>3291.0</v>
      </c>
      <c r="AC87" s="26">
        <v>3120.0</v>
      </c>
      <c r="AD87" s="26">
        <v>12173.0</v>
      </c>
      <c r="AE87" s="26">
        <v>7292.0</v>
      </c>
      <c r="AF87" s="26">
        <v>4689.0</v>
      </c>
      <c r="AG87" s="26">
        <v>120.0</v>
      </c>
      <c r="AH87" s="26">
        <v>72.0</v>
      </c>
      <c r="AI87" s="26">
        <f t="shared" si="8"/>
        <v>4761</v>
      </c>
      <c r="AJ87" s="26">
        <f t="shared" si="9"/>
        <v>7412</v>
      </c>
      <c r="AK87" s="26">
        <f t="shared" si="10"/>
        <v>7492</v>
      </c>
      <c r="AL87" s="26">
        <f t="shared" si="11"/>
        <v>8656</v>
      </c>
      <c r="AM87" s="26">
        <f t="shared" ref="AM87:AN87" si="172">(AI87/AK87)*100</f>
        <v>63.5477843</v>
      </c>
      <c r="AN87" s="26">
        <f t="shared" si="172"/>
        <v>85.6284658</v>
      </c>
      <c r="AO87" s="26">
        <v>3975.0</v>
      </c>
      <c r="AP87" s="26">
        <v>1244.0</v>
      </c>
      <c r="AQ87" s="26">
        <v>2731.0</v>
      </c>
      <c r="AR87" s="26">
        <v>669.0</v>
      </c>
      <c r="AS87" s="27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>
      <c r="A88" s="22">
        <v>2521.0</v>
      </c>
      <c r="B88" s="23" t="s">
        <v>25</v>
      </c>
      <c r="C88" s="29" t="s">
        <v>62</v>
      </c>
      <c r="D88" s="29" t="s">
        <v>121</v>
      </c>
      <c r="E88" s="29" t="s">
        <v>125</v>
      </c>
      <c r="F88" s="29" t="s">
        <v>125</v>
      </c>
      <c r="G88" s="26">
        <v>7909.0</v>
      </c>
      <c r="H88" s="26">
        <v>2480.0</v>
      </c>
      <c r="I88" s="26">
        <v>1274.0</v>
      </c>
      <c r="J88" s="26">
        <v>1206.0</v>
      </c>
      <c r="K88" s="26">
        <v>4086.0</v>
      </c>
      <c r="L88" s="26">
        <v>2403.0</v>
      </c>
      <c r="M88" s="26">
        <v>1664.0</v>
      </c>
      <c r="N88" s="26">
        <v>12.0</v>
      </c>
      <c r="O88" s="26">
        <v>7.0</v>
      </c>
      <c r="P88" s="26">
        <f t="shared" si="3"/>
        <v>1671</v>
      </c>
      <c r="Q88" s="26">
        <f t="shared" si="4"/>
        <v>2415</v>
      </c>
      <c r="R88" s="26">
        <f t="shared" si="5"/>
        <v>2543</v>
      </c>
      <c r="S88" s="26">
        <f t="shared" si="6"/>
        <v>2886</v>
      </c>
      <c r="T88" s="26">
        <f t="shared" ref="T88:U88" si="173">(P88/R88)*100</f>
        <v>65.70979158</v>
      </c>
      <c r="U88" s="26">
        <f t="shared" si="173"/>
        <v>83.67983368</v>
      </c>
      <c r="V88" s="26">
        <v>1343.0</v>
      </c>
      <c r="W88" s="26">
        <v>471.0</v>
      </c>
      <c r="X88" s="26">
        <v>872.0</v>
      </c>
      <c r="Y88" s="26">
        <v>0.0</v>
      </c>
      <c r="Z88" s="26">
        <v>9476.0</v>
      </c>
      <c r="AA88" s="26">
        <v>2415.0</v>
      </c>
      <c r="AB88" s="26">
        <v>1251.0</v>
      </c>
      <c r="AC88" s="26">
        <v>1164.0</v>
      </c>
      <c r="AD88" s="26">
        <v>5672.0</v>
      </c>
      <c r="AE88" s="26">
        <v>3185.0</v>
      </c>
      <c r="AF88" s="26">
        <v>2367.0</v>
      </c>
      <c r="AG88" s="26">
        <v>86.0</v>
      </c>
      <c r="AH88" s="26">
        <v>34.0</v>
      </c>
      <c r="AI88" s="26">
        <f t="shared" si="8"/>
        <v>2401</v>
      </c>
      <c r="AJ88" s="26">
        <f t="shared" si="9"/>
        <v>3271</v>
      </c>
      <c r="AK88" s="26">
        <f t="shared" si="10"/>
        <v>3142</v>
      </c>
      <c r="AL88" s="26">
        <f t="shared" si="11"/>
        <v>3760</v>
      </c>
      <c r="AM88" s="26">
        <f t="shared" ref="AM88:AN88" si="174">(AI88/AK88)*100</f>
        <v>76.41629535</v>
      </c>
      <c r="AN88" s="26">
        <f t="shared" si="174"/>
        <v>86.99468085</v>
      </c>
      <c r="AO88" s="26">
        <v>1230.0</v>
      </c>
      <c r="AP88" s="26">
        <v>489.0</v>
      </c>
      <c r="AQ88" s="26">
        <v>741.0</v>
      </c>
      <c r="AR88" s="26">
        <v>159.0</v>
      </c>
      <c r="AS88" s="27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>
      <c r="A89" s="22">
        <v>2545.0</v>
      </c>
      <c r="B89" s="23" t="s">
        <v>25</v>
      </c>
      <c r="C89" s="29" t="s">
        <v>62</v>
      </c>
      <c r="D89" s="29" t="s">
        <v>121</v>
      </c>
      <c r="E89" s="29" t="s">
        <v>126</v>
      </c>
      <c r="F89" s="29" t="s">
        <v>126</v>
      </c>
      <c r="G89" s="26">
        <v>5488.0</v>
      </c>
      <c r="H89" s="26">
        <v>1307.0</v>
      </c>
      <c r="I89" s="26">
        <v>682.0</v>
      </c>
      <c r="J89" s="26">
        <v>625.0</v>
      </c>
      <c r="K89" s="26">
        <v>2966.0</v>
      </c>
      <c r="L89" s="26">
        <v>1683.0</v>
      </c>
      <c r="M89" s="26">
        <v>1223.0</v>
      </c>
      <c r="N89" s="26">
        <v>44.0</v>
      </c>
      <c r="O89" s="26">
        <v>16.0</v>
      </c>
      <c r="P89" s="26">
        <f t="shared" si="3"/>
        <v>1239</v>
      </c>
      <c r="Q89" s="26">
        <f t="shared" si="4"/>
        <v>1727</v>
      </c>
      <c r="R89" s="26">
        <f t="shared" si="5"/>
        <v>2003</v>
      </c>
      <c r="S89" s="26">
        <f t="shared" si="6"/>
        <v>2178</v>
      </c>
      <c r="T89" s="26">
        <f t="shared" ref="T89:U89" si="175">(P89/R89)*100</f>
        <v>61.85721418</v>
      </c>
      <c r="U89" s="26">
        <f t="shared" si="175"/>
        <v>79.29292929</v>
      </c>
      <c r="V89" s="26">
        <v>1215.0</v>
      </c>
      <c r="W89" s="26">
        <v>451.0</v>
      </c>
      <c r="X89" s="26">
        <v>764.0</v>
      </c>
      <c r="Y89" s="26">
        <v>0.0</v>
      </c>
      <c r="Z89" s="26">
        <v>7796.0</v>
      </c>
      <c r="AA89" s="26">
        <v>2251.0</v>
      </c>
      <c r="AB89" s="26">
        <v>1153.0</v>
      </c>
      <c r="AC89" s="26">
        <v>1098.0</v>
      </c>
      <c r="AD89" s="26">
        <v>4245.0</v>
      </c>
      <c r="AE89" s="26">
        <v>2193.0</v>
      </c>
      <c r="AF89" s="26">
        <v>1940.0</v>
      </c>
      <c r="AG89" s="26">
        <v>64.0</v>
      </c>
      <c r="AH89" s="26">
        <v>48.0</v>
      </c>
      <c r="AI89" s="26">
        <f t="shared" si="8"/>
        <v>1988</v>
      </c>
      <c r="AJ89" s="26">
        <f t="shared" si="9"/>
        <v>2257</v>
      </c>
      <c r="AK89" s="26">
        <f t="shared" si="10"/>
        <v>2702</v>
      </c>
      <c r="AL89" s="26">
        <f t="shared" si="11"/>
        <v>2675</v>
      </c>
      <c r="AM89" s="26">
        <f t="shared" ref="AM89:AN89" si="176">(AI89/AK89)*100</f>
        <v>73.57512953</v>
      </c>
      <c r="AN89" s="26">
        <f t="shared" si="176"/>
        <v>84.37383178</v>
      </c>
      <c r="AO89" s="26">
        <v>1132.0</v>
      </c>
      <c r="AP89" s="26">
        <v>418.0</v>
      </c>
      <c r="AQ89" s="26">
        <v>714.0</v>
      </c>
      <c r="AR89" s="26">
        <v>168.0</v>
      </c>
      <c r="AS89" s="27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>
      <c r="A90" s="22">
        <v>2593.0</v>
      </c>
      <c r="B90" s="23" t="s">
        <v>25</v>
      </c>
      <c r="C90" s="29" t="s">
        <v>62</v>
      </c>
      <c r="D90" s="29" t="s">
        <v>127</v>
      </c>
      <c r="E90" s="29" t="s">
        <v>128</v>
      </c>
      <c r="F90" s="29" t="s">
        <v>128</v>
      </c>
      <c r="G90" s="26">
        <v>17819.0</v>
      </c>
      <c r="H90" s="26">
        <v>4840.0</v>
      </c>
      <c r="I90" s="26">
        <v>2500.0</v>
      </c>
      <c r="J90" s="26">
        <v>2340.0</v>
      </c>
      <c r="K90" s="26">
        <v>10744.0</v>
      </c>
      <c r="L90" s="26">
        <v>5489.0</v>
      </c>
      <c r="M90" s="26">
        <v>5234.0</v>
      </c>
      <c r="N90" s="26">
        <v>12.0</v>
      </c>
      <c r="O90" s="26">
        <v>9.0</v>
      </c>
      <c r="P90" s="26">
        <f t="shared" si="3"/>
        <v>5243</v>
      </c>
      <c r="Q90" s="26">
        <f t="shared" si="4"/>
        <v>5501</v>
      </c>
      <c r="R90" s="26">
        <f t="shared" si="5"/>
        <v>6520</v>
      </c>
      <c r="S90" s="26">
        <f t="shared" si="6"/>
        <v>6459</v>
      </c>
      <c r="T90" s="26">
        <f t="shared" ref="T90:U90" si="177">(P90/R90)*100</f>
        <v>80.41411043</v>
      </c>
      <c r="U90" s="26">
        <f t="shared" si="177"/>
        <v>85.16798266</v>
      </c>
      <c r="V90" s="26">
        <v>2235.0</v>
      </c>
      <c r="W90" s="26">
        <v>958.0</v>
      </c>
      <c r="X90" s="26">
        <v>1277.0</v>
      </c>
      <c r="Y90" s="26">
        <v>0.0</v>
      </c>
      <c r="Z90" s="26">
        <v>18149.0</v>
      </c>
      <c r="AA90" s="26">
        <v>4471.0</v>
      </c>
      <c r="AB90" s="26">
        <v>2322.0</v>
      </c>
      <c r="AC90" s="26">
        <v>2149.0</v>
      </c>
      <c r="AD90" s="26">
        <v>11643.0</v>
      </c>
      <c r="AE90" s="26">
        <v>5783.0</v>
      </c>
      <c r="AF90" s="26">
        <v>5721.0</v>
      </c>
      <c r="AG90" s="26">
        <v>83.0</v>
      </c>
      <c r="AH90" s="26">
        <v>56.0</v>
      </c>
      <c r="AI90" s="26">
        <f t="shared" si="8"/>
        <v>5777</v>
      </c>
      <c r="AJ90" s="26">
        <f t="shared" si="9"/>
        <v>5866</v>
      </c>
      <c r="AK90" s="26">
        <f t="shared" si="10"/>
        <v>6847</v>
      </c>
      <c r="AL90" s="26">
        <f t="shared" si="11"/>
        <v>6593</v>
      </c>
      <c r="AM90" s="26">
        <f t="shared" ref="AM90:AN90" si="178">(AI90/AK90)*100</f>
        <v>84.37271798</v>
      </c>
      <c r="AN90" s="26">
        <f t="shared" si="178"/>
        <v>88.97315334</v>
      </c>
      <c r="AO90" s="26">
        <v>1797.0</v>
      </c>
      <c r="AP90" s="26">
        <v>727.0</v>
      </c>
      <c r="AQ90" s="26">
        <v>1070.0</v>
      </c>
      <c r="AR90" s="26">
        <v>238.0</v>
      </c>
      <c r="AS90" s="27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>
      <c r="A91" s="22">
        <v>2617.0</v>
      </c>
      <c r="B91" s="23" t="s">
        <v>25</v>
      </c>
      <c r="C91" s="29" t="s">
        <v>62</v>
      </c>
      <c r="D91" s="29" t="s">
        <v>127</v>
      </c>
      <c r="E91" s="29" t="s">
        <v>129</v>
      </c>
      <c r="F91" s="29" t="s">
        <v>129</v>
      </c>
      <c r="G91" s="26">
        <v>17268.0</v>
      </c>
      <c r="H91" s="26">
        <v>4578.0</v>
      </c>
      <c r="I91" s="26">
        <v>2317.0</v>
      </c>
      <c r="J91" s="26">
        <v>2261.0</v>
      </c>
      <c r="K91" s="26">
        <v>10413.0</v>
      </c>
      <c r="L91" s="26">
        <v>6129.0</v>
      </c>
      <c r="M91" s="26">
        <v>4266.0</v>
      </c>
      <c r="N91" s="26">
        <v>14.0</v>
      </c>
      <c r="O91" s="26">
        <v>4.0</v>
      </c>
      <c r="P91" s="26">
        <f t="shared" si="3"/>
        <v>4270</v>
      </c>
      <c r="Q91" s="26">
        <f t="shared" si="4"/>
        <v>6143</v>
      </c>
      <c r="R91" s="26">
        <f t="shared" si="5"/>
        <v>5682</v>
      </c>
      <c r="S91" s="26">
        <f t="shared" si="6"/>
        <v>7008</v>
      </c>
      <c r="T91" s="26">
        <f t="shared" ref="T91:U91" si="179">(P91/R91)*100</f>
        <v>75.14959521</v>
      </c>
      <c r="U91" s="26">
        <f t="shared" si="179"/>
        <v>87.65696347</v>
      </c>
      <c r="V91" s="26">
        <v>2277.0</v>
      </c>
      <c r="W91" s="26">
        <v>865.0</v>
      </c>
      <c r="X91" s="26">
        <v>1412.0</v>
      </c>
      <c r="Y91" s="26">
        <v>0.0</v>
      </c>
      <c r="Z91" s="26">
        <v>23005.0</v>
      </c>
      <c r="AA91" s="26">
        <v>5511.0</v>
      </c>
      <c r="AB91" s="26">
        <v>2810.0</v>
      </c>
      <c r="AC91" s="26">
        <v>2701.0</v>
      </c>
      <c r="AD91" s="26">
        <v>14683.0</v>
      </c>
      <c r="AE91" s="26">
        <v>8601.0</v>
      </c>
      <c r="AF91" s="26">
        <v>5919.0</v>
      </c>
      <c r="AG91" s="26">
        <v>99.0</v>
      </c>
      <c r="AH91" s="26">
        <v>64.0</v>
      </c>
      <c r="AI91" s="26">
        <f t="shared" si="8"/>
        <v>5983</v>
      </c>
      <c r="AJ91" s="26">
        <f t="shared" si="9"/>
        <v>8700</v>
      </c>
      <c r="AK91" s="26">
        <f t="shared" si="10"/>
        <v>7479</v>
      </c>
      <c r="AL91" s="26">
        <f t="shared" si="11"/>
        <v>9636</v>
      </c>
      <c r="AM91" s="26">
        <f t="shared" ref="AM91:AN91" si="180">(AI91/AK91)*100</f>
        <v>79.99732585</v>
      </c>
      <c r="AN91" s="26">
        <f t="shared" si="180"/>
        <v>90.2864259</v>
      </c>
      <c r="AO91" s="26">
        <v>2432.0</v>
      </c>
      <c r="AP91" s="26">
        <v>936.0</v>
      </c>
      <c r="AQ91" s="26">
        <v>1496.0</v>
      </c>
      <c r="AR91" s="26">
        <v>379.0</v>
      </c>
      <c r="AS91" s="27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>
      <c r="A92" s="22">
        <v>2641.0</v>
      </c>
      <c r="B92" s="23" t="s">
        <v>25</v>
      </c>
      <c r="C92" s="29" t="s">
        <v>62</v>
      </c>
      <c r="D92" s="29" t="s">
        <v>127</v>
      </c>
      <c r="E92" s="29" t="s">
        <v>130</v>
      </c>
      <c r="F92" s="29" t="s">
        <v>130</v>
      </c>
      <c r="G92" s="26">
        <v>6411.0</v>
      </c>
      <c r="H92" s="26">
        <v>1618.0</v>
      </c>
      <c r="I92" s="26">
        <v>780.0</v>
      </c>
      <c r="J92" s="26">
        <v>838.0</v>
      </c>
      <c r="K92" s="26">
        <v>3566.0</v>
      </c>
      <c r="L92" s="26">
        <v>2236.0</v>
      </c>
      <c r="M92" s="26">
        <v>1309.0</v>
      </c>
      <c r="N92" s="26">
        <v>14.0</v>
      </c>
      <c r="O92" s="26">
        <v>7.0</v>
      </c>
      <c r="P92" s="26">
        <f t="shared" si="3"/>
        <v>1316</v>
      </c>
      <c r="Q92" s="26">
        <f t="shared" si="4"/>
        <v>2250</v>
      </c>
      <c r="R92" s="26">
        <f t="shared" si="5"/>
        <v>2144</v>
      </c>
      <c r="S92" s="26">
        <f t="shared" si="6"/>
        <v>2649</v>
      </c>
      <c r="T92" s="26">
        <f t="shared" ref="T92:U92" si="181">(P92/R92)*100</f>
        <v>61.38059701</v>
      </c>
      <c r="U92" s="26">
        <f t="shared" si="181"/>
        <v>84.93771234</v>
      </c>
      <c r="V92" s="26">
        <v>1227.0</v>
      </c>
      <c r="W92" s="26">
        <v>399.0</v>
      </c>
      <c r="X92" s="26">
        <v>828.0</v>
      </c>
      <c r="Y92" s="26">
        <v>0.0</v>
      </c>
      <c r="Z92" s="26">
        <v>7571.0</v>
      </c>
      <c r="AA92" s="26">
        <v>1702.0</v>
      </c>
      <c r="AB92" s="26">
        <v>843.0</v>
      </c>
      <c r="AC92" s="26">
        <v>859.0</v>
      </c>
      <c r="AD92" s="26">
        <v>4414.0</v>
      </c>
      <c r="AE92" s="26">
        <v>2491.0</v>
      </c>
      <c r="AF92" s="26">
        <v>1844.0</v>
      </c>
      <c r="AG92" s="26">
        <v>50.0</v>
      </c>
      <c r="AH92" s="26">
        <v>29.0</v>
      </c>
      <c r="AI92" s="26">
        <f t="shared" si="8"/>
        <v>1873</v>
      </c>
      <c r="AJ92" s="26">
        <f t="shared" si="9"/>
        <v>2541</v>
      </c>
      <c r="AK92" s="26">
        <f t="shared" si="10"/>
        <v>2730</v>
      </c>
      <c r="AL92" s="26">
        <f t="shared" si="11"/>
        <v>3012</v>
      </c>
      <c r="AM92" s="26">
        <f t="shared" ref="AM92:AN92" si="182">(AI92/AK92)*100</f>
        <v>68.60805861</v>
      </c>
      <c r="AN92" s="26">
        <f t="shared" si="182"/>
        <v>84.3625498</v>
      </c>
      <c r="AO92" s="26">
        <v>1328.0</v>
      </c>
      <c r="AP92" s="26">
        <v>471.0</v>
      </c>
      <c r="AQ92" s="26">
        <v>857.0</v>
      </c>
      <c r="AR92" s="26">
        <v>127.0</v>
      </c>
      <c r="AS92" s="27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>
      <c r="A93" s="22">
        <v>2665.0</v>
      </c>
      <c r="B93" s="23" t="s">
        <v>25</v>
      </c>
      <c r="C93" s="29" t="s">
        <v>62</v>
      </c>
      <c r="D93" s="29" t="s">
        <v>127</v>
      </c>
      <c r="E93" s="29" t="s">
        <v>131</v>
      </c>
      <c r="F93" s="29" t="s">
        <v>131</v>
      </c>
      <c r="G93" s="26">
        <v>24716.0</v>
      </c>
      <c r="H93" s="26">
        <v>8016.0</v>
      </c>
      <c r="I93" s="26">
        <v>4167.0</v>
      </c>
      <c r="J93" s="26">
        <v>3849.0</v>
      </c>
      <c r="K93" s="26">
        <v>13292.0</v>
      </c>
      <c r="L93" s="26">
        <v>8040.0</v>
      </c>
      <c r="M93" s="26">
        <v>5212.0</v>
      </c>
      <c r="N93" s="26">
        <v>28.0</v>
      </c>
      <c r="O93" s="26">
        <v>12.0</v>
      </c>
      <c r="P93" s="26">
        <f t="shared" si="3"/>
        <v>5224</v>
      </c>
      <c r="Q93" s="26">
        <f t="shared" si="4"/>
        <v>8068</v>
      </c>
      <c r="R93" s="26">
        <f t="shared" si="5"/>
        <v>7424</v>
      </c>
      <c r="S93" s="26">
        <f t="shared" si="6"/>
        <v>9276</v>
      </c>
      <c r="T93" s="26">
        <f t="shared" ref="T93:U93" si="183">(P93/R93)*100</f>
        <v>70.36637931</v>
      </c>
      <c r="U93" s="26">
        <f t="shared" si="183"/>
        <v>86.97714532</v>
      </c>
      <c r="V93" s="26">
        <v>3408.0</v>
      </c>
      <c r="W93" s="26">
        <v>1208.0</v>
      </c>
      <c r="X93" s="26">
        <v>2200.0</v>
      </c>
      <c r="Y93" s="26">
        <v>0.0</v>
      </c>
      <c r="Z93" s="26">
        <v>26891.0</v>
      </c>
      <c r="AA93" s="26">
        <v>7284.0</v>
      </c>
      <c r="AB93" s="26">
        <v>3700.0</v>
      </c>
      <c r="AC93" s="26">
        <v>3584.0</v>
      </c>
      <c r="AD93" s="26">
        <v>16356.0</v>
      </c>
      <c r="AE93" s="26">
        <v>9215.0</v>
      </c>
      <c r="AF93" s="26">
        <v>6937.0</v>
      </c>
      <c r="AG93" s="26">
        <v>116.0</v>
      </c>
      <c r="AH93" s="26">
        <v>88.0</v>
      </c>
      <c r="AI93" s="26">
        <f t="shared" si="8"/>
        <v>7025</v>
      </c>
      <c r="AJ93" s="26">
        <f t="shared" si="9"/>
        <v>9331</v>
      </c>
      <c r="AK93" s="26">
        <f t="shared" si="10"/>
        <v>8829</v>
      </c>
      <c r="AL93" s="26">
        <f t="shared" si="11"/>
        <v>10252</v>
      </c>
      <c r="AM93" s="26">
        <f t="shared" ref="AM93:AN93" si="184">(AI93/AK93)*100</f>
        <v>79.56733492</v>
      </c>
      <c r="AN93" s="26">
        <f t="shared" si="184"/>
        <v>91.01638705</v>
      </c>
      <c r="AO93" s="26">
        <v>2725.0</v>
      </c>
      <c r="AP93" s="26">
        <v>921.0</v>
      </c>
      <c r="AQ93" s="26">
        <v>1804.0</v>
      </c>
      <c r="AR93" s="26">
        <v>526.0</v>
      </c>
      <c r="AS93" s="27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>
      <c r="A94" s="22">
        <v>2689.0</v>
      </c>
      <c r="B94" s="23" t="s">
        <v>25</v>
      </c>
      <c r="C94" s="29" t="s">
        <v>62</v>
      </c>
      <c r="D94" s="29" t="s">
        <v>127</v>
      </c>
      <c r="E94" s="29" t="s">
        <v>132</v>
      </c>
      <c r="F94" s="29" t="s">
        <v>132</v>
      </c>
      <c r="G94" s="26">
        <v>40175.0</v>
      </c>
      <c r="H94" s="26">
        <v>13430.0</v>
      </c>
      <c r="I94" s="26">
        <v>6908.0</v>
      </c>
      <c r="J94" s="26">
        <v>6522.0</v>
      </c>
      <c r="K94" s="26">
        <v>23134.0</v>
      </c>
      <c r="L94" s="26">
        <v>12674.0</v>
      </c>
      <c r="M94" s="26">
        <v>10423.0</v>
      </c>
      <c r="N94" s="26">
        <v>20.0</v>
      </c>
      <c r="O94" s="26">
        <v>17.0</v>
      </c>
      <c r="P94" s="26">
        <f t="shared" si="3"/>
        <v>10440</v>
      </c>
      <c r="Q94" s="26">
        <f t="shared" si="4"/>
        <v>12694</v>
      </c>
      <c r="R94" s="26">
        <f t="shared" si="5"/>
        <v>12346</v>
      </c>
      <c r="S94" s="26">
        <f t="shared" si="6"/>
        <v>14399</v>
      </c>
      <c r="T94" s="26">
        <f t="shared" ref="T94:U94" si="185">(P94/R94)*100</f>
        <v>84.56180139</v>
      </c>
      <c r="U94" s="26">
        <f t="shared" si="185"/>
        <v>88.15889992</v>
      </c>
      <c r="V94" s="26">
        <v>3611.0</v>
      </c>
      <c r="W94" s="26">
        <v>1705.0</v>
      </c>
      <c r="X94" s="26">
        <v>1906.0</v>
      </c>
      <c r="Y94" s="26">
        <v>0.0</v>
      </c>
      <c r="Z94" s="26">
        <v>45226.0</v>
      </c>
      <c r="AA94" s="26">
        <v>13294.0</v>
      </c>
      <c r="AB94" s="26">
        <v>6935.0</v>
      </c>
      <c r="AC94" s="26">
        <v>6359.0</v>
      </c>
      <c r="AD94" s="26">
        <v>27783.0</v>
      </c>
      <c r="AE94" s="26">
        <v>14795.0</v>
      </c>
      <c r="AF94" s="26">
        <v>12705.0</v>
      </c>
      <c r="AG94" s="26">
        <v>174.0</v>
      </c>
      <c r="AH94" s="26">
        <v>109.0</v>
      </c>
      <c r="AI94" s="26">
        <f t="shared" si="8"/>
        <v>12814</v>
      </c>
      <c r="AJ94" s="26">
        <f t="shared" si="9"/>
        <v>14969</v>
      </c>
      <c r="AK94" s="26">
        <f t="shared" si="10"/>
        <v>14895</v>
      </c>
      <c r="AL94" s="26">
        <f t="shared" si="11"/>
        <v>16474</v>
      </c>
      <c r="AM94" s="26">
        <f t="shared" ref="AM94:AN94" si="186">(AI94/AK94)*100</f>
        <v>86.02886875</v>
      </c>
      <c r="AN94" s="26">
        <f t="shared" si="186"/>
        <v>90.86439238</v>
      </c>
      <c r="AO94" s="26">
        <v>3586.0</v>
      </c>
      <c r="AP94" s="26">
        <v>1505.0</v>
      </c>
      <c r="AQ94" s="26">
        <v>2081.0</v>
      </c>
      <c r="AR94" s="26">
        <v>563.0</v>
      </c>
      <c r="AS94" s="27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>
      <c r="A95" s="22">
        <v>2737.0</v>
      </c>
      <c r="B95" s="23" t="s">
        <v>25</v>
      </c>
      <c r="C95" s="29" t="s">
        <v>62</v>
      </c>
      <c r="D95" s="29" t="s">
        <v>133</v>
      </c>
      <c r="E95" s="29" t="s">
        <v>134</v>
      </c>
      <c r="F95" s="29" t="s">
        <v>134</v>
      </c>
      <c r="G95" s="26">
        <v>30093.0</v>
      </c>
      <c r="H95" s="26">
        <v>8109.0</v>
      </c>
      <c r="I95" s="26">
        <v>4156.0</v>
      </c>
      <c r="J95" s="26">
        <v>3953.0</v>
      </c>
      <c r="K95" s="26">
        <v>15368.0</v>
      </c>
      <c r="L95" s="26">
        <v>7995.0</v>
      </c>
      <c r="M95" s="26">
        <v>7246.0</v>
      </c>
      <c r="N95" s="26">
        <v>88.0</v>
      </c>
      <c r="O95" s="26">
        <v>39.0</v>
      </c>
      <c r="P95" s="26">
        <f t="shared" si="3"/>
        <v>7285</v>
      </c>
      <c r="Q95" s="26">
        <f t="shared" si="4"/>
        <v>8083</v>
      </c>
      <c r="R95" s="26">
        <f t="shared" si="5"/>
        <v>11562</v>
      </c>
      <c r="S95" s="26">
        <f t="shared" si="6"/>
        <v>10422</v>
      </c>
      <c r="T95" s="26">
        <f t="shared" ref="T95:U95" si="187">(P95/R95)*100</f>
        <v>63.00813008</v>
      </c>
      <c r="U95" s="26">
        <f t="shared" si="187"/>
        <v>77.55709077</v>
      </c>
      <c r="V95" s="26">
        <v>6616.0</v>
      </c>
      <c r="W95" s="26">
        <v>2339.0</v>
      </c>
      <c r="X95" s="26">
        <v>4277.0</v>
      </c>
      <c r="Y95" s="26">
        <v>0.0</v>
      </c>
      <c r="Z95" s="26">
        <v>49207.0</v>
      </c>
      <c r="AA95" s="26">
        <v>12397.0</v>
      </c>
      <c r="AB95" s="26">
        <v>6307.0</v>
      </c>
      <c r="AC95" s="26">
        <v>6090.0</v>
      </c>
      <c r="AD95" s="26">
        <v>29211.0</v>
      </c>
      <c r="AE95" s="26">
        <v>14555.0</v>
      </c>
      <c r="AF95" s="26">
        <v>14133.0</v>
      </c>
      <c r="AG95" s="26">
        <v>325.0</v>
      </c>
      <c r="AH95" s="26">
        <v>198.0</v>
      </c>
      <c r="AI95" s="26">
        <f t="shared" si="8"/>
        <v>14331</v>
      </c>
      <c r="AJ95" s="26">
        <f t="shared" si="9"/>
        <v>14880</v>
      </c>
      <c r="AK95" s="26">
        <f t="shared" si="10"/>
        <v>18305</v>
      </c>
      <c r="AL95" s="26">
        <f t="shared" si="11"/>
        <v>17003</v>
      </c>
      <c r="AM95" s="26">
        <f t="shared" ref="AM95:AN95" si="188">(AI95/AK95)*100</f>
        <v>78.29008468</v>
      </c>
      <c r="AN95" s="26">
        <f t="shared" si="188"/>
        <v>87.51396812</v>
      </c>
      <c r="AO95" s="26">
        <v>6097.0</v>
      </c>
      <c r="AP95" s="26">
        <v>2123.0</v>
      </c>
      <c r="AQ95" s="26">
        <v>3974.0</v>
      </c>
      <c r="AR95" s="26">
        <v>1502.0</v>
      </c>
      <c r="AS95" s="27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>
      <c r="A96" s="22">
        <v>2761.0</v>
      </c>
      <c r="B96" s="23" t="s">
        <v>25</v>
      </c>
      <c r="C96" s="29" t="s">
        <v>62</v>
      </c>
      <c r="D96" s="29" t="s">
        <v>133</v>
      </c>
      <c r="E96" s="29" t="s">
        <v>135</v>
      </c>
      <c r="F96" s="29" t="s">
        <v>135</v>
      </c>
      <c r="G96" s="26">
        <v>24523.0</v>
      </c>
      <c r="H96" s="26">
        <v>6241.0</v>
      </c>
      <c r="I96" s="26">
        <v>3149.0</v>
      </c>
      <c r="J96" s="26">
        <v>3092.0</v>
      </c>
      <c r="K96" s="26">
        <v>13066.0</v>
      </c>
      <c r="L96" s="26">
        <v>7094.0</v>
      </c>
      <c r="M96" s="26">
        <v>5883.0</v>
      </c>
      <c r="N96" s="26">
        <v>66.0</v>
      </c>
      <c r="O96" s="26">
        <v>23.0</v>
      </c>
      <c r="P96" s="26">
        <f t="shared" si="3"/>
        <v>5906</v>
      </c>
      <c r="Q96" s="26">
        <f t="shared" si="4"/>
        <v>7160</v>
      </c>
      <c r="R96" s="26">
        <f t="shared" si="5"/>
        <v>9306</v>
      </c>
      <c r="S96" s="26">
        <f t="shared" si="6"/>
        <v>8976</v>
      </c>
      <c r="T96" s="26">
        <f t="shared" ref="T96:U96" si="189">(P96/R96)*100</f>
        <v>63.46443155</v>
      </c>
      <c r="U96" s="26">
        <f t="shared" si="189"/>
        <v>79.76827094</v>
      </c>
      <c r="V96" s="26">
        <v>5216.0</v>
      </c>
      <c r="W96" s="26">
        <v>1816.0</v>
      </c>
      <c r="X96" s="26">
        <v>3400.0</v>
      </c>
      <c r="Y96" s="26">
        <v>0.0</v>
      </c>
      <c r="Z96" s="26">
        <v>38368.0</v>
      </c>
      <c r="AA96" s="26">
        <v>9718.0</v>
      </c>
      <c r="AB96" s="26">
        <v>4985.0</v>
      </c>
      <c r="AC96" s="26">
        <v>4733.0</v>
      </c>
      <c r="AD96" s="26">
        <v>22750.0</v>
      </c>
      <c r="AE96" s="26">
        <v>11398.0</v>
      </c>
      <c r="AF96" s="26">
        <v>10949.0</v>
      </c>
      <c r="AG96" s="26">
        <v>224.0</v>
      </c>
      <c r="AH96" s="26">
        <v>179.0</v>
      </c>
      <c r="AI96" s="26">
        <f t="shared" si="8"/>
        <v>11128</v>
      </c>
      <c r="AJ96" s="26">
        <f t="shared" si="9"/>
        <v>11622</v>
      </c>
      <c r="AK96" s="26">
        <f t="shared" si="10"/>
        <v>14405</v>
      </c>
      <c r="AL96" s="26">
        <f t="shared" si="11"/>
        <v>13397</v>
      </c>
      <c r="AM96" s="26">
        <f t="shared" ref="AM96:AN96" si="190">(AI96/AK96)*100</f>
        <v>77.25095453</v>
      </c>
      <c r="AN96" s="26">
        <f t="shared" si="190"/>
        <v>86.7507651</v>
      </c>
      <c r="AO96" s="26">
        <v>5052.0</v>
      </c>
      <c r="AP96" s="26">
        <v>1775.0</v>
      </c>
      <c r="AQ96" s="26">
        <v>3277.0</v>
      </c>
      <c r="AR96" s="26">
        <v>848.0</v>
      </c>
      <c r="AS96" s="27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>
      <c r="A97" s="22">
        <v>2785.0</v>
      </c>
      <c r="B97" s="23" t="s">
        <v>25</v>
      </c>
      <c r="C97" s="29" t="s">
        <v>62</v>
      </c>
      <c r="D97" s="29" t="s">
        <v>133</v>
      </c>
      <c r="E97" s="29" t="s">
        <v>136</v>
      </c>
      <c r="F97" s="29" t="s">
        <v>136</v>
      </c>
      <c r="G97" s="26">
        <v>17421.0</v>
      </c>
      <c r="H97" s="26">
        <v>4423.0</v>
      </c>
      <c r="I97" s="26">
        <v>2265.0</v>
      </c>
      <c r="J97" s="26">
        <v>2158.0</v>
      </c>
      <c r="K97" s="26">
        <v>9109.0</v>
      </c>
      <c r="L97" s="26">
        <v>4652.0</v>
      </c>
      <c r="M97" s="26">
        <v>4411.0</v>
      </c>
      <c r="N97" s="26">
        <v>30.0</v>
      </c>
      <c r="O97" s="26">
        <v>16.0</v>
      </c>
      <c r="P97" s="26">
        <f t="shared" si="3"/>
        <v>4427</v>
      </c>
      <c r="Q97" s="26">
        <f t="shared" si="4"/>
        <v>4682</v>
      </c>
      <c r="R97" s="26">
        <f t="shared" si="5"/>
        <v>6815</v>
      </c>
      <c r="S97" s="26">
        <f t="shared" si="6"/>
        <v>6183</v>
      </c>
      <c r="T97" s="26">
        <f t="shared" ref="T97:U97" si="191">(P97/R97)*100</f>
        <v>64.95964784</v>
      </c>
      <c r="U97" s="26">
        <f t="shared" si="191"/>
        <v>75.72375869</v>
      </c>
      <c r="V97" s="26">
        <v>3889.0</v>
      </c>
      <c r="W97" s="26">
        <v>1501.0</v>
      </c>
      <c r="X97" s="26">
        <v>2388.0</v>
      </c>
      <c r="Y97" s="26">
        <v>0.0</v>
      </c>
      <c r="Z97" s="26">
        <v>20361.0</v>
      </c>
      <c r="AA97" s="26">
        <v>4650.0</v>
      </c>
      <c r="AB97" s="26">
        <v>2325.0</v>
      </c>
      <c r="AC97" s="26">
        <v>2325.0</v>
      </c>
      <c r="AD97" s="26">
        <v>12891.0</v>
      </c>
      <c r="AE97" s="26">
        <v>6231.0</v>
      </c>
      <c r="AF97" s="26">
        <v>6561.0</v>
      </c>
      <c r="AG97" s="26">
        <v>61.0</v>
      </c>
      <c r="AH97" s="26">
        <v>38.0</v>
      </c>
      <c r="AI97" s="26">
        <f t="shared" si="8"/>
        <v>6599</v>
      </c>
      <c r="AJ97" s="26">
        <f t="shared" si="9"/>
        <v>6292</v>
      </c>
      <c r="AK97" s="26">
        <f t="shared" si="10"/>
        <v>8011</v>
      </c>
      <c r="AL97" s="26">
        <f t="shared" si="11"/>
        <v>7164</v>
      </c>
      <c r="AM97" s="26">
        <f t="shared" ref="AM97:AN97" si="192">(AI97/AK97)*100</f>
        <v>82.37423543</v>
      </c>
      <c r="AN97" s="26">
        <f t="shared" si="192"/>
        <v>87.82802903</v>
      </c>
      <c r="AO97" s="26">
        <v>2284.0</v>
      </c>
      <c r="AP97" s="26">
        <v>872.0</v>
      </c>
      <c r="AQ97" s="26">
        <v>1412.0</v>
      </c>
      <c r="AR97" s="26">
        <v>536.0</v>
      </c>
      <c r="AS97" s="27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>
      <c r="A98" s="22">
        <v>2809.0</v>
      </c>
      <c r="B98" s="23" t="s">
        <v>25</v>
      </c>
      <c r="C98" s="29" t="s">
        <v>62</v>
      </c>
      <c r="D98" s="29" t="s">
        <v>133</v>
      </c>
      <c r="E98" s="29" t="s">
        <v>137</v>
      </c>
      <c r="F98" s="29" t="s">
        <v>137</v>
      </c>
      <c r="G98" s="26">
        <v>6486.0</v>
      </c>
      <c r="H98" s="26">
        <v>1508.0</v>
      </c>
      <c r="I98" s="26">
        <v>746.0</v>
      </c>
      <c r="J98" s="26">
        <v>762.0</v>
      </c>
      <c r="K98" s="26">
        <v>3455.0</v>
      </c>
      <c r="L98" s="26">
        <v>1900.0</v>
      </c>
      <c r="M98" s="26">
        <v>1520.0</v>
      </c>
      <c r="N98" s="26">
        <v>28.0</v>
      </c>
      <c r="O98" s="26">
        <v>7.0</v>
      </c>
      <c r="P98" s="26">
        <f t="shared" si="3"/>
        <v>1527</v>
      </c>
      <c r="Q98" s="26">
        <f t="shared" si="4"/>
        <v>1928</v>
      </c>
      <c r="R98" s="26">
        <f t="shared" si="5"/>
        <v>2498</v>
      </c>
      <c r="S98" s="26">
        <f t="shared" si="6"/>
        <v>2480</v>
      </c>
      <c r="T98" s="26">
        <f t="shared" ref="T98:U98" si="193">(P98/R98)*100</f>
        <v>61.12890312</v>
      </c>
      <c r="U98" s="26">
        <f t="shared" si="193"/>
        <v>77.74193548</v>
      </c>
      <c r="V98" s="26">
        <v>1523.0</v>
      </c>
      <c r="W98" s="26">
        <v>552.0</v>
      </c>
      <c r="X98" s="26">
        <v>971.0</v>
      </c>
      <c r="Y98" s="26">
        <v>0.0</v>
      </c>
      <c r="Z98" s="26">
        <v>7788.0</v>
      </c>
      <c r="AA98" s="26">
        <v>1541.0</v>
      </c>
      <c r="AB98" s="26">
        <v>731.0</v>
      </c>
      <c r="AC98" s="26">
        <v>810.0</v>
      </c>
      <c r="AD98" s="26">
        <v>4916.0</v>
      </c>
      <c r="AE98" s="26">
        <v>2491.0</v>
      </c>
      <c r="AF98" s="26">
        <v>2315.0</v>
      </c>
      <c r="AG98" s="26">
        <v>73.0</v>
      </c>
      <c r="AH98" s="26">
        <v>37.0</v>
      </c>
      <c r="AI98" s="26">
        <f t="shared" si="8"/>
        <v>2352</v>
      </c>
      <c r="AJ98" s="26">
        <f t="shared" si="9"/>
        <v>2564</v>
      </c>
      <c r="AK98" s="26">
        <f t="shared" si="10"/>
        <v>3062</v>
      </c>
      <c r="AL98" s="26">
        <f t="shared" si="11"/>
        <v>2955</v>
      </c>
      <c r="AM98" s="26">
        <f t="shared" ref="AM98:AN98" si="194">(AI98/AK98)*100</f>
        <v>76.81254082</v>
      </c>
      <c r="AN98" s="26">
        <f t="shared" si="194"/>
        <v>86.76818951</v>
      </c>
      <c r="AO98" s="26">
        <v>1101.0</v>
      </c>
      <c r="AP98" s="26">
        <v>391.0</v>
      </c>
      <c r="AQ98" s="26">
        <v>710.0</v>
      </c>
      <c r="AR98" s="26">
        <v>230.0</v>
      </c>
      <c r="AS98" s="27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>
      <c r="A99" s="22">
        <v>2857.0</v>
      </c>
      <c r="B99" s="23" t="s">
        <v>25</v>
      </c>
      <c r="C99" s="29" t="s">
        <v>62</v>
      </c>
      <c r="D99" s="29" t="s">
        <v>138</v>
      </c>
      <c r="E99" s="29" t="s">
        <v>139</v>
      </c>
      <c r="F99" s="29" t="s">
        <v>139</v>
      </c>
      <c r="G99" s="26">
        <v>31288.0</v>
      </c>
      <c r="H99" s="26">
        <v>9059.0</v>
      </c>
      <c r="I99" s="26">
        <v>4648.0</v>
      </c>
      <c r="J99" s="26">
        <v>4411.0</v>
      </c>
      <c r="K99" s="26">
        <v>15929.0</v>
      </c>
      <c r="L99" s="26">
        <v>8951.0</v>
      </c>
      <c r="M99" s="26">
        <v>6866.0</v>
      </c>
      <c r="N99" s="26">
        <v>80.0</v>
      </c>
      <c r="O99" s="26">
        <v>32.0</v>
      </c>
      <c r="P99" s="26">
        <f t="shared" si="3"/>
        <v>6898</v>
      </c>
      <c r="Q99" s="26">
        <f t="shared" si="4"/>
        <v>9031</v>
      </c>
      <c r="R99" s="26">
        <f t="shared" si="5"/>
        <v>10806</v>
      </c>
      <c r="S99" s="26">
        <f t="shared" si="6"/>
        <v>11423</v>
      </c>
      <c r="T99" s="26">
        <f t="shared" ref="T99:U99" si="195">(P99/R99)*100</f>
        <v>63.83490653</v>
      </c>
      <c r="U99" s="26">
        <f t="shared" si="195"/>
        <v>79.05979165</v>
      </c>
      <c r="V99" s="26">
        <v>6300.0</v>
      </c>
      <c r="W99" s="26">
        <v>2392.0</v>
      </c>
      <c r="X99" s="26">
        <v>3908.0</v>
      </c>
      <c r="Y99" s="26">
        <v>0.0</v>
      </c>
      <c r="Z99" s="26">
        <v>33359.0</v>
      </c>
      <c r="AA99" s="26">
        <v>8239.0</v>
      </c>
      <c r="AB99" s="26">
        <v>4314.0</v>
      </c>
      <c r="AC99" s="26">
        <v>3925.0</v>
      </c>
      <c r="AD99" s="26">
        <v>20132.0</v>
      </c>
      <c r="AE99" s="26">
        <v>10700.0</v>
      </c>
      <c r="AF99" s="26">
        <v>9137.0</v>
      </c>
      <c r="AG99" s="26">
        <v>165.0</v>
      </c>
      <c r="AH99" s="26">
        <v>130.0</v>
      </c>
      <c r="AI99" s="26">
        <f t="shared" si="8"/>
        <v>9267</v>
      </c>
      <c r="AJ99" s="26">
        <f t="shared" si="9"/>
        <v>10865</v>
      </c>
      <c r="AK99" s="26">
        <f t="shared" si="10"/>
        <v>11878</v>
      </c>
      <c r="AL99" s="26">
        <f t="shared" si="11"/>
        <v>12477</v>
      </c>
      <c r="AM99" s="26">
        <f t="shared" ref="AM99:AN99" si="196">(AI99/AK99)*100</f>
        <v>78.01818488</v>
      </c>
      <c r="AN99" s="26">
        <f t="shared" si="196"/>
        <v>87.08022762</v>
      </c>
      <c r="AO99" s="26">
        <v>4223.0</v>
      </c>
      <c r="AP99" s="26">
        <v>1612.0</v>
      </c>
      <c r="AQ99" s="26">
        <v>2611.0</v>
      </c>
      <c r="AR99" s="26">
        <v>765.0</v>
      </c>
      <c r="AS99" s="27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>
      <c r="A100" s="22">
        <v>2881.0</v>
      </c>
      <c r="B100" s="23" t="s">
        <v>25</v>
      </c>
      <c r="C100" s="29" t="s">
        <v>62</v>
      </c>
      <c r="D100" s="29" t="s">
        <v>138</v>
      </c>
      <c r="E100" s="29" t="s">
        <v>140</v>
      </c>
      <c r="F100" s="29" t="s">
        <v>140</v>
      </c>
      <c r="G100" s="26">
        <v>8898.0</v>
      </c>
      <c r="H100" s="26">
        <v>2137.0</v>
      </c>
      <c r="I100" s="26">
        <v>1076.0</v>
      </c>
      <c r="J100" s="26">
        <v>1061.0</v>
      </c>
      <c r="K100" s="26">
        <v>5659.0</v>
      </c>
      <c r="L100" s="26">
        <v>3036.0</v>
      </c>
      <c r="M100" s="26">
        <v>2613.0</v>
      </c>
      <c r="N100" s="26">
        <v>7.0</v>
      </c>
      <c r="O100" s="26">
        <v>3.0</v>
      </c>
      <c r="P100" s="26">
        <f t="shared" si="3"/>
        <v>2616</v>
      </c>
      <c r="Q100" s="26">
        <f t="shared" si="4"/>
        <v>3043</v>
      </c>
      <c r="R100" s="26">
        <f t="shared" si="5"/>
        <v>3257</v>
      </c>
      <c r="S100" s="26">
        <f t="shared" si="6"/>
        <v>3504</v>
      </c>
      <c r="T100" s="26">
        <f t="shared" ref="T100:U100" si="197">(P100/R100)*100</f>
        <v>80.31931225</v>
      </c>
      <c r="U100" s="26">
        <f t="shared" si="197"/>
        <v>86.84360731</v>
      </c>
      <c r="V100" s="26">
        <v>1102.0</v>
      </c>
      <c r="W100" s="26">
        <v>461.0</v>
      </c>
      <c r="X100" s="26">
        <v>641.0</v>
      </c>
      <c r="Y100" s="26">
        <v>0.0</v>
      </c>
      <c r="Z100" s="26">
        <v>8912.0</v>
      </c>
      <c r="AA100" s="26">
        <v>1892.0</v>
      </c>
      <c r="AB100" s="26">
        <v>975.0</v>
      </c>
      <c r="AC100" s="26">
        <v>917.0</v>
      </c>
      <c r="AD100" s="26">
        <v>5873.0</v>
      </c>
      <c r="AE100" s="26">
        <v>3064.0</v>
      </c>
      <c r="AF100" s="26">
        <v>2745.0</v>
      </c>
      <c r="AG100" s="26">
        <v>36.0</v>
      </c>
      <c r="AH100" s="26">
        <v>28.0</v>
      </c>
      <c r="AI100" s="26">
        <f t="shared" si="8"/>
        <v>2773</v>
      </c>
      <c r="AJ100" s="26">
        <f t="shared" si="9"/>
        <v>3100</v>
      </c>
      <c r="AK100" s="26">
        <f t="shared" si="10"/>
        <v>3278</v>
      </c>
      <c r="AL100" s="26">
        <f t="shared" si="11"/>
        <v>3436</v>
      </c>
      <c r="AM100" s="26">
        <f t="shared" ref="AM100:AN100" si="198">(AI100/AK100)*100</f>
        <v>84.5942648</v>
      </c>
      <c r="AN100" s="26">
        <f t="shared" si="198"/>
        <v>90.22118743</v>
      </c>
      <c r="AO100" s="26">
        <v>841.0</v>
      </c>
      <c r="AP100" s="26">
        <v>336.0</v>
      </c>
      <c r="AQ100" s="26">
        <v>505.0</v>
      </c>
      <c r="AR100" s="26">
        <v>306.0</v>
      </c>
      <c r="AS100" s="27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>
      <c r="A101" s="22">
        <v>2905.0</v>
      </c>
      <c r="B101" s="23" t="s">
        <v>25</v>
      </c>
      <c r="C101" s="29" t="s">
        <v>62</v>
      </c>
      <c r="D101" s="29" t="s">
        <v>138</v>
      </c>
      <c r="E101" s="29" t="s">
        <v>141</v>
      </c>
      <c r="F101" s="29" t="s">
        <v>141</v>
      </c>
      <c r="G101" s="26">
        <v>7796.0</v>
      </c>
      <c r="H101" s="26">
        <v>2187.0</v>
      </c>
      <c r="I101" s="26">
        <v>1109.0</v>
      </c>
      <c r="J101" s="26">
        <v>1078.0</v>
      </c>
      <c r="K101" s="26">
        <v>4617.0</v>
      </c>
      <c r="L101" s="26">
        <v>2471.0</v>
      </c>
      <c r="M101" s="26">
        <v>2133.0</v>
      </c>
      <c r="N101" s="26">
        <v>9.0</v>
      </c>
      <c r="O101" s="26">
        <v>4.0</v>
      </c>
      <c r="P101" s="26">
        <f t="shared" si="3"/>
        <v>2137</v>
      </c>
      <c r="Q101" s="26">
        <f t="shared" si="4"/>
        <v>2480</v>
      </c>
      <c r="R101" s="26">
        <f t="shared" si="5"/>
        <v>2742</v>
      </c>
      <c r="S101" s="26">
        <f t="shared" si="6"/>
        <v>2867</v>
      </c>
      <c r="T101" s="26">
        <f t="shared" ref="T101:U101" si="199">(P101/R101)*100</f>
        <v>77.93581327</v>
      </c>
      <c r="U101" s="26">
        <f t="shared" si="199"/>
        <v>86.50156958</v>
      </c>
      <c r="V101" s="26">
        <v>992.0</v>
      </c>
      <c r="W101" s="26">
        <v>387.0</v>
      </c>
      <c r="X101" s="26">
        <v>605.0</v>
      </c>
      <c r="Y101" s="26">
        <v>0.0</v>
      </c>
      <c r="Z101" s="26">
        <v>11157.0</v>
      </c>
      <c r="AA101" s="26">
        <v>2687.0</v>
      </c>
      <c r="AB101" s="26">
        <v>1405.0</v>
      </c>
      <c r="AC101" s="26">
        <v>1282.0</v>
      </c>
      <c r="AD101" s="26">
        <v>7101.0</v>
      </c>
      <c r="AE101" s="26">
        <v>3712.0</v>
      </c>
      <c r="AF101" s="26">
        <v>3307.0</v>
      </c>
      <c r="AG101" s="26">
        <v>52.0</v>
      </c>
      <c r="AH101" s="26">
        <v>30.0</v>
      </c>
      <c r="AI101" s="26">
        <f t="shared" si="8"/>
        <v>3337</v>
      </c>
      <c r="AJ101" s="26">
        <f t="shared" si="9"/>
        <v>3764</v>
      </c>
      <c r="AK101" s="26">
        <f t="shared" si="10"/>
        <v>4050</v>
      </c>
      <c r="AL101" s="26">
        <f t="shared" si="11"/>
        <v>4220</v>
      </c>
      <c r="AM101" s="26">
        <f t="shared" ref="AM101:AN101" si="200">(AI101/AK101)*100</f>
        <v>82.39506173</v>
      </c>
      <c r="AN101" s="26">
        <f t="shared" si="200"/>
        <v>89.1943128</v>
      </c>
      <c r="AO101" s="26">
        <v>1169.0</v>
      </c>
      <c r="AP101" s="26">
        <v>456.0</v>
      </c>
      <c r="AQ101" s="26">
        <v>713.0</v>
      </c>
      <c r="AR101" s="26">
        <v>200.0</v>
      </c>
      <c r="AS101" s="27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>
      <c r="A102" s="22">
        <v>2929.0</v>
      </c>
      <c r="B102" s="23" t="s">
        <v>25</v>
      </c>
      <c r="C102" s="29" t="s">
        <v>62</v>
      </c>
      <c r="D102" s="29" t="s">
        <v>138</v>
      </c>
      <c r="E102" s="29" t="s">
        <v>142</v>
      </c>
      <c r="F102" s="29" t="s">
        <v>142</v>
      </c>
      <c r="G102" s="26">
        <v>12398.0</v>
      </c>
      <c r="H102" s="26">
        <v>3431.0</v>
      </c>
      <c r="I102" s="26">
        <v>1755.0</v>
      </c>
      <c r="J102" s="26">
        <v>1676.0</v>
      </c>
      <c r="K102" s="26">
        <v>6218.0</v>
      </c>
      <c r="L102" s="26">
        <v>3496.0</v>
      </c>
      <c r="M102" s="26">
        <v>2665.0</v>
      </c>
      <c r="N102" s="26">
        <v>48.0</v>
      </c>
      <c r="O102" s="26">
        <v>9.0</v>
      </c>
      <c r="P102" s="26">
        <f t="shared" si="3"/>
        <v>2674</v>
      </c>
      <c r="Q102" s="26">
        <f t="shared" si="4"/>
        <v>3544</v>
      </c>
      <c r="R102" s="26">
        <f t="shared" si="5"/>
        <v>4426</v>
      </c>
      <c r="S102" s="26">
        <f t="shared" si="6"/>
        <v>4541</v>
      </c>
      <c r="T102" s="26">
        <f t="shared" ref="T102:U102" si="201">(P102/R102)*100</f>
        <v>60.41572526</v>
      </c>
      <c r="U102" s="26">
        <f t="shared" si="201"/>
        <v>78.04448359</v>
      </c>
      <c r="V102" s="26">
        <v>2749.0</v>
      </c>
      <c r="W102" s="26">
        <v>997.0</v>
      </c>
      <c r="X102" s="26">
        <v>1752.0</v>
      </c>
      <c r="Y102" s="26">
        <v>0.0</v>
      </c>
      <c r="Z102" s="26">
        <v>15099.0</v>
      </c>
      <c r="AA102" s="26">
        <v>3697.0</v>
      </c>
      <c r="AB102" s="26">
        <v>1905.0</v>
      </c>
      <c r="AC102" s="26">
        <v>1792.0</v>
      </c>
      <c r="AD102" s="26">
        <v>9127.0</v>
      </c>
      <c r="AE102" s="26">
        <v>4799.0</v>
      </c>
      <c r="AF102" s="26">
        <v>4208.0</v>
      </c>
      <c r="AG102" s="26">
        <v>86.0</v>
      </c>
      <c r="AH102" s="26">
        <v>34.0</v>
      </c>
      <c r="AI102" s="26">
        <f t="shared" si="8"/>
        <v>4242</v>
      </c>
      <c r="AJ102" s="26">
        <f t="shared" si="9"/>
        <v>4885</v>
      </c>
      <c r="AK102" s="26">
        <f t="shared" si="10"/>
        <v>5408</v>
      </c>
      <c r="AL102" s="26">
        <f t="shared" si="11"/>
        <v>5502</v>
      </c>
      <c r="AM102" s="26">
        <f t="shared" ref="AM102:AN102" si="202">(AI102/AK102)*100</f>
        <v>78.43934911</v>
      </c>
      <c r="AN102" s="26">
        <f t="shared" si="202"/>
        <v>88.78589604</v>
      </c>
      <c r="AO102" s="26">
        <v>1783.0</v>
      </c>
      <c r="AP102" s="26">
        <v>617.0</v>
      </c>
      <c r="AQ102" s="26">
        <v>1166.0</v>
      </c>
      <c r="AR102" s="26">
        <v>492.0</v>
      </c>
      <c r="AS102" s="27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>
      <c r="A103" s="22">
        <v>2953.0</v>
      </c>
      <c r="B103" s="23" t="s">
        <v>25</v>
      </c>
      <c r="C103" s="29" t="s">
        <v>62</v>
      </c>
      <c r="D103" s="29" t="s">
        <v>138</v>
      </c>
      <c r="E103" s="29" t="s">
        <v>143</v>
      </c>
      <c r="F103" s="29" t="s">
        <v>143</v>
      </c>
      <c r="G103" s="26">
        <v>22813.0</v>
      </c>
      <c r="H103" s="26">
        <v>6840.0</v>
      </c>
      <c r="I103" s="26">
        <v>3420.0</v>
      </c>
      <c r="J103" s="26">
        <v>3420.0</v>
      </c>
      <c r="K103" s="26">
        <v>11394.0</v>
      </c>
      <c r="L103" s="26">
        <v>6091.0</v>
      </c>
      <c r="M103" s="26">
        <v>5236.0</v>
      </c>
      <c r="N103" s="26">
        <v>45.0</v>
      </c>
      <c r="O103" s="26">
        <v>22.0</v>
      </c>
      <c r="P103" s="26">
        <f t="shared" si="3"/>
        <v>5258</v>
      </c>
      <c r="Q103" s="26">
        <f t="shared" si="4"/>
        <v>6136</v>
      </c>
      <c r="R103" s="26">
        <f t="shared" si="5"/>
        <v>8048</v>
      </c>
      <c r="S103" s="26">
        <f t="shared" si="6"/>
        <v>7925</v>
      </c>
      <c r="T103" s="26">
        <f t="shared" ref="T103:U103" si="203">(P103/R103)*100</f>
        <v>65.33300199</v>
      </c>
      <c r="U103" s="26">
        <f t="shared" si="203"/>
        <v>77.42586751</v>
      </c>
      <c r="V103" s="26">
        <v>4579.0</v>
      </c>
      <c r="W103" s="26">
        <v>1789.0</v>
      </c>
      <c r="X103" s="26">
        <v>2790.0</v>
      </c>
      <c r="Y103" s="26">
        <v>0.0</v>
      </c>
      <c r="Z103" s="26">
        <v>24938.0</v>
      </c>
      <c r="AA103" s="26">
        <v>6575.0</v>
      </c>
      <c r="AB103" s="26">
        <v>3343.0</v>
      </c>
      <c r="AC103" s="26">
        <v>3232.0</v>
      </c>
      <c r="AD103" s="26">
        <v>14326.0</v>
      </c>
      <c r="AE103" s="26">
        <v>7340.0</v>
      </c>
      <c r="AF103" s="26">
        <v>6740.0</v>
      </c>
      <c r="AG103" s="26">
        <v>132.0</v>
      </c>
      <c r="AH103" s="26">
        <v>114.0</v>
      </c>
      <c r="AI103" s="26">
        <f t="shared" si="8"/>
        <v>6854</v>
      </c>
      <c r="AJ103" s="26">
        <f t="shared" si="9"/>
        <v>7472</v>
      </c>
      <c r="AK103" s="26">
        <f t="shared" si="10"/>
        <v>8938</v>
      </c>
      <c r="AL103" s="26">
        <f t="shared" si="11"/>
        <v>8803</v>
      </c>
      <c r="AM103" s="26">
        <f t="shared" ref="AM103:AN103" si="204">(AI103/AK103)*100</f>
        <v>76.68382188</v>
      </c>
      <c r="AN103" s="26">
        <f t="shared" si="204"/>
        <v>84.88015449</v>
      </c>
      <c r="AO103" s="26">
        <v>3415.0</v>
      </c>
      <c r="AP103" s="26">
        <v>1331.0</v>
      </c>
      <c r="AQ103" s="26">
        <v>2084.0</v>
      </c>
      <c r="AR103" s="26">
        <v>622.0</v>
      </c>
      <c r="AS103" s="27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>
      <c r="A104" s="22">
        <v>2977.0</v>
      </c>
      <c r="B104" s="23" t="s">
        <v>25</v>
      </c>
      <c r="C104" s="29" t="s">
        <v>62</v>
      </c>
      <c r="D104" s="29" t="s">
        <v>138</v>
      </c>
      <c r="E104" s="29" t="s">
        <v>144</v>
      </c>
      <c r="F104" s="29" t="s">
        <v>144</v>
      </c>
      <c r="G104" s="26">
        <v>9873.0</v>
      </c>
      <c r="H104" s="26">
        <v>2661.0</v>
      </c>
      <c r="I104" s="26">
        <v>1372.0</v>
      </c>
      <c r="J104" s="26">
        <v>1289.0</v>
      </c>
      <c r="K104" s="26">
        <v>5034.0</v>
      </c>
      <c r="L104" s="26">
        <v>2862.0</v>
      </c>
      <c r="M104" s="26">
        <v>2138.0</v>
      </c>
      <c r="N104" s="26">
        <v>25.0</v>
      </c>
      <c r="O104" s="26">
        <v>9.0</v>
      </c>
      <c r="P104" s="26">
        <f t="shared" si="3"/>
        <v>2147</v>
      </c>
      <c r="Q104" s="26">
        <f t="shared" si="4"/>
        <v>2887</v>
      </c>
      <c r="R104" s="26">
        <f t="shared" si="5"/>
        <v>3530</v>
      </c>
      <c r="S104" s="26">
        <f t="shared" si="6"/>
        <v>3682</v>
      </c>
      <c r="T104" s="26">
        <f t="shared" ref="T104:U104" si="205">(P104/R104)*100</f>
        <v>60.82152975</v>
      </c>
      <c r="U104" s="26">
        <f t="shared" si="205"/>
        <v>78.40847366</v>
      </c>
      <c r="V104" s="26">
        <v>2178.0</v>
      </c>
      <c r="W104" s="26">
        <v>795.0</v>
      </c>
      <c r="X104" s="26">
        <v>1383.0</v>
      </c>
      <c r="Y104" s="26">
        <v>0.0</v>
      </c>
      <c r="Z104" s="26">
        <v>12223.0</v>
      </c>
      <c r="AA104" s="26">
        <v>3272.0</v>
      </c>
      <c r="AB104" s="26">
        <v>1700.0</v>
      </c>
      <c r="AC104" s="26">
        <v>1572.0</v>
      </c>
      <c r="AD104" s="26">
        <v>6996.0</v>
      </c>
      <c r="AE104" s="26">
        <v>3696.0</v>
      </c>
      <c r="AF104" s="26">
        <v>3176.0</v>
      </c>
      <c r="AG104" s="26">
        <v>69.0</v>
      </c>
      <c r="AH104" s="26">
        <v>55.0</v>
      </c>
      <c r="AI104" s="26">
        <f t="shared" si="8"/>
        <v>3231</v>
      </c>
      <c r="AJ104" s="26">
        <f t="shared" si="9"/>
        <v>3765</v>
      </c>
      <c r="AK104" s="26">
        <f t="shared" si="10"/>
        <v>4278</v>
      </c>
      <c r="AL104" s="26">
        <f t="shared" si="11"/>
        <v>4319</v>
      </c>
      <c r="AM104" s="26">
        <f t="shared" ref="AM104:AN104" si="206">(AI104/AK104)*100</f>
        <v>75.5259467</v>
      </c>
      <c r="AN104" s="26">
        <f t="shared" si="206"/>
        <v>87.1729567</v>
      </c>
      <c r="AO104" s="26">
        <v>1601.0</v>
      </c>
      <c r="AP104" s="26">
        <v>554.0</v>
      </c>
      <c r="AQ104" s="26">
        <v>1047.0</v>
      </c>
      <c r="AR104" s="26">
        <v>354.0</v>
      </c>
      <c r="AS104" s="27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>
      <c r="A105" s="22">
        <v>3001.0</v>
      </c>
      <c r="B105" s="23" t="s">
        <v>25</v>
      </c>
      <c r="C105" s="29" t="s">
        <v>62</v>
      </c>
      <c r="D105" s="29" t="s">
        <v>138</v>
      </c>
      <c r="E105" s="29" t="s">
        <v>145</v>
      </c>
      <c r="F105" s="29" t="s">
        <v>145</v>
      </c>
      <c r="G105" s="26">
        <v>5039.0</v>
      </c>
      <c r="H105" s="26">
        <v>1314.0</v>
      </c>
      <c r="I105" s="26">
        <v>648.0</v>
      </c>
      <c r="J105" s="26">
        <v>666.0</v>
      </c>
      <c r="K105" s="26">
        <v>2681.0</v>
      </c>
      <c r="L105" s="26">
        <v>1472.0</v>
      </c>
      <c r="M105" s="26">
        <v>1173.0</v>
      </c>
      <c r="N105" s="26">
        <v>27.0</v>
      </c>
      <c r="O105" s="26">
        <v>9.0</v>
      </c>
      <c r="P105" s="26">
        <f t="shared" si="3"/>
        <v>1182</v>
      </c>
      <c r="Q105" s="26">
        <f t="shared" si="4"/>
        <v>1499</v>
      </c>
      <c r="R105" s="26">
        <f t="shared" si="5"/>
        <v>1913</v>
      </c>
      <c r="S105" s="26">
        <f t="shared" si="6"/>
        <v>1812</v>
      </c>
      <c r="T105" s="26">
        <f t="shared" ref="T105:U105" si="207">(P105/R105)*100</f>
        <v>61.7877679</v>
      </c>
      <c r="U105" s="26">
        <f t="shared" si="207"/>
        <v>82.72626932</v>
      </c>
      <c r="V105" s="26">
        <v>1044.0</v>
      </c>
      <c r="W105" s="26">
        <v>313.0</v>
      </c>
      <c r="X105" s="26">
        <v>731.0</v>
      </c>
      <c r="Y105" s="26">
        <v>0.0</v>
      </c>
      <c r="Z105" s="26">
        <v>5408.0</v>
      </c>
      <c r="AA105" s="26">
        <v>1185.0</v>
      </c>
      <c r="AB105" s="26">
        <v>628.0</v>
      </c>
      <c r="AC105" s="26">
        <v>557.0</v>
      </c>
      <c r="AD105" s="26">
        <v>3091.0</v>
      </c>
      <c r="AE105" s="26">
        <v>1484.0</v>
      </c>
      <c r="AF105" s="26">
        <v>1392.0</v>
      </c>
      <c r="AG105" s="26">
        <v>138.0</v>
      </c>
      <c r="AH105" s="26">
        <v>77.0</v>
      </c>
      <c r="AI105" s="26">
        <f t="shared" si="8"/>
        <v>1469</v>
      </c>
      <c r="AJ105" s="26">
        <f t="shared" si="9"/>
        <v>1622</v>
      </c>
      <c r="AK105" s="26">
        <f t="shared" si="10"/>
        <v>2067</v>
      </c>
      <c r="AL105" s="26">
        <f t="shared" si="11"/>
        <v>1959</v>
      </c>
      <c r="AM105" s="26">
        <f t="shared" ref="AM105:AN105" si="208">(AI105/AK105)*100</f>
        <v>71.06918239</v>
      </c>
      <c r="AN105" s="26">
        <f t="shared" si="208"/>
        <v>82.79734558</v>
      </c>
      <c r="AO105" s="26">
        <v>935.0</v>
      </c>
      <c r="AP105" s="26">
        <v>337.0</v>
      </c>
      <c r="AQ105" s="26">
        <v>598.0</v>
      </c>
      <c r="AR105" s="26">
        <v>197.0</v>
      </c>
      <c r="AS105" s="27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>
      <c r="A106" s="22">
        <v>3049.0</v>
      </c>
      <c r="B106" s="23" t="s">
        <v>25</v>
      </c>
      <c r="C106" s="29" t="s">
        <v>62</v>
      </c>
      <c r="D106" s="29" t="s">
        <v>146</v>
      </c>
      <c r="E106" s="29" t="s">
        <v>147</v>
      </c>
      <c r="F106" s="29" t="s">
        <v>147</v>
      </c>
      <c r="G106" s="26">
        <v>19333.0</v>
      </c>
      <c r="H106" s="26">
        <v>5029.0</v>
      </c>
      <c r="I106" s="26">
        <v>2581.0</v>
      </c>
      <c r="J106" s="26">
        <v>2448.0</v>
      </c>
      <c r="K106" s="26">
        <v>11694.0</v>
      </c>
      <c r="L106" s="26">
        <v>6445.0</v>
      </c>
      <c r="M106" s="26">
        <v>5205.0</v>
      </c>
      <c r="N106" s="26">
        <v>23.0</v>
      </c>
      <c r="O106" s="26">
        <v>21.0</v>
      </c>
      <c r="P106" s="26">
        <f t="shared" si="3"/>
        <v>5226</v>
      </c>
      <c r="Q106" s="26">
        <f t="shared" si="4"/>
        <v>6468</v>
      </c>
      <c r="R106" s="26">
        <f t="shared" si="5"/>
        <v>6781</v>
      </c>
      <c r="S106" s="26">
        <f t="shared" si="6"/>
        <v>7523</v>
      </c>
      <c r="T106" s="26">
        <f t="shared" ref="T106:U106" si="209">(P106/R106)*100</f>
        <v>77.06827901</v>
      </c>
      <c r="U106" s="26">
        <f t="shared" si="209"/>
        <v>85.97633923</v>
      </c>
      <c r="V106" s="26">
        <v>2610.0</v>
      </c>
      <c r="W106" s="26">
        <v>1055.0</v>
      </c>
      <c r="X106" s="26">
        <v>1555.0</v>
      </c>
      <c r="Y106" s="26">
        <v>0.0</v>
      </c>
      <c r="Z106" s="26">
        <v>27377.0</v>
      </c>
      <c r="AA106" s="26">
        <v>6279.0</v>
      </c>
      <c r="AB106" s="26">
        <v>3274.0</v>
      </c>
      <c r="AC106" s="26">
        <v>3005.0</v>
      </c>
      <c r="AD106" s="26">
        <v>16945.0</v>
      </c>
      <c r="AE106" s="26">
        <v>8877.0</v>
      </c>
      <c r="AF106" s="26">
        <v>7740.0</v>
      </c>
      <c r="AG106" s="26">
        <v>193.0</v>
      </c>
      <c r="AH106" s="26">
        <v>135.0</v>
      </c>
      <c r="AI106" s="26">
        <f t="shared" si="8"/>
        <v>7875</v>
      </c>
      <c r="AJ106" s="26">
        <f t="shared" si="9"/>
        <v>9070</v>
      </c>
      <c r="AK106" s="26">
        <f t="shared" si="10"/>
        <v>9974</v>
      </c>
      <c r="AL106" s="26">
        <f t="shared" si="11"/>
        <v>10586</v>
      </c>
      <c r="AM106" s="26">
        <f t="shared" ref="AM106:AN106" si="210">(AI106/AK106)*100</f>
        <v>78.95528374</v>
      </c>
      <c r="AN106" s="26">
        <f t="shared" si="210"/>
        <v>85.67919894</v>
      </c>
      <c r="AO106" s="26">
        <v>3615.0</v>
      </c>
      <c r="AP106" s="26">
        <v>1516.0</v>
      </c>
      <c r="AQ106" s="26">
        <v>2099.0</v>
      </c>
      <c r="AR106" s="26">
        <v>538.0</v>
      </c>
      <c r="AS106" s="27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>
      <c r="A107" s="22">
        <v>3073.0</v>
      </c>
      <c r="B107" s="23" t="s">
        <v>25</v>
      </c>
      <c r="C107" s="29" t="s">
        <v>62</v>
      </c>
      <c r="D107" s="29" t="s">
        <v>146</v>
      </c>
      <c r="E107" s="29" t="s">
        <v>148</v>
      </c>
      <c r="F107" s="29" t="s">
        <v>148</v>
      </c>
      <c r="G107" s="26">
        <v>16923.0</v>
      </c>
      <c r="H107" s="26">
        <v>4426.0</v>
      </c>
      <c r="I107" s="26">
        <v>2243.0</v>
      </c>
      <c r="J107" s="26">
        <v>2183.0</v>
      </c>
      <c r="K107" s="26">
        <v>10578.0</v>
      </c>
      <c r="L107" s="26">
        <v>5336.0</v>
      </c>
      <c r="M107" s="26">
        <v>5235.0</v>
      </c>
      <c r="N107" s="26">
        <v>6.0</v>
      </c>
      <c r="O107" s="26">
        <v>1.0</v>
      </c>
      <c r="P107" s="26">
        <f t="shared" si="3"/>
        <v>5236</v>
      </c>
      <c r="Q107" s="26">
        <f t="shared" si="4"/>
        <v>5342</v>
      </c>
      <c r="R107" s="26">
        <f t="shared" si="5"/>
        <v>6287</v>
      </c>
      <c r="S107" s="26">
        <f t="shared" si="6"/>
        <v>6210</v>
      </c>
      <c r="T107" s="26">
        <f t="shared" ref="T107:U107" si="211">(P107/R107)*100</f>
        <v>83.28296485</v>
      </c>
      <c r="U107" s="26">
        <f t="shared" si="211"/>
        <v>86.02254428</v>
      </c>
      <c r="V107" s="26">
        <v>1919.0</v>
      </c>
      <c r="W107" s="26">
        <v>868.0</v>
      </c>
      <c r="X107" s="26">
        <v>1051.0</v>
      </c>
      <c r="Y107" s="26">
        <v>0.0</v>
      </c>
      <c r="Z107" s="26">
        <v>23266.0</v>
      </c>
      <c r="AA107" s="26">
        <v>5524.0</v>
      </c>
      <c r="AB107" s="26">
        <v>2891.0</v>
      </c>
      <c r="AC107" s="26">
        <v>2633.0</v>
      </c>
      <c r="AD107" s="26">
        <v>15259.0</v>
      </c>
      <c r="AE107" s="26">
        <v>7882.0</v>
      </c>
      <c r="AF107" s="26">
        <v>7238.0</v>
      </c>
      <c r="AG107" s="26">
        <v>86.0</v>
      </c>
      <c r="AH107" s="26">
        <v>53.0</v>
      </c>
      <c r="AI107" s="26">
        <f t="shared" si="8"/>
        <v>7291</v>
      </c>
      <c r="AJ107" s="26">
        <f t="shared" si="9"/>
        <v>7968</v>
      </c>
      <c r="AK107" s="26">
        <f t="shared" si="10"/>
        <v>8527</v>
      </c>
      <c r="AL107" s="26">
        <f t="shared" si="11"/>
        <v>8861</v>
      </c>
      <c r="AM107" s="26">
        <f t="shared" ref="AM107:AN107" si="212">(AI107/AK107)*100</f>
        <v>85.50486689</v>
      </c>
      <c r="AN107" s="26">
        <f t="shared" si="212"/>
        <v>89.92213069</v>
      </c>
      <c r="AO107" s="26">
        <v>2129.0</v>
      </c>
      <c r="AP107" s="26">
        <v>893.0</v>
      </c>
      <c r="AQ107" s="26">
        <v>1236.0</v>
      </c>
      <c r="AR107" s="26">
        <v>354.0</v>
      </c>
      <c r="AS107" s="27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>
      <c r="A108" s="22">
        <v>3121.0</v>
      </c>
      <c r="B108" s="23" t="s">
        <v>25</v>
      </c>
      <c r="C108" s="29" t="s">
        <v>62</v>
      </c>
      <c r="D108" s="29" t="s">
        <v>149</v>
      </c>
      <c r="E108" s="29" t="s">
        <v>150</v>
      </c>
      <c r="F108" s="29" t="s">
        <v>150</v>
      </c>
      <c r="G108" s="26">
        <v>9356.0</v>
      </c>
      <c r="H108" s="26">
        <v>3199.0</v>
      </c>
      <c r="I108" s="26">
        <v>1648.0</v>
      </c>
      <c r="J108" s="26">
        <v>1551.0</v>
      </c>
      <c r="K108" s="26">
        <v>4238.0</v>
      </c>
      <c r="L108" s="26">
        <v>2965.0</v>
      </c>
      <c r="M108" s="26">
        <v>1246.0</v>
      </c>
      <c r="N108" s="26">
        <v>14.0</v>
      </c>
      <c r="O108" s="26">
        <v>13.0</v>
      </c>
      <c r="P108" s="26">
        <f t="shared" si="3"/>
        <v>1259</v>
      </c>
      <c r="Q108" s="26">
        <f t="shared" si="4"/>
        <v>2979</v>
      </c>
      <c r="R108" s="26">
        <f t="shared" si="5"/>
        <v>2592</v>
      </c>
      <c r="S108" s="26">
        <f t="shared" si="6"/>
        <v>3565</v>
      </c>
      <c r="T108" s="26">
        <f t="shared" ref="T108:U108" si="213">(P108/R108)*100</f>
        <v>48.57253086</v>
      </c>
      <c r="U108" s="26">
        <f t="shared" si="213"/>
        <v>83.56241234</v>
      </c>
      <c r="V108" s="26">
        <v>1919.0</v>
      </c>
      <c r="W108" s="26">
        <v>586.0</v>
      </c>
      <c r="X108" s="26">
        <v>1333.0</v>
      </c>
      <c r="Y108" s="26">
        <v>0.0</v>
      </c>
      <c r="Z108" s="26">
        <v>12408.0</v>
      </c>
      <c r="AA108" s="26">
        <v>3840.0</v>
      </c>
      <c r="AB108" s="26">
        <v>2009.0</v>
      </c>
      <c r="AC108" s="26">
        <v>1831.0</v>
      </c>
      <c r="AD108" s="26">
        <v>6554.0</v>
      </c>
      <c r="AE108" s="26">
        <v>4202.0</v>
      </c>
      <c r="AF108" s="26">
        <v>2255.0</v>
      </c>
      <c r="AG108" s="26">
        <v>57.0</v>
      </c>
      <c r="AH108" s="26">
        <v>40.0</v>
      </c>
      <c r="AI108" s="26">
        <f t="shared" si="8"/>
        <v>2295</v>
      </c>
      <c r="AJ108" s="26">
        <f t="shared" si="9"/>
        <v>4259</v>
      </c>
      <c r="AK108" s="26">
        <f t="shared" si="10"/>
        <v>3320</v>
      </c>
      <c r="AL108" s="26">
        <f t="shared" si="11"/>
        <v>4762</v>
      </c>
      <c r="AM108" s="26">
        <f t="shared" ref="AM108:AN108" si="214">(AI108/AK108)*100</f>
        <v>69.12650602</v>
      </c>
      <c r="AN108" s="26">
        <f t="shared" si="214"/>
        <v>89.43721126</v>
      </c>
      <c r="AO108" s="26">
        <v>1528.0</v>
      </c>
      <c r="AP108" s="26">
        <v>503.0</v>
      </c>
      <c r="AQ108" s="26">
        <v>1025.0</v>
      </c>
      <c r="AR108" s="26">
        <v>486.0</v>
      </c>
      <c r="AS108" s="27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>
      <c r="A109" s="22">
        <v>3145.0</v>
      </c>
      <c r="B109" s="23" t="s">
        <v>25</v>
      </c>
      <c r="C109" s="29" t="s">
        <v>62</v>
      </c>
      <c r="D109" s="29" t="s">
        <v>149</v>
      </c>
      <c r="E109" s="29" t="s">
        <v>151</v>
      </c>
      <c r="F109" s="29" t="s">
        <v>151</v>
      </c>
      <c r="G109" s="26">
        <v>8706.0</v>
      </c>
      <c r="H109" s="26">
        <v>3090.0</v>
      </c>
      <c r="I109" s="26">
        <v>1564.0</v>
      </c>
      <c r="J109" s="26">
        <v>1526.0</v>
      </c>
      <c r="K109" s="26">
        <v>3774.0</v>
      </c>
      <c r="L109" s="26">
        <v>2510.0</v>
      </c>
      <c r="M109" s="26">
        <v>1233.0</v>
      </c>
      <c r="N109" s="26">
        <v>21.0</v>
      </c>
      <c r="O109" s="26">
        <v>10.0</v>
      </c>
      <c r="P109" s="26">
        <f t="shared" si="3"/>
        <v>1243</v>
      </c>
      <c r="Q109" s="26">
        <f t="shared" si="4"/>
        <v>2531</v>
      </c>
      <c r="R109" s="26">
        <f t="shared" si="5"/>
        <v>2561</v>
      </c>
      <c r="S109" s="26">
        <f t="shared" si="6"/>
        <v>3055</v>
      </c>
      <c r="T109" s="26">
        <f t="shared" ref="T109:U109" si="215">(P109/R109)*100</f>
        <v>48.53572823</v>
      </c>
      <c r="U109" s="26">
        <f t="shared" si="215"/>
        <v>82.84779051</v>
      </c>
      <c r="V109" s="26">
        <v>1842.0</v>
      </c>
      <c r="W109" s="26">
        <v>524.0</v>
      </c>
      <c r="X109" s="26">
        <v>1318.0</v>
      </c>
      <c r="Y109" s="26">
        <v>0.0</v>
      </c>
      <c r="Z109" s="26">
        <v>9979.0</v>
      </c>
      <c r="AA109" s="26">
        <v>3114.0</v>
      </c>
      <c r="AB109" s="26">
        <v>1573.0</v>
      </c>
      <c r="AC109" s="26">
        <v>1541.0</v>
      </c>
      <c r="AD109" s="26">
        <v>5041.0</v>
      </c>
      <c r="AE109" s="26">
        <v>2906.0</v>
      </c>
      <c r="AF109" s="26">
        <v>2009.0</v>
      </c>
      <c r="AG109" s="26">
        <v>79.0</v>
      </c>
      <c r="AH109" s="26">
        <v>47.0</v>
      </c>
      <c r="AI109" s="26">
        <f t="shared" si="8"/>
        <v>2056</v>
      </c>
      <c r="AJ109" s="26">
        <f t="shared" si="9"/>
        <v>2985</v>
      </c>
      <c r="AK109" s="26">
        <f t="shared" si="10"/>
        <v>3129</v>
      </c>
      <c r="AL109" s="26">
        <f t="shared" si="11"/>
        <v>3480</v>
      </c>
      <c r="AM109" s="26">
        <f t="shared" ref="AM109:AN109" si="216">(AI109/AK109)*100</f>
        <v>65.7078939</v>
      </c>
      <c r="AN109" s="26">
        <f t="shared" si="216"/>
        <v>85.77586207</v>
      </c>
      <c r="AO109" s="26">
        <v>1568.0</v>
      </c>
      <c r="AP109" s="26">
        <v>495.0</v>
      </c>
      <c r="AQ109" s="26">
        <v>1073.0</v>
      </c>
      <c r="AR109" s="26">
        <v>256.0</v>
      </c>
      <c r="AS109" s="27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>
      <c r="A110" s="22">
        <v>3193.0</v>
      </c>
      <c r="B110" s="23" t="s">
        <v>25</v>
      </c>
      <c r="C110" s="29" t="s">
        <v>62</v>
      </c>
      <c r="D110" s="29" t="s">
        <v>152</v>
      </c>
      <c r="E110" s="29" t="s">
        <v>153</v>
      </c>
      <c r="F110" s="29" t="s">
        <v>153</v>
      </c>
      <c r="G110" s="26">
        <v>13018.0</v>
      </c>
      <c r="H110" s="26">
        <v>4156.0</v>
      </c>
      <c r="I110" s="26">
        <v>2126.0</v>
      </c>
      <c r="J110" s="26">
        <v>2030.0</v>
      </c>
      <c r="K110" s="26">
        <v>6646.0</v>
      </c>
      <c r="L110" s="26">
        <v>3741.0</v>
      </c>
      <c r="M110" s="26">
        <v>2863.0</v>
      </c>
      <c r="N110" s="26">
        <v>37.0</v>
      </c>
      <c r="O110" s="26">
        <v>5.0</v>
      </c>
      <c r="P110" s="26">
        <f t="shared" si="3"/>
        <v>2868</v>
      </c>
      <c r="Q110" s="26">
        <f t="shared" si="4"/>
        <v>3778</v>
      </c>
      <c r="R110" s="26">
        <f t="shared" si="5"/>
        <v>4219</v>
      </c>
      <c r="S110" s="26">
        <f t="shared" si="6"/>
        <v>4643</v>
      </c>
      <c r="T110" s="26">
        <f t="shared" ref="T110:U110" si="217">(P110/R110)*100</f>
        <v>67.97819388</v>
      </c>
      <c r="U110" s="26">
        <f t="shared" si="217"/>
        <v>81.36980401</v>
      </c>
      <c r="V110" s="26">
        <v>2216.0</v>
      </c>
      <c r="W110" s="26">
        <v>865.0</v>
      </c>
      <c r="X110" s="26">
        <v>1351.0</v>
      </c>
      <c r="Y110" s="26">
        <v>0.0</v>
      </c>
      <c r="Z110" s="26">
        <v>15596.0</v>
      </c>
      <c r="AA110" s="26">
        <v>4364.0</v>
      </c>
      <c r="AB110" s="26">
        <v>2285.0</v>
      </c>
      <c r="AC110" s="26">
        <v>2079.0</v>
      </c>
      <c r="AD110" s="26">
        <v>9116.0</v>
      </c>
      <c r="AE110" s="26">
        <v>4980.0</v>
      </c>
      <c r="AF110" s="26">
        <v>3983.0</v>
      </c>
      <c r="AG110" s="26">
        <v>89.0</v>
      </c>
      <c r="AH110" s="26">
        <v>64.0</v>
      </c>
      <c r="AI110" s="26">
        <f t="shared" si="8"/>
        <v>4047</v>
      </c>
      <c r="AJ110" s="26">
        <f t="shared" si="9"/>
        <v>5069</v>
      </c>
      <c r="AK110" s="26">
        <f t="shared" si="10"/>
        <v>5147</v>
      </c>
      <c r="AL110" s="26">
        <f t="shared" si="11"/>
        <v>5875</v>
      </c>
      <c r="AM110" s="26">
        <f t="shared" ref="AM110:AN110" si="218">(AI110/AK110)*100</f>
        <v>78.62832718</v>
      </c>
      <c r="AN110" s="26">
        <f t="shared" si="218"/>
        <v>86.28085106</v>
      </c>
      <c r="AO110" s="26">
        <v>1906.0</v>
      </c>
      <c r="AP110" s="26">
        <v>806.0</v>
      </c>
      <c r="AQ110" s="26">
        <v>1100.0</v>
      </c>
      <c r="AR110" s="26">
        <v>210.0</v>
      </c>
      <c r="AS110" s="27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>
      <c r="A111" s="22">
        <v>3217.0</v>
      </c>
      <c r="B111" s="23" t="s">
        <v>25</v>
      </c>
      <c r="C111" s="29" t="s">
        <v>62</v>
      </c>
      <c r="D111" s="29" t="s">
        <v>152</v>
      </c>
      <c r="E111" s="29" t="s">
        <v>154</v>
      </c>
      <c r="F111" s="29" t="s">
        <v>154</v>
      </c>
      <c r="G111" s="26">
        <v>3283.0</v>
      </c>
      <c r="H111" s="26">
        <v>1033.0</v>
      </c>
      <c r="I111" s="26">
        <v>542.0</v>
      </c>
      <c r="J111" s="26">
        <v>491.0</v>
      </c>
      <c r="K111" s="26">
        <v>1611.0</v>
      </c>
      <c r="L111" s="26">
        <v>837.0</v>
      </c>
      <c r="M111" s="26">
        <v>753.0</v>
      </c>
      <c r="N111" s="26">
        <v>16.0</v>
      </c>
      <c r="O111" s="26">
        <v>5.0</v>
      </c>
      <c r="P111" s="26">
        <f t="shared" si="3"/>
        <v>758</v>
      </c>
      <c r="Q111" s="26">
        <f t="shared" si="4"/>
        <v>853</v>
      </c>
      <c r="R111" s="26">
        <f t="shared" si="5"/>
        <v>1139</v>
      </c>
      <c r="S111" s="26">
        <f t="shared" si="6"/>
        <v>1111</v>
      </c>
      <c r="T111" s="26">
        <f t="shared" ref="T111:U111" si="219">(P111/R111)*100</f>
        <v>66.54960492</v>
      </c>
      <c r="U111" s="26">
        <f t="shared" si="219"/>
        <v>76.77767777</v>
      </c>
      <c r="V111" s="26">
        <v>639.0</v>
      </c>
      <c r="W111" s="26">
        <v>258.0</v>
      </c>
      <c r="X111" s="26">
        <v>381.0</v>
      </c>
      <c r="Y111" s="26">
        <v>0.0</v>
      </c>
      <c r="Z111" s="26">
        <v>6474.0</v>
      </c>
      <c r="AA111" s="26">
        <v>2014.0</v>
      </c>
      <c r="AB111" s="26">
        <v>1080.0</v>
      </c>
      <c r="AC111" s="26">
        <v>934.0</v>
      </c>
      <c r="AD111" s="26">
        <v>3349.0</v>
      </c>
      <c r="AE111" s="26">
        <v>1834.0</v>
      </c>
      <c r="AF111" s="26">
        <v>1384.0</v>
      </c>
      <c r="AG111" s="26">
        <v>88.0</v>
      </c>
      <c r="AH111" s="26">
        <v>43.0</v>
      </c>
      <c r="AI111" s="26">
        <f t="shared" si="8"/>
        <v>1427</v>
      </c>
      <c r="AJ111" s="26">
        <f t="shared" si="9"/>
        <v>1922</v>
      </c>
      <c r="AK111" s="26">
        <f t="shared" si="10"/>
        <v>1983</v>
      </c>
      <c r="AL111" s="26">
        <f t="shared" si="11"/>
        <v>2321</v>
      </c>
      <c r="AM111" s="26">
        <f t="shared" ref="AM111:AN111" si="220">(AI111/AK111)*100</f>
        <v>71.96167423</v>
      </c>
      <c r="AN111" s="26">
        <f t="shared" si="220"/>
        <v>82.80913399</v>
      </c>
      <c r="AO111" s="26">
        <v>955.0</v>
      </c>
      <c r="AP111" s="26">
        <v>399.0</v>
      </c>
      <c r="AQ111" s="26">
        <v>556.0</v>
      </c>
      <c r="AR111" s="26">
        <v>156.0</v>
      </c>
      <c r="AS111" s="27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>
      <c r="A112" s="22">
        <v>3265.0</v>
      </c>
      <c r="B112" s="23" t="s">
        <v>25</v>
      </c>
      <c r="C112" s="29" t="s">
        <v>62</v>
      </c>
      <c r="D112" s="29" t="s">
        <v>155</v>
      </c>
      <c r="E112" s="29" t="s">
        <v>156</v>
      </c>
      <c r="F112" s="29" t="s">
        <v>156</v>
      </c>
      <c r="G112" s="26">
        <v>14807.0</v>
      </c>
      <c r="H112" s="26">
        <v>3813.0</v>
      </c>
      <c r="I112" s="26">
        <v>1979.0</v>
      </c>
      <c r="J112" s="26">
        <v>1834.0</v>
      </c>
      <c r="K112" s="26">
        <v>8288.0</v>
      </c>
      <c r="L112" s="26">
        <v>4156.0</v>
      </c>
      <c r="M112" s="26">
        <v>4090.0</v>
      </c>
      <c r="N112" s="26">
        <v>29.0</v>
      </c>
      <c r="O112" s="26">
        <v>13.0</v>
      </c>
      <c r="P112" s="26">
        <f t="shared" si="3"/>
        <v>4103</v>
      </c>
      <c r="Q112" s="26">
        <f t="shared" si="4"/>
        <v>4185</v>
      </c>
      <c r="R112" s="26">
        <f t="shared" si="5"/>
        <v>5773</v>
      </c>
      <c r="S112" s="26">
        <f t="shared" si="6"/>
        <v>5221</v>
      </c>
      <c r="T112" s="26">
        <f t="shared" ref="T112:U112" si="221">(P112/R112)*100</f>
        <v>71.07223281</v>
      </c>
      <c r="U112" s="26">
        <f t="shared" si="221"/>
        <v>80.15705803</v>
      </c>
      <c r="V112" s="26">
        <v>2706.0</v>
      </c>
      <c r="W112" s="26">
        <v>1036.0</v>
      </c>
      <c r="X112" s="26">
        <v>1670.0</v>
      </c>
      <c r="Y112" s="26">
        <v>0.0</v>
      </c>
      <c r="Z112" s="26">
        <v>17289.0</v>
      </c>
      <c r="AA112" s="26">
        <v>3539.0</v>
      </c>
      <c r="AB112" s="26">
        <v>1800.0</v>
      </c>
      <c r="AC112" s="26">
        <v>1739.0</v>
      </c>
      <c r="AD112" s="26">
        <v>10817.0</v>
      </c>
      <c r="AE112" s="26">
        <v>5306.0</v>
      </c>
      <c r="AF112" s="26">
        <v>5305.0</v>
      </c>
      <c r="AG112" s="26">
        <v>127.0</v>
      </c>
      <c r="AH112" s="26">
        <v>79.0</v>
      </c>
      <c r="AI112" s="26">
        <f t="shared" si="8"/>
        <v>5384</v>
      </c>
      <c r="AJ112" s="26">
        <f t="shared" si="9"/>
        <v>5433</v>
      </c>
      <c r="AK112" s="26">
        <f t="shared" si="10"/>
        <v>6966</v>
      </c>
      <c r="AL112" s="26">
        <f t="shared" si="11"/>
        <v>6457</v>
      </c>
      <c r="AM112" s="26">
        <f t="shared" ref="AM112:AN112" si="222">(AI112/AK112)*100</f>
        <v>77.28969279</v>
      </c>
      <c r="AN112" s="26">
        <f t="shared" si="222"/>
        <v>84.14124206</v>
      </c>
      <c r="AO112" s="26">
        <v>2606.0</v>
      </c>
      <c r="AP112" s="26">
        <v>1024.0</v>
      </c>
      <c r="AQ112" s="26">
        <v>1582.0</v>
      </c>
      <c r="AR112" s="26">
        <v>327.0</v>
      </c>
      <c r="AS112" s="27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>
      <c r="A113" s="22">
        <v>3289.0</v>
      </c>
      <c r="B113" s="23" t="s">
        <v>25</v>
      </c>
      <c r="C113" s="29" t="s">
        <v>62</v>
      </c>
      <c r="D113" s="29" t="s">
        <v>155</v>
      </c>
      <c r="E113" s="29" t="s">
        <v>157</v>
      </c>
      <c r="F113" s="29" t="s">
        <v>157</v>
      </c>
      <c r="G113" s="26">
        <v>6044.0</v>
      </c>
      <c r="H113" s="26">
        <v>1260.0</v>
      </c>
      <c r="I113" s="26">
        <v>634.0</v>
      </c>
      <c r="J113" s="26">
        <v>626.0</v>
      </c>
      <c r="K113" s="26">
        <v>3398.0</v>
      </c>
      <c r="L113" s="26">
        <v>1788.0</v>
      </c>
      <c r="M113" s="26">
        <v>1583.0</v>
      </c>
      <c r="N113" s="26">
        <v>23.0</v>
      </c>
      <c r="O113" s="26">
        <v>4.0</v>
      </c>
      <c r="P113" s="26">
        <f t="shared" si="3"/>
        <v>1587</v>
      </c>
      <c r="Q113" s="26">
        <f t="shared" si="4"/>
        <v>1811</v>
      </c>
      <c r="R113" s="26">
        <f t="shared" si="5"/>
        <v>2478</v>
      </c>
      <c r="S113" s="26">
        <f t="shared" si="6"/>
        <v>2306</v>
      </c>
      <c r="T113" s="26">
        <f t="shared" ref="T113:U113" si="223">(P113/R113)*100</f>
        <v>64.04358354</v>
      </c>
      <c r="U113" s="26">
        <f t="shared" si="223"/>
        <v>78.53425846</v>
      </c>
      <c r="V113" s="26">
        <v>1386.0</v>
      </c>
      <c r="W113" s="26">
        <v>495.0</v>
      </c>
      <c r="X113" s="26">
        <v>891.0</v>
      </c>
      <c r="Y113" s="26">
        <v>0.0</v>
      </c>
      <c r="Z113" s="26">
        <v>9077.0</v>
      </c>
      <c r="AA113" s="26">
        <v>1671.0</v>
      </c>
      <c r="AB113" s="26">
        <v>869.0</v>
      </c>
      <c r="AC113" s="26">
        <v>802.0</v>
      </c>
      <c r="AD113" s="26">
        <v>5816.0</v>
      </c>
      <c r="AE113" s="26">
        <v>2932.0</v>
      </c>
      <c r="AF113" s="26">
        <v>2758.0</v>
      </c>
      <c r="AG113" s="26">
        <v>83.0</v>
      </c>
      <c r="AH113" s="26">
        <v>43.0</v>
      </c>
      <c r="AI113" s="26">
        <f t="shared" si="8"/>
        <v>2801</v>
      </c>
      <c r="AJ113" s="26">
        <f t="shared" si="9"/>
        <v>3015</v>
      </c>
      <c r="AK113" s="26">
        <f t="shared" si="10"/>
        <v>3575</v>
      </c>
      <c r="AL113" s="26">
        <f t="shared" si="11"/>
        <v>3546</v>
      </c>
      <c r="AM113" s="26">
        <f t="shared" ref="AM113:AN113" si="224">(AI113/AK113)*100</f>
        <v>78.34965035</v>
      </c>
      <c r="AN113" s="26">
        <f t="shared" si="224"/>
        <v>85.02538071</v>
      </c>
      <c r="AO113" s="26">
        <v>1305.0</v>
      </c>
      <c r="AP113" s="26">
        <v>531.0</v>
      </c>
      <c r="AQ113" s="26">
        <v>774.0</v>
      </c>
      <c r="AR113" s="26">
        <v>285.0</v>
      </c>
      <c r="AS113" s="27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>
      <c r="A114" s="22">
        <v>3313.0</v>
      </c>
      <c r="B114" s="23" t="s">
        <v>25</v>
      </c>
      <c r="C114" s="29" t="s">
        <v>62</v>
      </c>
      <c r="D114" s="29" t="s">
        <v>155</v>
      </c>
      <c r="E114" s="29" t="s">
        <v>158</v>
      </c>
      <c r="F114" s="29" t="s">
        <v>158</v>
      </c>
      <c r="G114" s="26">
        <v>6260.0</v>
      </c>
      <c r="H114" s="26">
        <v>1229.0</v>
      </c>
      <c r="I114" s="26">
        <v>596.0</v>
      </c>
      <c r="J114" s="26">
        <v>633.0</v>
      </c>
      <c r="K114" s="26">
        <v>3456.0</v>
      </c>
      <c r="L114" s="26">
        <v>1770.0</v>
      </c>
      <c r="M114" s="26">
        <v>1629.0</v>
      </c>
      <c r="N114" s="26">
        <v>39.0</v>
      </c>
      <c r="O114" s="26">
        <v>18.0</v>
      </c>
      <c r="P114" s="26">
        <f t="shared" si="3"/>
        <v>1647</v>
      </c>
      <c r="Q114" s="26">
        <f t="shared" si="4"/>
        <v>1809</v>
      </c>
      <c r="R114" s="26">
        <f t="shared" si="5"/>
        <v>2543</v>
      </c>
      <c r="S114" s="26">
        <f t="shared" si="6"/>
        <v>2488</v>
      </c>
      <c r="T114" s="26">
        <f t="shared" ref="T114:U114" si="225">(P114/R114)*100</f>
        <v>64.76602438</v>
      </c>
      <c r="U114" s="26">
        <f t="shared" si="225"/>
        <v>72.70900322</v>
      </c>
      <c r="V114" s="26">
        <v>1575.0</v>
      </c>
      <c r="W114" s="26">
        <v>679.0</v>
      </c>
      <c r="X114" s="26">
        <v>896.0</v>
      </c>
      <c r="Y114" s="26">
        <v>0.0</v>
      </c>
      <c r="Z114" s="26">
        <v>7463.0</v>
      </c>
      <c r="AA114" s="26">
        <v>1149.0</v>
      </c>
      <c r="AB114" s="26">
        <v>598.0</v>
      </c>
      <c r="AC114" s="26">
        <v>551.0</v>
      </c>
      <c r="AD114" s="26">
        <v>4944.0</v>
      </c>
      <c r="AE114" s="26">
        <v>2702.0</v>
      </c>
      <c r="AF114" s="26">
        <v>2160.0</v>
      </c>
      <c r="AG114" s="26">
        <v>56.0</v>
      </c>
      <c r="AH114" s="26">
        <v>26.0</v>
      </c>
      <c r="AI114" s="26">
        <f t="shared" si="8"/>
        <v>2186</v>
      </c>
      <c r="AJ114" s="26">
        <f t="shared" si="9"/>
        <v>2758</v>
      </c>
      <c r="AK114" s="26">
        <f t="shared" si="10"/>
        <v>2918</v>
      </c>
      <c r="AL114" s="26">
        <f t="shared" si="11"/>
        <v>3305</v>
      </c>
      <c r="AM114" s="26">
        <f t="shared" ref="AM114:AN114" si="226">(AI114/AK114)*100</f>
        <v>74.91432488</v>
      </c>
      <c r="AN114" s="26">
        <f t="shared" si="226"/>
        <v>83.44931921</v>
      </c>
      <c r="AO114" s="26">
        <v>1279.0</v>
      </c>
      <c r="AP114" s="26">
        <v>547.0</v>
      </c>
      <c r="AQ114" s="26">
        <v>732.0</v>
      </c>
      <c r="AR114" s="26">
        <v>91.0</v>
      </c>
      <c r="AS114" s="27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>
      <c r="A115" s="22">
        <v>3361.0</v>
      </c>
      <c r="B115" s="23" t="s">
        <v>25</v>
      </c>
      <c r="C115" s="29" t="s">
        <v>62</v>
      </c>
      <c r="D115" s="29" t="s">
        <v>159</v>
      </c>
      <c r="E115" s="29" t="s">
        <v>160</v>
      </c>
      <c r="F115" s="29" t="s">
        <v>160</v>
      </c>
      <c r="G115" s="26">
        <v>8815.0</v>
      </c>
      <c r="H115" s="26">
        <v>1938.0</v>
      </c>
      <c r="I115" s="26">
        <v>1033.0</v>
      </c>
      <c r="J115" s="26">
        <v>905.0</v>
      </c>
      <c r="K115" s="26">
        <v>5526.0</v>
      </c>
      <c r="L115" s="26">
        <v>3088.0</v>
      </c>
      <c r="M115" s="26">
        <v>2423.0</v>
      </c>
      <c r="N115" s="26">
        <v>13.0</v>
      </c>
      <c r="O115" s="26">
        <v>2.0</v>
      </c>
      <c r="P115" s="26">
        <f t="shared" si="3"/>
        <v>2425</v>
      </c>
      <c r="Q115" s="26">
        <f t="shared" si="4"/>
        <v>3101</v>
      </c>
      <c r="R115" s="26">
        <f t="shared" si="5"/>
        <v>3235</v>
      </c>
      <c r="S115" s="26">
        <f t="shared" si="6"/>
        <v>3642</v>
      </c>
      <c r="T115" s="26">
        <f t="shared" ref="T115:U115" si="227">(P115/R115)*100</f>
        <v>74.96136012</v>
      </c>
      <c r="U115" s="26">
        <f t="shared" si="227"/>
        <v>85.14552444</v>
      </c>
      <c r="V115" s="26">
        <v>1351.0</v>
      </c>
      <c r="W115" s="26">
        <v>541.0</v>
      </c>
      <c r="X115" s="26">
        <v>810.0</v>
      </c>
      <c r="Y115" s="26">
        <v>0.0</v>
      </c>
      <c r="Z115" s="26">
        <v>9012.0</v>
      </c>
      <c r="AA115" s="26">
        <v>1925.0</v>
      </c>
      <c r="AB115" s="26">
        <v>1040.0</v>
      </c>
      <c r="AC115" s="26">
        <v>885.0</v>
      </c>
      <c r="AD115" s="26">
        <v>6145.0</v>
      </c>
      <c r="AE115" s="26">
        <v>3320.0</v>
      </c>
      <c r="AF115" s="26">
        <v>2762.0</v>
      </c>
      <c r="AG115" s="26">
        <v>45.0</v>
      </c>
      <c r="AH115" s="26">
        <v>18.0</v>
      </c>
      <c r="AI115" s="26">
        <f t="shared" si="8"/>
        <v>2780</v>
      </c>
      <c r="AJ115" s="26">
        <f t="shared" si="9"/>
        <v>3365</v>
      </c>
      <c r="AK115" s="26">
        <f t="shared" si="10"/>
        <v>3243</v>
      </c>
      <c r="AL115" s="26">
        <f t="shared" si="11"/>
        <v>3683</v>
      </c>
      <c r="AM115" s="26">
        <f t="shared" ref="AM115:AN115" si="228">(AI115/AK115)*100</f>
        <v>85.7230959</v>
      </c>
      <c r="AN115" s="26">
        <f t="shared" si="228"/>
        <v>91.36573446</v>
      </c>
      <c r="AO115" s="26">
        <v>781.0</v>
      </c>
      <c r="AP115" s="26">
        <v>318.0</v>
      </c>
      <c r="AQ115" s="26">
        <v>463.0</v>
      </c>
      <c r="AR115" s="26">
        <v>161.0</v>
      </c>
      <c r="AS115" s="27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>
      <c r="A116" s="22">
        <v>3385.0</v>
      </c>
      <c r="B116" s="23" t="s">
        <v>25</v>
      </c>
      <c r="C116" s="29" t="s">
        <v>62</v>
      </c>
      <c r="D116" s="29" t="s">
        <v>159</v>
      </c>
      <c r="E116" s="29" t="s">
        <v>161</v>
      </c>
      <c r="F116" s="29" t="s">
        <v>161</v>
      </c>
      <c r="G116" s="26">
        <v>6975.0</v>
      </c>
      <c r="H116" s="26">
        <v>1677.0</v>
      </c>
      <c r="I116" s="26">
        <v>847.0</v>
      </c>
      <c r="J116" s="26">
        <v>830.0</v>
      </c>
      <c r="K116" s="26">
        <v>4074.0</v>
      </c>
      <c r="L116" s="26">
        <v>2338.0</v>
      </c>
      <c r="M116" s="26">
        <v>1722.0</v>
      </c>
      <c r="N116" s="26">
        <v>9.0</v>
      </c>
      <c r="O116" s="26">
        <v>5.0</v>
      </c>
      <c r="P116" s="26">
        <f t="shared" si="3"/>
        <v>1727</v>
      </c>
      <c r="Q116" s="26">
        <f t="shared" si="4"/>
        <v>2347</v>
      </c>
      <c r="R116" s="26">
        <f t="shared" si="5"/>
        <v>2457</v>
      </c>
      <c r="S116" s="26">
        <f t="shared" si="6"/>
        <v>2841</v>
      </c>
      <c r="T116" s="26">
        <f t="shared" ref="T116:U116" si="229">(P116/R116)*100</f>
        <v>70.28897029</v>
      </c>
      <c r="U116" s="26">
        <f t="shared" si="229"/>
        <v>82.61175642</v>
      </c>
      <c r="V116" s="26">
        <v>1224.0</v>
      </c>
      <c r="W116" s="26">
        <v>494.0</v>
      </c>
      <c r="X116" s="26">
        <v>730.0</v>
      </c>
      <c r="Y116" s="26">
        <v>0.0</v>
      </c>
      <c r="Z116" s="26">
        <v>6557.0</v>
      </c>
      <c r="AA116" s="26">
        <v>1324.0</v>
      </c>
      <c r="AB116" s="26">
        <v>693.0</v>
      </c>
      <c r="AC116" s="26">
        <v>631.0</v>
      </c>
      <c r="AD116" s="26">
        <v>4376.0</v>
      </c>
      <c r="AE116" s="26">
        <v>2395.0</v>
      </c>
      <c r="AF116" s="26">
        <v>1922.0</v>
      </c>
      <c r="AG116" s="26">
        <v>45.0</v>
      </c>
      <c r="AH116" s="26">
        <v>14.0</v>
      </c>
      <c r="AI116" s="26">
        <f t="shared" si="8"/>
        <v>1936</v>
      </c>
      <c r="AJ116" s="26">
        <f t="shared" si="9"/>
        <v>2440</v>
      </c>
      <c r="AK116" s="26">
        <f t="shared" si="10"/>
        <v>2356</v>
      </c>
      <c r="AL116" s="26">
        <f t="shared" si="11"/>
        <v>2757</v>
      </c>
      <c r="AM116" s="26">
        <f t="shared" ref="AM116:AN116" si="230">(AI116/AK116)*100</f>
        <v>82.17317487</v>
      </c>
      <c r="AN116" s="26">
        <f t="shared" si="230"/>
        <v>88.50199492</v>
      </c>
      <c r="AO116" s="26">
        <v>737.0</v>
      </c>
      <c r="AP116" s="26">
        <v>317.0</v>
      </c>
      <c r="AQ116" s="26">
        <v>420.0</v>
      </c>
      <c r="AR116" s="26">
        <v>120.0</v>
      </c>
      <c r="AS116" s="27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>
      <c r="A117" s="22">
        <v>3409.0</v>
      </c>
      <c r="B117" s="23" t="s">
        <v>25</v>
      </c>
      <c r="C117" s="29" t="s">
        <v>62</v>
      </c>
      <c r="D117" s="29" t="s">
        <v>159</v>
      </c>
      <c r="E117" s="29" t="s">
        <v>162</v>
      </c>
      <c r="F117" s="29" t="s">
        <v>162</v>
      </c>
      <c r="G117" s="26">
        <v>2004.0</v>
      </c>
      <c r="H117" s="26">
        <v>564.0</v>
      </c>
      <c r="I117" s="26">
        <v>305.0</v>
      </c>
      <c r="J117" s="26">
        <v>259.0</v>
      </c>
      <c r="K117" s="26">
        <v>1169.0</v>
      </c>
      <c r="L117" s="26">
        <v>668.0</v>
      </c>
      <c r="M117" s="26">
        <v>499.0</v>
      </c>
      <c r="N117" s="26">
        <v>1.0</v>
      </c>
      <c r="O117" s="26">
        <v>1.0</v>
      </c>
      <c r="P117" s="26">
        <f t="shared" si="3"/>
        <v>500</v>
      </c>
      <c r="Q117" s="26">
        <f t="shared" si="4"/>
        <v>669</v>
      </c>
      <c r="R117" s="26">
        <f t="shared" si="5"/>
        <v>659</v>
      </c>
      <c r="S117" s="26">
        <f t="shared" si="6"/>
        <v>781</v>
      </c>
      <c r="T117" s="26">
        <f t="shared" ref="T117:U117" si="231">(P117/R117)*100</f>
        <v>75.87253414</v>
      </c>
      <c r="U117" s="26">
        <f t="shared" si="231"/>
        <v>85.65941101</v>
      </c>
      <c r="V117" s="26">
        <v>271.0</v>
      </c>
      <c r="W117" s="26">
        <v>112.0</v>
      </c>
      <c r="X117" s="26">
        <v>159.0</v>
      </c>
      <c r="Y117" s="26">
        <v>0.0</v>
      </c>
      <c r="Z117" s="26">
        <v>2037.0</v>
      </c>
      <c r="AA117" s="26">
        <v>489.0</v>
      </c>
      <c r="AB117" s="26">
        <v>282.0</v>
      </c>
      <c r="AC117" s="26">
        <v>207.0</v>
      </c>
      <c r="AD117" s="26">
        <v>1308.0</v>
      </c>
      <c r="AE117" s="26">
        <v>701.0</v>
      </c>
      <c r="AF117" s="26">
        <v>590.0</v>
      </c>
      <c r="AG117" s="26">
        <v>12.0</v>
      </c>
      <c r="AH117" s="26">
        <v>5.0</v>
      </c>
      <c r="AI117" s="26">
        <f t="shared" si="8"/>
        <v>595</v>
      </c>
      <c r="AJ117" s="26">
        <f t="shared" si="9"/>
        <v>713</v>
      </c>
      <c r="AK117" s="26">
        <f t="shared" si="10"/>
        <v>738</v>
      </c>
      <c r="AL117" s="26">
        <f t="shared" si="11"/>
        <v>795</v>
      </c>
      <c r="AM117" s="26">
        <f t="shared" ref="AM117:AN117" si="232">(AI117/AK117)*100</f>
        <v>80.62330623</v>
      </c>
      <c r="AN117" s="26">
        <f t="shared" si="232"/>
        <v>89.68553459</v>
      </c>
      <c r="AO117" s="26">
        <v>225.0</v>
      </c>
      <c r="AP117" s="26">
        <v>82.0</v>
      </c>
      <c r="AQ117" s="26">
        <v>143.0</v>
      </c>
      <c r="AR117" s="26">
        <v>15.0</v>
      </c>
      <c r="AS117" s="27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>
      <c r="A118" s="22">
        <v>3457.0</v>
      </c>
      <c r="B118" s="23" t="s">
        <v>25</v>
      </c>
      <c r="C118" s="29" t="s">
        <v>62</v>
      </c>
      <c r="D118" s="29" t="s">
        <v>163</v>
      </c>
      <c r="E118" s="29" t="s">
        <v>164</v>
      </c>
      <c r="F118" s="29" t="s">
        <v>164</v>
      </c>
      <c r="G118" s="26">
        <v>4578.0</v>
      </c>
      <c r="H118" s="26">
        <v>1033.0</v>
      </c>
      <c r="I118" s="26">
        <v>559.0</v>
      </c>
      <c r="J118" s="26">
        <v>474.0</v>
      </c>
      <c r="K118" s="26">
        <v>2635.0</v>
      </c>
      <c r="L118" s="26">
        <v>1421.0</v>
      </c>
      <c r="M118" s="26">
        <v>1196.0</v>
      </c>
      <c r="N118" s="26">
        <v>15.0</v>
      </c>
      <c r="O118" s="26">
        <v>3.0</v>
      </c>
      <c r="P118" s="26">
        <f t="shared" si="3"/>
        <v>1199</v>
      </c>
      <c r="Q118" s="26">
        <f t="shared" si="4"/>
        <v>1436</v>
      </c>
      <c r="R118" s="26">
        <f t="shared" si="5"/>
        <v>1768</v>
      </c>
      <c r="S118" s="26">
        <f t="shared" si="6"/>
        <v>1777</v>
      </c>
      <c r="T118" s="26">
        <f t="shared" ref="T118:U118" si="233">(P118/R118)*100</f>
        <v>67.81674208</v>
      </c>
      <c r="U118" s="26">
        <f t="shared" si="233"/>
        <v>80.81035453</v>
      </c>
      <c r="V118" s="26">
        <v>910.0</v>
      </c>
      <c r="W118" s="26">
        <v>341.0</v>
      </c>
      <c r="X118" s="26">
        <v>569.0</v>
      </c>
      <c r="Y118" s="26">
        <v>0.0</v>
      </c>
      <c r="Z118" s="26">
        <v>6735.0</v>
      </c>
      <c r="AA118" s="26">
        <v>1344.0</v>
      </c>
      <c r="AB118" s="26">
        <v>684.0</v>
      </c>
      <c r="AC118" s="26">
        <v>660.0</v>
      </c>
      <c r="AD118" s="26">
        <v>4584.0</v>
      </c>
      <c r="AE118" s="26">
        <v>2327.0</v>
      </c>
      <c r="AF118" s="26">
        <v>2221.0</v>
      </c>
      <c r="AG118" s="26">
        <v>23.0</v>
      </c>
      <c r="AH118" s="26">
        <v>13.0</v>
      </c>
      <c r="AI118" s="26">
        <f t="shared" si="8"/>
        <v>2234</v>
      </c>
      <c r="AJ118" s="26">
        <f t="shared" si="9"/>
        <v>2350</v>
      </c>
      <c r="AK118" s="26">
        <f t="shared" si="10"/>
        <v>2641</v>
      </c>
      <c r="AL118" s="26">
        <f t="shared" si="11"/>
        <v>2650</v>
      </c>
      <c r="AM118" s="26">
        <f t="shared" ref="AM118:AN118" si="234">(AI118/AK118)*100</f>
        <v>84.58917077</v>
      </c>
      <c r="AN118" s="26">
        <f t="shared" si="234"/>
        <v>88.67924528</v>
      </c>
      <c r="AO118" s="26">
        <v>707.0</v>
      </c>
      <c r="AP118" s="26">
        <v>300.0</v>
      </c>
      <c r="AQ118" s="26">
        <v>407.0</v>
      </c>
      <c r="AR118" s="26">
        <v>100.0</v>
      </c>
      <c r="AS118" s="27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>
      <c r="A119" s="22">
        <v>3481.0</v>
      </c>
      <c r="B119" s="23" t="s">
        <v>25</v>
      </c>
      <c r="C119" s="29" t="s">
        <v>62</v>
      </c>
      <c r="D119" s="29" t="s">
        <v>163</v>
      </c>
      <c r="E119" s="29" t="s">
        <v>165</v>
      </c>
      <c r="F119" s="29" t="s">
        <v>165</v>
      </c>
      <c r="G119" s="26">
        <v>2878.0</v>
      </c>
      <c r="H119" s="26">
        <v>803.0</v>
      </c>
      <c r="I119" s="26">
        <v>425.0</v>
      </c>
      <c r="J119" s="26">
        <v>378.0</v>
      </c>
      <c r="K119" s="26">
        <v>1538.0</v>
      </c>
      <c r="L119" s="26">
        <v>821.0</v>
      </c>
      <c r="M119" s="26">
        <v>697.0</v>
      </c>
      <c r="N119" s="26">
        <v>14.0</v>
      </c>
      <c r="O119" s="26">
        <v>6.0</v>
      </c>
      <c r="P119" s="26">
        <f t="shared" si="3"/>
        <v>703</v>
      </c>
      <c r="Q119" s="26">
        <f t="shared" si="4"/>
        <v>835</v>
      </c>
      <c r="R119" s="26">
        <f t="shared" si="5"/>
        <v>1014</v>
      </c>
      <c r="S119" s="26">
        <f t="shared" si="6"/>
        <v>1061</v>
      </c>
      <c r="T119" s="26">
        <f t="shared" ref="T119:U119" si="235">(P119/R119)*100</f>
        <v>69.32938856</v>
      </c>
      <c r="U119" s="26">
        <f t="shared" si="235"/>
        <v>78.69934025</v>
      </c>
      <c r="V119" s="26">
        <v>537.0</v>
      </c>
      <c r="W119" s="26">
        <v>226.0</v>
      </c>
      <c r="X119" s="26">
        <v>311.0</v>
      </c>
      <c r="Y119" s="26">
        <v>0.0</v>
      </c>
      <c r="Z119" s="26">
        <v>5287.0</v>
      </c>
      <c r="AA119" s="26">
        <v>1393.0</v>
      </c>
      <c r="AB119" s="26">
        <v>739.0</v>
      </c>
      <c r="AC119" s="26">
        <v>654.0</v>
      </c>
      <c r="AD119" s="26">
        <v>3232.0</v>
      </c>
      <c r="AE119" s="26">
        <v>1668.0</v>
      </c>
      <c r="AF119" s="26">
        <v>1485.0</v>
      </c>
      <c r="AG119" s="26">
        <v>48.0</v>
      </c>
      <c r="AH119" s="26">
        <v>31.0</v>
      </c>
      <c r="AI119" s="26">
        <f t="shared" si="8"/>
        <v>1516</v>
      </c>
      <c r="AJ119" s="26">
        <f t="shared" si="9"/>
        <v>1716</v>
      </c>
      <c r="AK119" s="26">
        <f t="shared" si="10"/>
        <v>1869</v>
      </c>
      <c r="AL119" s="26">
        <f t="shared" si="11"/>
        <v>1968</v>
      </c>
      <c r="AM119" s="26">
        <f t="shared" ref="AM119:AN119" si="236">(AI119/AK119)*100</f>
        <v>81.1128946</v>
      </c>
      <c r="AN119" s="26">
        <f t="shared" si="236"/>
        <v>87.19512195</v>
      </c>
      <c r="AO119" s="26">
        <v>605.0</v>
      </c>
      <c r="AP119" s="26">
        <v>252.0</v>
      </c>
      <c r="AQ119" s="26">
        <v>353.0</v>
      </c>
      <c r="AR119" s="26">
        <v>57.0</v>
      </c>
      <c r="AS119" s="27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>
      <c r="A120" s="22">
        <v>3529.0</v>
      </c>
      <c r="B120" s="23" t="s">
        <v>25</v>
      </c>
      <c r="C120" s="29" t="s">
        <v>62</v>
      </c>
      <c r="D120" s="29" t="s">
        <v>166</v>
      </c>
      <c r="E120" s="29" t="s">
        <v>166</v>
      </c>
      <c r="F120" s="29" t="s">
        <v>166</v>
      </c>
      <c r="G120" s="26">
        <v>50294.0</v>
      </c>
      <c r="H120" s="26">
        <v>15214.0</v>
      </c>
      <c r="I120" s="26">
        <v>7811.0</v>
      </c>
      <c r="J120" s="26">
        <v>7403.0</v>
      </c>
      <c r="K120" s="26">
        <v>28245.0</v>
      </c>
      <c r="L120" s="26">
        <v>15650.0</v>
      </c>
      <c r="M120" s="26">
        <v>12523.0</v>
      </c>
      <c r="N120" s="26">
        <v>50.0</v>
      </c>
      <c r="O120" s="26">
        <v>22.0</v>
      </c>
      <c r="P120" s="26">
        <f t="shared" si="3"/>
        <v>12545</v>
      </c>
      <c r="Q120" s="26">
        <f t="shared" si="4"/>
        <v>15700</v>
      </c>
      <c r="R120" s="26">
        <f t="shared" si="5"/>
        <v>16395</v>
      </c>
      <c r="S120" s="26">
        <f t="shared" si="6"/>
        <v>18685</v>
      </c>
      <c r="T120" s="26">
        <f t="shared" ref="T120:U120" si="237">(P120/R120)*100</f>
        <v>76.51723086</v>
      </c>
      <c r="U120" s="26">
        <f t="shared" si="237"/>
        <v>84.02461868</v>
      </c>
      <c r="V120" s="26">
        <v>6835.0</v>
      </c>
      <c r="W120" s="26">
        <v>2985.0</v>
      </c>
      <c r="X120" s="26">
        <v>3850.0</v>
      </c>
      <c r="Y120" s="26">
        <v>0.0</v>
      </c>
      <c r="Z120" s="26">
        <v>59083.0</v>
      </c>
      <c r="AA120" s="26">
        <v>15114.0</v>
      </c>
      <c r="AB120" s="26">
        <v>7725.0</v>
      </c>
      <c r="AC120" s="26">
        <v>7389.0</v>
      </c>
      <c r="AD120" s="26">
        <v>35911.0</v>
      </c>
      <c r="AE120" s="26">
        <v>19448.0</v>
      </c>
      <c r="AF120" s="26">
        <v>15902.0</v>
      </c>
      <c r="AG120" s="26">
        <v>307.0</v>
      </c>
      <c r="AH120" s="26">
        <v>254.0</v>
      </c>
      <c r="AI120" s="26">
        <f t="shared" si="8"/>
        <v>16156</v>
      </c>
      <c r="AJ120" s="26">
        <f t="shared" si="9"/>
        <v>19755</v>
      </c>
      <c r="AK120" s="26">
        <f t="shared" si="10"/>
        <v>20417</v>
      </c>
      <c r="AL120" s="26">
        <f t="shared" si="11"/>
        <v>22418</v>
      </c>
      <c r="AM120" s="26">
        <f t="shared" ref="AM120:AN120" si="238">(AI120/AK120)*100</f>
        <v>79.13013665</v>
      </c>
      <c r="AN120" s="26">
        <f t="shared" si="238"/>
        <v>88.12115265</v>
      </c>
      <c r="AO120" s="26">
        <v>6924.0</v>
      </c>
      <c r="AP120" s="26">
        <v>2663.0</v>
      </c>
      <c r="AQ120" s="26">
        <v>4261.0</v>
      </c>
      <c r="AR120" s="26">
        <v>1134.0</v>
      </c>
      <c r="AS120" s="27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>
      <c r="A121" s="22">
        <v>3553.0</v>
      </c>
      <c r="B121" s="23" t="s">
        <v>25</v>
      </c>
      <c r="C121" s="29" t="s">
        <v>62</v>
      </c>
      <c r="D121" s="29" t="s">
        <v>166</v>
      </c>
      <c r="E121" s="29" t="s">
        <v>167</v>
      </c>
      <c r="F121" s="29" t="s">
        <v>167</v>
      </c>
      <c r="G121" s="26">
        <v>11191.0</v>
      </c>
      <c r="H121" s="26">
        <v>3404.0</v>
      </c>
      <c r="I121" s="26">
        <v>1740.0</v>
      </c>
      <c r="J121" s="26">
        <v>1664.0</v>
      </c>
      <c r="K121" s="26">
        <v>6473.0</v>
      </c>
      <c r="L121" s="26">
        <v>3929.0</v>
      </c>
      <c r="M121" s="26">
        <v>2529.0</v>
      </c>
      <c r="N121" s="26">
        <v>10.0</v>
      </c>
      <c r="O121" s="26">
        <v>5.0</v>
      </c>
      <c r="P121" s="26">
        <f t="shared" si="3"/>
        <v>2534</v>
      </c>
      <c r="Q121" s="26">
        <f t="shared" si="4"/>
        <v>3939</v>
      </c>
      <c r="R121" s="26">
        <f t="shared" si="5"/>
        <v>3325</v>
      </c>
      <c r="S121" s="26">
        <f t="shared" si="6"/>
        <v>4462</v>
      </c>
      <c r="T121" s="26">
        <f t="shared" ref="T121:U121" si="239">(P121/R121)*100</f>
        <v>76.21052632</v>
      </c>
      <c r="U121" s="26">
        <f t="shared" si="239"/>
        <v>88.27879874</v>
      </c>
      <c r="V121" s="26">
        <v>1314.0</v>
      </c>
      <c r="W121" s="26">
        <v>523.0</v>
      </c>
      <c r="X121" s="26">
        <v>791.0</v>
      </c>
      <c r="Y121" s="26">
        <v>0.0</v>
      </c>
      <c r="Z121" s="26">
        <v>10540.0</v>
      </c>
      <c r="AA121" s="26">
        <v>2717.0</v>
      </c>
      <c r="AB121" s="26">
        <v>1372.0</v>
      </c>
      <c r="AC121" s="26">
        <v>1345.0</v>
      </c>
      <c r="AD121" s="26">
        <v>6608.0</v>
      </c>
      <c r="AE121" s="26">
        <v>3847.0</v>
      </c>
      <c r="AF121" s="26">
        <v>2707.0</v>
      </c>
      <c r="AG121" s="26">
        <v>37.0</v>
      </c>
      <c r="AH121" s="26">
        <v>17.0</v>
      </c>
      <c r="AI121" s="26">
        <f t="shared" si="8"/>
        <v>2724</v>
      </c>
      <c r="AJ121" s="26">
        <f t="shared" si="9"/>
        <v>3884</v>
      </c>
      <c r="AK121" s="26">
        <f t="shared" si="10"/>
        <v>3433</v>
      </c>
      <c r="AL121" s="26">
        <f t="shared" si="11"/>
        <v>4316</v>
      </c>
      <c r="AM121" s="26">
        <f t="shared" ref="AM121:AN121" si="240">(AI121/AK121)*100</f>
        <v>79.34750947</v>
      </c>
      <c r="AN121" s="26">
        <f t="shared" si="240"/>
        <v>89.99073216</v>
      </c>
      <c r="AO121" s="26">
        <v>1141.0</v>
      </c>
      <c r="AP121" s="26">
        <v>432.0</v>
      </c>
      <c r="AQ121" s="26">
        <v>709.0</v>
      </c>
      <c r="AR121" s="26">
        <v>74.0</v>
      </c>
      <c r="AS121" s="27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>
      <c r="A122" s="22">
        <v>3625.0</v>
      </c>
      <c r="B122" s="23" t="s">
        <v>25</v>
      </c>
      <c r="C122" s="29" t="s">
        <v>168</v>
      </c>
      <c r="D122" s="29" t="s">
        <v>169</v>
      </c>
      <c r="E122" s="29" t="s">
        <v>168</v>
      </c>
      <c r="F122" s="29" t="s">
        <v>168</v>
      </c>
      <c r="G122" s="26">
        <v>630138.0</v>
      </c>
      <c r="H122" s="26">
        <v>167574.0</v>
      </c>
      <c r="I122" s="26">
        <v>85324.0</v>
      </c>
      <c r="J122" s="26">
        <v>82250.0</v>
      </c>
      <c r="K122" s="26">
        <v>282831.0</v>
      </c>
      <c r="L122" s="26">
        <v>152927.0</v>
      </c>
      <c r="M122" s="26">
        <v>124121.0</v>
      </c>
      <c r="N122" s="26">
        <v>3126.0</v>
      </c>
      <c r="O122" s="26">
        <v>2657.0</v>
      </c>
      <c r="P122" s="26">
        <f t="shared" si="3"/>
        <v>126778</v>
      </c>
      <c r="Q122" s="26">
        <f t="shared" si="4"/>
        <v>156053</v>
      </c>
      <c r="R122" s="26">
        <f t="shared" si="5"/>
        <v>244172</v>
      </c>
      <c r="S122" s="26">
        <f t="shared" si="6"/>
        <v>218392</v>
      </c>
      <c r="T122" s="26">
        <f t="shared" ref="T122:U122" si="241">(P122/R122)*100</f>
        <v>51.92159625</v>
      </c>
      <c r="U122" s="26">
        <f t="shared" si="241"/>
        <v>71.45545624</v>
      </c>
      <c r="V122" s="26">
        <v>179733.0</v>
      </c>
      <c r="W122" s="26">
        <v>62339.0</v>
      </c>
      <c r="X122" s="26">
        <v>117394.0</v>
      </c>
      <c r="Y122" s="26">
        <v>0.0</v>
      </c>
      <c r="Z122" s="26">
        <v>661444.0</v>
      </c>
      <c r="AA122" s="26">
        <v>145635.0</v>
      </c>
      <c r="AB122" s="26">
        <v>74218.0</v>
      </c>
      <c r="AC122" s="26">
        <v>71417.0</v>
      </c>
      <c r="AD122" s="26">
        <v>345764.0</v>
      </c>
      <c r="AE122" s="26">
        <v>173653.0</v>
      </c>
      <c r="AF122" s="26">
        <v>159745.0</v>
      </c>
      <c r="AG122" s="26">
        <v>6269.0</v>
      </c>
      <c r="AH122" s="26">
        <v>6097.0</v>
      </c>
      <c r="AI122" s="26">
        <f t="shared" si="8"/>
        <v>165842</v>
      </c>
      <c r="AJ122" s="26">
        <f t="shared" si="9"/>
        <v>179922</v>
      </c>
      <c r="AK122" s="26">
        <f t="shared" si="10"/>
        <v>267121</v>
      </c>
      <c r="AL122" s="26">
        <f t="shared" si="11"/>
        <v>239152</v>
      </c>
      <c r="AM122" s="26">
        <f t="shared" ref="AM122:AN122" si="242">(AI122/AK122)*100</f>
        <v>62.08497273</v>
      </c>
      <c r="AN122" s="26">
        <f t="shared" si="242"/>
        <v>75.23332441</v>
      </c>
      <c r="AO122" s="26">
        <v>160509.0</v>
      </c>
      <c r="AP122" s="26">
        <v>59230.0</v>
      </c>
      <c r="AQ122" s="26">
        <v>101279.0</v>
      </c>
      <c r="AR122" s="26">
        <v>9536.0</v>
      </c>
      <c r="AS122" s="27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>
      <c r="A123" s="22">
        <v>3673.0</v>
      </c>
      <c r="B123" s="23" t="s">
        <v>25</v>
      </c>
      <c r="C123" s="29" t="s">
        <v>168</v>
      </c>
      <c r="D123" s="29" t="s">
        <v>170</v>
      </c>
      <c r="E123" s="29" t="s">
        <v>171</v>
      </c>
      <c r="F123" s="29" t="s">
        <v>171</v>
      </c>
      <c r="G123" s="26">
        <v>23248.0</v>
      </c>
      <c r="H123" s="26">
        <v>8093.0</v>
      </c>
      <c r="I123" s="26">
        <v>4042.0</v>
      </c>
      <c r="J123" s="26">
        <v>4051.0</v>
      </c>
      <c r="K123" s="26">
        <v>9112.0</v>
      </c>
      <c r="L123" s="26">
        <v>5818.0</v>
      </c>
      <c r="M123" s="26">
        <v>3198.0</v>
      </c>
      <c r="N123" s="26">
        <v>69.0</v>
      </c>
      <c r="O123" s="26">
        <v>27.0</v>
      </c>
      <c r="P123" s="26">
        <f t="shared" si="3"/>
        <v>3225</v>
      </c>
      <c r="Q123" s="26">
        <f t="shared" si="4"/>
        <v>5887</v>
      </c>
      <c r="R123" s="26">
        <f t="shared" si="5"/>
        <v>7552</v>
      </c>
      <c r="S123" s="26">
        <f t="shared" si="6"/>
        <v>7603</v>
      </c>
      <c r="T123" s="26">
        <f t="shared" ref="T123:U123" si="243">(P123/R123)*100</f>
        <v>42.70391949</v>
      </c>
      <c r="U123" s="26">
        <f t="shared" si="243"/>
        <v>77.42996186</v>
      </c>
      <c r="V123" s="26">
        <v>6043.0</v>
      </c>
      <c r="W123" s="26">
        <v>1716.0</v>
      </c>
      <c r="X123" s="26">
        <v>4327.0</v>
      </c>
      <c r="Y123" s="26">
        <v>0.0</v>
      </c>
      <c r="Z123" s="26">
        <v>22859.0</v>
      </c>
      <c r="AA123" s="26">
        <v>5914.0</v>
      </c>
      <c r="AB123" s="26">
        <v>3008.0</v>
      </c>
      <c r="AC123" s="26">
        <v>2906.0</v>
      </c>
      <c r="AD123" s="26">
        <v>12827.0</v>
      </c>
      <c r="AE123" s="26">
        <v>6894.0</v>
      </c>
      <c r="AF123" s="26">
        <v>5746.0</v>
      </c>
      <c r="AG123" s="26">
        <v>107.0</v>
      </c>
      <c r="AH123" s="26">
        <v>80.0</v>
      </c>
      <c r="AI123" s="26">
        <f t="shared" si="8"/>
        <v>5826</v>
      </c>
      <c r="AJ123" s="26">
        <f t="shared" si="9"/>
        <v>7001</v>
      </c>
      <c r="AK123" s="26">
        <f t="shared" si="10"/>
        <v>8340</v>
      </c>
      <c r="AL123" s="26">
        <f t="shared" si="11"/>
        <v>8205</v>
      </c>
      <c r="AM123" s="26">
        <f t="shared" ref="AM123:AN123" si="244">(AI123/AK123)*100</f>
        <v>69.85611511</v>
      </c>
      <c r="AN123" s="26">
        <f t="shared" si="244"/>
        <v>85.32602072</v>
      </c>
      <c r="AO123" s="26">
        <v>3718.0</v>
      </c>
      <c r="AP123" s="26">
        <v>1204.0</v>
      </c>
      <c r="AQ123" s="26">
        <v>2514.0</v>
      </c>
      <c r="AR123" s="26">
        <v>400.0</v>
      </c>
      <c r="AS123" s="27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>
      <c r="A124" s="22">
        <v>3697.0</v>
      </c>
      <c r="B124" s="23" t="s">
        <v>25</v>
      </c>
      <c r="C124" s="29" t="s">
        <v>168</v>
      </c>
      <c r="D124" s="29" t="s">
        <v>170</v>
      </c>
      <c r="E124" s="29" t="s">
        <v>172</v>
      </c>
      <c r="F124" s="29" t="s">
        <v>172</v>
      </c>
      <c r="G124" s="26">
        <v>6847.0</v>
      </c>
      <c r="H124" s="26">
        <v>1844.0</v>
      </c>
      <c r="I124" s="26">
        <v>947.0</v>
      </c>
      <c r="J124" s="26">
        <v>897.0</v>
      </c>
      <c r="K124" s="26">
        <v>3176.0</v>
      </c>
      <c r="L124" s="26">
        <v>2085.0</v>
      </c>
      <c r="M124" s="26">
        <v>1068.0</v>
      </c>
      <c r="N124" s="26">
        <v>14.0</v>
      </c>
      <c r="O124" s="26">
        <v>9.0</v>
      </c>
      <c r="P124" s="26">
        <f t="shared" si="3"/>
        <v>1077</v>
      </c>
      <c r="Q124" s="26">
        <f t="shared" si="4"/>
        <v>2099</v>
      </c>
      <c r="R124" s="26">
        <f t="shared" si="5"/>
        <v>2359</v>
      </c>
      <c r="S124" s="26">
        <f t="shared" si="6"/>
        <v>2644</v>
      </c>
      <c r="T124" s="26">
        <f t="shared" ref="T124:U124" si="245">(P124/R124)*100</f>
        <v>45.65493853</v>
      </c>
      <c r="U124" s="26">
        <f t="shared" si="245"/>
        <v>79.38729198</v>
      </c>
      <c r="V124" s="26">
        <v>1827.0</v>
      </c>
      <c r="W124" s="26">
        <v>545.0</v>
      </c>
      <c r="X124" s="26">
        <v>1282.0</v>
      </c>
      <c r="Y124" s="26">
        <v>0.0</v>
      </c>
      <c r="Z124" s="26">
        <v>6425.0</v>
      </c>
      <c r="AA124" s="26">
        <v>1357.0</v>
      </c>
      <c r="AB124" s="26">
        <v>715.0</v>
      </c>
      <c r="AC124" s="26">
        <v>642.0</v>
      </c>
      <c r="AD124" s="26">
        <v>3828.0</v>
      </c>
      <c r="AE124" s="26">
        <v>2253.0</v>
      </c>
      <c r="AF124" s="26">
        <v>1506.0</v>
      </c>
      <c r="AG124" s="26">
        <v>43.0</v>
      </c>
      <c r="AH124" s="26">
        <v>26.0</v>
      </c>
      <c r="AI124" s="26">
        <f t="shared" si="8"/>
        <v>1532</v>
      </c>
      <c r="AJ124" s="26">
        <f t="shared" si="9"/>
        <v>2296</v>
      </c>
      <c r="AK124" s="26">
        <f t="shared" si="10"/>
        <v>2270</v>
      </c>
      <c r="AL124" s="26">
        <f t="shared" si="11"/>
        <v>2750</v>
      </c>
      <c r="AM124" s="26">
        <f t="shared" ref="AM124:AN124" si="246">(AI124/AK124)*100</f>
        <v>67.48898678</v>
      </c>
      <c r="AN124" s="26">
        <f t="shared" si="246"/>
        <v>83.49090909</v>
      </c>
      <c r="AO124" s="26">
        <v>1192.0</v>
      </c>
      <c r="AP124" s="26">
        <v>454.0</v>
      </c>
      <c r="AQ124" s="26">
        <v>738.0</v>
      </c>
      <c r="AR124" s="26">
        <v>48.0</v>
      </c>
      <c r="AS124" s="27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>
      <c r="A125" s="22">
        <v>3721.0</v>
      </c>
      <c r="B125" s="23" t="s">
        <v>25</v>
      </c>
      <c r="C125" s="29" t="s">
        <v>168</v>
      </c>
      <c r="D125" s="29" t="s">
        <v>170</v>
      </c>
      <c r="E125" s="29" t="s">
        <v>173</v>
      </c>
      <c r="F125" s="29" t="s">
        <v>173</v>
      </c>
      <c r="G125" s="26">
        <v>5642.0</v>
      </c>
      <c r="H125" s="26">
        <v>1829.0</v>
      </c>
      <c r="I125" s="26">
        <v>873.0</v>
      </c>
      <c r="J125" s="26">
        <v>956.0</v>
      </c>
      <c r="K125" s="26">
        <v>2803.0</v>
      </c>
      <c r="L125" s="26">
        <v>1744.0</v>
      </c>
      <c r="M125" s="26">
        <v>1047.0</v>
      </c>
      <c r="N125" s="26">
        <v>11.0</v>
      </c>
      <c r="O125" s="26">
        <v>1.0</v>
      </c>
      <c r="P125" s="26">
        <f t="shared" si="3"/>
        <v>1048</v>
      </c>
      <c r="Q125" s="26">
        <f t="shared" si="4"/>
        <v>1755</v>
      </c>
      <c r="R125" s="26">
        <f t="shared" si="5"/>
        <v>1790</v>
      </c>
      <c r="S125" s="26">
        <f t="shared" si="6"/>
        <v>2023</v>
      </c>
      <c r="T125" s="26">
        <f t="shared" ref="T125:U125" si="247">(P125/R125)*100</f>
        <v>58.54748603</v>
      </c>
      <c r="U125" s="26">
        <f t="shared" si="247"/>
        <v>86.752348</v>
      </c>
      <c r="V125" s="26">
        <v>1010.0</v>
      </c>
      <c r="W125" s="26">
        <v>268.0</v>
      </c>
      <c r="X125" s="26">
        <v>742.0</v>
      </c>
      <c r="Y125" s="26">
        <v>0.0</v>
      </c>
      <c r="Z125" s="26">
        <v>6654.0</v>
      </c>
      <c r="AA125" s="26">
        <v>1689.0</v>
      </c>
      <c r="AB125" s="26">
        <v>867.0</v>
      </c>
      <c r="AC125" s="26">
        <v>822.0</v>
      </c>
      <c r="AD125" s="26">
        <v>3983.0</v>
      </c>
      <c r="AE125" s="26">
        <v>2210.0</v>
      </c>
      <c r="AF125" s="26">
        <v>1693.0</v>
      </c>
      <c r="AG125" s="26">
        <v>45.0</v>
      </c>
      <c r="AH125" s="26">
        <v>35.0</v>
      </c>
      <c r="AI125" s="26">
        <f t="shared" si="8"/>
        <v>1728</v>
      </c>
      <c r="AJ125" s="26">
        <f t="shared" si="9"/>
        <v>2255</v>
      </c>
      <c r="AK125" s="26">
        <f t="shared" si="10"/>
        <v>2380</v>
      </c>
      <c r="AL125" s="26">
        <f t="shared" si="11"/>
        <v>2505</v>
      </c>
      <c r="AM125" s="26">
        <f t="shared" ref="AM125:AN125" si="248">(AI125/AK125)*100</f>
        <v>72.60504202</v>
      </c>
      <c r="AN125" s="26">
        <f t="shared" si="248"/>
        <v>90.01996008</v>
      </c>
      <c r="AO125" s="26">
        <v>902.0</v>
      </c>
      <c r="AP125" s="26">
        <v>250.0</v>
      </c>
      <c r="AQ125" s="26">
        <v>652.0</v>
      </c>
      <c r="AR125" s="26">
        <v>80.0</v>
      </c>
      <c r="AS125" s="27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>
      <c r="A126" s="22">
        <v>3769.0</v>
      </c>
      <c r="B126" s="23" t="s">
        <v>25</v>
      </c>
      <c r="C126" s="29" t="s">
        <v>168</v>
      </c>
      <c r="D126" s="29" t="s">
        <v>174</v>
      </c>
      <c r="E126" s="29" t="s">
        <v>174</v>
      </c>
      <c r="F126" s="29" t="s">
        <v>174</v>
      </c>
      <c r="G126" s="26">
        <v>23644.0</v>
      </c>
      <c r="H126" s="26">
        <v>7824.0</v>
      </c>
      <c r="I126" s="26">
        <v>4010.0</v>
      </c>
      <c r="J126" s="26">
        <v>3814.0</v>
      </c>
      <c r="K126" s="26">
        <v>11335.0</v>
      </c>
      <c r="L126" s="26">
        <v>7012.0</v>
      </c>
      <c r="M126" s="26">
        <v>4266.0</v>
      </c>
      <c r="N126" s="26">
        <v>46.0</v>
      </c>
      <c r="O126" s="26">
        <v>11.0</v>
      </c>
      <c r="P126" s="26">
        <f t="shared" si="3"/>
        <v>4277</v>
      </c>
      <c r="Q126" s="26">
        <f t="shared" si="4"/>
        <v>7058</v>
      </c>
      <c r="R126" s="26">
        <f t="shared" si="5"/>
        <v>7660</v>
      </c>
      <c r="S126" s="26">
        <f t="shared" si="6"/>
        <v>8160</v>
      </c>
      <c r="T126" s="26">
        <f t="shared" ref="T126:U126" si="249">(P126/R126)*100</f>
        <v>55.83550914</v>
      </c>
      <c r="U126" s="26">
        <f t="shared" si="249"/>
        <v>86.49509804</v>
      </c>
      <c r="V126" s="26">
        <v>4485.0</v>
      </c>
      <c r="W126" s="26">
        <v>1102.0</v>
      </c>
      <c r="X126" s="26">
        <v>3383.0</v>
      </c>
      <c r="Y126" s="26">
        <v>0.0</v>
      </c>
      <c r="Z126" s="26">
        <v>21676.0</v>
      </c>
      <c r="AA126" s="26">
        <v>6060.0</v>
      </c>
      <c r="AB126" s="26">
        <v>3092.0</v>
      </c>
      <c r="AC126" s="26">
        <v>2968.0</v>
      </c>
      <c r="AD126" s="26">
        <v>12471.0</v>
      </c>
      <c r="AE126" s="26">
        <v>7375.0</v>
      </c>
      <c r="AF126" s="26">
        <v>5015.0</v>
      </c>
      <c r="AG126" s="26">
        <v>46.0</v>
      </c>
      <c r="AH126" s="26">
        <v>35.0</v>
      </c>
      <c r="AI126" s="26">
        <f t="shared" si="8"/>
        <v>5050</v>
      </c>
      <c r="AJ126" s="26">
        <f t="shared" si="9"/>
        <v>7421</v>
      </c>
      <c r="AK126" s="26">
        <f t="shared" si="10"/>
        <v>7114</v>
      </c>
      <c r="AL126" s="26">
        <f t="shared" si="11"/>
        <v>8290</v>
      </c>
      <c r="AM126" s="26">
        <f t="shared" ref="AM126:AN126" si="250">(AI126/AK126)*100</f>
        <v>70.98678662</v>
      </c>
      <c r="AN126" s="26">
        <f t="shared" si="250"/>
        <v>89.51749095</v>
      </c>
      <c r="AO126" s="26">
        <v>2933.0</v>
      </c>
      <c r="AP126" s="26">
        <v>869.0</v>
      </c>
      <c r="AQ126" s="26">
        <v>2064.0</v>
      </c>
      <c r="AR126" s="26">
        <v>212.0</v>
      </c>
      <c r="AS126" s="27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>
      <c r="A127" s="22">
        <v>3793.0</v>
      </c>
      <c r="B127" s="23" t="s">
        <v>25</v>
      </c>
      <c r="C127" s="29" t="s">
        <v>168</v>
      </c>
      <c r="D127" s="29" t="s">
        <v>174</v>
      </c>
      <c r="E127" s="29" t="s">
        <v>175</v>
      </c>
      <c r="F127" s="29" t="s">
        <v>175</v>
      </c>
      <c r="G127" s="26">
        <v>12789.0</v>
      </c>
      <c r="H127" s="26">
        <v>4036.0</v>
      </c>
      <c r="I127" s="26">
        <v>2056.0</v>
      </c>
      <c r="J127" s="26">
        <v>1980.0</v>
      </c>
      <c r="K127" s="26">
        <v>6429.0</v>
      </c>
      <c r="L127" s="26">
        <v>3874.0</v>
      </c>
      <c r="M127" s="26">
        <v>2539.0</v>
      </c>
      <c r="N127" s="26">
        <v>13.0</v>
      </c>
      <c r="O127" s="26">
        <v>3.0</v>
      </c>
      <c r="P127" s="26">
        <f t="shared" si="3"/>
        <v>2542</v>
      </c>
      <c r="Q127" s="26">
        <f t="shared" si="4"/>
        <v>3887</v>
      </c>
      <c r="R127" s="26">
        <f t="shared" si="5"/>
        <v>4311</v>
      </c>
      <c r="S127" s="26">
        <f t="shared" si="6"/>
        <v>4442</v>
      </c>
      <c r="T127" s="26">
        <f t="shared" ref="T127:U127" si="251">(P127/R127)*100</f>
        <v>58.96543725</v>
      </c>
      <c r="U127" s="26">
        <f t="shared" si="251"/>
        <v>87.5056281</v>
      </c>
      <c r="V127" s="26">
        <v>2324.0</v>
      </c>
      <c r="W127" s="26">
        <v>555.0</v>
      </c>
      <c r="X127" s="26">
        <v>1769.0</v>
      </c>
      <c r="Y127" s="26">
        <v>0.0</v>
      </c>
      <c r="Z127" s="26">
        <v>14625.0</v>
      </c>
      <c r="AA127" s="26">
        <v>3838.0</v>
      </c>
      <c r="AB127" s="26">
        <v>1995.0</v>
      </c>
      <c r="AC127" s="26">
        <v>1843.0</v>
      </c>
      <c r="AD127" s="26">
        <v>8621.0</v>
      </c>
      <c r="AE127" s="26">
        <v>4818.0</v>
      </c>
      <c r="AF127" s="26">
        <v>3728.0</v>
      </c>
      <c r="AG127" s="26">
        <v>42.0</v>
      </c>
      <c r="AH127" s="26">
        <v>33.0</v>
      </c>
      <c r="AI127" s="26">
        <f t="shared" si="8"/>
        <v>3761</v>
      </c>
      <c r="AJ127" s="26">
        <f t="shared" si="9"/>
        <v>4860</v>
      </c>
      <c r="AK127" s="26">
        <f t="shared" si="10"/>
        <v>5201</v>
      </c>
      <c r="AL127" s="26">
        <f t="shared" si="11"/>
        <v>5442</v>
      </c>
      <c r="AM127" s="26">
        <f t="shared" ref="AM127:AN127" si="252">(AI127/AK127)*100</f>
        <v>72.31301673</v>
      </c>
      <c r="AN127" s="26">
        <f t="shared" si="252"/>
        <v>89.30540243</v>
      </c>
      <c r="AO127" s="26">
        <v>2022.0</v>
      </c>
      <c r="AP127" s="26">
        <v>582.0</v>
      </c>
      <c r="AQ127" s="26">
        <v>1440.0</v>
      </c>
      <c r="AR127" s="26">
        <v>144.0</v>
      </c>
      <c r="AS127" s="27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>
      <c r="A128" s="22">
        <v>3817.0</v>
      </c>
      <c r="B128" s="23" t="s">
        <v>25</v>
      </c>
      <c r="C128" s="29" t="s">
        <v>168</v>
      </c>
      <c r="D128" s="29" t="s">
        <v>174</v>
      </c>
      <c r="E128" s="29" t="s">
        <v>176</v>
      </c>
      <c r="F128" s="29" t="s">
        <v>176</v>
      </c>
      <c r="G128" s="26">
        <v>18069.0</v>
      </c>
      <c r="H128" s="26">
        <v>6414.0</v>
      </c>
      <c r="I128" s="26">
        <v>3259.0</v>
      </c>
      <c r="J128" s="26">
        <v>3155.0</v>
      </c>
      <c r="K128" s="26">
        <v>8785.0</v>
      </c>
      <c r="L128" s="26">
        <v>5437.0</v>
      </c>
      <c r="M128" s="26">
        <v>3308.0</v>
      </c>
      <c r="N128" s="26">
        <v>35.0</v>
      </c>
      <c r="O128" s="26">
        <v>5.0</v>
      </c>
      <c r="P128" s="26">
        <f t="shared" si="3"/>
        <v>3313</v>
      </c>
      <c r="Q128" s="26">
        <f t="shared" si="4"/>
        <v>5472</v>
      </c>
      <c r="R128" s="26">
        <f t="shared" si="5"/>
        <v>5325</v>
      </c>
      <c r="S128" s="26">
        <f t="shared" si="6"/>
        <v>6330</v>
      </c>
      <c r="T128" s="26">
        <f t="shared" ref="T128:U128" si="253">(P128/R128)*100</f>
        <v>62.21596244</v>
      </c>
      <c r="U128" s="26">
        <f t="shared" si="253"/>
        <v>86.44549763</v>
      </c>
      <c r="V128" s="26">
        <v>2870.0</v>
      </c>
      <c r="W128" s="26">
        <v>858.0</v>
      </c>
      <c r="X128" s="26">
        <v>2012.0</v>
      </c>
      <c r="Y128" s="26">
        <v>0.0</v>
      </c>
      <c r="Z128" s="26">
        <v>19295.0</v>
      </c>
      <c r="AA128" s="26">
        <v>5729.0</v>
      </c>
      <c r="AB128" s="26">
        <v>2959.0</v>
      </c>
      <c r="AC128" s="26">
        <v>2770.0</v>
      </c>
      <c r="AD128" s="26">
        <v>11349.0</v>
      </c>
      <c r="AE128" s="26">
        <v>6758.0</v>
      </c>
      <c r="AF128" s="26">
        <v>4475.0</v>
      </c>
      <c r="AG128" s="26">
        <v>73.0</v>
      </c>
      <c r="AH128" s="26">
        <v>43.0</v>
      </c>
      <c r="AI128" s="26">
        <f t="shared" si="8"/>
        <v>4518</v>
      </c>
      <c r="AJ128" s="26">
        <f t="shared" si="9"/>
        <v>6831</v>
      </c>
      <c r="AK128" s="26">
        <f t="shared" si="10"/>
        <v>5881</v>
      </c>
      <c r="AL128" s="26">
        <f t="shared" si="11"/>
        <v>7393</v>
      </c>
      <c r="AM128" s="26">
        <f t="shared" ref="AM128:AN128" si="254">(AI128/AK128)*100</f>
        <v>76.82366944</v>
      </c>
      <c r="AN128" s="26">
        <f t="shared" si="254"/>
        <v>92.39821453</v>
      </c>
      <c r="AO128" s="26">
        <v>1925.0</v>
      </c>
      <c r="AP128" s="26">
        <v>562.0</v>
      </c>
      <c r="AQ128" s="26">
        <v>1363.0</v>
      </c>
      <c r="AR128" s="26">
        <v>292.0</v>
      </c>
      <c r="AS128" s="27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>
      <c r="A129" s="22">
        <v>3865.0</v>
      </c>
      <c r="B129" s="23" t="s">
        <v>25</v>
      </c>
      <c r="C129" s="29" t="s">
        <v>168</v>
      </c>
      <c r="D129" s="29" t="s">
        <v>177</v>
      </c>
      <c r="E129" s="29" t="s">
        <v>178</v>
      </c>
      <c r="F129" s="29" t="s">
        <v>178</v>
      </c>
      <c r="G129" s="26">
        <v>8219.0</v>
      </c>
      <c r="H129" s="26">
        <v>2237.0</v>
      </c>
      <c r="I129" s="26">
        <v>1118.0</v>
      </c>
      <c r="J129" s="26">
        <v>1119.0</v>
      </c>
      <c r="K129" s="26">
        <v>3404.0</v>
      </c>
      <c r="L129" s="26">
        <v>1991.0</v>
      </c>
      <c r="M129" s="26">
        <v>1382.0</v>
      </c>
      <c r="N129" s="26">
        <v>21.0</v>
      </c>
      <c r="O129" s="26">
        <v>10.0</v>
      </c>
      <c r="P129" s="26">
        <f t="shared" si="3"/>
        <v>1392</v>
      </c>
      <c r="Q129" s="26">
        <f t="shared" si="4"/>
        <v>2012</v>
      </c>
      <c r="R129" s="26">
        <f t="shared" si="5"/>
        <v>2972</v>
      </c>
      <c r="S129" s="26">
        <f t="shared" si="6"/>
        <v>3010</v>
      </c>
      <c r="T129" s="26">
        <f t="shared" ref="T129:U129" si="255">(P129/R129)*100</f>
        <v>46.8371467</v>
      </c>
      <c r="U129" s="26">
        <f t="shared" si="255"/>
        <v>66.84385382</v>
      </c>
      <c r="V129" s="26">
        <v>2578.0</v>
      </c>
      <c r="W129" s="26">
        <v>998.0</v>
      </c>
      <c r="X129" s="26">
        <v>1580.0</v>
      </c>
      <c r="Y129" s="26">
        <v>0.0</v>
      </c>
      <c r="Z129" s="26">
        <v>11172.0</v>
      </c>
      <c r="AA129" s="26">
        <v>2616.0</v>
      </c>
      <c r="AB129" s="26">
        <v>1297.0</v>
      </c>
      <c r="AC129" s="26">
        <v>1319.0</v>
      </c>
      <c r="AD129" s="26">
        <v>6089.0</v>
      </c>
      <c r="AE129" s="26">
        <v>3247.0</v>
      </c>
      <c r="AF129" s="26">
        <v>2710.0</v>
      </c>
      <c r="AG129" s="26">
        <v>68.0</v>
      </c>
      <c r="AH129" s="26">
        <v>64.0</v>
      </c>
      <c r="AI129" s="26">
        <f t="shared" si="8"/>
        <v>2774</v>
      </c>
      <c r="AJ129" s="26">
        <f t="shared" si="9"/>
        <v>3315</v>
      </c>
      <c r="AK129" s="26">
        <f t="shared" si="10"/>
        <v>4202</v>
      </c>
      <c r="AL129" s="26">
        <f t="shared" si="11"/>
        <v>4203</v>
      </c>
      <c r="AM129" s="26">
        <f t="shared" ref="AM129:AN129" si="256">(AI129/AK129)*100</f>
        <v>66.01618277</v>
      </c>
      <c r="AN129" s="26">
        <f t="shared" si="256"/>
        <v>78.87223412</v>
      </c>
      <c r="AO129" s="26">
        <v>2316.0</v>
      </c>
      <c r="AP129" s="26">
        <v>888.0</v>
      </c>
      <c r="AQ129" s="26">
        <v>1428.0</v>
      </c>
      <c r="AR129" s="26">
        <v>151.0</v>
      </c>
      <c r="AS129" s="27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>
      <c r="A130" s="22">
        <v>3889.0</v>
      </c>
      <c r="B130" s="23" t="s">
        <v>25</v>
      </c>
      <c r="C130" s="29" t="s">
        <v>168</v>
      </c>
      <c r="D130" s="29" t="s">
        <v>177</v>
      </c>
      <c r="E130" s="29" t="s">
        <v>179</v>
      </c>
      <c r="F130" s="29" t="s">
        <v>179</v>
      </c>
      <c r="G130" s="26">
        <v>7192.0</v>
      </c>
      <c r="H130" s="26">
        <v>2268.0</v>
      </c>
      <c r="I130" s="26">
        <v>1104.0</v>
      </c>
      <c r="J130" s="26">
        <v>1164.0</v>
      </c>
      <c r="K130" s="26">
        <v>3306.0</v>
      </c>
      <c r="L130" s="26">
        <v>1956.0</v>
      </c>
      <c r="M130" s="26">
        <v>1324.0</v>
      </c>
      <c r="N130" s="26">
        <v>20.0</v>
      </c>
      <c r="O130" s="26">
        <v>6.0</v>
      </c>
      <c r="P130" s="26">
        <f t="shared" si="3"/>
        <v>1330</v>
      </c>
      <c r="Q130" s="26">
        <f t="shared" si="4"/>
        <v>1976</v>
      </c>
      <c r="R130" s="26">
        <f t="shared" si="5"/>
        <v>2501</v>
      </c>
      <c r="S130" s="26">
        <f t="shared" si="6"/>
        <v>2423</v>
      </c>
      <c r="T130" s="26">
        <f t="shared" ref="T130:U130" si="257">(P130/R130)*100</f>
        <v>53.17872851</v>
      </c>
      <c r="U130" s="26">
        <f t="shared" si="257"/>
        <v>81.5517953</v>
      </c>
      <c r="V130" s="26">
        <v>1618.0</v>
      </c>
      <c r="W130" s="26">
        <v>447.0</v>
      </c>
      <c r="X130" s="26">
        <v>1171.0</v>
      </c>
      <c r="Y130" s="26">
        <v>0.0</v>
      </c>
      <c r="Z130" s="26">
        <v>7268.0</v>
      </c>
      <c r="AA130" s="26">
        <v>1747.0</v>
      </c>
      <c r="AB130" s="26">
        <v>843.0</v>
      </c>
      <c r="AC130" s="26">
        <v>904.0</v>
      </c>
      <c r="AD130" s="26">
        <v>4451.0</v>
      </c>
      <c r="AE130" s="26">
        <v>2353.0</v>
      </c>
      <c r="AF130" s="26">
        <v>2045.0</v>
      </c>
      <c r="AG130" s="26">
        <v>33.0</v>
      </c>
      <c r="AH130" s="26">
        <v>20.0</v>
      </c>
      <c r="AI130" s="26">
        <f t="shared" si="8"/>
        <v>2065</v>
      </c>
      <c r="AJ130" s="26">
        <f t="shared" si="9"/>
        <v>2386</v>
      </c>
      <c r="AK130" s="26">
        <f t="shared" si="10"/>
        <v>2734</v>
      </c>
      <c r="AL130" s="26">
        <f t="shared" si="11"/>
        <v>2677</v>
      </c>
      <c r="AM130" s="26">
        <f t="shared" ref="AM130:AN130" si="258">(AI130/AK130)*100</f>
        <v>75.53035845</v>
      </c>
      <c r="AN130" s="26">
        <f t="shared" si="258"/>
        <v>89.12962271</v>
      </c>
      <c r="AO130" s="26">
        <v>960.0</v>
      </c>
      <c r="AP130" s="26">
        <v>291.0</v>
      </c>
      <c r="AQ130" s="26">
        <v>669.0</v>
      </c>
      <c r="AR130" s="26">
        <v>110.0</v>
      </c>
      <c r="AS130" s="27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>
      <c r="A131" s="22">
        <v>3913.0</v>
      </c>
      <c r="B131" s="23" t="s">
        <v>25</v>
      </c>
      <c r="C131" s="29" t="s">
        <v>168</v>
      </c>
      <c r="D131" s="29" t="s">
        <v>177</v>
      </c>
      <c r="E131" s="29" t="s">
        <v>180</v>
      </c>
      <c r="F131" s="29" t="s">
        <v>180</v>
      </c>
      <c r="G131" s="26">
        <v>17358.0</v>
      </c>
      <c r="H131" s="26">
        <v>5081.0</v>
      </c>
      <c r="I131" s="26">
        <v>2544.0</v>
      </c>
      <c r="J131" s="26">
        <v>2537.0</v>
      </c>
      <c r="K131" s="26">
        <v>7489.0</v>
      </c>
      <c r="L131" s="26">
        <v>4442.0</v>
      </c>
      <c r="M131" s="26">
        <v>2917.0</v>
      </c>
      <c r="N131" s="26">
        <v>85.0</v>
      </c>
      <c r="O131" s="26">
        <v>45.0</v>
      </c>
      <c r="P131" s="26">
        <f t="shared" si="3"/>
        <v>2962</v>
      </c>
      <c r="Q131" s="26">
        <f t="shared" si="4"/>
        <v>4527</v>
      </c>
      <c r="R131" s="26">
        <f t="shared" si="5"/>
        <v>6444</v>
      </c>
      <c r="S131" s="26">
        <f t="shared" si="6"/>
        <v>5833</v>
      </c>
      <c r="T131" s="26">
        <f t="shared" ref="T131:U131" si="259">(P131/R131)*100</f>
        <v>45.96523898</v>
      </c>
      <c r="U131" s="26">
        <f t="shared" si="259"/>
        <v>77.61014915</v>
      </c>
      <c r="V131" s="26">
        <v>4788.0</v>
      </c>
      <c r="W131" s="26">
        <v>1306.0</v>
      </c>
      <c r="X131" s="26">
        <v>3482.0</v>
      </c>
      <c r="Y131" s="26">
        <v>0.0</v>
      </c>
      <c r="Z131" s="26">
        <v>29113.0</v>
      </c>
      <c r="AA131" s="26">
        <v>8234.0</v>
      </c>
      <c r="AB131" s="26">
        <v>4182.0</v>
      </c>
      <c r="AC131" s="26">
        <v>4052.0</v>
      </c>
      <c r="AD131" s="26">
        <v>14982.0</v>
      </c>
      <c r="AE131" s="26">
        <v>7874.0</v>
      </c>
      <c r="AF131" s="26">
        <v>6723.0</v>
      </c>
      <c r="AG131" s="26">
        <v>201.0</v>
      </c>
      <c r="AH131" s="26">
        <v>184.0</v>
      </c>
      <c r="AI131" s="26">
        <f t="shared" si="8"/>
        <v>6907</v>
      </c>
      <c r="AJ131" s="26">
        <f t="shared" si="9"/>
        <v>8075</v>
      </c>
      <c r="AK131" s="26">
        <f t="shared" si="10"/>
        <v>10701</v>
      </c>
      <c r="AL131" s="26">
        <f t="shared" si="11"/>
        <v>9684</v>
      </c>
      <c r="AM131" s="26">
        <f t="shared" ref="AM131:AN131" si="260">(AI131/AK131)*100</f>
        <v>64.54536959</v>
      </c>
      <c r="AN131" s="26">
        <f t="shared" si="260"/>
        <v>83.38496489</v>
      </c>
      <c r="AO131" s="26">
        <v>5403.0</v>
      </c>
      <c r="AP131" s="26">
        <v>1609.0</v>
      </c>
      <c r="AQ131" s="26">
        <v>3794.0</v>
      </c>
      <c r="AR131" s="26">
        <v>494.0</v>
      </c>
      <c r="AS131" s="27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>
      <c r="A132" s="22">
        <v>3937.0</v>
      </c>
      <c r="B132" s="23" t="s">
        <v>25</v>
      </c>
      <c r="C132" s="29" t="s">
        <v>168</v>
      </c>
      <c r="D132" s="29" t="s">
        <v>177</v>
      </c>
      <c r="E132" s="29" t="s">
        <v>181</v>
      </c>
      <c r="F132" s="29" t="s">
        <v>181</v>
      </c>
      <c r="G132" s="26">
        <v>4363.0</v>
      </c>
      <c r="H132" s="26">
        <v>1374.0</v>
      </c>
      <c r="I132" s="26">
        <v>708.0</v>
      </c>
      <c r="J132" s="26">
        <v>666.0</v>
      </c>
      <c r="K132" s="26">
        <v>2131.0</v>
      </c>
      <c r="L132" s="26">
        <v>1177.0</v>
      </c>
      <c r="M132" s="26">
        <v>938.0</v>
      </c>
      <c r="N132" s="26">
        <v>10.0</v>
      </c>
      <c r="O132" s="26">
        <v>6.0</v>
      </c>
      <c r="P132" s="26">
        <f t="shared" si="3"/>
        <v>944</v>
      </c>
      <c r="Q132" s="26">
        <f t="shared" si="4"/>
        <v>1187</v>
      </c>
      <c r="R132" s="26">
        <f t="shared" si="5"/>
        <v>1564</v>
      </c>
      <c r="S132" s="26">
        <f t="shared" si="6"/>
        <v>1425</v>
      </c>
      <c r="T132" s="26">
        <f t="shared" ref="T132:U132" si="261">(P132/R132)*100</f>
        <v>60.35805627</v>
      </c>
      <c r="U132" s="26">
        <f t="shared" si="261"/>
        <v>83.29824561</v>
      </c>
      <c r="V132" s="26">
        <v>858.0</v>
      </c>
      <c r="W132" s="26">
        <v>238.0</v>
      </c>
      <c r="X132" s="26">
        <v>620.0</v>
      </c>
      <c r="Y132" s="26">
        <v>0.0</v>
      </c>
      <c r="Z132" s="26">
        <v>4959.0</v>
      </c>
      <c r="AA132" s="26">
        <v>1168.0</v>
      </c>
      <c r="AB132" s="26">
        <v>605.0</v>
      </c>
      <c r="AC132" s="26">
        <v>563.0</v>
      </c>
      <c r="AD132" s="26">
        <v>3135.0</v>
      </c>
      <c r="AE132" s="26">
        <v>1634.0</v>
      </c>
      <c r="AF132" s="26">
        <v>1450.0</v>
      </c>
      <c r="AG132" s="26">
        <v>28.0</v>
      </c>
      <c r="AH132" s="26">
        <v>23.0</v>
      </c>
      <c r="AI132" s="26">
        <f t="shared" si="8"/>
        <v>1473</v>
      </c>
      <c r="AJ132" s="26">
        <f t="shared" si="9"/>
        <v>1662</v>
      </c>
      <c r="AK132" s="26">
        <f t="shared" si="10"/>
        <v>1840</v>
      </c>
      <c r="AL132" s="26">
        <f t="shared" si="11"/>
        <v>1871</v>
      </c>
      <c r="AM132" s="26">
        <f t="shared" ref="AM132:AN132" si="262">(AI132/AK132)*100</f>
        <v>80.05434783</v>
      </c>
      <c r="AN132" s="26">
        <f t="shared" si="262"/>
        <v>88.82950294</v>
      </c>
      <c r="AO132" s="26">
        <v>576.0</v>
      </c>
      <c r="AP132" s="26">
        <v>209.0</v>
      </c>
      <c r="AQ132" s="26">
        <v>367.0</v>
      </c>
      <c r="AR132" s="26">
        <v>80.0</v>
      </c>
      <c r="AS132" s="27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>
      <c r="A133" s="22">
        <v>3985.0</v>
      </c>
      <c r="B133" s="23" t="s">
        <v>25</v>
      </c>
      <c r="C133" s="29" t="s">
        <v>168</v>
      </c>
      <c r="D133" s="29" t="s">
        <v>182</v>
      </c>
      <c r="E133" s="29" t="s">
        <v>182</v>
      </c>
      <c r="F133" s="29" t="s">
        <v>182</v>
      </c>
      <c r="G133" s="26">
        <v>9484.0</v>
      </c>
      <c r="H133" s="26">
        <v>2460.0</v>
      </c>
      <c r="I133" s="26">
        <v>1275.0</v>
      </c>
      <c r="J133" s="26">
        <v>1185.0</v>
      </c>
      <c r="K133" s="26">
        <v>4565.0</v>
      </c>
      <c r="L133" s="26">
        <v>2415.0</v>
      </c>
      <c r="M133" s="26">
        <v>2095.0</v>
      </c>
      <c r="N133" s="26">
        <v>30.0</v>
      </c>
      <c r="O133" s="26">
        <v>25.0</v>
      </c>
      <c r="P133" s="26">
        <f t="shared" si="3"/>
        <v>2120</v>
      </c>
      <c r="Q133" s="26">
        <f t="shared" si="4"/>
        <v>2445</v>
      </c>
      <c r="R133" s="26">
        <f t="shared" si="5"/>
        <v>3776</v>
      </c>
      <c r="S133" s="26">
        <f t="shared" si="6"/>
        <v>3248</v>
      </c>
      <c r="T133" s="26">
        <f t="shared" ref="T133:U133" si="263">(P133/R133)*100</f>
        <v>56.1440678</v>
      </c>
      <c r="U133" s="26">
        <f t="shared" si="263"/>
        <v>75.2770936</v>
      </c>
      <c r="V133" s="26">
        <v>2459.0</v>
      </c>
      <c r="W133" s="26">
        <v>803.0</v>
      </c>
      <c r="X133" s="26">
        <v>1656.0</v>
      </c>
      <c r="Y133" s="26">
        <v>0.0</v>
      </c>
      <c r="Z133" s="26">
        <v>11098.0</v>
      </c>
      <c r="AA133" s="26">
        <v>2454.0</v>
      </c>
      <c r="AB133" s="26">
        <v>1232.0</v>
      </c>
      <c r="AC133" s="26">
        <v>1222.0</v>
      </c>
      <c r="AD133" s="26">
        <v>6675.0</v>
      </c>
      <c r="AE133" s="26">
        <v>3331.0</v>
      </c>
      <c r="AF133" s="26">
        <v>3245.0</v>
      </c>
      <c r="AG133" s="26">
        <v>51.0</v>
      </c>
      <c r="AH133" s="26">
        <v>48.0</v>
      </c>
      <c r="AI133" s="26">
        <f t="shared" si="8"/>
        <v>3293</v>
      </c>
      <c r="AJ133" s="26">
        <f t="shared" si="9"/>
        <v>3382</v>
      </c>
      <c r="AK133" s="26">
        <f t="shared" si="10"/>
        <v>4457</v>
      </c>
      <c r="AL133" s="26">
        <f t="shared" si="11"/>
        <v>4056</v>
      </c>
      <c r="AM133" s="26">
        <f t="shared" ref="AM133:AN133" si="264">(AI133/AK133)*100</f>
        <v>73.88377833</v>
      </c>
      <c r="AN133" s="26">
        <f t="shared" si="264"/>
        <v>83.382643</v>
      </c>
      <c r="AO133" s="26">
        <v>1838.0</v>
      </c>
      <c r="AP133" s="26">
        <v>674.0</v>
      </c>
      <c r="AQ133" s="26">
        <v>1164.0</v>
      </c>
      <c r="AR133" s="26">
        <v>131.0</v>
      </c>
      <c r="AS133" s="27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>
      <c r="A134" s="22">
        <v>4009.0</v>
      </c>
      <c r="B134" s="23" t="s">
        <v>25</v>
      </c>
      <c r="C134" s="29" t="s">
        <v>168</v>
      </c>
      <c r="D134" s="29" t="s">
        <v>182</v>
      </c>
      <c r="E134" s="29" t="s">
        <v>183</v>
      </c>
      <c r="F134" s="29" t="s">
        <v>183</v>
      </c>
      <c r="G134" s="26">
        <v>8920.0</v>
      </c>
      <c r="H134" s="26">
        <v>2441.0</v>
      </c>
      <c r="I134" s="26">
        <v>1215.0</v>
      </c>
      <c r="J134" s="26">
        <v>1226.0</v>
      </c>
      <c r="K134" s="26">
        <v>4790.0</v>
      </c>
      <c r="L134" s="26">
        <v>2481.0</v>
      </c>
      <c r="M134" s="26">
        <v>2272.0</v>
      </c>
      <c r="N134" s="26">
        <v>27.0</v>
      </c>
      <c r="O134" s="26">
        <v>10.0</v>
      </c>
      <c r="P134" s="26">
        <f t="shared" si="3"/>
        <v>2282</v>
      </c>
      <c r="Q134" s="26">
        <f t="shared" si="4"/>
        <v>2508</v>
      </c>
      <c r="R134" s="26">
        <f t="shared" si="5"/>
        <v>3443</v>
      </c>
      <c r="S134" s="26">
        <f t="shared" si="6"/>
        <v>3036</v>
      </c>
      <c r="T134" s="26">
        <f t="shared" ref="T134:U134" si="265">(P134/R134)*100</f>
        <v>66.27940749</v>
      </c>
      <c r="U134" s="26">
        <f t="shared" si="265"/>
        <v>82.60869565</v>
      </c>
      <c r="V134" s="26">
        <v>1689.0</v>
      </c>
      <c r="W134" s="26">
        <v>528.0</v>
      </c>
      <c r="X134" s="26">
        <v>1161.0</v>
      </c>
      <c r="Y134" s="26">
        <v>0.0</v>
      </c>
      <c r="Z134" s="26">
        <v>8352.0</v>
      </c>
      <c r="AA134" s="26">
        <v>1880.0</v>
      </c>
      <c r="AB134" s="26">
        <v>975.0</v>
      </c>
      <c r="AC134" s="26">
        <v>905.0</v>
      </c>
      <c r="AD134" s="26">
        <v>5569.0</v>
      </c>
      <c r="AE134" s="26">
        <v>2801.0</v>
      </c>
      <c r="AF134" s="26">
        <v>2709.0</v>
      </c>
      <c r="AG134" s="26">
        <v>30.0</v>
      </c>
      <c r="AH134" s="26">
        <v>29.0</v>
      </c>
      <c r="AI134" s="26">
        <f t="shared" si="8"/>
        <v>2738</v>
      </c>
      <c r="AJ134" s="26">
        <f t="shared" si="9"/>
        <v>2831</v>
      </c>
      <c r="AK134" s="26">
        <f t="shared" si="10"/>
        <v>3328</v>
      </c>
      <c r="AL134" s="26">
        <f t="shared" si="11"/>
        <v>3087</v>
      </c>
      <c r="AM134" s="26">
        <f t="shared" ref="AM134:AN134" si="266">(AI134/AK134)*100</f>
        <v>82.27163462</v>
      </c>
      <c r="AN134" s="26">
        <f t="shared" si="266"/>
        <v>91.70715905</v>
      </c>
      <c r="AO134" s="26">
        <v>846.0</v>
      </c>
      <c r="AP134" s="26">
        <v>256.0</v>
      </c>
      <c r="AQ134" s="26">
        <v>590.0</v>
      </c>
      <c r="AR134" s="26">
        <v>57.0</v>
      </c>
      <c r="AS134" s="27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>
      <c r="A135" s="22">
        <v>4057.0</v>
      </c>
      <c r="B135" s="23" t="s">
        <v>25</v>
      </c>
      <c r="C135" s="29" t="s">
        <v>168</v>
      </c>
      <c r="D135" s="29" t="s">
        <v>184</v>
      </c>
      <c r="E135" s="29" t="s">
        <v>184</v>
      </c>
      <c r="F135" s="29" t="s">
        <v>184</v>
      </c>
      <c r="G135" s="26">
        <v>10597.0</v>
      </c>
      <c r="H135" s="26">
        <v>3890.0</v>
      </c>
      <c r="I135" s="26">
        <v>1957.0</v>
      </c>
      <c r="J135" s="26">
        <v>1933.0</v>
      </c>
      <c r="K135" s="26">
        <v>5009.0</v>
      </c>
      <c r="L135" s="26">
        <v>2807.0</v>
      </c>
      <c r="M135" s="26">
        <v>2180.0</v>
      </c>
      <c r="N135" s="26">
        <v>17.0</v>
      </c>
      <c r="O135" s="26">
        <v>5.0</v>
      </c>
      <c r="P135" s="26">
        <f t="shared" si="3"/>
        <v>2185</v>
      </c>
      <c r="Q135" s="26">
        <f t="shared" si="4"/>
        <v>2824</v>
      </c>
      <c r="R135" s="26">
        <f t="shared" si="5"/>
        <v>3436</v>
      </c>
      <c r="S135" s="26">
        <f t="shared" si="6"/>
        <v>3271</v>
      </c>
      <c r="T135" s="26">
        <f t="shared" ref="T135:U135" si="267">(P135/R135)*100</f>
        <v>63.59138533</v>
      </c>
      <c r="U135" s="26">
        <f t="shared" si="267"/>
        <v>86.3344543</v>
      </c>
      <c r="V135" s="26">
        <v>1698.0</v>
      </c>
      <c r="W135" s="26">
        <v>447.0</v>
      </c>
      <c r="X135" s="26">
        <v>1251.0</v>
      </c>
      <c r="Y135" s="26">
        <v>0.0</v>
      </c>
      <c r="Z135" s="26">
        <v>10520.0</v>
      </c>
      <c r="AA135" s="26">
        <v>3400.0</v>
      </c>
      <c r="AB135" s="26">
        <v>1803.0</v>
      </c>
      <c r="AC135" s="26">
        <v>1597.0</v>
      </c>
      <c r="AD135" s="26">
        <v>5598.0</v>
      </c>
      <c r="AE135" s="26">
        <v>3062.0</v>
      </c>
      <c r="AF135" s="26">
        <v>2459.0</v>
      </c>
      <c r="AG135" s="26">
        <v>51.0</v>
      </c>
      <c r="AH135" s="26">
        <v>26.0</v>
      </c>
      <c r="AI135" s="26">
        <f t="shared" si="8"/>
        <v>2485</v>
      </c>
      <c r="AJ135" s="26">
        <f t="shared" si="9"/>
        <v>3113</v>
      </c>
      <c r="AK135" s="26">
        <f t="shared" si="10"/>
        <v>3268</v>
      </c>
      <c r="AL135" s="26">
        <f t="shared" si="11"/>
        <v>3532</v>
      </c>
      <c r="AM135" s="26">
        <f t="shared" ref="AM135:AN135" si="268">(AI135/AK135)*100</f>
        <v>76.04039168</v>
      </c>
      <c r="AN135" s="26">
        <f t="shared" si="268"/>
        <v>88.13703284</v>
      </c>
      <c r="AO135" s="26">
        <v>1202.0</v>
      </c>
      <c r="AP135" s="26">
        <v>419.0</v>
      </c>
      <c r="AQ135" s="26">
        <v>783.0</v>
      </c>
      <c r="AR135" s="26">
        <v>320.0</v>
      </c>
      <c r="AS135" s="27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>
      <c r="A136" s="22">
        <v>4081.0</v>
      </c>
      <c r="B136" s="23" t="s">
        <v>25</v>
      </c>
      <c r="C136" s="29" t="s">
        <v>168</v>
      </c>
      <c r="D136" s="29" t="s">
        <v>184</v>
      </c>
      <c r="E136" s="29" t="s">
        <v>185</v>
      </c>
      <c r="F136" s="29" t="s">
        <v>185</v>
      </c>
      <c r="G136" s="26">
        <v>10247.0</v>
      </c>
      <c r="H136" s="26">
        <v>3316.0</v>
      </c>
      <c r="I136" s="26">
        <v>1676.0</v>
      </c>
      <c r="J136" s="26">
        <v>1640.0</v>
      </c>
      <c r="K136" s="26">
        <v>5378.0</v>
      </c>
      <c r="L136" s="26">
        <v>2823.0</v>
      </c>
      <c r="M136" s="26">
        <v>2543.0</v>
      </c>
      <c r="N136" s="26">
        <v>7.0</v>
      </c>
      <c r="O136" s="26">
        <v>5.0</v>
      </c>
      <c r="P136" s="26">
        <f t="shared" si="3"/>
        <v>2548</v>
      </c>
      <c r="Q136" s="26">
        <f t="shared" si="4"/>
        <v>2830</v>
      </c>
      <c r="R136" s="26">
        <f t="shared" si="5"/>
        <v>3551</v>
      </c>
      <c r="S136" s="26">
        <f t="shared" si="6"/>
        <v>3380</v>
      </c>
      <c r="T136" s="26">
        <f t="shared" ref="T136:U136" si="269">(P136/R136)*100</f>
        <v>71.75443537</v>
      </c>
      <c r="U136" s="26">
        <f t="shared" si="269"/>
        <v>83.72781065</v>
      </c>
      <c r="V136" s="26">
        <v>1553.0</v>
      </c>
      <c r="W136" s="26">
        <v>550.0</v>
      </c>
      <c r="X136" s="26">
        <v>1003.0</v>
      </c>
      <c r="Y136" s="26">
        <v>0.0</v>
      </c>
      <c r="Z136" s="26">
        <v>10596.0</v>
      </c>
      <c r="AA136" s="26">
        <v>2777.0</v>
      </c>
      <c r="AB136" s="26">
        <v>1402.0</v>
      </c>
      <c r="AC136" s="26">
        <v>1375.0</v>
      </c>
      <c r="AD136" s="26">
        <v>6341.0</v>
      </c>
      <c r="AE136" s="26">
        <v>3593.0</v>
      </c>
      <c r="AF136" s="26">
        <v>2630.0</v>
      </c>
      <c r="AG136" s="26">
        <v>76.0</v>
      </c>
      <c r="AH136" s="26">
        <v>42.0</v>
      </c>
      <c r="AI136" s="26">
        <f t="shared" si="8"/>
        <v>2672</v>
      </c>
      <c r="AJ136" s="26">
        <f t="shared" si="9"/>
        <v>3669</v>
      </c>
      <c r="AK136" s="26">
        <f t="shared" si="10"/>
        <v>3453</v>
      </c>
      <c r="AL136" s="26">
        <f t="shared" si="11"/>
        <v>4139</v>
      </c>
      <c r="AM136" s="26">
        <f t="shared" ref="AM136:AN136" si="270">(AI136/AK136)*100</f>
        <v>77.38198668</v>
      </c>
      <c r="AN136" s="26">
        <f t="shared" si="270"/>
        <v>88.64460014</v>
      </c>
      <c r="AO136" s="26">
        <v>1251.0</v>
      </c>
      <c r="AP136" s="26">
        <v>470.0</v>
      </c>
      <c r="AQ136" s="26">
        <v>781.0</v>
      </c>
      <c r="AR136" s="26">
        <v>227.0</v>
      </c>
      <c r="AS136" s="27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>
      <c r="A137" s="22">
        <v>4129.0</v>
      </c>
      <c r="B137" s="23" t="s">
        <v>25</v>
      </c>
      <c r="C137" s="29" t="s">
        <v>168</v>
      </c>
      <c r="D137" s="29" t="s">
        <v>186</v>
      </c>
      <c r="E137" s="29" t="s">
        <v>186</v>
      </c>
      <c r="F137" s="29" t="s">
        <v>186</v>
      </c>
      <c r="G137" s="26">
        <v>19455.0</v>
      </c>
      <c r="H137" s="26">
        <v>6072.0</v>
      </c>
      <c r="I137" s="26">
        <v>3105.0</v>
      </c>
      <c r="J137" s="26">
        <v>2967.0</v>
      </c>
      <c r="K137" s="26">
        <v>9070.0</v>
      </c>
      <c r="L137" s="26">
        <v>5109.0</v>
      </c>
      <c r="M137" s="26">
        <v>3870.0</v>
      </c>
      <c r="N137" s="26">
        <v>60.0</v>
      </c>
      <c r="O137" s="26">
        <v>31.0</v>
      </c>
      <c r="P137" s="26">
        <f t="shared" si="3"/>
        <v>3901</v>
      </c>
      <c r="Q137" s="26">
        <f t="shared" si="4"/>
        <v>5169</v>
      </c>
      <c r="R137" s="26">
        <f t="shared" si="5"/>
        <v>6932</v>
      </c>
      <c r="S137" s="26">
        <f t="shared" si="6"/>
        <v>6451</v>
      </c>
      <c r="T137" s="26">
        <f t="shared" ref="T137:U137" si="271">(P137/R137)*100</f>
        <v>56.27524524</v>
      </c>
      <c r="U137" s="26">
        <f t="shared" si="271"/>
        <v>80.12711208</v>
      </c>
      <c r="V137" s="26">
        <v>4313.0</v>
      </c>
      <c r="W137" s="26">
        <v>1282.0</v>
      </c>
      <c r="X137" s="26">
        <v>3031.0</v>
      </c>
      <c r="Y137" s="26">
        <v>0.0</v>
      </c>
      <c r="Z137" s="26">
        <v>19286.0</v>
      </c>
      <c r="AA137" s="26">
        <v>5120.0</v>
      </c>
      <c r="AB137" s="26">
        <v>2534.0</v>
      </c>
      <c r="AC137" s="26">
        <v>2586.0</v>
      </c>
      <c r="AD137" s="26">
        <v>10396.0</v>
      </c>
      <c r="AE137" s="26">
        <v>5450.0</v>
      </c>
      <c r="AF137" s="26">
        <v>4723.0</v>
      </c>
      <c r="AG137" s="26">
        <v>115.0</v>
      </c>
      <c r="AH137" s="26">
        <v>108.0</v>
      </c>
      <c r="AI137" s="26">
        <f t="shared" si="8"/>
        <v>4831</v>
      </c>
      <c r="AJ137" s="26">
        <f t="shared" si="9"/>
        <v>5565</v>
      </c>
      <c r="AK137" s="26">
        <f t="shared" si="10"/>
        <v>7304</v>
      </c>
      <c r="AL137" s="26">
        <f t="shared" si="11"/>
        <v>6687</v>
      </c>
      <c r="AM137" s="26">
        <f t="shared" ref="AM137:AN137" si="272">(AI137/AK137)*100</f>
        <v>66.14184009</v>
      </c>
      <c r="AN137" s="26">
        <f t="shared" si="272"/>
        <v>83.22117541</v>
      </c>
      <c r="AO137" s="26">
        <v>3595.0</v>
      </c>
      <c r="AP137" s="26">
        <v>1122.0</v>
      </c>
      <c r="AQ137" s="26">
        <v>2473.0</v>
      </c>
      <c r="AR137" s="26">
        <v>175.0</v>
      </c>
      <c r="AS137" s="27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>
      <c r="A138" s="22">
        <v>4153.0</v>
      </c>
      <c r="B138" s="23" t="s">
        <v>25</v>
      </c>
      <c r="C138" s="29" t="s">
        <v>168</v>
      </c>
      <c r="D138" s="29" t="s">
        <v>186</v>
      </c>
      <c r="E138" s="29" t="s">
        <v>187</v>
      </c>
      <c r="F138" s="29" t="s">
        <v>187</v>
      </c>
      <c r="G138" s="26">
        <v>6508.0</v>
      </c>
      <c r="H138" s="26">
        <v>1558.0</v>
      </c>
      <c r="I138" s="26">
        <v>796.0</v>
      </c>
      <c r="J138" s="26">
        <v>762.0</v>
      </c>
      <c r="K138" s="26">
        <v>2879.0</v>
      </c>
      <c r="L138" s="26">
        <v>1705.0</v>
      </c>
      <c r="M138" s="26">
        <v>1133.0</v>
      </c>
      <c r="N138" s="26">
        <v>28.0</v>
      </c>
      <c r="O138" s="26">
        <v>13.0</v>
      </c>
      <c r="P138" s="26">
        <f t="shared" si="3"/>
        <v>1146</v>
      </c>
      <c r="Q138" s="26">
        <f t="shared" si="4"/>
        <v>1733</v>
      </c>
      <c r="R138" s="26">
        <f t="shared" si="5"/>
        <v>2575</v>
      </c>
      <c r="S138" s="26">
        <f t="shared" si="6"/>
        <v>2375</v>
      </c>
      <c r="T138" s="26">
        <f t="shared" ref="T138:U138" si="273">(P138/R138)*100</f>
        <v>44.50485437</v>
      </c>
      <c r="U138" s="26">
        <f t="shared" si="273"/>
        <v>72.96842105</v>
      </c>
      <c r="V138" s="26">
        <v>2071.0</v>
      </c>
      <c r="W138" s="26">
        <v>642.0</v>
      </c>
      <c r="X138" s="26">
        <v>1429.0</v>
      </c>
      <c r="Y138" s="26">
        <v>0.0</v>
      </c>
      <c r="Z138" s="26">
        <v>7895.0</v>
      </c>
      <c r="AA138" s="26">
        <v>1839.0</v>
      </c>
      <c r="AB138" s="26">
        <v>932.0</v>
      </c>
      <c r="AC138" s="26">
        <v>907.0</v>
      </c>
      <c r="AD138" s="26">
        <v>4411.0</v>
      </c>
      <c r="AE138" s="26">
        <v>2379.0</v>
      </c>
      <c r="AF138" s="26">
        <v>1933.0</v>
      </c>
      <c r="AG138" s="26">
        <v>60.0</v>
      </c>
      <c r="AH138" s="26">
        <v>39.0</v>
      </c>
      <c r="AI138" s="26">
        <f t="shared" si="8"/>
        <v>1972</v>
      </c>
      <c r="AJ138" s="26">
        <f t="shared" si="9"/>
        <v>2439</v>
      </c>
      <c r="AK138" s="26">
        <f t="shared" si="10"/>
        <v>2962</v>
      </c>
      <c r="AL138" s="26">
        <f t="shared" si="11"/>
        <v>2923</v>
      </c>
      <c r="AM138" s="26">
        <f t="shared" ref="AM138:AN138" si="274">(AI138/AK138)*100</f>
        <v>66.57663741</v>
      </c>
      <c r="AN138" s="26">
        <f t="shared" si="274"/>
        <v>83.44166952</v>
      </c>
      <c r="AO138" s="26">
        <v>1474.0</v>
      </c>
      <c r="AP138" s="26">
        <v>484.0</v>
      </c>
      <c r="AQ138" s="26">
        <v>990.0</v>
      </c>
      <c r="AR138" s="26">
        <v>171.0</v>
      </c>
      <c r="AS138" s="27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>
      <c r="A139" s="22">
        <v>4177.0</v>
      </c>
      <c r="B139" s="23" t="s">
        <v>25</v>
      </c>
      <c r="C139" s="29" t="s">
        <v>168</v>
      </c>
      <c r="D139" s="29" t="s">
        <v>186</v>
      </c>
      <c r="E139" s="29" t="s">
        <v>188</v>
      </c>
      <c r="F139" s="29" t="s">
        <v>188</v>
      </c>
      <c r="G139" s="26">
        <v>3729.0</v>
      </c>
      <c r="H139" s="26">
        <v>1181.0</v>
      </c>
      <c r="I139" s="26">
        <v>626.0</v>
      </c>
      <c r="J139" s="26">
        <v>555.0</v>
      </c>
      <c r="K139" s="26">
        <v>1745.0</v>
      </c>
      <c r="L139" s="26">
        <v>1106.0</v>
      </c>
      <c r="M139" s="26">
        <v>627.0</v>
      </c>
      <c r="N139" s="26">
        <v>8.0</v>
      </c>
      <c r="O139" s="26">
        <v>4.0</v>
      </c>
      <c r="P139" s="26">
        <f t="shared" si="3"/>
        <v>631</v>
      </c>
      <c r="Q139" s="26">
        <f t="shared" si="4"/>
        <v>1114</v>
      </c>
      <c r="R139" s="26">
        <f t="shared" si="5"/>
        <v>1219</v>
      </c>
      <c r="S139" s="26">
        <f t="shared" si="6"/>
        <v>1329</v>
      </c>
      <c r="T139" s="26">
        <f t="shared" ref="T139:U139" si="275">(P139/R139)*100</f>
        <v>51.76374077</v>
      </c>
      <c r="U139" s="26">
        <f t="shared" si="275"/>
        <v>83.82242287</v>
      </c>
      <c r="V139" s="26">
        <v>803.0</v>
      </c>
      <c r="W139" s="26">
        <v>215.0</v>
      </c>
      <c r="X139" s="26">
        <v>588.0</v>
      </c>
      <c r="Y139" s="26">
        <v>0.0</v>
      </c>
      <c r="Z139" s="26">
        <v>3955.0</v>
      </c>
      <c r="AA139" s="26">
        <v>1142.0</v>
      </c>
      <c r="AB139" s="26">
        <v>591.0</v>
      </c>
      <c r="AC139" s="26">
        <v>551.0</v>
      </c>
      <c r="AD139" s="26">
        <v>2185.0</v>
      </c>
      <c r="AE139" s="26">
        <v>1228.0</v>
      </c>
      <c r="AF139" s="26">
        <v>921.0</v>
      </c>
      <c r="AG139" s="26">
        <v>24.0</v>
      </c>
      <c r="AH139" s="26">
        <v>12.0</v>
      </c>
      <c r="AI139" s="26">
        <f t="shared" si="8"/>
        <v>933</v>
      </c>
      <c r="AJ139" s="26">
        <f t="shared" si="9"/>
        <v>1252</v>
      </c>
      <c r="AK139" s="26">
        <f t="shared" si="10"/>
        <v>1338</v>
      </c>
      <c r="AL139" s="26">
        <f t="shared" si="11"/>
        <v>1456</v>
      </c>
      <c r="AM139" s="26">
        <f t="shared" ref="AM139:AN139" si="276">(AI139/AK139)*100</f>
        <v>69.7309417</v>
      </c>
      <c r="AN139" s="26">
        <f t="shared" si="276"/>
        <v>85.98901099</v>
      </c>
      <c r="AO139" s="26">
        <v>609.0</v>
      </c>
      <c r="AP139" s="26">
        <v>204.0</v>
      </c>
      <c r="AQ139" s="26">
        <v>405.0</v>
      </c>
      <c r="AR139" s="26">
        <v>19.0</v>
      </c>
      <c r="AS139" s="27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>
      <c r="A140" s="22">
        <v>4225.0</v>
      </c>
      <c r="B140" s="23" t="s">
        <v>25</v>
      </c>
      <c r="C140" s="29" t="s">
        <v>168</v>
      </c>
      <c r="D140" s="29" t="s">
        <v>189</v>
      </c>
      <c r="E140" s="29" t="s">
        <v>190</v>
      </c>
      <c r="F140" s="29" t="s">
        <v>190</v>
      </c>
      <c r="G140" s="26">
        <v>21844.0</v>
      </c>
      <c r="H140" s="26">
        <v>5885.0</v>
      </c>
      <c r="I140" s="26">
        <v>3042.0</v>
      </c>
      <c r="J140" s="26">
        <v>2843.0</v>
      </c>
      <c r="K140" s="26">
        <v>9825.0</v>
      </c>
      <c r="L140" s="26">
        <v>5549.0</v>
      </c>
      <c r="M140" s="26">
        <v>4147.0</v>
      </c>
      <c r="N140" s="26">
        <v>77.0</v>
      </c>
      <c r="O140" s="26">
        <v>52.0</v>
      </c>
      <c r="P140" s="26">
        <f t="shared" si="3"/>
        <v>4199</v>
      </c>
      <c r="Q140" s="26">
        <f t="shared" si="4"/>
        <v>5626</v>
      </c>
      <c r="R140" s="26">
        <f t="shared" si="5"/>
        <v>8428</v>
      </c>
      <c r="S140" s="26">
        <f t="shared" si="6"/>
        <v>7531</v>
      </c>
      <c r="T140" s="26">
        <f t="shared" ref="T140:U140" si="277">(P140/R140)*100</f>
        <v>49.82202183</v>
      </c>
      <c r="U140" s="26">
        <f t="shared" si="277"/>
        <v>74.70455451</v>
      </c>
      <c r="V140" s="26">
        <v>6134.0</v>
      </c>
      <c r="W140" s="26">
        <v>1905.0</v>
      </c>
      <c r="X140" s="26">
        <v>4229.0</v>
      </c>
      <c r="Y140" s="26">
        <v>0.0</v>
      </c>
      <c r="Z140" s="26">
        <v>20555.0</v>
      </c>
      <c r="AA140" s="26">
        <v>4752.0</v>
      </c>
      <c r="AB140" s="26">
        <v>2540.0</v>
      </c>
      <c r="AC140" s="26">
        <v>2212.0</v>
      </c>
      <c r="AD140" s="26">
        <v>11516.0</v>
      </c>
      <c r="AE140" s="26">
        <v>5813.0</v>
      </c>
      <c r="AF140" s="26">
        <v>5493.0</v>
      </c>
      <c r="AG140" s="26">
        <v>114.0</v>
      </c>
      <c r="AH140" s="26">
        <v>96.0</v>
      </c>
      <c r="AI140" s="26">
        <f t="shared" si="8"/>
        <v>5589</v>
      </c>
      <c r="AJ140" s="26">
        <f t="shared" si="9"/>
        <v>5927</v>
      </c>
      <c r="AK140" s="26">
        <f t="shared" si="10"/>
        <v>8080</v>
      </c>
      <c r="AL140" s="26">
        <f t="shared" si="11"/>
        <v>7337</v>
      </c>
      <c r="AM140" s="26">
        <f t="shared" ref="AM140:AN140" si="278">(AI140/AK140)*100</f>
        <v>69.17079208</v>
      </c>
      <c r="AN140" s="26">
        <f t="shared" si="278"/>
        <v>80.7823361</v>
      </c>
      <c r="AO140" s="26">
        <v>3901.0</v>
      </c>
      <c r="AP140" s="26">
        <v>1410.0</v>
      </c>
      <c r="AQ140" s="26">
        <v>2491.0</v>
      </c>
      <c r="AR140" s="26">
        <v>386.0</v>
      </c>
      <c r="AS140" s="27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>
      <c r="A141" s="22">
        <v>4249.0</v>
      </c>
      <c r="B141" s="23" t="s">
        <v>25</v>
      </c>
      <c r="C141" s="29" t="s">
        <v>168</v>
      </c>
      <c r="D141" s="29" t="s">
        <v>189</v>
      </c>
      <c r="E141" s="29" t="s">
        <v>191</v>
      </c>
      <c r="F141" s="29" t="s">
        <v>191</v>
      </c>
      <c r="G141" s="26">
        <v>7043.0</v>
      </c>
      <c r="H141" s="26">
        <v>1498.0</v>
      </c>
      <c r="I141" s="26">
        <v>769.0</v>
      </c>
      <c r="J141" s="26">
        <v>729.0</v>
      </c>
      <c r="K141" s="26">
        <v>3588.0</v>
      </c>
      <c r="L141" s="26">
        <v>2064.0</v>
      </c>
      <c r="M141" s="26">
        <v>1486.0</v>
      </c>
      <c r="N141" s="26">
        <v>28.0</v>
      </c>
      <c r="O141" s="26">
        <v>10.0</v>
      </c>
      <c r="P141" s="26">
        <f t="shared" si="3"/>
        <v>1496</v>
      </c>
      <c r="Q141" s="26">
        <f t="shared" si="4"/>
        <v>2092</v>
      </c>
      <c r="R141" s="26">
        <f t="shared" si="5"/>
        <v>2848</v>
      </c>
      <c r="S141" s="26">
        <f t="shared" si="6"/>
        <v>2697</v>
      </c>
      <c r="T141" s="26">
        <f t="shared" ref="T141:U141" si="279">(P141/R141)*100</f>
        <v>52.52808989</v>
      </c>
      <c r="U141" s="26">
        <f t="shared" si="279"/>
        <v>77.56766778</v>
      </c>
      <c r="V141" s="26">
        <v>1957.0</v>
      </c>
      <c r="W141" s="26">
        <v>605.0</v>
      </c>
      <c r="X141" s="26">
        <v>1352.0</v>
      </c>
      <c r="Y141" s="26">
        <v>0.0</v>
      </c>
      <c r="Z141" s="26">
        <v>7314.0</v>
      </c>
      <c r="AA141" s="26">
        <v>1617.0</v>
      </c>
      <c r="AB141" s="26">
        <v>835.0</v>
      </c>
      <c r="AC141" s="26">
        <v>782.0</v>
      </c>
      <c r="AD141" s="26">
        <v>4323.0</v>
      </c>
      <c r="AE141" s="26">
        <v>2322.0</v>
      </c>
      <c r="AF141" s="26">
        <v>1916.0</v>
      </c>
      <c r="AG141" s="26">
        <v>61.0</v>
      </c>
      <c r="AH141" s="26">
        <v>24.0</v>
      </c>
      <c r="AI141" s="26">
        <f t="shared" si="8"/>
        <v>1940</v>
      </c>
      <c r="AJ141" s="26">
        <f t="shared" si="9"/>
        <v>2383</v>
      </c>
      <c r="AK141" s="26">
        <f t="shared" si="10"/>
        <v>2761</v>
      </c>
      <c r="AL141" s="26">
        <f t="shared" si="11"/>
        <v>2799</v>
      </c>
      <c r="AM141" s="26">
        <f t="shared" ref="AM141:AN141" si="280">(AI141/AK141)*100</f>
        <v>70.26439696</v>
      </c>
      <c r="AN141" s="26">
        <f t="shared" si="280"/>
        <v>85.13754912</v>
      </c>
      <c r="AO141" s="26">
        <v>1237.0</v>
      </c>
      <c r="AP141" s="26">
        <v>416.0</v>
      </c>
      <c r="AQ141" s="26">
        <v>821.0</v>
      </c>
      <c r="AR141" s="26">
        <v>137.0</v>
      </c>
      <c r="AS141" s="27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>
      <c r="A142" s="22">
        <v>4273.0</v>
      </c>
      <c r="B142" s="23" t="s">
        <v>25</v>
      </c>
      <c r="C142" s="29" t="s">
        <v>168</v>
      </c>
      <c r="D142" s="29" t="s">
        <v>189</v>
      </c>
      <c r="E142" s="29" t="s">
        <v>192</v>
      </c>
      <c r="F142" s="29" t="s">
        <v>192</v>
      </c>
      <c r="G142" s="26">
        <v>5529.0</v>
      </c>
      <c r="H142" s="26">
        <v>1456.0</v>
      </c>
      <c r="I142" s="26">
        <v>719.0</v>
      </c>
      <c r="J142" s="26">
        <v>737.0</v>
      </c>
      <c r="K142" s="26">
        <v>2069.0</v>
      </c>
      <c r="L142" s="26">
        <v>1219.0</v>
      </c>
      <c r="M142" s="26">
        <v>819.0</v>
      </c>
      <c r="N142" s="26">
        <v>19.0</v>
      </c>
      <c r="O142" s="26">
        <v>12.0</v>
      </c>
      <c r="P142" s="26">
        <f t="shared" si="3"/>
        <v>831</v>
      </c>
      <c r="Q142" s="26">
        <f t="shared" si="4"/>
        <v>1238</v>
      </c>
      <c r="R142" s="26">
        <f t="shared" si="5"/>
        <v>2009</v>
      </c>
      <c r="S142" s="26">
        <f t="shared" si="6"/>
        <v>2064</v>
      </c>
      <c r="T142" s="26">
        <f t="shared" ref="T142:U142" si="281">(P142/R142)*100</f>
        <v>41.36386262</v>
      </c>
      <c r="U142" s="26">
        <f t="shared" si="281"/>
        <v>59.98062016</v>
      </c>
      <c r="V142" s="26">
        <v>2004.0</v>
      </c>
      <c r="W142" s="26">
        <v>826.0</v>
      </c>
      <c r="X142" s="26">
        <v>1178.0</v>
      </c>
      <c r="Y142" s="26">
        <v>0.0</v>
      </c>
      <c r="Z142" s="26">
        <v>8627.0</v>
      </c>
      <c r="AA142" s="26">
        <v>1814.0</v>
      </c>
      <c r="AB142" s="26">
        <v>904.0</v>
      </c>
      <c r="AC142" s="26">
        <v>910.0</v>
      </c>
      <c r="AD142" s="26">
        <v>4568.0</v>
      </c>
      <c r="AE142" s="26">
        <v>2436.0</v>
      </c>
      <c r="AF142" s="26">
        <v>2046.0</v>
      </c>
      <c r="AG142" s="26">
        <v>49.0</v>
      </c>
      <c r="AH142" s="26">
        <v>37.0</v>
      </c>
      <c r="AI142" s="26">
        <f t="shared" si="8"/>
        <v>2083</v>
      </c>
      <c r="AJ142" s="26">
        <f t="shared" si="9"/>
        <v>2485</v>
      </c>
      <c r="AK142" s="26">
        <f t="shared" si="10"/>
        <v>3108</v>
      </c>
      <c r="AL142" s="26">
        <f t="shared" si="11"/>
        <v>3609</v>
      </c>
      <c r="AM142" s="26">
        <f t="shared" ref="AM142:AN142" si="282">(AI142/AK142)*100</f>
        <v>67.02059202</v>
      </c>
      <c r="AN142" s="26">
        <f t="shared" si="282"/>
        <v>68.85563868</v>
      </c>
      <c r="AO142" s="26">
        <v>2149.0</v>
      </c>
      <c r="AP142" s="26">
        <v>1124.0</v>
      </c>
      <c r="AQ142" s="26">
        <v>1025.0</v>
      </c>
      <c r="AR142" s="26">
        <v>96.0</v>
      </c>
      <c r="AS142" s="27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>
      <c r="A143" s="22">
        <v>4321.0</v>
      </c>
      <c r="B143" s="23" t="s">
        <v>25</v>
      </c>
      <c r="C143" s="29" t="s">
        <v>168</v>
      </c>
      <c r="D143" s="29" t="s">
        <v>193</v>
      </c>
      <c r="E143" s="29" t="s">
        <v>193</v>
      </c>
      <c r="F143" s="29" t="s">
        <v>193</v>
      </c>
      <c r="G143" s="26">
        <v>136902.0</v>
      </c>
      <c r="H143" s="26">
        <v>39490.0</v>
      </c>
      <c r="I143" s="26">
        <v>20201.0</v>
      </c>
      <c r="J143" s="26">
        <v>19289.0</v>
      </c>
      <c r="K143" s="26">
        <v>59160.0</v>
      </c>
      <c r="L143" s="26">
        <v>32804.0</v>
      </c>
      <c r="M143" s="26">
        <v>25349.0</v>
      </c>
      <c r="N143" s="26">
        <v>564.0</v>
      </c>
      <c r="O143" s="26">
        <v>443.0</v>
      </c>
      <c r="P143" s="26">
        <f t="shared" si="3"/>
        <v>25792</v>
      </c>
      <c r="Q143" s="26">
        <f t="shared" si="4"/>
        <v>33368</v>
      </c>
      <c r="R143" s="26">
        <f t="shared" si="5"/>
        <v>51090</v>
      </c>
      <c r="S143" s="26">
        <f t="shared" si="6"/>
        <v>46322</v>
      </c>
      <c r="T143" s="26">
        <f t="shared" ref="T143:U143" si="283">(P143/R143)*100</f>
        <v>50.48346056</v>
      </c>
      <c r="U143" s="26">
        <f t="shared" si="283"/>
        <v>72.03488623</v>
      </c>
      <c r="V143" s="26">
        <v>38252.0</v>
      </c>
      <c r="W143" s="26">
        <v>12954.0</v>
      </c>
      <c r="X143" s="26">
        <v>25298.0</v>
      </c>
      <c r="Y143" s="26">
        <v>0.0</v>
      </c>
      <c r="Z143" s="26">
        <v>165767.0</v>
      </c>
      <c r="AA143" s="26">
        <v>40859.0</v>
      </c>
      <c r="AB143" s="26">
        <v>20745.0</v>
      </c>
      <c r="AC143" s="26">
        <v>20114.0</v>
      </c>
      <c r="AD143" s="26">
        <v>83776.0</v>
      </c>
      <c r="AE143" s="26">
        <v>42742.0</v>
      </c>
      <c r="AF143" s="26">
        <v>38386.0</v>
      </c>
      <c r="AG143" s="26">
        <v>1357.0</v>
      </c>
      <c r="AH143" s="26">
        <v>1291.0</v>
      </c>
      <c r="AI143" s="26">
        <f t="shared" si="8"/>
        <v>39677</v>
      </c>
      <c r="AJ143" s="26">
        <f t="shared" si="9"/>
        <v>44099</v>
      </c>
      <c r="AK143" s="26">
        <f t="shared" si="10"/>
        <v>64345</v>
      </c>
      <c r="AL143" s="26">
        <f t="shared" si="11"/>
        <v>58219</v>
      </c>
      <c r="AM143" s="26">
        <f t="shared" ref="AM143:AN143" si="284">(AI143/AK143)*100</f>
        <v>61.66291087</v>
      </c>
      <c r="AN143" s="26">
        <f t="shared" si="284"/>
        <v>75.74674934</v>
      </c>
      <c r="AO143" s="26">
        <v>38788.0</v>
      </c>
      <c r="AP143" s="26">
        <v>14120.0</v>
      </c>
      <c r="AQ143" s="26">
        <v>24668.0</v>
      </c>
      <c r="AR143" s="26">
        <v>2344.0</v>
      </c>
      <c r="AS143" s="27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>
      <c r="A144" s="22">
        <v>4345.0</v>
      </c>
      <c r="B144" s="23" t="s">
        <v>25</v>
      </c>
      <c r="C144" s="29" t="s">
        <v>168</v>
      </c>
      <c r="D144" s="29" t="s">
        <v>193</v>
      </c>
      <c r="E144" s="29" t="s">
        <v>194</v>
      </c>
      <c r="F144" s="29" t="s">
        <v>194</v>
      </c>
      <c r="G144" s="26">
        <v>41499.0</v>
      </c>
      <c r="H144" s="26">
        <v>13246.0</v>
      </c>
      <c r="I144" s="26">
        <v>6710.0</v>
      </c>
      <c r="J144" s="26">
        <v>6536.0</v>
      </c>
      <c r="K144" s="26">
        <v>18015.0</v>
      </c>
      <c r="L144" s="26">
        <v>10374.0</v>
      </c>
      <c r="M144" s="26">
        <v>7417.0</v>
      </c>
      <c r="N144" s="26">
        <v>126.0</v>
      </c>
      <c r="O144" s="26">
        <v>98.0</v>
      </c>
      <c r="P144" s="26">
        <f t="shared" si="3"/>
        <v>7515</v>
      </c>
      <c r="Q144" s="26">
        <f t="shared" si="4"/>
        <v>10500</v>
      </c>
      <c r="R144" s="26">
        <f t="shared" si="5"/>
        <v>14717</v>
      </c>
      <c r="S144" s="26">
        <f t="shared" si="6"/>
        <v>13536</v>
      </c>
      <c r="T144" s="26">
        <f t="shared" ref="T144:U144" si="285">(P144/R144)*100</f>
        <v>51.06339607</v>
      </c>
      <c r="U144" s="26">
        <f t="shared" si="285"/>
        <v>77.57092199</v>
      </c>
      <c r="V144" s="26">
        <v>10238.0</v>
      </c>
      <c r="W144" s="26">
        <v>3036.0</v>
      </c>
      <c r="X144" s="26">
        <v>7202.0</v>
      </c>
      <c r="Y144" s="26">
        <v>0.0</v>
      </c>
      <c r="Z144" s="26">
        <v>55622.0</v>
      </c>
      <c r="AA144" s="26">
        <v>16121.0</v>
      </c>
      <c r="AB144" s="26">
        <v>8241.0</v>
      </c>
      <c r="AC144" s="26">
        <v>7880.0</v>
      </c>
      <c r="AD144" s="26">
        <v>27528.0</v>
      </c>
      <c r="AE144" s="26">
        <v>14170.0</v>
      </c>
      <c r="AF144" s="26">
        <v>12690.0</v>
      </c>
      <c r="AG144" s="26">
        <v>363.0</v>
      </c>
      <c r="AH144" s="26">
        <v>305.0</v>
      </c>
      <c r="AI144" s="26">
        <f t="shared" si="8"/>
        <v>12995</v>
      </c>
      <c r="AJ144" s="26">
        <f t="shared" si="9"/>
        <v>14533</v>
      </c>
      <c r="AK144" s="26">
        <f t="shared" si="10"/>
        <v>20724</v>
      </c>
      <c r="AL144" s="26">
        <f t="shared" si="11"/>
        <v>17971</v>
      </c>
      <c r="AM144" s="26">
        <f t="shared" ref="AM144:AN144" si="286">(AI144/AK144)*100</f>
        <v>62.70507624</v>
      </c>
      <c r="AN144" s="26">
        <f t="shared" si="286"/>
        <v>80.86917812</v>
      </c>
      <c r="AO144" s="26">
        <v>11167.0</v>
      </c>
      <c r="AP144" s="26">
        <v>3438.0</v>
      </c>
      <c r="AQ144" s="26">
        <v>7729.0</v>
      </c>
      <c r="AR144" s="26">
        <v>806.0</v>
      </c>
      <c r="AS144" s="27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>
      <c r="A145" s="22">
        <v>4369.0</v>
      </c>
      <c r="B145" s="23" t="s">
        <v>25</v>
      </c>
      <c r="C145" s="29" t="s">
        <v>168</v>
      </c>
      <c r="D145" s="29" t="s">
        <v>193</v>
      </c>
      <c r="E145" s="29" t="s">
        <v>195</v>
      </c>
      <c r="F145" s="29" t="s">
        <v>195</v>
      </c>
      <c r="G145" s="26">
        <v>53804.0</v>
      </c>
      <c r="H145" s="26">
        <v>15876.0</v>
      </c>
      <c r="I145" s="26">
        <v>8003.0</v>
      </c>
      <c r="J145" s="26">
        <v>7873.0</v>
      </c>
      <c r="K145" s="26">
        <v>23933.0</v>
      </c>
      <c r="L145" s="26">
        <v>13198.0</v>
      </c>
      <c r="M145" s="26">
        <v>10327.0</v>
      </c>
      <c r="N145" s="26">
        <v>218.0</v>
      </c>
      <c r="O145" s="26">
        <v>190.0</v>
      </c>
      <c r="P145" s="26">
        <f t="shared" si="3"/>
        <v>10517</v>
      </c>
      <c r="Q145" s="26">
        <f t="shared" si="4"/>
        <v>13416</v>
      </c>
      <c r="R145" s="26">
        <f t="shared" si="5"/>
        <v>19894</v>
      </c>
      <c r="S145" s="26">
        <f t="shared" si="6"/>
        <v>18034</v>
      </c>
      <c r="T145" s="26">
        <f t="shared" ref="T145:U145" si="287">(P145/R145)*100</f>
        <v>52.86518548</v>
      </c>
      <c r="U145" s="26">
        <f t="shared" si="287"/>
        <v>74.39281357</v>
      </c>
      <c r="V145" s="26">
        <v>13995.0</v>
      </c>
      <c r="W145" s="26">
        <v>4618.0</v>
      </c>
      <c r="X145" s="26">
        <v>9377.0</v>
      </c>
      <c r="Y145" s="26">
        <v>0.0</v>
      </c>
      <c r="Z145" s="26">
        <v>61455.0</v>
      </c>
      <c r="AA145" s="26">
        <v>14759.0</v>
      </c>
      <c r="AB145" s="26">
        <v>7510.0</v>
      </c>
      <c r="AC145" s="26">
        <v>7249.0</v>
      </c>
      <c r="AD145" s="26">
        <v>32115.0</v>
      </c>
      <c r="AE145" s="26">
        <v>16243.0</v>
      </c>
      <c r="AF145" s="26">
        <v>14929.0</v>
      </c>
      <c r="AG145" s="26">
        <v>464.0</v>
      </c>
      <c r="AH145" s="26">
        <v>479.0</v>
      </c>
      <c r="AI145" s="26">
        <f t="shared" si="8"/>
        <v>15408</v>
      </c>
      <c r="AJ145" s="26">
        <f t="shared" si="9"/>
        <v>16707</v>
      </c>
      <c r="AK145" s="26">
        <f t="shared" si="10"/>
        <v>24047</v>
      </c>
      <c r="AL145" s="26">
        <f t="shared" si="11"/>
        <v>21761</v>
      </c>
      <c r="AM145" s="26">
        <f t="shared" ref="AM145:AN145" si="288">(AI145/AK145)*100</f>
        <v>64.07452073</v>
      </c>
      <c r="AN145" s="26">
        <f t="shared" si="288"/>
        <v>76.77496439</v>
      </c>
      <c r="AO145" s="26">
        <v>13693.0</v>
      </c>
      <c r="AP145" s="26">
        <v>5054.0</v>
      </c>
      <c r="AQ145" s="26">
        <v>8639.0</v>
      </c>
      <c r="AR145" s="26">
        <v>888.0</v>
      </c>
      <c r="AS145" s="27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>
      <c r="A146" s="22">
        <v>4393.0</v>
      </c>
      <c r="B146" s="23" t="s">
        <v>25</v>
      </c>
      <c r="C146" s="29" t="s">
        <v>168</v>
      </c>
      <c r="D146" s="29" t="s">
        <v>193</v>
      </c>
      <c r="E146" s="29" t="s">
        <v>196</v>
      </c>
      <c r="F146" s="29" t="s">
        <v>196</v>
      </c>
      <c r="G146" s="26">
        <v>51892.0</v>
      </c>
      <c r="H146" s="26">
        <v>16198.0</v>
      </c>
      <c r="I146" s="26">
        <v>8282.0</v>
      </c>
      <c r="J146" s="26">
        <v>7916.0</v>
      </c>
      <c r="K146" s="26">
        <v>21776.0</v>
      </c>
      <c r="L146" s="26">
        <v>12349.0</v>
      </c>
      <c r="M146" s="26">
        <v>9102.0</v>
      </c>
      <c r="N146" s="26">
        <v>178.0</v>
      </c>
      <c r="O146" s="26">
        <v>147.0</v>
      </c>
      <c r="P146" s="26">
        <f t="shared" si="3"/>
        <v>9249</v>
      </c>
      <c r="Q146" s="26">
        <f t="shared" si="4"/>
        <v>12527</v>
      </c>
      <c r="R146" s="26">
        <f t="shared" si="5"/>
        <v>18815</v>
      </c>
      <c r="S146" s="26">
        <f t="shared" si="6"/>
        <v>16879</v>
      </c>
      <c r="T146" s="26">
        <f t="shared" ref="T146:U146" si="289">(P146/R146)*100</f>
        <v>49.15758703</v>
      </c>
      <c r="U146" s="26">
        <f t="shared" si="289"/>
        <v>74.21648202</v>
      </c>
      <c r="V146" s="26">
        <v>13918.0</v>
      </c>
      <c r="W146" s="26">
        <v>4352.0</v>
      </c>
      <c r="X146" s="26">
        <v>9566.0</v>
      </c>
      <c r="Y146" s="26">
        <v>0.0</v>
      </c>
      <c r="Z146" s="26">
        <v>55808.0</v>
      </c>
      <c r="AA146" s="26">
        <v>14955.0</v>
      </c>
      <c r="AB146" s="26">
        <v>7668.0</v>
      </c>
      <c r="AC146" s="26">
        <v>7287.0</v>
      </c>
      <c r="AD146" s="26">
        <v>27855.0</v>
      </c>
      <c r="AE146" s="26">
        <v>14260.0</v>
      </c>
      <c r="AF146" s="26">
        <v>12756.0</v>
      </c>
      <c r="AG146" s="26">
        <v>405.0</v>
      </c>
      <c r="AH146" s="26">
        <v>434.0</v>
      </c>
      <c r="AI146" s="26">
        <f t="shared" si="8"/>
        <v>13190</v>
      </c>
      <c r="AJ146" s="26">
        <f t="shared" si="9"/>
        <v>14665</v>
      </c>
      <c r="AK146" s="26">
        <f t="shared" si="10"/>
        <v>21311</v>
      </c>
      <c r="AL146" s="26">
        <f t="shared" si="11"/>
        <v>18895</v>
      </c>
      <c r="AM146" s="26">
        <f t="shared" ref="AM146:AN146" si="290">(AI146/AK146)*100</f>
        <v>61.89291915</v>
      </c>
      <c r="AN146" s="26">
        <f t="shared" si="290"/>
        <v>77.61312517</v>
      </c>
      <c r="AO146" s="26">
        <v>12351.0</v>
      </c>
      <c r="AP146" s="26">
        <v>4230.0</v>
      </c>
      <c r="AQ146" s="26">
        <v>8121.0</v>
      </c>
      <c r="AR146" s="26">
        <v>647.0</v>
      </c>
      <c r="AS146" s="27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>
      <c r="A147" s="22">
        <v>4417.0</v>
      </c>
      <c r="B147" s="23" t="s">
        <v>25</v>
      </c>
      <c r="C147" s="29" t="s">
        <v>168</v>
      </c>
      <c r="D147" s="29" t="s">
        <v>193</v>
      </c>
      <c r="E147" s="29" t="s">
        <v>197</v>
      </c>
      <c r="F147" s="29" t="s">
        <v>197</v>
      </c>
      <c r="G147" s="26">
        <v>51852.0</v>
      </c>
      <c r="H147" s="26">
        <v>13816.0</v>
      </c>
      <c r="I147" s="26">
        <v>7066.0</v>
      </c>
      <c r="J147" s="26">
        <v>6750.0</v>
      </c>
      <c r="K147" s="26">
        <v>22858.0</v>
      </c>
      <c r="L147" s="26">
        <v>12856.0</v>
      </c>
      <c r="M147" s="26">
        <v>9622.0</v>
      </c>
      <c r="N147" s="26">
        <v>213.0</v>
      </c>
      <c r="O147" s="26">
        <v>167.0</v>
      </c>
      <c r="P147" s="26">
        <f t="shared" si="3"/>
        <v>9789</v>
      </c>
      <c r="Q147" s="26">
        <f t="shared" si="4"/>
        <v>13069</v>
      </c>
      <c r="R147" s="26">
        <f t="shared" si="5"/>
        <v>19900</v>
      </c>
      <c r="S147" s="26">
        <f t="shared" si="6"/>
        <v>18136</v>
      </c>
      <c r="T147" s="26">
        <f t="shared" ref="T147:U147" si="291">(P147/R147)*100</f>
        <v>49.19095477</v>
      </c>
      <c r="U147" s="26">
        <f t="shared" si="291"/>
        <v>72.06109396</v>
      </c>
      <c r="V147" s="26">
        <v>15178.0</v>
      </c>
      <c r="W147" s="26">
        <v>5067.0</v>
      </c>
      <c r="X147" s="26">
        <v>10111.0</v>
      </c>
      <c r="Y147" s="26">
        <v>0.0</v>
      </c>
      <c r="Z147" s="26">
        <v>66217.0</v>
      </c>
      <c r="AA147" s="26">
        <v>14980.0</v>
      </c>
      <c r="AB147" s="26">
        <v>7657.0</v>
      </c>
      <c r="AC147" s="26">
        <v>7323.0</v>
      </c>
      <c r="AD147" s="26">
        <v>34002.0</v>
      </c>
      <c r="AE147" s="26">
        <v>17367.0</v>
      </c>
      <c r="AF147" s="26">
        <v>15466.0</v>
      </c>
      <c r="AG147" s="26">
        <v>551.0</v>
      </c>
      <c r="AH147" s="26">
        <v>618.0</v>
      </c>
      <c r="AI147" s="26">
        <f t="shared" si="8"/>
        <v>16084</v>
      </c>
      <c r="AJ147" s="26">
        <f t="shared" si="9"/>
        <v>17918</v>
      </c>
      <c r="AK147" s="26">
        <f t="shared" si="10"/>
        <v>26271</v>
      </c>
      <c r="AL147" s="26">
        <f t="shared" si="11"/>
        <v>24017</v>
      </c>
      <c r="AM147" s="26">
        <f t="shared" ref="AM147:AN147" si="292">(AI147/AK147)*100</f>
        <v>61.22340223</v>
      </c>
      <c r="AN147" s="26">
        <f t="shared" si="292"/>
        <v>74.60548778</v>
      </c>
      <c r="AO147" s="26">
        <v>16286.0</v>
      </c>
      <c r="AP147" s="26">
        <v>6099.0</v>
      </c>
      <c r="AQ147" s="26">
        <v>10187.0</v>
      </c>
      <c r="AR147" s="26">
        <v>949.0</v>
      </c>
      <c r="AS147" s="27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>
      <c r="A148" s="22">
        <v>4465.0</v>
      </c>
      <c r="B148" s="23" t="s">
        <v>25</v>
      </c>
      <c r="C148" s="29" t="s">
        <v>168</v>
      </c>
      <c r="D148" s="29" t="s">
        <v>198</v>
      </c>
      <c r="E148" s="29" t="s">
        <v>199</v>
      </c>
      <c r="F148" s="29" t="s">
        <v>199</v>
      </c>
      <c r="G148" s="26">
        <v>172127.0</v>
      </c>
      <c r="H148" s="26">
        <v>50328.0</v>
      </c>
      <c r="I148" s="26">
        <v>25580.0</v>
      </c>
      <c r="J148" s="26">
        <v>24748.0</v>
      </c>
      <c r="K148" s="26">
        <v>74061.0</v>
      </c>
      <c r="L148" s="26">
        <v>42404.0</v>
      </c>
      <c r="M148" s="26">
        <v>30388.0</v>
      </c>
      <c r="N148" s="26">
        <v>721.0</v>
      </c>
      <c r="O148" s="26">
        <v>548.0</v>
      </c>
      <c r="P148" s="26">
        <f t="shared" si="3"/>
        <v>30936</v>
      </c>
      <c r="Q148" s="26">
        <f t="shared" si="4"/>
        <v>43125</v>
      </c>
      <c r="R148" s="26">
        <f t="shared" si="5"/>
        <v>63514</v>
      </c>
      <c r="S148" s="26">
        <f t="shared" si="6"/>
        <v>58285</v>
      </c>
      <c r="T148" s="26">
        <f t="shared" ref="T148:U148" si="293">(P148/R148)*100</f>
        <v>48.7073716</v>
      </c>
      <c r="U148" s="26">
        <f t="shared" si="293"/>
        <v>73.98987733</v>
      </c>
      <c r="V148" s="26">
        <v>47738.0</v>
      </c>
      <c r="W148" s="26">
        <v>15160.0</v>
      </c>
      <c r="X148" s="26">
        <v>32578.0</v>
      </c>
      <c r="Y148" s="26">
        <v>0.0</v>
      </c>
      <c r="Z148" s="26">
        <v>217972.0</v>
      </c>
      <c r="AA148" s="26">
        <v>52205.0</v>
      </c>
      <c r="AB148" s="26">
        <v>26482.0</v>
      </c>
      <c r="AC148" s="26">
        <v>25723.0</v>
      </c>
      <c r="AD148" s="26">
        <v>111944.0</v>
      </c>
      <c r="AE148" s="26">
        <v>58008.0</v>
      </c>
      <c r="AF148" s="26">
        <v>50221.0</v>
      </c>
      <c r="AG148" s="26">
        <v>1943.0</v>
      </c>
      <c r="AH148" s="26">
        <v>1772.0</v>
      </c>
      <c r="AI148" s="26">
        <f t="shared" si="8"/>
        <v>51993</v>
      </c>
      <c r="AJ148" s="26">
        <f t="shared" si="9"/>
        <v>59951</v>
      </c>
      <c r="AK148" s="26">
        <f t="shared" si="10"/>
        <v>84953</v>
      </c>
      <c r="AL148" s="26">
        <f t="shared" si="11"/>
        <v>77928</v>
      </c>
      <c r="AM148" s="26">
        <f t="shared" ref="AM148:AN148" si="294">(AI148/AK148)*100</f>
        <v>61.20207644</v>
      </c>
      <c r="AN148" s="26">
        <f t="shared" si="294"/>
        <v>76.93126989</v>
      </c>
      <c r="AO148" s="26">
        <v>50937.0</v>
      </c>
      <c r="AP148" s="26">
        <v>17977.0</v>
      </c>
      <c r="AQ148" s="26">
        <v>32960.0</v>
      </c>
      <c r="AR148" s="26">
        <v>2886.0</v>
      </c>
      <c r="AS148" s="27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>
      <c r="A149" s="22">
        <v>4489.0</v>
      </c>
      <c r="B149" s="23" t="s">
        <v>25</v>
      </c>
      <c r="C149" s="29" t="s">
        <v>168</v>
      </c>
      <c r="D149" s="29" t="s">
        <v>198</v>
      </c>
      <c r="E149" s="29" t="s">
        <v>200</v>
      </c>
      <c r="F149" s="29" t="s">
        <v>200</v>
      </c>
      <c r="G149" s="26">
        <v>19264.0</v>
      </c>
      <c r="H149" s="26">
        <v>6215.0</v>
      </c>
      <c r="I149" s="26">
        <v>3170.0</v>
      </c>
      <c r="J149" s="26">
        <v>3045.0</v>
      </c>
      <c r="K149" s="26">
        <v>9510.0</v>
      </c>
      <c r="L149" s="26">
        <v>5420.0</v>
      </c>
      <c r="M149" s="26">
        <v>4027.0</v>
      </c>
      <c r="N149" s="26">
        <v>44.0</v>
      </c>
      <c r="O149" s="26">
        <v>19.0</v>
      </c>
      <c r="P149" s="26">
        <f t="shared" si="3"/>
        <v>4046</v>
      </c>
      <c r="Q149" s="26">
        <f t="shared" si="4"/>
        <v>5464</v>
      </c>
      <c r="R149" s="26">
        <f t="shared" si="5"/>
        <v>6487</v>
      </c>
      <c r="S149" s="26">
        <f t="shared" si="6"/>
        <v>6562</v>
      </c>
      <c r="T149" s="26">
        <f t="shared" ref="T149:U149" si="295">(P149/R149)*100</f>
        <v>62.37089564</v>
      </c>
      <c r="U149" s="26">
        <f t="shared" si="295"/>
        <v>83.26729656</v>
      </c>
      <c r="V149" s="26">
        <v>3539.0</v>
      </c>
      <c r="W149" s="26">
        <v>1098.0</v>
      </c>
      <c r="X149" s="26">
        <v>2441.0</v>
      </c>
      <c r="Y149" s="26">
        <v>0.0</v>
      </c>
      <c r="Z149" s="26">
        <v>21647.0</v>
      </c>
      <c r="AA149" s="26">
        <v>5804.0</v>
      </c>
      <c r="AB149" s="26">
        <v>3004.0</v>
      </c>
      <c r="AC149" s="26">
        <v>2800.0</v>
      </c>
      <c r="AD149" s="26">
        <v>12954.0</v>
      </c>
      <c r="AE149" s="26">
        <v>6868.0</v>
      </c>
      <c r="AF149" s="26">
        <v>5930.0</v>
      </c>
      <c r="AG149" s="26">
        <v>96.0</v>
      </c>
      <c r="AH149" s="26">
        <v>60.0</v>
      </c>
      <c r="AI149" s="26">
        <f t="shared" si="8"/>
        <v>5990</v>
      </c>
      <c r="AJ149" s="26">
        <f t="shared" si="9"/>
        <v>6964</v>
      </c>
      <c r="AK149" s="26">
        <f t="shared" si="10"/>
        <v>7648</v>
      </c>
      <c r="AL149" s="26">
        <f t="shared" si="11"/>
        <v>7872</v>
      </c>
      <c r="AM149" s="26">
        <f t="shared" ref="AM149:AN149" si="296">(AI149/AK149)*100</f>
        <v>78.32112971</v>
      </c>
      <c r="AN149" s="26">
        <f t="shared" si="296"/>
        <v>88.46544715</v>
      </c>
      <c r="AO149" s="26">
        <v>2566.0</v>
      </c>
      <c r="AP149" s="26">
        <v>908.0</v>
      </c>
      <c r="AQ149" s="26">
        <v>1658.0</v>
      </c>
      <c r="AR149" s="26">
        <v>323.0</v>
      </c>
      <c r="AS149" s="27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>
      <c r="A150" s="22">
        <v>4513.0</v>
      </c>
      <c r="B150" s="23" t="s">
        <v>25</v>
      </c>
      <c r="C150" s="29" t="s">
        <v>168</v>
      </c>
      <c r="D150" s="29" t="s">
        <v>198</v>
      </c>
      <c r="E150" s="29" t="s">
        <v>201</v>
      </c>
      <c r="F150" s="29" t="s">
        <v>201</v>
      </c>
      <c r="G150" s="26">
        <v>71344.0</v>
      </c>
      <c r="H150" s="26">
        <v>23580.0</v>
      </c>
      <c r="I150" s="26">
        <v>11979.0</v>
      </c>
      <c r="J150" s="26">
        <v>11601.0</v>
      </c>
      <c r="K150" s="26">
        <v>35969.0</v>
      </c>
      <c r="L150" s="26">
        <v>23055.0</v>
      </c>
      <c r="M150" s="26">
        <v>12747.0</v>
      </c>
      <c r="N150" s="26">
        <v>115.0</v>
      </c>
      <c r="O150" s="26">
        <v>52.0</v>
      </c>
      <c r="P150" s="26">
        <f t="shared" si="3"/>
        <v>12799</v>
      </c>
      <c r="Q150" s="26">
        <f t="shared" si="4"/>
        <v>23170</v>
      </c>
      <c r="R150" s="26">
        <f t="shared" si="5"/>
        <v>20685</v>
      </c>
      <c r="S150" s="26">
        <f t="shared" si="6"/>
        <v>27079</v>
      </c>
      <c r="T150" s="26">
        <f t="shared" ref="T150:U150" si="297">(P150/R150)*100</f>
        <v>61.87575538</v>
      </c>
      <c r="U150" s="26">
        <f t="shared" si="297"/>
        <v>85.56445954</v>
      </c>
      <c r="V150" s="26">
        <v>11795.0</v>
      </c>
      <c r="W150" s="26">
        <v>3909.0</v>
      </c>
      <c r="X150" s="26">
        <v>7886.0</v>
      </c>
      <c r="Y150" s="26">
        <v>0.0</v>
      </c>
      <c r="Z150" s="26">
        <v>92869.0</v>
      </c>
      <c r="AA150" s="26">
        <v>25880.0</v>
      </c>
      <c r="AB150" s="26">
        <v>13211.0</v>
      </c>
      <c r="AC150" s="26">
        <v>12669.0</v>
      </c>
      <c r="AD150" s="26">
        <v>54309.0</v>
      </c>
      <c r="AE150" s="26">
        <v>31750.0</v>
      </c>
      <c r="AF150" s="26">
        <v>21805.0</v>
      </c>
      <c r="AG150" s="26">
        <v>483.0</v>
      </c>
      <c r="AH150" s="26">
        <v>271.0</v>
      </c>
      <c r="AI150" s="26">
        <f t="shared" si="8"/>
        <v>22076</v>
      </c>
      <c r="AJ150" s="26">
        <f t="shared" si="9"/>
        <v>32233</v>
      </c>
      <c r="AK150" s="26">
        <f t="shared" si="10"/>
        <v>29629</v>
      </c>
      <c r="AL150" s="26">
        <f t="shared" si="11"/>
        <v>35854</v>
      </c>
      <c r="AM150" s="26">
        <f t="shared" ref="AM150:AN150" si="298">(AI150/AK150)*100</f>
        <v>74.5080833</v>
      </c>
      <c r="AN150" s="26">
        <f t="shared" si="298"/>
        <v>89.90070843</v>
      </c>
      <c r="AO150" s="26">
        <v>11174.0</v>
      </c>
      <c r="AP150" s="26">
        <v>3621.0</v>
      </c>
      <c r="AQ150" s="26">
        <v>7553.0</v>
      </c>
      <c r="AR150" s="26">
        <v>1506.0</v>
      </c>
      <c r="AS150" s="27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>
      <c r="A151" s="22">
        <v>4561.0</v>
      </c>
      <c r="B151" s="23" t="s">
        <v>25</v>
      </c>
      <c r="C151" s="29" t="s">
        <v>168</v>
      </c>
      <c r="D151" s="29" t="s">
        <v>202</v>
      </c>
      <c r="E151" s="29" t="s">
        <v>202</v>
      </c>
      <c r="F151" s="29" t="s">
        <v>202</v>
      </c>
      <c r="G151" s="26">
        <v>24598.0</v>
      </c>
      <c r="H151" s="26">
        <v>7878.0</v>
      </c>
      <c r="I151" s="26">
        <v>4016.0</v>
      </c>
      <c r="J151" s="26">
        <v>3862.0</v>
      </c>
      <c r="K151" s="26">
        <v>12561.0</v>
      </c>
      <c r="L151" s="26">
        <v>7196.0</v>
      </c>
      <c r="M151" s="26">
        <v>5321.0</v>
      </c>
      <c r="N151" s="26">
        <v>31.0</v>
      </c>
      <c r="O151" s="26">
        <v>13.0</v>
      </c>
      <c r="P151" s="26">
        <f t="shared" si="3"/>
        <v>5334</v>
      </c>
      <c r="Q151" s="26">
        <f t="shared" si="4"/>
        <v>7227</v>
      </c>
      <c r="R151" s="26">
        <f t="shared" si="5"/>
        <v>8245</v>
      </c>
      <c r="S151" s="26">
        <f t="shared" si="6"/>
        <v>8475</v>
      </c>
      <c r="T151" s="26">
        <f t="shared" ref="T151:U151" si="299">(P151/R151)*100</f>
        <v>64.69375379</v>
      </c>
      <c r="U151" s="26">
        <f t="shared" si="299"/>
        <v>85.27433628</v>
      </c>
      <c r="V151" s="26">
        <v>4159.0</v>
      </c>
      <c r="W151" s="26">
        <v>1248.0</v>
      </c>
      <c r="X151" s="26">
        <v>2911.0</v>
      </c>
      <c r="Y151" s="26">
        <v>0.0</v>
      </c>
      <c r="Z151" s="26">
        <v>24384.0</v>
      </c>
      <c r="AA151" s="26">
        <v>7030.0</v>
      </c>
      <c r="AB151" s="26">
        <v>3609.0</v>
      </c>
      <c r="AC151" s="26">
        <v>3421.0</v>
      </c>
      <c r="AD151" s="26">
        <v>13902.0</v>
      </c>
      <c r="AE151" s="26">
        <v>7778.0</v>
      </c>
      <c r="AF151" s="26">
        <v>5948.0</v>
      </c>
      <c r="AG151" s="26">
        <v>125.0</v>
      </c>
      <c r="AH151" s="26">
        <v>51.0</v>
      </c>
      <c r="AI151" s="26">
        <f t="shared" si="8"/>
        <v>5999</v>
      </c>
      <c r="AJ151" s="26">
        <f t="shared" si="9"/>
        <v>7903</v>
      </c>
      <c r="AK151" s="26">
        <f t="shared" si="10"/>
        <v>7893</v>
      </c>
      <c r="AL151" s="26">
        <f t="shared" si="11"/>
        <v>8923</v>
      </c>
      <c r="AM151" s="26">
        <f t="shared" ref="AM151:AN151" si="300">(AI151/AK151)*100</f>
        <v>76.00405423</v>
      </c>
      <c r="AN151" s="26">
        <f t="shared" si="300"/>
        <v>88.56886697</v>
      </c>
      <c r="AO151" s="26">
        <v>2914.0</v>
      </c>
      <c r="AP151" s="26">
        <v>1020.0</v>
      </c>
      <c r="AQ151" s="26">
        <v>1894.0</v>
      </c>
      <c r="AR151" s="26">
        <v>538.0</v>
      </c>
      <c r="AS151" s="27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>
      <c r="A152" s="22">
        <v>4609.0</v>
      </c>
      <c r="B152" s="23" t="s">
        <v>25</v>
      </c>
      <c r="C152" s="29" t="s">
        <v>168</v>
      </c>
      <c r="D152" s="29" t="s">
        <v>203</v>
      </c>
      <c r="E152" s="29" t="s">
        <v>204</v>
      </c>
      <c r="F152" s="29" t="s">
        <v>204</v>
      </c>
      <c r="G152" s="26">
        <v>14656.0</v>
      </c>
      <c r="H152" s="26">
        <v>5085.0</v>
      </c>
      <c r="I152" s="26">
        <v>2591.0</v>
      </c>
      <c r="J152" s="26">
        <v>2494.0</v>
      </c>
      <c r="K152" s="26">
        <v>7321.0</v>
      </c>
      <c r="L152" s="26">
        <v>4389.0</v>
      </c>
      <c r="M152" s="26">
        <v>2904.0</v>
      </c>
      <c r="N152" s="26">
        <v>17.0</v>
      </c>
      <c r="O152" s="26">
        <v>11.0</v>
      </c>
      <c r="P152" s="26">
        <f t="shared" si="3"/>
        <v>2915</v>
      </c>
      <c r="Q152" s="26">
        <f t="shared" si="4"/>
        <v>4406</v>
      </c>
      <c r="R152" s="26">
        <f t="shared" si="5"/>
        <v>4580</v>
      </c>
      <c r="S152" s="26">
        <f t="shared" si="6"/>
        <v>4991</v>
      </c>
      <c r="T152" s="26">
        <f t="shared" ref="T152:U152" si="301">(P152/R152)*100</f>
        <v>63.64628821</v>
      </c>
      <c r="U152" s="26">
        <f t="shared" si="301"/>
        <v>88.27890202</v>
      </c>
      <c r="V152" s="26">
        <v>2250.0</v>
      </c>
      <c r="W152" s="26">
        <v>585.0</v>
      </c>
      <c r="X152" s="26">
        <v>1665.0</v>
      </c>
      <c r="Y152" s="26">
        <v>0.0</v>
      </c>
      <c r="Z152" s="26">
        <v>14658.0</v>
      </c>
      <c r="AA152" s="26">
        <v>4300.0</v>
      </c>
      <c r="AB152" s="26">
        <v>2241.0</v>
      </c>
      <c r="AC152" s="26">
        <v>2059.0</v>
      </c>
      <c r="AD152" s="26">
        <v>8902.0</v>
      </c>
      <c r="AE152" s="26">
        <v>4979.0</v>
      </c>
      <c r="AF152" s="26">
        <v>3860.0</v>
      </c>
      <c r="AG152" s="26">
        <v>39.0</v>
      </c>
      <c r="AH152" s="26">
        <v>24.0</v>
      </c>
      <c r="AI152" s="26">
        <f t="shared" si="8"/>
        <v>3884</v>
      </c>
      <c r="AJ152" s="26">
        <f t="shared" si="9"/>
        <v>5018</v>
      </c>
      <c r="AK152" s="26">
        <f t="shared" si="10"/>
        <v>4764</v>
      </c>
      <c r="AL152" s="26">
        <f t="shared" si="11"/>
        <v>5434</v>
      </c>
      <c r="AM152" s="26">
        <f t="shared" ref="AM152:AN152" si="302">(AI152/AK152)*100</f>
        <v>81.52812762</v>
      </c>
      <c r="AN152" s="26">
        <f t="shared" si="302"/>
        <v>92.34449761</v>
      </c>
      <c r="AO152" s="26">
        <v>1296.0</v>
      </c>
      <c r="AP152" s="26">
        <v>416.0</v>
      </c>
      <c r="AQ152" s="26">
        <v>880.0</v>
      </c>
      <c r="AR152" s="26">
        <v>160.0</v>
      </c>
      <c r="AS152" s="27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>
      <c r="A153" s="22">
        <v>4633.0</v>
      </c>
      <c r="B153" s="23" t="s">
        <v>25</v>
      </c>
      <c r="C153" s="29" t="s">
        <v>168</v>
      </c>
      <c r="D153" s="29" t="s">
        <v>203</v>
      </c>
      <c r="E153" s="29" t="s">
        <v>205</v>
      </c>
      <c r="F153" s="29" t="s">
        <v>205</v>
      </c>
      <c r="G153" s="26">
        <v>10146.0</v>
      </c>
      <c r="H153" s="26">
        <v>3632.0</v>
      </c>
      <c r="I153" s="26">
        <v>1837.0</v>
      </c>
      <c r="J153" s="26">
        <v>1795.0</v>
      </c>
      <c r="K153" s="26">
        <v>4949.0</v>
      </c>
      <c r="L153" s="26">
        <v>2923.0</v>
      </c>
      <c r="M153" s="26">
        <v>2008.0</v>
      </c>
      <c r="N153" s="26">
        <v>15.0</v>
      </c>
      <c r="O153" s="26">
        <v>3.0</v>
      </c>
      <c r="P153" s="26">
        <f t="shared" si="3"/>
        <v>2011</v>
      </c>
      <c r="Q153" s="26">
        <f t="shared" si="4"/>
        <v>2938</v>
      </c>
      <c r="R153" s="26">
        <f t="shared" si="5"/>
        <v>3085</v>
      </c>
      <c r="S153" s="26">
        <f t="shared" si="6"/>
        <v>3429</v>
      </c>
      <c r="T153" s="26">
        <f t="shared" ref="T153:U153" si="303">(P153/R153)*100</f>
        <v>65.18638574</v>
      </c>
      <c r="U153" s="26">
        <f t="shared" si="303"/>
        <v>85.68095655</v>
      </c>
      <c r="V153" s="26">
        <v>1565.0</v>
      </c>
      <c r="W153" s="26">
        <v>491.0</v>
      </c>
      <c r="X153" s="26">
        <v>1074.0</v>
      </c>
      <c r="Y153" s="26">
        <v>0.0</v>
      </c>
      <c r="Z153" s="26">
        <v>11751.0</v>
      </c>
      <c r="AA153" s="26">
        <v>3495.0</v>
      </c>
      <c r="AB153" s="26">
        <v>1743.0</v>
      </c>
      <c r="AC153" s="26">
        <v>1752.0</v>
      </c>
      <c r="AD153" s="26">
        <v>6920.0</v>
      </c>
      <c r="AE153" s="26">
        <v>3861.0</v>
      </c>
      <c r="AF153" s="26">
        <v>2988.0</v>
      </c>
      <c r="AG153" s="26">
        <v>40.0</v>
      </c>
      <c r="AH153" s="26">
        <v>31.0</v>
      </c>
      <c r="AI153" s="26">
        <f t="shared" si="8"/>
        <v>3019</v>
      </c>
      <c r="AJ153" s="26">
        <f t="shared" si="9"/>
        <v>3901</v>
      </c>
      <c r="AK153" s="26">
        <f t="shared" si="10"/>
        <v>3840</v>
      </c>
      <c r="AL153" s="26">
        <f t="shared" si="11"/>
        <v>4316</v>
      </c>
      <c r="AM153" s="26">
        <f t="shared" ref="AM153:AN153" si="304">(AI153/AK153)*100</f>
        <v>78.61979167</v>
      </c>
      <c r="AN153" s="26">
        <f t="shared" si="304"/>
        <v>90.38461538</v>
      </c>
      <c r="AO153" s="26">
        <v>1236.0</v>
      </c>
      <c r="AP153" s="26">
        <v>415.0</v>
      </c>
      <c r="AQ153" s="26">
        <v>821.0</v>
      </c>
      <c r="AR153" s="26">
        <v>100.0</v>
      </c>
      <c r="AS153" s="27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>
      <c r="A154" s="22">
        <v>4657.0</v>
      </c>
      <c r="B154" s="23" t="s">
        <v>25</v>
      </c>
      <c r="C154" s="29" t="s">
        <v>168</v>
      </c>
      <c r="D154" s="29" t="s">
        <v>203</v>
      </c>
      <c r="E154" s="29" t="s">
        <v>206</v>
      </c>
      <c r="F154" s="29" t="s">
        <v>206</v>
      </c>
      <c r="G154" s="26">
        <v>10730.0</v>
      </c>
      <c r="H154" s="26">
        <v>3080.0</v>
      </c>
      <c r="I154" s="26">
        <v>1609.0</v>
      </c>
      <c r="J154" s="26">
        <v>1471.0</v>
      </c>
      <c r="K154" s="26">
        <v>5965.0</v>
      </c>
      <c r="L154" s="26">
        <v>3329.0</v>
      </c>
      <c r="M154" s="26">
        <v>2616.0</v>
      </c>
      <c r="N154" s="26">
        <v>8.0</v>
      </c>
      <c r="O154" s="26">
        <v>12.0</v>
      </c>
      <c r="P154" s="26">
        <f t="shared" si="3"/>
        <v>2628</v>
      </c>
      <c r="Q154" s="26">
        <f t="shared" si="4"/>
        <v>3337</v>
      </c>
      <c r="R154" s="26">
        <f t="shared" si="5"/>
        <v>3854</v>
      </c>
      <c r="S154" s="26">
        <f t="shared" si="6"/>
        <v>3796</v>
      </c>
      <c r="T154" s="26">
        <f t="shared" ref="T154:U154" si="305">(P154/R154)*100</f>
        <v>68.18889465</v>
      </c>
      <c r="U154" s="26">
        <f t="shared" si="305"/>
        <v>87.90832455</v>
      </c>
      <c r="V154" s="26">
        <v>1685.0</v>
      </c>
      <c r="W154" s="26">
        <v>459.0</v>
      </c>
      <c r="X154" s="26">
        <v>1226.0</v>
      </c>
      <c r="Y154" s="26">
        <v>0.0</v>
      </c>
      <c r="Z154" s="26">
        <v>12078.0</v>
      </c>
      <c r="AA154" s="26">
        <v>2970.0</v>
      </c>
      <c r="AB154" s="26">
        <v>1539.0</v>
      </c>
      <c r="AC154" s="26">
        <v>1431.0</v>
      </c>
      <c r="AD154" s="26">
        <v>7530.0</v>
      </c>
      <c r="AE154" s="26">
        <v>4069.0</v>
      </c>
      <c r="AF154" s="26">
        <v>3390.0</v>
      </c>
      <c r="AG154" s="26">
        <v>45.0</v>
      </c>
      <c r="AH154" s="26">
        <v>26.0</v>
      </c>
      <c r="AI154" s="26">
        <f t="shared" si="8"/>
        <v>3416</v>
      </c>
      <c r="AJ154" s="26">
        <f t="shared" si="9"/>
        <v>4114</v>
      </c>
      <c r="AK154" s="26">
        <f t="shared" si="10"/>
        <v>4456</v>
      </c>
      <c r="AL154" s="26">
        <f t="shared" si="11"/>
        <v>4490</v>
      </c>
      <c r="AM154" s="26">
        <f t="shared" ref="AM154:AN154" si="306">(AI154/AK154)*100</f>
        <v>76.66068223</v>
      </c>
      <c r="AN154" s="26">
        <f t="shared" si="306"/>
        <v>91.62583519</v>
      </c>
      <c r="AO154" s="26">
        <v>1416.0</v>
      </c>
      <c r="AP154" s="26">
        <v>376.0</v>
      </c>
      <c r="AQ154" s="26">
        <v>1040.0</v>
      </c>
      <c r="AR154" s="26">
        <v>162.0</v>
      </c>
      <c r="AS154" s="27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>
      <c r="A155" s="22">
        <v>4681.0</v>
      </c>
      <c r="B155" s="23" t="s">
        <v>25</v>
      </c>
      <c r="C155" s="29" t="s">
        <v>168</v>
      </c>
      <c r="D155" s="29" t="s">
        <v>203</v>
      </c>
      <c r="E155" s="29" t="s">
        <v>207</v>
      </c>
      <c r="F155" s="29" t="s">
        <v>207</v>
      </c>
      <c r="G155" s="26">
        <v>21718.0</v>
      </c>
      <c r="H155" s="26">
        <v>7218.0</v>
      </c>
      <c r="I155" s="26">
        <v>3695.0</v>
      </c>
      <c r="J155" s="26">
        <v>3523.0</v>
      </c>
      <c r="K155" s="26">
        <v>10651.0</v>
      </c>
      <c r="L155" s="26">
        <v>6684.0</v>
      </c>
      <c r="M155" s="26">
        <v>3917.0</v>
      </c>
      <c r="N155" s="26">
        <v>26.0</v>
      </c>
      <c r="O155" s="26">
        <v>24.0</v>
      </c>
      <c r="P155" s="26">
        <f t="shared" si="3"/>
        <v>3941</v>
      </c>
      <c r="Q155" s="26">
        <f t="shared" si="4"/>
        <v>6710</v>
      </c>
      <c r="R155" s="26">
        <f t="shared" si="5"/>
        <v>6527</v>
      </c>
      <c r="S155" s="26">
        <f t="shared" si="6"/>
        <v>7973</v>
      </c>
      <c r="T155" s="26">
        <f t="shared" ref="T155:U155" si="307">(P155/R155)*100</f>
        <v>60.37996017</v>
      </c>
      <c r="U155" s="26">
        <f t="shared" si="307"/>
        <v>84.15903675</v>
      </c>
      <c r="V155" s="26">
        <v>3849.0</v>
      </c>
      <c r="W155" s="26">
        <v>1263.0</v>
      </c>
      <c r="X155" s="26">
        <v>2586.0</v>
      </c>
      <c r="Y155" s="26">
        <v>0.0</v>
      </c>
      <c r="Z155" s="26">
        <v>27273.0</v>
      </c>
      <c r="AA155" s="26">
        <v>7595.0</v>
      </c>
      <c r="AB155" s="26">
        <v>3912.0</v>
      </c>
      <c r="AC155" s="26">
        <v>3683.0</v>
      </c>
      <c r="AD155" s="26">
        <v>15446.0</v>
      </c>
      <c r="AE155" s="26">
        <v>8937.0</v>
      </c>
      <c r="AF155" s="26">
        <v>6250.0</v>
      </c>
      <c r="AG155" s="26">
        <v>150.0</v>
      </c>
      <c r="AH155" s="26">
        <v>109.0</v>
      </c>
      <c r="AI155" s="26">
        <f t="shared" si="8"/>
        <v>6359</v>
      </c>
      <c r="AJ155" s="26">
        <f t="shared" si="9"/>
        <v>9087</v>
      </c>
      <c r="AK155" s="26">
        <f t="shared" si="10"/>
        <v>8836</v>
      </c>
      <c r="AL155" s="26">
        <f t="shared" si="11"/>
        <v>10397</v>
      </c>
      <c r="AM155" s="26">
        <f t="shared" ref="AM155:AN155" si="308">(AI155/AK155)*100</f>
        <v>71.96695337</v>
      </c>
      <c r="AN155" s="26">
        <f t="shared" si="308"/>
        <v>87.4002116</v>
      </c>
      <c r="AO155" s="26">
        <v>3787.0</v>
      </c>
      <c r="AP155" s="26">
        <v>1310.0</v>
      </c>
      <c r="AQ155" s="26">
        <v>2477.0</v>
      </c>
      <c r="AR155" s="26">
        <v>445.0</v>
      </c>
      <c r="AS155" s="27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>
      <c r="A156" s="22">
        <v>4705.0</v>
      </c>
      <c r="B156" s="23" t="s">
        <v>25</v>
      </c>
      <c r="C156" s="29" t="s">
        <v>168</v>
      </c>
      <c r="D156" s="29" t="s">
        <v>203</v>
      </c>
      <c r="E156" s="29" t="s">
        <v>208</v>
      </c>
      <c r="F156" s="29" t="s">
        <v>208</v>
      </c>
      <c r="G156" s="26">
        <v>46603.0</v>
      </c>
      <c r="H156" s="26">
        <v>15204.0</v>
      </c>
      <c r="I156" s="26">
        <v>7757.0</v>
      </c>
      <c r="J156" s="26">
        <v>7447.0</v>
      </c>
      <c r="K156" s="26">
        <v>22995.0</v>
      </c>
      <c r="L156" s="26">
        <v>14261.0</v>
      </c>
      <c r="M156" s="26">
        <v>8610.0</v>
      </c>
      <c r="N156" s="26">
        <v>76.0</v>
      </c>
      <c r="O156" s="26">
        <v>48.0</v>
      </c>
      <c r="P156" s="26">
        <f t="shared" si="3"/>
        <v>8658</v>
      </c>
      <c r="Q156" s="26">
        <f t="shared" si="4"/>
        <v>14337</v>
      </c>
      <c r="R156" s="26">
        <f t="shared" si="5"/>
        <v>14412</v>
      </c>
      <c r="S156" s="26">
        <f t="shared" si="6"/>
        <v>16987</v>
      </c>
      <c r="T156" s="26">
        <f t="shared" ref="T156:U156" si="309">(P156/R156)*100</f>
        <v>60.07493755</v>
      </c>
      <c r="U156" s="26">
        <f t="shared" si="309"/>
        <v>84.39983517</v>
      </c>
      <c r="V156" s="26">
        <v>8404.0</v>
      </c>
      <c r="W156" s="26">
        <v>2650.0</v>
      </c>
      <c r="X156" s="26">
        <v>5754.0</v>
      </c>
      <c r="Y156" s="26">
        <v>0.0</v>
      </c>
      <c r="Z156" s="26">
        <v>64261.0</v>
      </c>
      <c r="AA156" s="26">
        <v>18497.0</v>
      </c>
      <c r="AB156" s="26">
        <v>9471.0</v>
      </c>
      <c r="AC156" s="26">
        <v>9026.0</v>
      </c>
      <c r="AD156" s="26">
        <v>36759.0</v>
      </c>
      <c r="AE156" s="26">
        <v>20796.0</v>
      </c>
      <c r="AF156" s="26">
        <v>15446.0</v>
      </c>
      <c r="AG156" s="26">
        <v>290.0</v>
      </c>
      <c r="AH156" s="26">
        <v>227.0</v>
      </c>
      <c r="AI156" s="26">
        <f t="shared" si="8"/>
        <v>15673</v>
      </c>
      <c r="AJ156" s="26">
        <f t="shared" si="9"/>
        <v>21086</v>
      </c>
      <c r="AK156" s="26">
        <f t="shared" si="10"/>
        <v>21436</v>
      </c>
      <c r="AL156" s="26">
        <f t="shared" si="11"/>
        <v>23489</v>
      </c>
      <c r="AM156" s="26">
        <f t="shared" ref="AM156:AN156" si="310">(AI156/AK156)*100</f>
        <v>73.11532002</v>
      </c>
      <c r="AN156" s="26">
        <f t="shared" si="310"/>
        <v>89.76967942</v>
      </c>
      <c r="AO156" s="26">
        <v>8166.0</v>
      </c>
      <c r="AP156" s="26">
        <v>2403.0</v>
      </c>
      <c r="AQ156" s="26">
        <v>5763.0</v>
      </c>
      <c r="AR156" s="26">
        <v>839.0</v>
      </c>
      <c r="AS156" s="27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>
      <c r="A157" s="22">
        <v>4729.0</v>
      </c>
      <c r="B157" s="23" t="s">
        <v>25</v>
      </c>
      <c r="C157" s="29" t="s">
        <v>168</v>
      </c>
      <c r="D157" s="29" t="s">
        <v>203</v>
      </c>
      <c r="E157" s="29" t="s">
        <v>209</v>
      </c>
      <c r="F157" s="29" t="s">
        <v>209</v>
      </c>
      <c r="G157" s="26">
        <v>31534.0</v>
      </c>
      <c r="H157" s="26">
        <v>10141.0</v>
      </c>
      <c r="I157" s="26">
        <v>5087.0</v>
      </c>
      <c r="J157" s="26">
        <v>5054.0</v>
      </c>
      <c r="K157" s="26">
        <v>14938.0</v>
      </c>
      <c r="L157" s="26">
        <v>9426.0</v>
      </c>
      <c r="M157" s="26">
        <v>5405.0</v>
      </c>
      <c r="N157" s="26">
        <v>61.0</v>
      </c>
      <c r="O157" s="26">
        <v>46.0</v>
      </c>
      <c r="P157" s="26">
        <f t="shared" si="3"/>
        <v>5451</v>
      </c>
      <c r="Q157" s="26">
        <f t="shared" si="4"/>
        <v>9487</v>
      </c>
      <c r="R157" s="26">
        <f t="shared" si="5"/>
        <v>9785</v>
      </c>
      <c r="S157" s="26">
        <f t="shared" si="6"/>
        <v>11608</v>
      </c>
      <c r="T157" s="26">
        <f t="shared" ref="T157:U157" si="311">(P157/R157)*100</f>
        <v>55.70771589</v>
      </c>
      <c r="U157" s="26">
        <f t="shared" si="311"/>
        <v>81.72811854</v>
      </c>
      <c r="V157" s="26">
        <v>6455.0</v>
      </c>
      <c r="W157" s="26">
        <v>2121.0</v>
      </c>
      <c r="X157" s="26">
        <v>4334.0</v>
      </c>
      <c r="Y157" s="26">
        <v>0.0</v>
      </c>
      <c r="Z157" s="26">
        <v>45454.0</v>
      </c>
      <c r="AA157" s="26">
        <v>12996.0</v>
      </c>
      <c r="AB157" s="26">
        <v>6587.0</v>
      </c>
      <c r="AC157" s="26">
        <v>6409.0</v>
      </c>
      <c r="AD157" s="26">
        <v>24971.0</v>
      </c>
      <c r="AE157" s="26">
        <v>14292.0</v>
      </c>
      <c r="AF157" s="26">
        <v>10289.0</v>
      </c>
      <c r="AG157" s="26">
        <v>211.0</v>
      </c>
      <c r="AH157" s="26">
        <v>179.0</v>
      </c>
      <c r="AI157" s="26">
        <f t="shared" si="8"/>
        <v>10468</v>
      </c>
      <c r="AJ157" s="26">
        <f t="shared" si="9"/>
        <v>14503</v>
      </c>
      <c r="AK157" s="26">
        <f t="shared" si="10"/>
        <v>15166</v>
      </c>
      <c r="AL157" s="26">
        <f t="shared" si="11"/>
        <v>16636</v>
      </c>
      <c r="AM157" s="26">
        <f t="shared" ref="AM157:AN157" si="312">(AI157/AK157)*100</f>
        <v>69.02281419</v>
      </c>
      <c r="AN157" s="26">
        <f t="shared" si="312"/>
        <v>87.17840827</v>
      </c>
      <c r="AO157" s="26">
        <v>6831.0</v>
      </c>
      <c r="AP157" s="26">
        <v>2133.0</v>
      </c>
      <c r="AQ157" s="26">
        <v>4698.0</v>
      </c>
      <c r="AR157" s="26">
        <v>656.0</v>
      </c>
      <c r="AS157" s="27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>
      <c r="A158" s="22">
        <v>4777.0</v>
      </c>
      <c r="B158" s="23" t="s">
        <v>25</v>
      </c>
      <c r="C158" s="29" t="s">
        <v>168</v>
      </c>
      <c r="D158" s="29" t="s">
        <v>210</v>
      </c>
      <c r="E158" s="29" t="s">
        <v>210</v>
      </c>
      <c r="F158" s="29" t="s">
        <v>210</v>
      </c>
      <c r="G158" s="26">
        <v>19857.0</v>
      </c>
      <c r="H158" s="26">
        <v>6592.0</v>
      </c>
      <c r="I158" s="26">
        <v>3274.0</v>
      </c>
      <c r="J158" s="26">
        <v>3318.0</v>
      </c>
      <c r="K158" s="26">
        <v>9275.0</v>
      </c>
      <c r="L158" s="26">
        <v>5671.0</v>
      </c>
      <c r="M158" s="26">
        <v>3565.0</v>
      </c>
      <c r="N158" s="26">
        <v>28.0</v>
      </c>
      <c r="O158" s="26">
        <v>11.0</v>
      </c>
      <c r="P158" s="26">
        <f t="shared" si="3"/>
        <v>3576</v>
      </c>
      <c r="Q158" s="26">
        <f t="shared" si="4"/>
        <v>5699</v>
      </c>
      <c r="R158" s="26">
        <f t="shared" si="5"/>
        <v>6577</v>
      </c>
      <c r="S158" s="26">
        <f t="shared" si="6"/>
        <v>6688</v>
      </c>
      <c r="T158" s="26">
        <f t="shared" ref="T158:U158" si="313">(P158/R158)*100</f>
        <v>54.3712939</v>
      </c>
      <c r="U158" s="26">
        <f t="shared" si="313"/>
        <v>85.21232057</v>
      </c>
      <c r="V158" s="26">
        <v>3990.0</v>
      </c>
      <c r="W158" s="26">
        <v>989.0</v>
      </c>
      <c r="X158" s="26">
        <v>3001.0</v>
      </c>
      <c r="Y158" s="26">
        <v>0.0</v>
      </c>
      <c r="Z158" s="26">
        <v>19708.0</v>
      </c>
      <c r="AA158" s="26">
        <v>5619.0</v>
      </c>
      <c r="AB158" s="26">
        <v>2859.0</v>
      </c>
      <c r="AC158" s="26">
        <v>2760.0</v>
      </c>
      <c r="AD158" s="26">
        <v>11138.0</v>
      </c>
      <c r="AE158" s="26">
        <v>5996.0</v>
      </c>
      <c r="AF158" s="26">
        <v>5008.0</v>
      </c>
      <c r="AG158" s="26">
        <v>74.0</v>
      </c>
      <c r="AH158" s="26">
        <v>60.0</v>
      </c>
      <c r="AI158" s="26">
        <f t="shared" si="8"/>
        <v>5068</v>
      </c>
      <c r="AJ158" s="26">
        <f t="shared" si="9"/>
        <v>6070</v>
      </c>
      <c r="AK158" s="26">
        <f t="shared" si="10"/>
        <v>6893</v>
      </c>
      <c r="AL158" s="26">
        <f t="shared" si="11"/>
        <v>6852</v>
      </c>
      <c r="AM158" s="26">
        <f t="shared" ref="AM158:AN158" si="314">(AI158/AK158)*100</f>
        <v>73.52386479</v>
      </c>
      <c r="AN158" s="26">
        <f t="shared" si="314"/>
        <v>88.58727379</v>
      </c>
      <c r="AO158" s="26">
        <v>2607.0</v>
      </c>
      <c r="AP158" s="26">
        <v>782.0</v>
      </c>
      <c r="AQ158" s="26">
        <v>1825.0</v>
      </c>
      <c r="AR158" s="26">
        <v>344.0</v>
      </c>
      <c r="AS158" s="27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>
      <c r="A159" s="22">
        <v>4801.0</v>
      </c>
      <c r="B159" s="23" t="s">
        <v>25</v>
      </c>
      <c r="C159" s="29" t="s">
        <v>168</v>
      </c>
      <c r="D159" s="29" t="s">
        <v>210</v>
      </c>
      <c r="E159" s="29" t="s">
        <v>211</v>
      </c>
      <c r="F159" s="29" t="s">
        <v>211</v>
      </c>
      <c r="G159" s="26">
        <v>5457.0</v>
      </c>
      <c r="H159" s="26">
        <v>2012.0</v>
      </c>
      <c r="I159" s="26">
        <v>963.0</v>
      </c>
      <c r="J159" s="26">
        <v>1049.0</v>
      </c>
      <c r="K159" s="26">
        <v>2436.0</v>
      </c>
      <c r="L159" s="26">
        <v>1399.0</v>
      </c>
      <c r="M159" s="26">
        <v>1019.0</v>
      </c>
      <c r="N159" s="26">
        <v>12.0</v>
      </c>
      <c r="O159" s="26">
        <v>6.0</v>
      </c>
      <c r="P159" s="26">
        <f t="shared" si="3"/>
        <v>1025</v>
      </c>
      <c r="Q159" s="26">
        <f t="shared" si="4"/>
        <v>1411</v>
      </c>
      <c r="R159" s="26">
        <f t="shared" si="5"/>
        <v>1735</v>
      </c>
      <c r="S159" s="26">
        <f t="shared" si="6"/>
        <v>1710</v>
      </c>
      <c r="T159" s="26">
        <f t="shared" ref="T159:U159" si="315">(P159/R159)*100</f>
        <v>59.0778098</v>
      </c>
      <c r="U159" s="26">
        <f t="shared" si="315"/>
        <v>82.51461988</v>
      </c>
      <c r="V159" s="26">
        <v>1009.0</v>
      </c>
      <c r="W159" s="26">
        <v>299.0</v>
      </c>
      <c r="X159" s="26">
        <v>710.0</v>
      </c>
      <c r="Y159" s="26">
        <v>0.0</v>
      </c>
      <c r="Z159" s="26">
        <v>5200.0</v>
      </c>
      <c r="AA159" s="26">
        <v>1773.0</v>
      </c>
      <c r="AB159" s="26">
        <v>866.0</v>
      </c>
      <c r="AC159" s="26">
        <v>907.0</v>
      </c>
      <c r="AD159" s="26">
        <v>2521.0</v>
      </c>
      <c r="AE159" s="26">
        <v>1360.0</v>
      </c>
      <c r="AF159" s="26">
        <v>1095.0</v>
      </c>
      <c r="AG159" s="26">
        <v>46.0</v>
      </c>
      <c r="AH159" s="26">
        <v>20.0</v>
      </c>
      <c r="AI159" s="26">
        <f t="shared" si="8"/>
        <v>1115</v>
      </c>
      <c r="AJ159" s="26">
        <f t="shared" si="9"/>
        <v>1406</v>
      </c>
      <c r="AK159" s="26">
        <f t="shared" si="10"/>
        <v>1640</v>
      </c>
      <c r="AL159" s="26">
        <f t="shared" si="11"/>
        <v>1730</v>
      </c>
      <c r="AM159" s="26">
        <f t="shared" ref="AM159:AN159" si="316">(AI159/AK159)*100</f>
        <v>67.98780488</v>
      </c>
      <c r="AN159" s="26">
        <f t="shared" si="316"/>
        <v>81.2716763</v>
      </c>
      <c r="AO159" s="26">
        <v>849.0</v>
      </c>
      <c r="AP159" s="26">
        <v>324.0</v>
      </c>
      <c r="AQ159" s="26">
        <v>525.0</v>
      </c>
      <c r="AR159" s="26">
        <v>57.0</v>
      </c>
      <c r="AS159" s="27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>
      <c r="A160" s="22">
        <v>4825.0</v>
      </c>
      <c r="B160" s="23" t="s">
        <v>25</v>
      </c>
      <c r="C160" s="29" t="s">
        <v>168</v>
      </c>
      <c r="D160" s="29" t="s">
        <v>210</v>
      </c>
      <c r="E160" s="29" t="s">
        <v>212</v>
      </c>
      <c r="F160" s="29" t="s">
        <v>212</v>
      </c>
      <c r="G160" s="26">
        <v>3445.0</v>
      </c>
      <c r="H160" s="26">
        <v>1144.0</v>
      </c>
      <c r="I160" s="26">
        <v>624.0</v>
      </c>
      <c r="J160" s="26">
        <v>520.0</v>
      </c>
      <c r="K160" s="26">
        <v>1577.0</v>
      </c>
      <c r="L160" s="26">
        <v>928.0</v>
      </c>
      <c r="M160" s="26">
        <v>639.0</v>
      </c>
      <c r="N160" s="26">
        <v>7.0</v>
      </c>
      <c r="O160" s="26">
        <v>3.0</v>
      </c>
      <c r="P160" s="26">
        <f t="shared" si="3"/>
        <v>642</v>
      </c>
      <c r="Q160" s="26">
        <f t="shared" si="4"/>
        <v>935</v>
      </c>
      <c r="R160" s="26">
        <f t="shared" si="5"/>
        <v>1188</v>
      </c>
      <c r="S160" s="26">
        <f t="shared" si="6"/>
        <v>1113</v>
      </c>
      <c r="T160" s="26">
        <f t="shared" ref="T160:U160" si="317">(P160/R160)*100</f>
        <v>54.04040404</v>
      </c>
      <c r="U160" s="26">
        <f t="shared" si="317"/>
        <v>84.00718778</v>
      </c>
      <c r="V160" s="26">
        <v>724.0</v>
      </c>
      <c r="W160" s="26">
        <v>178.0</v>
      </c>
      <c r="X160" s="26">
        <v>546.0</v>
      </c>
      <c r="Y160" s="26">
        <v>0.0</v>
      </c>
      <c r="Z160" s="26">
        <v>3477.0</v>
      </c>
      <c r="AA160" s="26">
        <v>859.0</v>
      </c>
      <c r="AB160" s="26">
        <v>450.0</v>
      </c>
      <c r="AC160" s="26">
        <v>409.0</v>
      </c>
      <c r="AD160" s="26">
        <v>2081.0</v>
      </c>
      <c r="AE160" s="26">
        <v>1174.0</v>
      </c>
      <c r="AF160" s="26">
        <v>880.0</v>
      </c>
      <c r="AG160" s="26">
        <v>12.0</v>
      </c>
      <c r="AH160" s="26">
        <v>15.0</v>
      </c>
      <c r="AI160" s="26">
        <f t="shared" si="8"/>
        <v>895</v>
      </c>
      <c r="AJ160" s="26">
        <f t="shared" si="9"/>
        <v>1186</v>
      </c>
      <c r="AK160" s="26">
        <f t="shared" si="10"/>
        <v>1207</v>
      </c>
      <c r="AL160" s="26">
        <f t="shared" si="11"/>
        <v>1377</v>
      </c>
      <c r="AM160" s="26">
        <f t="shared" ref="AM160:AN160" si="318">(AI160/AK160)*100</f>
        <v>74.15078708</v>
      </c>
      <c r="AN160" s="26">
        <f t="shared" si="318"/>
        <v>86.12926652</v>
      </c>
      <c r="AO160" s="26">
        <v>503.0</v>
      </c>
      <c r="AP160" s="26">
        <v>191.0</v>
      </c>
      <c r="AQ160" s="26">
        <v>312.0</v>
      </c>
      <c r="AR160" s="26">
        <v>34.0</v>
      </c>
      <c r="AS160" s="27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>
      <c r="A161" s="22">
        <v>4849.0</v>
      </c>
      <c r="B161" s="23" t="s">
        <v>25</v>
      </c>
      <c r="C161" s="29" t="s">
        <v>168</v>
      </c>
      <c r="D161" s="29" t="s">
        <v>210</v>
      </c>
      <c r="E161" s="29" t="s">
        <v>213</v>
      </c>
      <c r="F161" s="29" t="s">
        <v>213</v>
      </c>
      <c r="G161" s="26">
        <v>7033.0</v>
      </c>
      <c r="H161" s="26">
        <v>2281.0</v>
      </c>
      <c r="I161" s="26">
        <v>1096.0</v>
      </c>
      <c r="J161" s="26">
        <v>1185.0</v>
      </c>
      <c r="K161" s="26">
        <v>3817.0</v>
      </c>
      <c r="L161" s="26">
        <v>2174.0</v>
      </c>
      <c r="M161" s="26">
        <v>1628.0</v>
      </c>
      <c r="N161" s="26">
        <v>12.0</v>
      </c>
      <c r="O161" s="26">
        <v>3.0</v>
      </c>
      <c r="P161" s="26">
        <f t="shared" si="3"/>
        <v>1631</v>
      </c>
      <c r="Q161" s="26">
        <f t="shared" si="4"/>
        <v>2186</v>
      </c>
      <c r="R161" s="26">
        <f t="shared" si="5"/>
        <v>2380</v>
      </c>
      <c r="S161" s="26">
        <f t="shared" si="6"/>
        <v>2372</v>
      </c>
      <c r="T161" s="26">
        <f t="shared" ref="T161:U161" si="319">(P161/R161)*100</f>
        <v>68.52941176</v>
      </c>
      <c r="U161" s="26">
        <f t="shared" si="319"/>
        <v>92.15851602</v>
      </c>
      <c r="V161" s="26">
        <v>935.0</v>
      </c>
      <c r="W161" s="26">
        <v>186.0</v>
      </c>
      <c r="X161" s="26">
        <v>749.0</v>
      </c>
      <c r="Y161" s="26">
        <v>0.0</v>
      </c>
      <c r="Z161" s="26">
        <v>7997.0</v>
      </c>
      <c r="AA161" s="26">
        <v>2502.0</v>
      </c>
      <c r="AB161" s="26">
        <v>1285.0</v>
      </c>
      <c r="AC161" s="26">
        <v>1217.0</v>
      </c>
      <c r="AD161" s="26">
        <v>4387.0</v>
      </c>
      <c r="AE161" s="26">
        <v>2392.0</v>
      </c>
      <c r="AF161" s="26">
        <v>1923.0</v>
      </c>
      <c r="AG161" s="26">
        <v>38.0</v>
      </c>
      <c r="AH161" s="26">
        <v>34.0</v>
      </c>
      <c r="AI161" s="26">
        <f t="shared" si="8"/>
        <v>1957</v>
      </c>
      <c r="AJ161" s="26">
        <f t="shared" si="9"/>
        <v>2430</v>
      </c>
      <c r="AK161" s="26">
        <f t="shared" si="10"/>
        <v>2638</v>
      </c>
      <c r="AL161" s="26">
        <f t="shared" si="11"/>
        <v>2767</v>
      </c>
      <c r="AM161" s="26">
        <f t="shared" ref="AM161:AN161" si="320">(AI161/AK161)*100</f>
        <v>74.18498863</v>
      </c>
      <c r="AN161" s="26">
        <f t="shared" si="320"/>
        <v>87.82074449</v>
      </c>
      <c r="AO161" s="26">
        <v>1018.0</v>
      </c>
      <c r="AP161" s="26">
        <v>337.0</v>
      </c>
      <c r="AQ161" s="26">
        <v>681.0</v>
      </c>
      <c r="AR161" s="26">
        <v>90.0</v>
      </c>
      <c r="AS161" s="27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>
      <c r="A162" s="22">
        <v>4897.0</v>
      </c>
      <c r="B162" s="23" t="s">
        <v>25</v>
      </c>
      <c r="C162" s="29" t="s">
        <v>168</v>
      </c>
      <c r="D162" s="29" t="s">
        <v>214</v>
      </c>
      <c r="E162" s="29" t="s">
        <v>214</v>
      </c>
      <c r="F162" s="29" t="s">
        <v>214</v>
      </c>
      <c r="G162" s="26">
        <v>28807.0</v>
      </c>
      <c r="H162" s="26">
        <v>7519.0</v>
      </c>
      <c r="I162" s="26">
        <v>3788.0</v>
      </c>
      <c r="J162" s="26">
        <v>3731.0</v>
      </c>
      <c r="K162" s="26">
        <v>13167.0</v>
      </c>
      <c r="L162" s="26">
        <v>6778.0</v>
      </c>
      <c r="M162" s="26">
        <v>6204.0</v>
      </c>
      <c r="N162" s="26">
        <v>97.0</v>
      </c>
      <c r="O162" s="26">
        <v>88.0</v>
      </c>
      <c r="P162" s="26">
        <f t="shared" si="3"/>
        <v>6292</v>
      </c>
      <c r="Q162" s="26">
        <f t="shared" si="4"/>
        <v>6875</v>
      </c>
      <c r="R162" s="26">
        <f t="shared" si="5"/>
        <v>11642</v>
      </c>
      <c r="S162" s="26">
        <f t="shared" si="6"/>
        <v>9646</v>
      </c>
      <c r="T162" s="26">
        <f t="shared" ref="T162:U162" si="321">(P162/R162)*100</f>
        <v>54.04569662</v>
      </c>
      <c r="U162" s="26">
        <f t="shared" si="321"/>
        <v>71.27306656</v>
      </c>
      <c r="V162" s="26">
        <v>8121.0</v>
      </c>
      <c r="W162" s="26">
        <v>2771.0</v>
      </c>
      <c r="X162" s="26">
        <v>5350.0</v>
      </c>
      <c r="Y162" s="26">
        <v>0.0</v>
      </c>
      <c r="Z162" s="26">
        <v>35033.0</v>
      </c>
      <c r="AA162" s="26">
        <v>8257.0</v>
      </c>
      <c r="AB162" s="26">
        <v>4228.0</v>
      </c>
      <c r="AC162" s="26">
        <v>4029.0</v>
      </c>
      <c r="AD162" s="26">
        <v>19686.0</v>
      </c>
      <c r="AE162" s="26">
        <v>9521.0</v>
      </c>
      <c r="AF162" s="26">
        <v>9785.0</v>
      </c>
      <c r="AG162" s="26">
        <v>195.0</v>
      </c>
      <c r="AH162" s="26">
        <v>185.0</v>
      </c>
      <c r="AI162" s="26">
        <f t="shared" si="8"/>
        <v>9970</v>
      </c>
      <c r="AJ162" s="26">
        <f t="shared" si="9"/>
        <v>9716</v>
      </c>
      <c r="AK162" s="26">
        <f t="shared" si="10"/>
        <v>14363</v>
      </c>
      <c r="AL162" s="26">
        <f t="shared" si="11"/>
        <v>12048</v>
      </c>
      <c r="AM162" s="26">
        <f t="shared" ref="AM162:AN162" si="322">(AI162/AK162)*100</f>
        <v>69.41446773</v>
      </c>
      <c r="AN162" s="26">
        <f t="shared" si="322"/>
        <v>80.64409031</v>
      </c>
      <c r="AO162" s="26">
        <v>6725.0</v>
      </c>
      <c r="AP162" s="26">
        <v>2332.0</v>
      </c>
      <c r="AQ162" s="26">
        <v>4393.0</v>
      </c>
      <c r="AR162" s="26">
        <v>365.0</v>
      </c>
      <c r="AS162" s="27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>
      <c r="A163" s="22">
        <v>4921.0</v>
      </c>
      <c r="B163" s="23" t="s">
        <v>25</v>
      </c>
      <c r="C163" s="29" t="s">
        <v>168</v>
      </c>
      <c r="D163" s="29" t="s">
        <v>214</v>
      </c>
      <c r="E163" s="29" t="s">
        <v>215</v>
      </c>
      <c r="F163" s="29" t="s">
        <v>215</v>
      </c>
      <c r="G163" s="26">
        <v>8110.0</v>
      </c>
      <c r="H163" s="26">
        <v>2373.0</v>
      </c>
      <c r="I163" s="26">
        <v>1231.0</v>
      </c>
      <c r="J163" s="26">
        <v>1142.0</v>
      </c>
      <c r="K163" s="26">
        <v>3502.0</v>
      </c>
      <c r="L163" s="26">
        <v>1998.0</v>
      </c>
      <c r="M163" s="26">
        <v>1454.0</v>
      </c>
      <c r="N163" s="26">
        <v>38.0</v>
      </c>
      <c r="O163" s="26">
        <v>12.0</v>
      </c>
      <c r="P163" s="26">
        <f t="shared" si="3"/>
        <v>1466</v>
      </c>
      <c r="Q163" s="26">
        <f t="shared" si="4"/>
        <v>2036</v>
      </c>
      <c r="R163" s="26">
        <f t="shared" si="5"/>
        <v>2987</v>
      </c>
      <c r="S163" s="26">
        <f t="shared" si="6"/>
        <v>2750</v>
      </c>
      <c r="T163" s="26">
        <f t="shared" ref="T163:U163" si="323">(P163/R163)*100</f>
        <v>49.07934382</v>
      </c>
      <c r="U163" s="26">
        <f t="shared" si="323"/>
        <v>74.03636364</v>
      </c>
      <c r="V163" s="26">
        <v>2235.0</v>
      </c>
      <c r="W163" s="26">
        <v>714.0</v>
      </c>
      <c r="X163" s="26">
        <v>1521.0</v>
      </c>
      <c r="Y163" s="26">
        <v>0.0</v>
      </c>
      <c r="Z163" s="26">
        <v>8483.0</v>
      </c>
      <c r="AA163" s="26">
        <v>2047.0</v>
      </c>
      <c r="AB163" s="26">
        <v>1018.0</v>
      </c>
      <c r="AC163" s="26">
        <v>1029.0</v>
      </c>
      <c r="AD163" s="26">
        <v>4938.0</v>
      </c>
      <c r="AE163" s="26">
        <v>2527.0</v>
      </c>
      <c r="AF163" s="26">
        <v>2300.0</v>
      </c>
      <c r="AG163" s="26">
        <v>60.0</v>
      </c>
      <c r="AH163" s="26">
        <v>51.0</v>
      </c>
      <c r="AI163" s="26">
        <f t="shared" si="8"/>
        <v>2351</v>
      </c>
      <c r="AJ163" s="26">
        <f t="shared" si="9"/>
        <v>2587</v>
      </c>
      <c r="AK163" s="26">
        <f t="shared" si="10"/>
        <v>3221</v>
      </c>
      <c r="AL163" s="26">
        <f t="shared" si="11"/>
        <v>3019</v>
      </c>
      <c r="AM163" s="26">
        <f t="shared" ref="AM163:AN163" si="324">(AI163/AK163)*100</f>
        <v>72.98975473</v>
      </c>
      <c r="AN163" s="26">
        <f t="shared" si="324"/>
        <v>85.69062604</v>
      </c>
      <c r="AO163" s="26">
        <v>1302.0</v>
      </c>
      <c r="AP163" s="26">
        <v>432.0</v>
      </c>
      <c r="AQ163" s="26">
        <v>870.0</v>
      </c>
      <c r="AR163" s="26">
        <v>196.0</v>
      </c>
      <c r="AS163" s="27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>
      <c r="A164" s="22">
        <v>4945.0</v>
      </c>
      <c r="B164" s="23" t="s">
        <v>25</v>
      </c>
      <c r="C164" s="29" t="s">
        <v>168</v>
      </c>
      <c r="D164" s="29" t="s">
        <v>214</v>
      </c>
      <c r="E164" s="29" t="s">
        <v>216</v>
      </c>
      <c r="F164" s="29" t="s">
        <v>216</v>
      </c>
      <c r="G164" s="26">
        <v>13514.0</v>
      </c>
      <c r="H164" s="26">
        <v>3598.0</v>
      </c>
      <c r="I164" s="26">
        <v>1836.0</v>
      </c>
      <c r="J164" s="26">
        <v>1762.0</v>
      </c>
      <c r="K164" s="26">
        <v>6053.0</v>
      </c>
      <c r="L164" s="26">
        <v>3367.0</v>
      </c>
      <c r="M164" s="26">
        <v>2621.0</v>
      </c>
      <c r="N164" s="26">
        <v>42.0</v>
      </c>
      <c r="O164" s="26">
        <v>23.0</v>
      </c>
      <c r="P164" s="26">
        <f t="shared" si="3"/>
        <v>2644</v>
      </c>
      <c r="Q164" s="26">
        <f t="shared" si="4"/>
        <v>3409</v>
      </c>
      <c r="R164" s="26">
        <f t="shared" si="5"/>
        <v>5281</v>
      </c>
      <c r="S164" s="26">
        <f t="shared" si="6"/>
        <v>4635</v>
      </c>
      <c r="T164" s="26">
        <f t="shared" ref="T164:U164" si="325">(P164/R164)*100</f>
        <v>50.06627533</v>
      </c>
      <c r="U164" s="26">
        <f t="shared" si="325"/>
        <v>73.54908306</v>
      </c>
      <c r="V164" s="26">
        <v>3863.0</v>
      </c>
      <c r="W164" s="26">
        <v>1226.0</v>
      </c>
      <c r="X164" s="26">
        <v>2637.0</v>
      </c>
      <c r="Y164" s="26">
        <v>0.0</v>
      </c>
      <c r="Z164" s="26">
        <v>12969.0</v>
      </c>
      <c r="AA164" s="26">
        <v>3048.0</v>
      </c>
      <c r="AB164" s="26">
        <v>1589.0</v>
      </c>
      <c r="AC164" s="26">
        <v>1459.0</v>
      </c>
      <c r="AD164" s="26">
        <v>7393.0</v>
      </c>
      <c r="AE164" s="26">
        <v>3750.0</v>
      </c>
      <c r="AF164" s="26">
        <v>3517.0</v>
      </c>
      <c r="AG164" s="26">
        <v>61.0</v>
      </c>
      <c r="AH164" s="26">
        <v>65.0</v>
      </c>
      <c r="AI164" s="26">
        <f t="shared" si="8"/>
        <v>3582</v>
      </c>
      <c r="AJ164" s="26">
        <f t="shared" si="9"/>
        <v>3811</v>
      </c>
      <c r="AK164" s="26">
        <f t="shared" si="10"/>
        <v>5080</v>
      </c>
      <c r="AL164" s="26">
        <f t="shared" si="11"/>
        <v>4667</v>
      </c>
      <c r="AM164" s="26">
        <f t="shared" ref="AM164:AN164" si="326">(AI164/AK164)*100</f>
        <v>70.51181102</v>
      </c>
      <c r="AN164" s="26">
        <f t="shared" si="326"/>
        <v>81.65845297</v>
      </c>
      <c r="AO164" s="26">
        <v>2354.0</v>
      </c>
      <c r="AP164" s="26">
        <v>856.0</v>
      </c>
      <c r="AQ164" s="26">
        <v>1498.0</v>
      </c>
      <c r="AR164" s="26">
        <v>174.0</v>
      </c>
      <c r="AS164" s="27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>
      <c r="A165" s="22">
        <v>4969.0</v>
      </c>
      <c r="B165" s="23" t="s">
        <v>25</v>
      </c>
      <c r="C165" s="29" t="s">
        <v>168</v>
      </c>
      <c r="D165" s="29" t="s">
        <v>214</v>
      </c>
      <c r="E165" s="29" t="s">
        <v>217</v>
      </c>
      <c r="F165" s="29" t="s">
        <v>217</v>
      </c>
      <c r="G165" s="26">
        <v>1301.0</v>
      </c>
      <c r="H165" s="26">
        <v>339.0</v>
      </c>
      <c r="I165" s="26">
        <v>176.0</v>
      </c>
      <c r="J165" s="26">
        <v>163.0</v>
      </c>
      <c r="K165" s="26">
        <v>568.0</v>
      </c>
      <c r="L165" s="26">
        <v>331.0</v>
      </c>
      <c r="M165" s="26">
        <v>230.0</v>
      </c>
      <c r="N165" s="26">
        <v>5.0</v>
      </c>
      <c r="O165" s="26">
        <v>2.0</v>
      </c>
      <c r="P165" s="26">
        <f t="shared" si="3"/>
        <v>232</v>
      </c>
      <c r="Q165" s="26">
        <f t="shared" si="4"/>
        <v>336</v>
      </c>
      <c r="R165" s="26">
        <f t="shared" si="5"/>
        <v>519</v>
      </c>
      <c r="S165" s="26">
        <f t="shared" si="6"/>
        <v>443</v>
      </c>
      <c r="T165" s="26">
        <f t="shared" ref="T165:U165" si="327">(P165/R165)*100</f>
        <v>44.70134875</v>
      </c>
      <c r="U165" s="26">
        <f t="shared" si="327"/>
        <v>75.84650113</v>
      </c>
      <c r="V165" s="26">
        <v>394.0</v>
      </c>
      <c r="W165" s="26">
        <v>107.0</v>
      </c>
      <c r="X165" s="26">
        <v>287.0</v>
      </c>
      <c r="Y165" s="26">
        <v>0.0</v>
      </c>
      <c r="Z165" s="26">
        <v>1270.0</v>
      </c>
      <c r="AA165" s="26">
        <v>288.0</v>
      </c>
      <c r="AB165" s="26">
        <v>159.0</v>
      </c>
      <c r="AC165" s="26">
        <v>129.0</v>
      </c>
      <c r="AD165" s="26">
        <v>750.0</v>
      </c>
      <c r="AE165" s="26">
        <v>383.0</v>
      </c>
      <c r="AF165" s="26">
        <v>350.0</v>
      </c>
      <c r="AG165" s="26">
        <v>7.0</v>
      </c>
      <c r="AH165" s="26">
        <v>10.0</v>
      </c>
      <c r="AI165" s="26">
        <f t="shared" si="8"/>
        <v>360</v>
      </c>
      <c r="AJ165" s="26">
        <f t="shared" si="9"/>
        <v>390</v>
      </c>
      <c r="AK165" s="26">
        <f t="shared" si="10"/>
        <v>493</v>
      </c>
      <c r="AL165" s="26">
        <f t="shared" si="11"/>
        <v>464</v>
      </c>
      <c r="AM165" s="26">
        <f t="shared" ref="AM165:AN165" si="328">(AI165/AK165)*100</f>
        <v>73.02231237</v>
      </c>
      <c r="AN165" s="26">
        <f t="shared" si="328"/>
        <v>84.05172414</v>
      </c>
      <c r="AO165" s="26">
        <v>207.0</v>
      </c>
      <c r="AP165" s="26">
        <v>74.0</v>
      </c>
      <c r="AQ165" s="26">
        <v>133.0</v>
      </c>
      <c r="AR165" s="26">
        <v>25.0</v>
      </c>
      <c r="AS165" s="27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>
      <c r="A166" s="22">
        <v>4993.0</v>
      </c>
      <c r="B166" s="23" t="s">
        <v>25</v>
      </c>
      <c r="C166" s="29" t="s">
        <v>168</v>
      </c>
      <c r="D166" s="29" t="s">
        <v>214</v>
      </c>
      <c r="E166" s="29" t="s">
        <v>218</v>
      </c>
      <c r="F166" s="29" t="s">
        <v>218</v>
      </c>
      <c r="G166" s="26">
        <v>2765.0</v>
      </c>
      <c r="H166" s="26">
        <v>778.0</v>
      </c>
      <c r="I166" s="26">
        <v>349.0</v>
      </c>
      <c r="J166" s="26">
        <v>429.0</v>
      </c>
      <c r="K166" s="26">
        <v>1319.0</v>
      </c>
      <c r="L166" s="26">
        <v>714.0</v>
      </c>
      <c r="M166" s="26">
        <v>580.0</v>
      </c>
      <c r="N166" s="26">
        <v>14.0</v>
      </c>
      <c r="O166" s="26">
        <v>11.0</v>
      </c>
      <c r="P166" s="26">
        <f t="shared" si="3"/>
        <v>591</v>
      </c>
      <c r="Q166" s="26">
        <f t="shared" si="4"/>
        <v>728</v>
      </c>
      <c r="R166" s="26">
        <f t="shared" si="5"/>
        <v>1055</v>
      </c>
      <c r="S166" s="26">
        <f t="shared" si="6"/>
        <v>932</v>
      </c>
      <c r="T166" s="26">
        <f t="shared" ref="T166:U166" si="329">(P166/R166)*100</f>
        <v>56.01895735</v>
      </c>
      <c r="U166" s="26">
        <f t="shared" si="329"/>
        <v>78.11158798</v>
      </c>
      <c r="V166" s="26">
        <v>668.0</v>
      </c>
      <c r="W166" s="26">
        <v>204.0</v>
      </c>
      <c r="X166" s="26">
        <v>464.0</v>
      </c>
      <c r="Y166" s="26">
        <v>0.0</v>
      </c>
      <c r="Z166" s="26">
        <v>3771.0</v>
      </c>
      <c r="AA166" s="26">
        <v>832.0</v>
      </c>
      <c r="AB166" s="26">
        <v>442.0</v>
      </c>
      <c r="AC166" s="26">
        <v>390.0</v>
      </c>
      <c r="AD166" s="26">
        <v>2174.0</v>
      </c>
      <c r="AE166" s="26">
        <v>1137.0</v>
      </c>
      <c r="AF166" s="26">
        <v>983.0</v>
      </c>
      <c r="AG166" s="26">
        <v>23.0</v>
      </c>
      <c r="AH166" s="26">
        <v>31.0</v>
      </c>
      <c r="AI166" s="26">
        <f t="shared" si="8"/>
        <v>1014</v>
      </c>
      <c r="AJ166" s="26">
        <f t="shared" si="9"/>
        <v>1160</v>
      </c>
      <c r="AK166" s="26">
        <f t="shared" si="10"/>
        <v>1459</v>
      </c>
      <c r="AL166" s="26">
        <f t="shared" si="11"/>
        <v>1407</v>
      </c>
      <c r="AM166" s="26">
        <f t="shared" ref="AM166:AN166" si="330">(AI166/AK166)*100</f>
        <v>69.4996573</v>
      </c>
      <c r="AN166" s="26">
        <f t="shared" si="330"/>
        <v>82.44491827</v>
      </c>
      <c r="AO166" s="26">
        <v>692.0</v>
      </c>
      <c r="AP166" s="26">
        <v>247.0</v>
      </c>
      <c r="AQ166" s="26">
        <v>445.0</v>
      </c>
      <c r="AR166" s="26">
        <v>73.0</v>
      </c>
      <c r="AS166" s="27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>
      <c r="A167" s="22">
        <v>5041.0</v>
      </c>
      <c r="B167" s="23" t="s">
        <v>25</v>
      </c>
      <c r="C167" s="29" t="s">
        <v>168</v>
      </c>
      <c r="D167" s="29" t="s">
        <v>219</v>
      </c>
      <c r="E167" s="29" t="s">
        <v>219</v>
      </c>
      <c r="F167" s="29" t="s">
        <v>219</v>
      </c>
      <c r="G167" s="26">
        <v>7278.0</v>
      </c>
      <c r="H167" s="26">
        <v>2106.0</v>
      </c>
      <c r="I167" s="26">
        <v>1095.0</v>
      </c>
      <c r="J167" s="26">
        <v>1011.0</v>
      </c>
      <c r="K167" s="26">
        <v>4306.0</v>
      </c>
      <c r="L167" s="26">
        <v>2436.0</v>
      </c>
      <c r="M167" s="26">
        <v>1866.0</v>
      </c>
      <c r="N167" s="26">
        <v>3.0</v>
      </c>
      <c r="O167" s="26">
        <v>1.0</v>
      </c>
      <c r="P167" s="26">
        <f t="shared" si="3"/>
        <v>1867</v>
      </c>
      <c r="Q167" s="26">
        <f t="shared" si="4"/>
        <v>2439</v>
      </c>
      <c r="R167" s="26">
        <f t="shared" si="5"/>
        <v>2448</v>
      </c>
      <c r="S167" s="26">
        <f t="shared" si="6"/>
        <v>2724</v>
      </c>
      <c r="T167" s="26">
        <f t="shared" ref="T167:U167" si="331">(P167/R167)*100</f>
        <v>76.26633987</v>
      </c>
      <c r="U167" s="26">
        <f t="shared" si="331"/>
        <v>89.53744493</v>
      </c>
      <c r="V167" s="26">
        <v>866.0</v>
      </c>
      <c r="W167" s="26">
        <v>285.0</v>
      </c>
      <c r="X167" s="26">
        <v>581.0</v>
      </c>
      <c r="Y167" s="26">
        <v>0.0</v>
      </c>
      <c r="Z167" s="26">
        <v>8074.0</v>
      </c>
      <c r="AA167" s="26">
        <v>2289.0</v>
      </c>
      <c r="AB167" s="26">
        <v>1232.0</v>
      </c>
      <c r="AC167" s="26">
        <v>1057.0</v>
      </c>
      <c r="AD167" s="26">
        <v>4490.0</v>
      </c>
      <c r="AE167" s="26">
        <v>2635.0</v>
      </c>
      <c r="AF167" s="26">
        <v>1781.0</v>
      </c>
      <c r="AG167" s="26">
        <v>50.0</v>
      </c>
      <c r="AH167" s="26">
        <v>24.0</v>
      </c>
      <c r="AI167" s="26">
        <f t="shared" si="8"/>
        <v>1805</v>
      </c>
      <c r="AJ167" s="26">
        <f t="shared" si="9"/>
        <v>2685</v>
      </c>
      <c r="AK167" s="26">
        <f t="shared" si="10"/>
        <v>2429</v>
      </c>
      <c r="AL167" s="26">
        <f t="shared" si="11"/>
        <v>3129</v>
      </c>
      <c r="AM167" s="26">
        <f t="shared" ref="AM167:AN167" si="332">(AI167/AK167)*100</f>
        <v>74.31041581</v>
      </c>
      <c r="AN167" s="26">
        <f t="shared" si="332"/>
        <v>85.81016299</v>
      </c>
      <c r="AO167" s="26">
        <v>1068.0</v>
      </c>
      <c r="AP167" s="26">
        <v>444.0</v>
      </c>
      <c r="AQ167" s="26">
        <v>624.0</v>
      </c>
      <c r="AR167" s="26">
        <v>227.0</v>
      </c>
      <c r="AS167" s="27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>
      <c r="A168" s="22">
        <v>5089.0</v>
      </c>
      <c r="B168" s="23" t="s">
        <v>25</v>
      </c>
      <c r="C168" s="29" t="s">
        <v>168</v>
      </c>
      <c r="D168" s="29" t="s">
        <v>220</v>
      </c>
      <c r="E168" s="29" t="s">
        <v>220</v>
      </c>
      <c r="F168" s="29" t="s">
        <v>220</v>
      </c>
      <c r="G168" s="26">
        <v>21202.0</v>
      </c>
      <c r="H168" s="26">
        <v>7050.0</v>
      </c>
      <c r="I168" s="26">
        <v>3565.0</v>
      </c>
      <c r="J168" s="26">
        <v>3485.0</v>
      </c>
      <c r="K168" s="26">
        <v>10122.0</v>
      </c>
      <c r="L168" s="26">
        <v>5672.0</v>
      </c>
      <c r="M168" s="26">
        <v>4407.0</v>
      </c>
      <c r="N168" s="26">
        <v>22.0</v>
      </c>
      <c r="O168" s="26">
        <v>21.0</v>
      </c>
      <c r="P168" s="26">
        <f t="shared" si="3"/>
        <v>4428</v>
      </c>
      <c r="Q168" s="26">
        <f t="shared" si="4"/>
        <v>5694</v>
      </c>
      <c r="R168" s="26">
        <f t="shared" si="5"/>
        <v>7322</v>
      </c>
      <c r="S168" s="26">
        <f t="shared" si="6"/>
        <v>6830</v>
      </c>
      <c r="T168" s="26">
        <f t="shared" ref="T168:U168" si="333">(P168/R168)*100</f>
        <v>60.47527998</v>
      </c>
      <c r="U168" s="26">
        <f t="shared" si="333"/>
        <v>83.36749634</v>
      </c>
      <c r="V168" s="26">
        <v>4030.0</v>
      </c>
      <c r="W168" s="26">
        <v>1136.0</v>
      </c>
      <c r="X168" s="26">
        <v>2894.0</v>
      </c>
      <c r="Y168" s="26">
        <v>0.0</v>
      </c>
      <c r="Z168" s="26">
        <v>18269.0</v>
      </c>
      <c r="AA168" s="26">
        <v>4694.0</v>
      </c>
      <c r="AB168" s="26">
        <v>2410.0</v>
      </c>
      <c r="AC168" s="26">
        <v>2284.0</v>
      </c>
      <c r="AD168" s="26">
        <v>11349.0</v>
      </c>
      <c r="AE168" s="26">
        <v>5935.0</v>
      </c>
      <c r="AF168" s="26">
        <v>5355.0</v>
      </c>
      <c r="AG168" s="26">
        <v>28.0</v>
      </c>
      <c r="AH168" s="26">
        <v>31.0</v>
      </c>
      <c r="AI168" s="26">
        <f t="shared" si="8"/>
        <v>5386</v>
      </c>
      <c r="AJ168" s="26">
        <f t="shared" si="9"/>
        <v>5963</v>
      </c>
      <c r="AK168" s="26">
        <f t="shared" si="10"/>
        <v>6779</v>
      </c>
      <c r="AL168" s="26">
        <f t="shared" si="11"/>
        <v>6619</v>
      </c>
      <c r="AM168" s="26">
        <f t="shared" ref="AM168:AN168" si="334">(AI168/AK168)*100</f>
        <v>79.4512465</v>
      </c>
      <c r="AN168" s="26">
        <f t="shared" si="334"/>
        <v>90.08913733</v>
      </c>
      <c r="AO168" s="26">
        <v>2049.0</v>
      </c>
      <c r="AP168" s="26">
        <v>656.0</v>
      </c>
      <c r="AQ168" s="26">
        <v>1393.0</v>
      </c>
      <c r="AR168" s="26">
        <v>177.0</v>
      </c>
      <c r="AS168" s="27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>
      <c r="A169" s="22">
        <v>5113.0</v>
      </c>
      <c r="B169" s="23" t="s">
        <v>25</v>
      </c>
      <c r="C169" s="29" t="s">
        <v>168</v>
      </c>
      <c r="D169" s="29" t="s">
        <v>220</v>
      </c>
      <c r="E169" s="29" t="s">
        <v>221</v>
      </c>
      <c r="F169" s="29" t="s">
        <v>221</v>
      </c>
      <c r="G169" s="26">
        <v>20827.0</v>
      </c>
      <c r="H169" s="26">
        <v>6659.0</v>
      </c>
      <c r="I169" s="26">
        <v>3435.0</v>
      </c>
      <c r="J169" s="26">
        <v>3224.0</v>
      </c>
      <c r="K169" s="26">
        <v>10412.0</v>
      </c>
      <c r="L169" s="26">
        <v>6551.0</v>
      </c>
      <c r="M169" s="26">
        <v>3806.0</v>
      </c>
      <c r="N169" s="26">
        <v>35.0</v>
      </c>
      <c r="O169" s="26">
        <v>20.0</v>
      </c>
      <c r="P169" s="26">
        <f t="shared" si="3"/>
        <v>3826</v>
      </c>
      <c r="Q169" s="26">
        <f t="shared" si="4"/>
        <v>6586</v>
      </c>
      <c r="R169" s="26">
        <f t="shared" si="5"/>
        <v>6414</v>
      </c>
      <c r="S169" s="26">
        <f t="shared" si="6"/>
        <v>7754</v>
      </c>
      <c r="T169" s="26">
        <f t="shared" ref="T169:U169" si="335">(P169/R169)*100</f>
        <v>59.65076395</v>
      </c>
      <c r="U169" s="26">
        <f t="shared" si="335"/>
        <v>84.93680681</v>
      </c>
      <c r="V169" s="26">
        <v>3756.0</v>
      </c>
      <c r="W169" s="26">
        <v>1168.0</v>
      </c>
      <c r="X169" s="26">
        <v>2588.0</v>
      </c>
      <c r="Y169" s="26">
        <v>0.0</v>
      </c>
      <c r="Z169" s="26">
        <v>26971.0</v>
      </c>
      <c r="AA169" s="26">
        <v>7511.0</v>
      </c>
      <c r="AB169" s="26">
        <v>3863.0</v>
      </c>
      <c r="AC169" s="26">
        <v>3648.0</v>
      </c>
      <c r="AD169" s="26">
        <v>15293.0</v>
      </c>
      <c r="AE169" s="26">
        <v>8562.0</v>
      </c>
      <c r="AF169" s="26">
        <v>6452.0</v>
      </c>
      <c r="AG169" s="26">
        <v>155.0</v>
      </c>
      <c r="AH169" s="26">
        <v>124.0</v>
      </c>
      <c r="AI169" s="26">
        <f t="shared" si="8"/>
        <v>6576</v>
      </c>
      <c r="AJ169" s="26">
        <f t="shared" si="9"/>
        <v>8717</v>
      </c>
      <c r="AK169" s="26">
        <f t="shared" si="10"/>
        <v>9024</v>
      </c>
      <c r="AL169" s="26">
        <f t="shared" si="11"/>
        <v>9943</v>
      </c>
      <c r="AM169" s="26">
        <f t="shared" ref="AM169:AN169" si="336">(AI169/AK169)*100</f>
        <v>72.87234043</v>
      </c>
      <c r="AN169" s="26">
        <f t="shared" si="336"/>
        <v>87.66971739</v>
      </c>
      <c r="AO169" s="26">
        <v>3674.0</v>
      </c>
      <c r="AP169" s="26">
        <v>1226.0</v>
      </c>
      <c r="AQ169" s="26">
        <v>2448.0</v>
      </c>
      <c r="AR169" s="26">
        <v>493.0</v>
      </c>
      <c r="AS169" s="27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>
      <c r="A170" s="22">
        <v>5185.0</v>
      </c>
      <c r="B170" s="23" t="s">
        <v>25</v>
      </c>
      <c r="C170" s="29" t="s">
        <v>222</v>
      </c>
      <c r="D170" s="29" t="s">
        <v>169</v>
      </c>
      <c r="E170" s="29" t="s">
        <v>222</v>
      </c>
      <c r="F170" s="29" t="s">
        <v>222</v>
      </c>
      <c r="G170" s="26">
        <v>264452.0</v>
      </c>
      <c r="H170" s="26">
        <v>75646.0</v>
      </c>
      <c r="I170" s="26">
        <v>38425.0</v>
      </c>
      <c r="J170" s="26">
        <v>37221.0</v>
      </c>
      <c r="K170" s="26">
        <v>109912.0</v>
      </c>
      <c r="L170" s="26">
        <v>58994.0</v>
      </c>
      <c r="M170" s="26">
        <v>48227.0</v>
      </c>
      <c r="N170" s="26">
        <v>1468.0</v>
      </c>
      <c r="O170" s="26">
        <v>1223.0</v>
      </c>
      <c r="P170" s="26">
        <f t="shared" si="3"/>
        <v>49450</v>
      </c>
      <c r="Q170" s="26">
        <f t="shared" si="4"/>
        <v>60462</v>
      </c>
      <c r="R170" s="26">
        <f t="shared" si="5"/>
        <v>100659</v>
      </c>
      <c r="S170" s="26">
        <f t="shared" si="6"/>
        <v>88147</v>
      </c>
      <c r="T170" s="26">
        <f t="shared" ref="T170:U170" si="337">(P170/R170)*100</f>
        <v>49.12625796</v>
      </c>
      <c r="U170" s="26">
        <f t="shared" si="337"/>
        <v>68.59223797</v>
      </c>
      <c r="V170" s="26">
        <v>78894.0</v>
      </c>
      <c r="W170" s="26">
        <v>27685.0</v>
      </c>
      <c r="X170" s="26">
        <v>51209.0</v>
      </c>
      <c r="Y170" s="26">
        <v>0.0</v>
      </c>
      <c r="Z170" s="26">
        <v>296969.0</v>
      </c>
      <c r="AA170" s="26">
        <v>72473.0</v>
      </c>
      <c r="AB170" s="26">
        <v>36500.0</v>
      </c>
      <c r="AC170" s="26">
        <v>35973.0</v>
      </c>
      <c r="AD170" s="26">
        <v>146622.0</v>
      </c>
      <c r="AE170" s="26">
        <v>73488.0</v>
      </c>
      <c r="AF170" s="26">
        <v>66964.0</v>
      </c>
      <c r="AG170" s="26">
        <v>3065.0</v>
      </c>
      <c r="AH170" s="26">
        <v>3105.0</v>
      </c>
      <c r="AI170" s="26">
        <f t="shared" si="8"/>
        <v>70069</v>
      </c>
      <c r="AJ170" s="26">
        <f t="shared" si="9"/>
        <v>76553</v>
      </c>
      <c r="AK170" s="26">
        <f t="shared" si="10"/>
        <v>116934</v>
      </c>
      <c r="AL170" s="26">
        <f t="shared" si="11"/>
        <v>103208</v>
      </c>
      <c r="AM170" s="26">
        <f t="shared" ref="AM170:AN170" si="338">(AI170/AK170)*100</f>
        <v>59.92183625</v>
      </c>
      <c r="AN170" s="26">
        <f t="shared" si="338"/>
        <v>74.17351368</v>
      </c>
      <c r="AO170" s="26">
        <v>73520.0</v>
      </c>
      <c r="AP170" s="26">
        <v>26655.0</v>
      </c>
      <c r="AQ170" s="26">
        <v>46865.0</v>
      </c>
      <c r="AR170" s="26">
        <v>4354.0</v>
      </c>
      <c r="AS170" s="27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>
      <c r="A171" s="22">
        <v>5209.0</v>
      </c>
      <c r="B171" s="23" t="s">
        <v>25</v>
      </c>
      <c r="C171" s="29" t="s">
        <v>222</v>
      </c>
      <c r="D171" s="29" t="s">
        <v>169</v>
      </c>
      <c r="E171" s="29" t="s">
        <v>223</v>
      </c>
      <c r="F171" s="29" t="s">
        <v>223</v>
      </c>
      <c r="G171" s="26">
        <v>23101.0</v>
      </c>
      <c r="H171" s="26">
        <v>7006.0</v>
      </c>
      <c r="I171" s="26">
        <v>3519.0</v>
      </c>
      <c r="J171" s="26">
        <v>3487.0</v>
      </c>
      <c r="K171" s="26">
        <v>10651.0</v>
      </c>
      <c r="L171" s="26">
        <v>5862.0</v>
      </c>
      <c r="M171" s="26">
        <v>4663.0</v>
      </c>
      <c r="N171" s="26">
        <v>84.0</v>
      </c>
      <c r="O171" s="26">
        <v>42.0</v>
      </c>
      <c r="P171" s="26">
        <f t="shared" si="3"/>
        <v>4705</v>
      </c>
      <c r="Q171" s="26">
        <f t="shared" si="4"/>
        <v>5946</v>
      </c>
      <c r="R171" s="26">
        <f t="shared" si="5"/>
        <v>8225</v>
      </c>
      <c r="S171" s="26">
        <f t="shared" si="6"/>
        <v>7870</v>
      </c>
      <c r="T171" s="26">
        <f t="shared" ref="T171:U171" si="339">(P171/R171)*100</f>
        <v>57.20364742</v>
      </c>
      <c r="U171" s="26">
        <f t="shared" si="339"/>
        <v>75.55273189</v>
      </c>
      <c r="V171" s="26">
        <v>5444.0</v>
      </c>
      <c r="W171" s="26">
        <v>1924.0</v>
      </c>
      <c r="X171" s="26">
        <v>3520.0</v>
      </c>
      <c r="Y171" s="26">
        <v>0.0</v>
      </c>
      <c r="Z171" s="26">
        <v>22666.0</v>
      </c>
      <c r="AA171" s="26">
        <v>5630.0</v>
      </c>
      <c r="AB171" s="26">
        <v>2930.0</v>
      </c>
      <c r="AC171" s="26">
        <v>2700.0</v>
      </c>
      <c r="AD171" s="26">
        <v>12672.0</v>
      </c>
      <c r="AE171" s="26">
        <v>6681.0</v>
      </c>
      <c r="AF171" s="26">
        <v>5771.0</v>
      </c>
      <c r="AG171" s="26">
        <v>121.0</v>
      </c>
      <c r="AH171" s="26">
        <v>99.0</v>
      </c>
      <c r="AI171" s="26">
        <f t="shared" si="8"/>
        <v>5870</v>
      </c>
      <c r="AJ171" s="26">
        <f t="shared" si="9"/>
        <v>6802</v>
      </c>
      <c r="AK171" s="26">
        <f t="shared" si="10"/>
        <v>8364</v>
      </c>
      <c r="AL171" s="26">
        <f t="shared" si="11"/>
        <v>8257</v>
      </c>
      <c r="AM171" s="26">
        <f t="shared" ref="AM171:AN171" si="340">(AI171/AK171)*100</f>
        <v>70.18173123</v>
      </c>
      <c r="AN171" s="26">
        <f t="shared" si="340"/>
        <v>82.37858786</v>
      </c>
      <c r="AO171" s="26">
        <v>3949.0</v>
      </c>
      <c r="AP171" s="26">
        <v>1455.0</v>
      </c>
      <c r="AQ171" s="26">
        <v>2494.0</v>
      </c>
      <c r="AR171" s="26">
        <v>415.0</v>
      </c>
      <c r="AS171" s="27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>
      <c r="A172" s="22">
        <v>5233.0</v>
      </c>
      <c r="B172" s="23" t="s">
        <v>25</v>
      </c>
      <c r="C172" s="29" t="s">
        <v>222</v>
      </c>
      <c r="D172" s="29" t="s">
        <v>169</v>
      </c>
      <c r="E172" s="29" t="s">
        <v>224</v>
      </c>
      <c r="F172" s="29" t="s">
        <v>224</v>
      </c>
      <c r="G172" s="26">
        <v>8706.0</v>
      </c>
      <c r="H172" s="26">
        <v>2321.0</v>
      </c>
      <c r="I172" s="26">
        <v>1190.0</v>
      </c>
      <c r="J172" s="26">
        <v>1131.0</v>
      </c>
      <c r="K172" s="26">
        <v>4964.0</v>
      </c>
      <c r="L172" s="26">
        <v>2447.0</v>
      </c>
      <c r="M172" s="26">
        <v>2486.0</v>
      </c>
      <c r="N172" s="26">
        <v>21.0</v>
      </c>
      <c r="O172" s="26">
        <v>10.0</v>
      </c>
      <c r="P172" s="26">
        <f t="shared" si="3"/>
        <v>2496</v>
      </c>
      <c r="Q172" s="26">
        <f t="shared" si="4"/>
        <v>2468</v>
      </c>
      <c r="R172" s="26">
        <f t="shared" si="5"/>
        <v>3342</v>
      </c>
      <c r="S172" s="26">
        <f t="shared" si="6"/>
        <v>3043</v>
      </c>
      <c r="T172" s="26">
        <f t="shared" ref="T172:U172" si="341">(P172/R172)*100</f>
        <v>74.68581688</v>
      </c>
      <c r="U172" s="26">
        <f t="shared" si="341"/>
        <v>81.10417351</v>
      </c>
      <c r="V172" s="26">
        <v>1421.0</v>
      </c>
      <c r="W172" s="26">
        <v>575.0</v>
      </c>
      <c r="X172" s="26">
        <v>846.0</v>
      </c>
      <c r="Y172" s="26">
        <v>0.0</v>
      </c>
      <c r="Z172" s="26">
        <v>9609.0</v>
      </c>
      <c r="AA172" s="26">
        <v>2359.0</v>
      </c>
      <c r="AB172" s="26">
        <v>1259.0</v>
      </c>
      <c r="AC172" s="26">
        <v>1100.0</v>
      </c>
      <c r="AD172" s="26">
        <v>5893.0</v>
      </c>
      <c r="AE172" s="26">
        <v>3007.0</v>
      </c>
      <c r="AF172" s="26">
        <v>2770.0</v>
      </c>
      <c r="AG172" s="26">
        <v>77.0</v>
      </c>
      <c r="AH172" s="26">
        <v>39.0</v>
      </c>
      <c r="AI172" s="26">
        <f t="shared" si="8"/>
        <v>2809</v>
      </c>
      <c r="AJ172" s="26">
        <f t="shared" si="9"/>
        <v>3084</v>
      </c>
      <c r="AK172" s="26">
        <f t="shared" si="10"/>
        <v>3531</v>
      </c>
      <c r="AL172" s="26">
        <f t="shared" si="11"/>
        <v>3573</v>
      </c>
      <c r="AM172" s="26">
        <f t="shared" ref="AM172:AN172" si="342">(AI172/AK172)*100</f>
        <v>79.55253469</v>
      </c>
      <c r="AN172" s="26">
        <f t="shared" si="342"/>
        <v>86.31402183</v>
      </c>
      <c r="AO172" s="26">
        <v>1211.0</v>
      </c>
      <c r="AP172" s="26">
        <v>489.0</v>
      </c>
      <c r="AQ172" s="26">
        <v>722.0</v>
      </c>
      <c r="AR172" s="26">
        <v>146.0</v>
      </c>
      <c r="AS172" s="27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>
      <c r="A173" s="22">
        <v>5257.0</v>
      </c>
      <c r="B173" s="23" t="s">
        <v>25</v>
      </c>
      <c r="C173" s="29" t="s">
        <v>222</v>
      </c>
      <c r="D173" s="29" t="s">
        <v>169</v>
      </c>
      <c r="E173" s="29" t="s">
        <v>225</v>
      </c>
      <c r="F173" s="29" t="s">
        <v>225</v>
      </c>
      <c r="G173" s="26">
        <v>12839.0</v>
      </c>
      <c r="H173" s="26">
        <v>3863.0</v>
      </c>
      <c r="I173" s="26">
        <v>2000.0</v>
      </c>
      <c r="J173" s="26">
        <v>1863.0</v>
      </c>
      <c r="K173" s="26">
        <v>6599.0</v>
      </c>
      <c r="L173" s="26">
        <v>3665.0</v>
      </c>
      <c r="M173" s="26">
        <v>2906.0</v>
      </c>
      <c r="N173" s="26">
        <v>21.0</v>
      </c>
      <c r="O173" s="26">
        <v>7.0</v>
      </c>
      <c r="P173" s="26">
        <f t="shared" si="3"/>
        <v>2913</v>
      </c>
      <c r="Q173" s="26">
        <f t="shared" si="4"/>
        <v>3686</v>
      </c>
      <c r="R173" s="26">
        <f t="shared" si="5"/>
        <v>4407</v>
      </c>
      <c r="S173" s="26">
        <f t="shared" si="6"/>
        <v>4569</v>
      </c>
      <c r="T173" s="26">
        <f t="shared" ref="T173:U173" si="343">(P173/R173)*100</f>
        <v>66.09938734</v>
      </c>
      <c r="U173" s="26">
        <f t="shared" si="343"/>
        <v>80.67410812</v>
      </c>
      <c r="V173" s="26">
        <v>2377.0</v>
      </c>
      <c r="W173" s="26">
        <v>883.0</v>
      </c>
      <c r="X173" s="26">
        <v>1494.0</v>
      </c>
      <c r="Y173" s="26">
        <v>0.0</v>
      </c>
      <c r="Z173" s="26">
        <v>15609.0</v>
      </c>
      <c r="AA173" s="26">
        <v>4017.0</v>
      </c>
      <c r="AB173" s="26">
        <v>2055.0</v>
      </c>
      <c r="AC173" s="26">
        <v>1962.0</v>
      </c>
      <c r="AD173" s="26">
        <v>9459.0</v>
      </c>
      <c r="AE173" s="26">
        <v>5050.0</v>
      </c>
      <c r="AF173" s="26">
        <v>4252.0</v>
      </c>
      <c r="AG173" s="26">
        <v>98.0</v>
      </c>
      <c r="AH173" s="26">
        <v>59.0</v>
      </c>
      <c r="AI173" s="26">
        <f t="shared" si="8"/>
        <v>4311</v>
      </c>
      <c r="AJ173" s="26">
        <f t="shared" si="9"/>
        <v>5148</v>
      </c>
      <c r="AK173" s="26">
        <f t="shared" si="10"/>
        <v>5569</v>
      </c>
      <c r="AL173" s="26">
        <f t="shared" si="11"/>
        <v>5855</v>
      </c>
      <c r="AM173" s="26">
        <f t="shared" ref="AM173:AN173" si="344">(AI173/AK173)*100</f>
        <v>77.41066619</v>
      </c>
      <c r="AN173" s="26">
        <f t="shared" si="344"/>
        <v>87.92485056</v>
      </c>
      <c r="AO173" s="26">
        <v>1965.0</v>
      </c>
      <c r="AP173" s="26">
        <v>707.0</v>
      </c>
      <c r="AQ173" s="26">
        <v>1258.0</v>
      </c>
      <c r="AR173" s="26">
        <v>168.0</v>
      </c>
      <c r="AS173" s="27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>
      <c r="A174" s="22">
        <v>5305.0</v>
      </c>
      <c r="B174" s="23" t="s">
        <v>25</v>
      </c>
      <c r="C174" s="29" t="s">
        <v>222</v>
      </c>
      <c r="D174" s="29" t="s">
        <v>226</v>
      </c>
      <c r="E174" s="29" t="s">
        <v>227</v>
      </c>
      <c r="F174" s="29" t="s">
        <v>227</v>
      </c>
      <c r="G174" s="26">
        <v>28875.0</v>
      </c>
      <c r="H174" s="26">
        <v>9075.0</v>
      </c>
      <c r="I174" s="26">
        <v>4670.0</v>
      </c>
      <c r="J174" s="26">
        <v>4405.0</v>
      </c>
      <c r="K174" s="26">
        <v>13644.0</v>
      </c>
      <c r="L174" s="26">
        <v>7579.0</v>
      </c>
      <c r="M174" s="26">
        <v>5988.0</v>
      </c>
      <c r="N174" s="26">
        <v>51.0</v>
      </c>
      <c r="O174" s="26">
        <v>26.0</v>
      </c>
      <c r="P174" s="26">
        <f t="shared" si="3"/>
        <v>6014</v>
      </c>
      <c r="Q174" s="26">
        <f t="shared" si="4"/>
        <v>7630</v>
      </c>
      <c r="R174" s="26">
        <f t="shared" si="5"/>
        <v>9691</v>
      </c>
      <c r="S174" s="26">
        <f t="shared" si="6"/>
        <v>10109</v>
      </c>
      <c r="T174" s="26">
        <f t="shared" ref="T174:U174" si="345">(P174/R174)*100</f>
        <v>62.0575792</v>
      </c>
      <c r="U174" s="26">
        <f t="shared" si="345"/>
        <v>75.47729746</v>
      </c>
      <c r="V174" s="26">
        <v>6156.0</v>
      </c>
      <c r="W174" s="26">
        <v>2479.0</v>
      </c>
      <c r="X174" s="26">
        <v>3677.0</v>
      </c>
      <c r="Y174" s="26">
        <v>0.0</v>
      </c>
      <c r="Z174" s="26">
        <v>35108.0</v>
      </c>
      <c r="AA174" s="26">
        <v>9795.0</v>
      </c>
      <c r="AB174" s="26">
        <v>5069.0</v>
      </c>
      <c r="AC174" s="26">
        <v>4726.0</v>
      </c>
      <c r="AD174" s="26">
        <v>19385.0</v>
      </c>
      <c r="AE174" s="26">
        <v>10684.0</v>
      </c>
      <c r="AF174" s="26">
        <v>8321.0</v>
      </c>
      <c r="AG174" s="26">
        <v>228.0</v>
      </c>
      <c r="AH174" s="26">
        <v>152.0</v>
      </c>
      <c r="AI174" s="26">
        <f t="shared" si="8"/>
        <v>8473</v>
      </c>
      <c r="AJ174" s="26">
        <f t="shared" si="9"/>
        <v>10912</v>
      </c>
      <c r="AK174" s="26">
        <f t="shared" si="10"/>
        <v>11801</v>
      </c>
      <c r="AL174" s="26">
        <f t="shared" si="11"/>
        <v>12904</v>
      </c>
      <c r="AM174" s="26">
        <f t="shared" ref="AM174:AN174" si="346">(AI174/AK174)*100</f>
        <v>71.79900008</v>
      </c>
      <c r="AN174" s="26">
        <f t="shared" si="346"/>
        <v>84.56292622</v>
      </c>
      <c r="AO174" s="26">
        <v>5320.0</v>
      </c>
      <c r="AP174" s="26">
        <v>1992.0</v>
      </c>
      <c r="AQ174" s="26">
        <v>3328.0</v>
      </c>
      <c r="AR174" s="26">
        <v>608.0</v>
      </c>
      <c r="AS174" s="27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>
      <c r="A175" s="22">
        <v>5329.0</v>
      </c>
      <c r="B175" s="23" t="s">
        <v>25</v>
      </c>
      <c r="C175" s="29" t="s">
        <v>222</v>
      </c>
      <c r="D175" s="29" t="s">
        <v>226</v>
      </c>
      <c r="E175" s="29" t="s">
        <v>228</v>
      </c>
      <c r="F175" s="29" t="s">
        <v>228</v>
      </c>
      <c r="G175" s="26">
        <v>4038.0</v>
      </c>
      <c r="H175" s="26">
        <v>1131.0</v>
      </c>
      <c r="I175" s="26">
        <v>613.0</v>
      </c>
      <c r="J175" s="26">
        <v>518.0</v>
      </c>
      <c r="K175" s="26">
        <v>2302.0</v>
      </c>
      <c r="L175" s="26">
        <v>1297.0</v>
      </c>
      <c r="M175" s="26">
        <v>997.0</v>
      </c>
      <c r="N175" s="26">
        <v>4.0</v>
      </c>
      <c r="O175" s="26">
        <v>4.0</v>
      </c>
      <c r="P175" s="26">
        <f t="shared" si="3"/>
        <v>1001</v>
      </c>
      <c r="Q175" s="26">
        <f t="shared" si="4"/>
        <v>1301</v>
      </c>
      <c r="R175" s="26">
        <f t="shared" si="5"/>
        <v>1381</v>
      </c>
      <c r="S175" s="26">
        <f t="shared" si="6"/>
        <v>1526</v>
      </c>
      <c r="T175" s="26">
        <f t="shared" ref="T175:U175" si="347">(P175/R175)*100</f>
        <v>72.48370746</v>
      </c>
      <c r="U175" s="26">
        <f t="shared" si="347"/>
        <v>85.25557012</v>
      </c>
      <c r="V175" s="26">
        <v>605.0</v>
      </c>
      <c r="W175" s="26">
        <v>225.0</v>
      </c>
      <c r="X175" s="26">
        <v>380.0</v>
      </c>
      <c r="Y175" s="26">
        <v>0.0</v>
      </c>
      <c r="Z175" s="26">
        <v>5056.0</v>
      </c>
      <c r="AA175" s="26">
        <v>1104.0</v>
      </c>
      <c r="AB175" s="26">
        <v>567.0</v>
      </c>
      <c r="AC175" s="26">
        <v>537.0</v>
      </c>
      <c r="AD175" s="26">
        <v>3086.0</v>
      </c>
      <c r="AE175" s="26">
        <v>1682.0</v>
      </c>
      <c r="AF175" s="26">
        <v>1362.0</v>
      </c>
      <c r="AG175" s="26">
        <v>25.0</v>
      </c>
      <c r="AH175" s="26">
        <v>17.0</v>
      </c>
      <c r="AI175" s="26">
        <f t="shared" si="8"/>
        <v>1379</v>
      </c>
      <c r="AJ175" s="26">
        <f t="shared" si="9"/>
        <v>1707</v>
      </c>
      <c r="AK175" s="26">
        <f t="shared" si="10"/>
        <v>1856</v>
      </c>
      <c r="AL175" s="26">
        <f t="shared" si="11"/>
        <v>2001</v>
      </c>
      <c r="AM175" s="26">
        <f t="shared" ref="AM175:AN175" si="348">(AI175/AK175)*100</f>
        <v>74.29956897</v>
      </c>
      <c r="AN175" s="26">
        <f t="shared" si="348"/>
        <v>85.30734633</v>
      </c>
      <c r="AO175" s="26">
        <v>771.0</v>
      </c>
      <c r="AP175" s="26">
        <v>294.0</v>
      </c>
      <c r="AQ175" s="26">
        <v>477.0</v>
      </c>
      <c r="AR175" s="26">
        <v>95.0</v>
      </c>
      <c r="AS175" s="27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>
      <c r="A176" s="22">
        <v>5377.0</v>
      </c>
      <c r="B176" s="23" t="s">
        <v>25</v>
      </c>
      <c r="C176" s="29" t="s">
        <v>222</v>
      </c>
      <c r="D176" s="29" t="s">
        <v>229</v>
      </c>
      <c r="E176" s="29" t="s">
        <v>230</v>
      </c>
      <c r="F176" s="29" t="s">
        <v>230</v>
      </c>
      <c r="G176" s="26">
        <v>9206.0</v>
      </c>
      <c r="H176" s="26">
        <v>2427.0</v>
      </c>
      <c r="I176" s="26">
        <v>1257.0</v>
      </c>
      <c r="J176" s="26">
        <v>1170.0</v>
      </c>
      <c r="K176" s="26">
        <v>4475.0</v>
      </c>
      <c r="L176" s="26">
        <v>2655.0</v>
      </c>
      <c r="M176" s="26">
        <v>1766.0</v>
      </c>
      <c r="N176" s="26">
        <v>39.0</v>
      </c>
      <c r="O176" s="26">
        <v>15.0</v>
      </c>
      <c r="P176" s="26">
        <f t="shared" si="3"/>
        <v>1781</v>
      </c>
      <c r="Q176" s="26">
        <f t="shared" si="4"/>
        <v>2694</v>
      </c>
      <c r="R176" s="26">
        <f t="shared" si="5"/>
        <v>3179</v>
      </c>
      <c r="S176" s="26">
        <f t="shared" si="6"/>
        <v>3600</v>
      </c>
      <c r="T176" s="26">
        <f t="shared" ref="T176:U176" si="349">(P176/R176)*100</f>
        <v>56.02390689</v>
      </c>
      <c r="U176" s="26">
        <f t="shared" si="349"/>
        <v>74.83333333</v>
      </c>
      <c r="V176" s="26">
        <v>2304.0</v>
      </c>
      <c r="W176" s="26">
        <v>906.0</v>
      </c>
      <c r="X176" s="26">
        <v>1398.0</v>
      </c>
      <c r="Y176" s="26">
        <v>0.0</v>
      </c>
      <c r="Z176" s="26">
        <v>15803.0</v>
      </c>
      <c r="AA176" s="26">
        <v>3815.0</v>
      </c>
      <c r="AB176" s="26">
        <v>2010.0</v>
      </c>
      <c r="AC176" s="26">
        <v>1805.0</v>
      </c>
      <c r="AD176" s="26">
        <v>8904.0</v>
      </c>
      <c r="AE176" s="26">
        <v>4694.0</v>
      </c>
      <c r="AF176" s="26">
        <v>4048.0</v>
      </c>
      <c r="AG176" s="26">
        <v>97.0</v>
      </c>
      <c r="AH176" s="26">
        <v>65.0</v>
      </c>
      <c r="AI176" s="26">
        <f t="shared" si="8"/>
        <v>4113</v>
      </c>
      <c r="AJ176" s="26">
        <f t="shared" si="9"/>
        <v>4791</v>
      </c>
      <c r="AK176" s="26">
        <f t="shared" si="10"/>
        <v>5782</v>
      </c>
      <c r="AL176" s="26">
        <f t="shared" si="11"/>
        <v>5846</v>
      </c>
      <c r="AM176" s="26">
        <f t="shared" ref="AM176:AN176" si="350">(AI176/AK176)*100</f>
        <v>71.13455552</v>
      </c>
      <c r="AN176" s="26">
        <f t="shared" si="350"/>
        <v>81.95347246</v>
      </c>
      <c r="AO176" s="26">
        <v>2724.0</v>
      </c>
      <c r="AP176" s="26">
        <v>1055.0</v>
      </c>
      <c r="AQ176" s="26">
        <v>1669.0</v>
      </c>
      <c r="AR176" s="26">
        <v>360.0</v>
      </c>
      <c r="AS176" s="27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>
      <c r="A177" s="22">
        <v>5401.0</v>
      </c>
      <c r="B177" s="23" t="s">
        <v>25</v>
      </c>
      <c r="C177" s="29" t="s">
        <v>222</v>
      </c>
      <c r="D177" s="29" t="s">
        <v>229</v>
      </c>
      <c r="E177" s="29" t="s">
        <v>231</v>
      </c>
      <c r="F177" s="29" t="s">
        <v>231</v>
      </c>
      <c r="G177" s="26">
        <v>1847.0</v>
      </c>
      <c r="H177" s="26">
        <v>526.0</v>
      </c>
      <c r="I177" s="26">
        <v>292.0</v>
      </c>
      <c r="J177" s="26">
        <v>234.0</v>
      </c>
      <c r="K177" s="26">
        <v>956.0</v>
      </c>
      <c r="L177" s="26">
        <v>517.0</v>
      </c>
      <c r="M177" s="26">
        <v>434.0</v>
      </c>
      <c r="N177" s="26">
        <v>3.0</v>
      </c>
      <c r="O177" s="26">
        <v>2.0</v>
      </c>
      <c r="P177" s="26">
        <f t="shared" si="3"/>
        <v>436</v>
      </c>
      <c r="Q177" s="26">
        <f t="shared" si="4"/>
        <v>520</v>
      </c>
      <c r="R177" s="26">
        <f t="shared" si="5"/>
        <v>663</v>
      </c>
      <c r="S177" s="26">
        <f t="shared" si="6"/>
        <v>658</v>
      </c>
      <c r="T177" s="26">
        <f t="shared" ref="T177:U177" si="351">(P177/R177)*100</f>
        <v>65.76168929</v>
      </c>
      <c r="U177" s="26">
        <f t="shared" si="351"/>
        <v>79.02735562</v>
      </c>
      <c r="V177" s="26">
        <v>365.0</v>
      </c>
      <c r="W177" s="26">
        <v>138.0</v>
      </c>
      <c r="X177" s="26">
        <v>227.0</v>
      </c>
      <c r="Y177" s="26">
        <v>0.0</v>
      </c>
      <c r="Z177" s="26">
        <v>2462.0</v>
      </c>
      <c r="AA177" s="26">
        <v>596.0</v>
      </c>
      <c r="AB177" s="26">
        <v>315.0</v>
      </c>
      <c r="AC177" s="26">
        <v>281.0</v>
      </c>
      <c r="AD177" s="26">
        <v>1437.0</v>
      </c>
      <c r="AE177" s="26">
        <v>751.0</v>
      </c>
      <c r="AF177" s="26">
        <v>658.0</v>
      </c>
      <c r="AG177" s="26">
        <v>14.0</v>
      </c>
      <c r="AH177" s="26">
        <v>14.0</v>
      </c>
      <c r="AI177" s="26">
        <f t="shared" si="8"/>
        <v>672</v>
      </c>
      <c r="AJ177" s="26">
        <f t="shared" si="9"/>
        <v>765</v>
      </c>
      <c r="AK177" s="26">
        <f t="shared" si="10"/>
        <v>882</v>
      </c>
      <c r="AL177" s="26">
        <f t="shared" si="11"/>
        <v>940</v>
      </c>
      <c r="AM177" s="26">
        <f t="shared" ref="AM177:AN177" si="352">(AI177/AK177)*100</f>
        <v>76.19047619</v>
      </c>
      <c r="AN177" s="26">
        <f t="shared" si="352"/>
        <v>81.38297872</v>
      </c>
      <c r="AO177" s="26">
        <v>385.0</v>
      </c>
      <c r="AP177" s="26">
        <v>175.0</v>
      </c>
      <c r="AQ177" s="26">
        <v>210.0</v>
      </c>
      <c r="AR177" s="26">
        <v>44.0</v>
      </c>
      <c r="AS177" s="27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>
      <c r="A178" s="22">
        <v>5449.0</v>
      </c>
      <c r="B178" s="23" t="s">
        <v>25</v>
      </c>
      <c r="C178" s="29" t="s">
        <v>222</v>
      </c>
      <c r="D178" s="29" t="s">
        <v>232</v>
      </c>
      <c r="E178" s="29" t="s">
        <v>233</v>
      </c>
      <c r="F178" s="29" t="s">
        <v>233</v>
      </c>
      <c r="G178" s="26">
        <v>4159.0</v>
      </c>
      <c r="H178" s="26">
        <v>1075.0</v>
      </c>
      <c r="I178" s="26">
        <v>577.0</v>
      </c>
      <c r="J178" s="26">
        <v>498.0</v>
      </c>
      <c r="K178" s="26">
        <v>1959.0</v>
      </c>
      <c r="L178" s="26">
        <v>1083.0</v>
      </c>
      <c r="M178" s="26">
        <v>869.0</v>
      </c>
      <c r="N178" s="26">
        <v>5.0</v>
      </c>
      <c r="O178" s="26">
        <v>2.0</v>
      </c>
      <c r="P178" s="26">
        <f t="shared" si="3"/>
        <v>871</v>
      </c>
      <c r="Q178" s="26">
        <f t="shared" si="4"/>
        <v>1088</v>
      </c>
      <c r="R178" s="26">
        <f t="shared" si="5"/>
        <v>1463</v>
      </c>
      <c r="S178" s="26">
        <f t="shared" si="6"/>
        <v>1621</v>
      </c>
      <c r="T178" s="26">
        <f t="shared" ref="T178:U178" si="353">(P178/R178)*100</f>
        <v>59.53520164</v>
      </c>
      <c r="U178" s="26">
        <f t="shared" si="353"/>
        <v>67.11906231</v>
      </c>
      <c r="V178" s="26">
        <v>1125.0</v>
      </c>
      <c r="W178" s="26">
        <v>533.0</v>
      </c>
      <c r="X178" s="26">
        <v>592.0</v>
      </c>
      <c r="Y178" s="26">
        <v>0.0</v>
      </c>
      <c r="Z178" s="26">
        <v>6564.0</v>
      </c>
      <c r="AA178" s="26">
        <v>1328.0</v>
      </c>
      <c r="AB178" s="26">
        <v>681.0</v>
      </c>
      <c r="AC178" s="26">
        <v>647.0</v>
      </c>
      <c r="AD178" s="26">
        <v>4086.0</v>
      </c>
      <c r="AE178" s="26">
        <v>2104.0</v>
      </c>
      <c r="AF178" s="26">
        <v>1930.0</v>
      </c>
      <c r="AG178" s="26">
        <v>32.0</v>
      </c>
      <c r="AH178" s="26">
        <v>20.0</v>
      </c>
      <c r="AI178" s="26">
        <f t="shared" si="8"/>
        <v>1950</v>
      </c>
      <c r="AJ178" s="26">
        <f t="shared" si="9"/>
        <v>2136</v>
      </c>
      <c r="AK178" s="26">
        <f t="shared" si="10"/>
        <v>2461</v>
      </c>
      <c r="AL178" s="26">
        <f t="shared" si="11"/>
        <v>2681</v>
      </c>
      <c r="AM178" s="26">
        <f t="shared" ref="AM178:AN178" si="354">(AI178/AK178)*100</f>
        <v>79.23608289</v>
      </c>
      <c r="AN178" s="26">
        <f t="shared" si="354"/>
        <v>79.67176427</v>
      </c>
      <c r="AO178" s="26">
        <v>1056.0</v>
      </c>
      <c r="AP178" s="26">
        <v>545.0</v>
      </c>
      <c r="AQ178" s="26">
        <v>511.0</v>
      </c>
      <c r="AR178" s="26">
        <v>94.0</v>
      </c>
      <c r="AS178" s="27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>
      <c r="A179" s="22">
        <v>5473.0</v>
      </c>
      <c r="B179" s="23" t="s">
        <v>25</v>
      </c>
      <c r="C179" s="29" t="s">
        <v>222</v>
      </c>
      <c r="D179" s="29" t="s">
        <v>232</v>
      </c>
      <c r="E179" s="29" t="s">
        <v>234</v>
      </c>
      <c r="F179" s="29" t="s">
        <v>234</v>
      </c>
      <c r="G179" s="26">
        <v>5133.0</v>
      </c>
      <c r="H179" s="26">
        <v>1426.0</v>
      </c>
      <c r="I179" s="26">
        <v>720.0</v>
      </c>
      <c r="J179" s="26">
        <v>706.0</v>
      </c>
      <c r="K179" s="26">
        <v>2779.0</v>
      </c>
      <c r="L179" s="26">
        <v>1554.0</v>
      </c>
      <c r="M179" s="26">
        <v>1211.0</v>
      </c>
      <c r="N179" s="26">
        <v>11.0</v>
      </c>
      <c r="O179" s="26">
        <v>3.0</v>
      </c>
      <c r="P179" s="26">
        <f t="shared" si="3"/>
        <v>1214</v>
      </c>
      <c r="Q179" s="26">
        <f t="shared" si="4"/>
        <v>1565</v>
      </c>
      <c r="R179" s="26">
        <f t="shared" si="5"/>
        <v>1798</v>
      </c>
      <c r="S179" s="26">
        <f t="shared" si="6"/>
        <v>1909</v>
      </c>
      <c r="T179" s="26">
        <f t="shared" ref="T179:U179" si="355">(P179/R179)*100</f>
        <v>67.51946607</v>
      </c>
      <c r="U179" s="26">
        <f t="shared" si="355"/>
        <v>81.98009429</v>
      </c>
      <c r="V179" s="26">
        <v>928.0</v>
      </c>
      <c r="W179" s="26">
        <v>344.0</v>
      </c>
      <c r="X179" s="26">
        <v>584.0</v>
      </c>
      <c r="Y179" s="26">
        <v>0.0</v>
      </c>
      <c r="Z179" s="26">
        <v>5736.0</v>
      </c>
      <c r="AA179" s="26">
        <v>1259.0</v>
      </c>
      <c r="AB179" s="26">
        <v>655.0</v>
      </c>
      <c r="AC179" s="26">
        <v>604.0</v>
      </c>
      <c r="AD179" s="26">
        <v>3628.0</v>
      </c>
      <c r="AE179" s="26">
        <v>1958.0</v>
      </c>
      <c r="AF179" s="26">
        <v>1629.0</v>
      </c>
      <c r="AG179" s="26">
        <v>27.0</v>
      </c>
      <c r="AH179" s="26">
        <v>14.0</v>
      </c>
      <c r="AI179" s="26">
        <f t="shared" si="8"/>
        <v>1643</v>
      </c>
      <c r="AJ179" s="26">
        <f t="shared" si="9"/>
        <v>1985</v>
      </c>
      <c r="AK179" s="26">
        <f t="shared" si="10"/>
        <v>2100</v>
      </c>
      <c r="AL179" s="26">
        <f t="shared" si="11"/>
        <v>2265</v>
      </c>
      <c r="AM179" s="26">
        <f t="shared" ref="AM179:AN179" si="356">(AI179/AK179)*100</f>
        <v>78.23809524</v>
      </c>
      <c r="AN179" s="26">
        <f t="shared" si="356"/>
        <v>87.63796909</v>
      </c>
      <c r="AO179" s="26">
        <v>737.0</v>
      </c>
      <c r="AP179" s="26">
        <v>280.0</v>
      </c>
      <c r="AQ179" s="26">
        <v>457.0</v>
      </c>
      <c r="AR179" s="26">
        <v>112.0</v>
      </c>
      <c r="AS179" s="27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>
      <c r="A180" s="22">
        <v>5521.0</v>
      </c>
      <c r="B180" s="23" t="s">
        <v>25</v>
      </c>
      <c r="C180" s="29" t="s">
        <v>222</v>
      </c>
      <c r="D180" s="29" t="s">
        <v>235</v>
      </c>
      <c r="E180" s="29" t="s">
        <v>236</v>
      </c>
      <c r="F180" s="29" t="s">
        <v>236</v>
      </c>
      <c r="G180" s="26">
        <v>995.0</v>
      </c>
      <c r="H180" s="26">
        <v>163.0</v>
      </c>
      <c r="I180" s="26">
        <v>77.0</v>
      </c>
      <c r="J180" s="26">
        <v>86.0</v>
      </c>
      <c r="K180" s="26">
        <v>353.0</v>
      </c>
      <c r="L180" s="26">
        <v>210.0</v>
      </c>
      <c r="M180" s="26">
        <v>135.0</v>
      </c>
      <c r="N180" s="26">
        <v>5.0</v>
      </c>
      <c r="O180" s="26">
        <v>3.0</v>
      </c>
      <c r="P180" s="26">
        <f t="shared" si="3"/>
        <v>138</v>
      </c>
      <c r="Q180" s="26">
        <f t="shared" si="4"/>
        <v>215</v>
      </c>
      <c r="R180" s="26">
        <f t="shared" si="5"/>
        <v>254</v>
      </c>
      <c r="S180" s="26">
        <f t="shared" si="6"/>
        <v>578</v>
      </c>
      <c r="T180" s="26">
        <f t="shared" ref="T180:U180" si="357">(P180/R180)*100</f>
        <v>54.33070866</v>
      </c>
      <c r="U180" s="26">
        <f t="shared" si="357"/>
        <v>37.19723183</v>
      </c>
      <c r="V180" s="26">
        <v>479.0</v>
      </c>
      <c r="W180" s="26">
        <v>363.0</v>
      </c>
      <c r="X180" s="26">
        <v>116.0</v>
      </c>
      <c r="Y180" s="26">
        <v>0.0</v>
      </c>
      <c r="Z180" s="26">
        <v>3967.0</v>
      </c>
      <c r="AA180" s="26">
        <v>902.0</v>
      </c>
      <c r="AB180" s="26">
        <v>469.0</v>
      </c>
      <c r="AC180" s="26">
        <v>433.0</v>
      </c>
      <c r="AD180" s="26">
        <v>2141.0</v>
      </c>
      <c r="AE180" s="26">
        <v>1131.0</v>
      </c>
      <c r="AF180" s="26">
        <v>970.0</v>
      </c>
      <c r="AG180" s="26">
        <v>19.0</v>
      </c>
      <c r="AH180" s="26">
        <v>21.0</v>
      </c>
      <c r="AI180" s="26">
        <f t="shared" si="8"/>
        <v>991</v>
      </c>
      <c r="AJ180" s="26">
        <f t="shared" si="9"/>
        <v>1150</v>
      </c>
      <c r="AK180" s="26">
        <f t="shared" si="10"/>
        <v>1449</v>
      </c>
      <c r="AL180" s="26">
        <f t="shared" si="11"/>
        <v>1556</v>
      </c>
      <c r="AM180" s="26">
        <f t="shared" ref="AM180:AN180" si="358">(AI180/AK180)*100</f>
        <v>68.39199448</v>
      </c>
      <c r="AN180" s="26">
        <f t="shared" si="358"/>
        <v>73.90745501</v>
      </c>
      <c r="AO180" s="26">
        <v>864.0</v>
      </c>
      <c r="AP180" s="26">
        <v>406.0</v>
      </c>
      <c r="AQ180" s="26">
        <v>458.0</v>
      </c>
      <c r="AR180" s="26">
        <v>60.0</v>
      </c>
      <c r="AS180" s="27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>
      <c r="A181" s="22">
        <v>5545.0</v>
      </c>
      <c r="B181" s="23" t="s">
        <v>25</v>
      </c>
      <c r="C181" s="29" t="s">
        <v>222</v>
      </c>
      <c r="D181" s="29" t="s">
        <v>235</v>
      </c>
      <c r="E181" s="29" t="s">
        <v>237</v>
      </c>
      <c r="F181" s="29" t="s">
        <v>237</v>
      </c>
      <c r="G181" s="26">
        <v>4221.0</v>
      </c>
      <c r="H181" s="26">
        <v>1120.0</v>
      </c>
      <c r="I181" s="26">
        <v>601.0</v>
      </c>
      <c r="J181" s="26">
        <v>519.0</v>
      </c>
      <c r="K181" s="26">
        <v>2103.0</v>
      </c>
      <c r="L181" s="26">
        <v>1168.0</v>
      </c>
      <c r="M181" s="26">
        <v>884.0</v>
      </c>
      <c r="N181" s="26">
        <v>45.0</v>
      </c>
      <c r="O181" s="26">
        <v>6.0</v>
      </c>
      <c r="P181" s="26">
        <f t="shared" si="3"/>
        <v>890</v>
      </c>
      <c r="Q181" s="26">
        <f t="shared" si="4"/>
        <v>1213</v>
      </c>
      <c r="R181" s="26">
        <f t="shared" si="5"/>
        <v>1553</v>
      </c>
      <c r="S181" s="26">
        <f t="shared" si="6"/>
        <v>1548</v>
      </c>
      <c r="T181" s="26">
        <f t="shared" ref="T181:U181" si="359">(P181/R181)*100</f>
        <v>57.30843529</v>
      </c>
      <c r="U181" s="26">
        <f t="shared" si="359"/>
        <v>78.35917313</v>
      </c>
      <c r="V181" s="26">
        <v>998.0</v>
      </c>
      <c r="W181" s="26">
        <v>335.0</v>
      </c>
      <c r="X181" s="26">
        <v>663.0</v>
      </c>
      <c r="Y181" s="26">
        <v>0.0</v>
      </c>
      <c r="Z181" s="26">
        <v>4194.0</v>
      </c>
      <c r="AA181" s="26">
        <v>1084.0</v>
      </c>
      <c r="AB181" s="26">
        <v>608.0</v>
      </c>
      <c r="AC181" s="26">
        <v>476.0</v>
      </c>
      <c r="AD181" s="26">
        <v>2243.0</v>
      </c>
      <c r="AE181" s="26">
        <v>1208.0</v>
      </c>
      <c r="AF181" s="26">
        <v>980.0</v>
      </c>
      <c r="AG181" s="26">
        <v>35.0</v>
      </c>
      <c r="AH181" s="26">
        <v>20.0</v>
      </c>
      <c r="AI181" s="26">
        <f t="shared" si="8"/>
        <v>1000</v>
      </c>
      <c r="AJ181" s="26">
        <f t="shared" si="9"/>
        <v>1243</v>
      </c>
      <c r="AK181" s="26">
        <f t="shared" si="10"/>
        <v>1478</v>
      </c>
      <c r="AL181" s="26">
        <f t="shared" si="11"/>
        <v>1585</v>
      </c>
      <c r="AM181" s="26">
        <f t="shared" ref="AM181:AN181" si="360">(AI181/AK181)*100</f>
        <v>67.65899865</v>
      </c>
      <c r="AN181" s="26">
        <f t="shared" si="360"/>
        <v>78.42271293</v>
      </c>
      <c r="AO181" s="26">
        <v>820.0</v>
      </c>
      <c r="AP181" s="26">
        <v>342.0</v>
      </c>
      <c r="AQ181" s="26">
        <v>478.0</v>
      </c>
      <c r="AR181" s="26">
        <v>47.0</v>
      </c>
      <c r="AS181" s="27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>
      <c r="A182" s="22">
        <v>5569.0</v>
      </c>
      <c r="B182" s="23" t="s">
        <v>25</v>
      </c>
      <c r="C182" s="29" t="s">
        <v>222</v>
      </c>
      <c r="D182" s="29" t="s">
        <v>235</v>
      </c>
      <c r="E182" s="29" t="s">
        <v>238</v>
      </c>
      <c r="F182" s="29" t="s">
        <v>238</v>
      </c>
      <c r="G182" s="26">
        <v>1966.0</v>
      </c>
      <c r="H182" s="26">
        <v>571.0</v>
      </c>
      <c r="I182" s="26">
        <v>293.0</v>
      </c>
      <c r="J182" s="26">
        <v>278.0</v>
      </c>
      <c r="K182" s="26">
        <v>843.0</v>
      </c>
      <c r="L182" s="26">
        <v>515.0</v>
      </c>
      <c r="M182" s="26">
        <v>285.0</v>
      </c>
      <c r="N182" s="26">
        <v>24.0</v>
      </c>
      <c r="O182" s="26">
        <v>19.0</v>
      </c>
      <c r="P182" s="26">
        <f t="shared" si="3"/>
        <v>304</v>
      </c>
      <c r="Q182" s="26">
        <f t="shared" si="4"/>
        <v>539</v>
      </c>
      <c r="R182" s="26">
        <f t="shared" si="5"/>
        <v>710</v>
      </c>
      <c r="S182" s="26">
        <f t="shared" si="6"/>
        <v>685</v>
      </c>
      <c r="T182" s="26">
        <f t="shared" ref="T182:U182" si="361">(P182/R182)*100</f>
        <v>42.81690141</v>
      </c>
      <c r="U182" s="26">
        <f t="shared" si="361"/>
        <v>78.68613139</v>
      </c>
      <c r="V182" s="26">
        <v>552.0</v>
      </c>
      <c r="W182" s="26">
        <v>146.0</v>
      </c>
      <c r="X182" s="26">
        <v>406.0</v>
      </c>
      <c r="Y182" s="26">
        <v>0.0</v>
      </c>
      <c r="Z182" s="26">
        <v>1470.0</v>
      </c>
      <c r="AA182" s="26">
        <v>372.0</v>
      </c>
      <c r="AB182" s="26">
        <v>205.0</v>
      </c>
      <c r="AC182" s="26">
        <v>167.0</v>
      </c>
      <c r="AD182" s="26">
        <v>862.0</v>
      </c>
      <c r="AE182" s="26">
        <v>453.0</v>
      </c>
      <c r="AF182" s="26">
        <v>399.0</v>
      </c>
      <c r="AG182" s="26">
        <v>7.0</v>
      </c>
      <c r="AH182" s="26">
        <v>3.0</v>
      </c>
      <c r="AI182" s="26">
        <f t="shared" si="8"/>
        <v>402</v>
      </c>
      <c r="AJ182" s="26">
        <f t="shared" si="9"/>
        <v>460</v>
      </c>
      <c r="AK182" s="26">
        <f t="shared" si="10"/>
        <v>510</v>
      </c>
      <c r="AL182" s="26">
        <f t="shared" si="11"/>
        <v>531</v>
      </c>
      <c r="AM182" s="26">
        <f t="shared" ref="AM182:AN182" si="362">(AI182/AK182)*100</f>
        <v>78.82352941</v>
      </c>
      <c r="AN182" s="26">
        <f t="shared" si="362"/>
        <v>86.62900188</v>
      </c>
      <c r="AO182" s="26">
        <v>179.0</v>
      </c>
      <c r="AP182" s="26">
        <v>71.0</v>
      </c>
      <c r="AQ182" s="26">
        <v>108.0</v>
      </c>
      <c r="AR182" s="26">
        <v>57.0</v>
      </c>
      <c r="AS182" s="27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>
      <c r="A183" s="22">
        <v>5593.0</v>
      </c>
      <c r="B183" s="23" t="s">
        <v>25</v>
      </c>
      <c r="C183" s="29" t="s">
        <v>222</v>
      </c>
      <c r="D183" s="29" t="s">
        <v>235</v>
      </c>
      <c r="E183" s="29" t="s">
        <v>239</v>
      </c>
      <c r="F183" s="29" t="s">
        <v>239</v>
      </c>
      <c r="G183" s="26">
        <v>514.0</v>
      </c>
      <c r="H183" s="26">
        <v>153.0</v>
      </c>
      <c r="I183" s="26">
        <v>73.0</v>
      </c>
      <c r="J183" s="26">
        <v>80.0</v>
      </c>
      <c r="K183" s="26">
        <v>251.0</v>
      </c>
      <c r="L183" s="26">
        <v>153.0</v>
      </c>
      <c r="M183" s="26">
        <v>97.0</v>
      </c>
      <c r="N183" s="26">
        <v>1.0</v>
      </c>
      <c r="O183" s="26">
        <v>0.0</v>
      </c>
      <c r="P183" s="26">
        <f t="shared" si="3"/>
        <v>97</v>
      </c>
      <c r="Q183" s="26">
        <f t="shared" si="4"/>
        <v>154</v>
      </c>
      <c r="R183" s="26">
        <f t="shared" si="5"/>
        <v>168</v>
      </c>
      <c r="S183" s="26">
        <f t="shared" si="6"/>
        <v>193</v>
      </c>
      <c r="T183" s="26">
        <f t="shared" ref="T183:U183" si="363">(P183/R183)*100</f>
        <v>57.73809524</v>
      </c>
      <c r="U183" s="26">
        <f t="shared" si="363"/>
        <v>79.79274611</v>
      </c>
      <c r="V183" s="26">
        <v>110.0</v>
      </c>
      <c r="W183" s="26">
        <v>39.0</v>
      </c>
      <c r="X183" s="26">
        <v>71.0</v>
      </c>
      <c r="Y183" s="26">
        <v>0.0</v>
      </c>
      <c r="Z183" s="26">
        <v>864.0</v>
      </c>
      <c r="AA183" s="26">
        <v>245.0</v>
      </c>
      <c r="AB183" s="26">
        <v>115.0</v>
      </c>
      <c r="AC183" s="26">
        <v>130.0</v>
      </c>
      <c r="AD183" s="26">
        <v>460.0</v>
      </c>
      <c r="AE183" s="26">
        <v>253.0</v>
      </c>
      <c r="AF183" s="26">
        <v>191.0</v>
      </c>
      <c r="AG183" s="26">
        <v>9.0</v>
      </c>
      <c r="AH183" s="26">
        <v>7.0</v>
      </c>
      <c r="AI183" s="26">
        <f t="shared" si="8"/>
        <v>198</v>
      </c>
      <c r="AJ183" s="26">
        <f t="shared" si="9"/>
        <v>262</v>
      </c>
      <c r="AK183" s="26">
        <f t="shared" si="10"/>
        <v>294</v>
      </c>
      <c r="AL183" s="26">
        <f t="shared" si="11"/>
        <v>315</v>
      </c>
      <c r="AM183" s="26">
        <f t="shared" ref="AM183:AN183" si="364">(AI183/AK183)*100</f>
        <v>67.34693878</v>
      </c>
      <c r="AN183" s="26">
        <f t="shared" si="364"/>
        <v>83.17460317</v>
      </c>
      <c r="AO183" s="26">
        <v>149.0</v>
      </c>
      <c r="AP183" s="26">
        <v>53.0</v>
      </c>
      <c r="AQ183" s="26">
        <v>96.0</v>
      </c>
      <c r="AR183" s="26">
        <v>10.0</v>
      </c>
      <c r="AS183" s="27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>
      <c r="A184" s="22">
        <v>5617.0</v>
      </c>
      <c r="B184" s="23" t="s">
        <v>25</v>
      </c>
      <c r="C184" s="29" t="s">
        <v>222</v>
      </c>
      <c r="D184" s="29" t="s">
        <v>235</v>
      </c>
      <c r="E184" s="29" t="s">
        <v>240</v>
      </c>
      <c r="F184" s="29" t="s">
        <v>240</v>
      </c>
      <c r="G184" s="26">
        <v>2683.0</v>
      </c>
      <c r="H184" s="26">
        <v>801.0</v>
      </c>
      <c r="I184" s="26">
        <v>407.0</v>
      </c>
      <c r="J184" s="26">
        <v>394.0</v>
      </c>
      <c r="K184" s="26">
        <v>1149.0</v>
      </c>
      <c r="L184" s="26">
        <v>689.0</v>
      </c>
      <c r="M184" s="26">
        <v>445.0</v>
      </c>
      <c r="N184" s="26">
        <v>7.0</v>
      </c>
      <c r="O184" s="26">
        <v>8.0</v>
      </c>
      <c r="P184" s="26">
        <f t="shared" si="3"/>
        <v>453</v>
      </c>
      <c r="Q184" s="26">
        <f t="shared" si="4"/>
        <v>696</v>
      </c>
      <c r="R184" s="26">
        <f t="shared" si="5"/>
        <v>951</v>
      </c>
      <c r="S184" s="26">
        <f t="shared" si="6"/>
        <v>931</v>
      </c>
      <c r="T184" s="26">
        <f t="shared" ref="T184:U184" si="365">(P184/R184)*100</f>
        <v>47.6340694</v>
      </c>
      <c r="U184" s="26">
        <f t="shared" si="365"/>
        <v>74.75832438</v>
      </c>
      <c r="V184" s="26">
        <v>733.0</v>
      </c>
      <c r="W184" s="26">
        <v>235.0</v>
      </c>
      <c r="X184" s="26">
        <v>498.0</v>
      </c>
      <c r="Y184" s="26">
        <v>0.0</v>
      </c>
      <c r="Z184" s="26">
        <v>3839.0</v>
      </c>
      <c r="AA184" s="26">
        <v>1022.0</v>
      </c>
      <c r="AB184" s="26">
        <v>519.0</v>
      </c>
      <c r="AC184" s="26">
        <v>503.0</v>
      </c>
      <c r="AD184" s="26">
        <v>2135.0</v>
      </c>
      <c r="AE184" s="26">
        <v>1117.0</v>
      </c>
      <c r="AF184" s="26">
        <v>966.0</v>
      </c>
      <c r="AG184" s="26">
        <v>32.0</v>
      </c>
      <c r="AH184" s="26">
        <v>20.0</v>
      </c>
      <c r="AI184" s="26">
        <f t="shared" si="8"/>
        <v>986</v>
      </c>
      <c r="AJ184" s="26">
        <f t="shared" si="9"/>
        <v>1149</v>
      </c>
      <c r="AK184" s="26">
        <f t="shared" si="10"/>
        <v>1418</v>
      </c>
      <c r="AL184" s="26">
        <f t="shared" si="11"/>
        <v>1344</v>
      </c>
      <c r="AM184" s="26">
        <f t="shared" ref="AM184:AN184" si="366">(AI184/AK184)*100</f>
        <v>69.53455571</v>
      </c>
      <c r="AN184" s="26">
        <f t="shared" si="366"/>
        <v>85.49107143</v>
      </c>
      <c r="AO184" s="26">
        <v>627.0</v>
      </c>
      <c r="AP184" s="26">
        <v>195.0</v>
      </c>
      <c r="AQ184" s="26">
        <v>432.0</v>
      </c>
      <c r="AR184" s="26">
        <v>55.0</v>
      </c>
      <c r="AS184" s="27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>
      <c r="A185" s="22">
        <v>5665.0</v>
      </c>
      <c r="B185" s="23" t="s">
        <v>25</v>
      </c>
      <c r="C185" s="29" t="s">
        <v>222</v>
      </c>
      <c r="D185" s="29" t="s">
        <v>241</v>
      </c>
      <c r="E185" s="29" t="s">
        <v>241</v>
      </c>
      <c r="F185" s="29" t="s">
        <v>241</v>
      </c>
      <c r="G185" s="26">
        <v>7578.0</v>
      </c>
      <c r="H185" s="26">
        <v>1863.0</v>
      </c>
      <c r="I185" s="26">
        <v>945.0</v>
      </c>
      <c r="J185" s="26">
        <v>918.0</v>
      </c>
      <c r="K185" s="26">
        <v>3672.0</v>
      </c>
      <c r="L185" s="26">
        <v>2172.0</v>
      </c>
      <c r="M185" s="26">
        <v>1460.0</v>
      </c>
      <c r="N185" s="26">
        <v>24.0</v>
      </c>
      <c r="O185" s="26">
        <v>16.0</v>
      </c>
      <c r="P185" s="26">
        <f t="shared" si="3"/>
        <v>1476</v>
      </c>
      <c r="Q185" s="26">
        <f t="shared" si="4"/>
        <v>2196</v>
      </c>
      <c r="R185" s="26">
        <f t="shared" si="5"/>
        <v>2801</v>
      </c>
      <c r="S185" s="26">
        <f t="shared" si="6"/>
        <v>2914</v>
      </c>
      <c r="T185" s="26">
        <f t="shared" ref="T185:U185" si="367">(P185/R185)*100</f>
        <v>52.69546591</v>
      </c>
      <c r="U185" s="26">
        <f t="shared" si="367"/>
        <v>75.36032944</v>
      </c>
      <c r="V185" s="26">
        <v>2043.0</v>
      </c>
      <c r="W185" s="26">
        <v>718.0</v>
      </c>
      <c r="X185" s="26">
        <v>1325.0</v>
      </c>
      <c r="Y185" s="26">
        <v>0.0</v>
      </c>
      <c r="Z185" s="26">
        <v>9041.0</v>
      </c>
      <c r="AA185" s="26">
        <v>2218.0</v>
      </c>
      <c r="AB185" s="26">
        <v>1113.0</v>
      </c>
      <c r="AC185" s="26">
        <v>1105.0</v>
      </c>
      <c r="AD185" s="26">
        <v>4805.0</v>
      </c>
      <c r="AE185" s="26">
        <v>2801.0</v>
      </c>
      <c r="AF185" s="26">
        <v>1920.0</v>
      </c>
      <c r="AG185" s="26">
        <v>57.0</v>
      </c>
      <c r="AH185" s="26">
        <v>27.0</v>
      </c>
      <c r="AI185" s="26">
        <f t="shared" si="8"/>
        <v>1947</v>
      </c>
      <c r="AJ185" s="26">
        <f t="shared" si="9"/>
        <v>2858</v>
      </c>
      <c r="AK185" s="26">
        <f t="shared" si="10"/>
        <v>3194</v>
      </c>
      <c r="AL185" s="26">
        <f t="shared" si="11"/>
        <v>3481</v>
      </c>
      <c r="AM185" s="26">
        <f t="shared" ref="AM185:AN185" si="368">(AI185/AK185)*100</f>
        <v>60.95804634</v>
      </c>
      <c r="AN185" s="26">
        <f t="shared" si="368"/>
        <v>82.10284401</v>
      </c>
      <c r="AO185" s="26">
        <v>1870.0</v>
      </c>
      <c r="AP185" s="26">
        <v>623.0</v>
      </c>
      <c r="AQ185" s="26">
        <v>1247.0</v>
      </c>
      <c r="AR185" s="26">
        <v>148.0</v>
      </c>
      <c r="AS185" s="27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>
      <c r="A186" s="22">
        <v>5689.0</v>
      </c>
      <c r="B186" s="23" t="s">
        <v>25</v>
      </c>
      <c r="C186" s="29" t="s">
        <v>222</v>
      </c>
      <c r="D186" s="29" t="s">
        <v>241</v>
      </c>
      <c r="E186" s="29" t="s">
        <v>242</v>
      </c>
      <c r="F186" s="29" t="s">
        <v>242</v>
      </c>
      <c r="G186" s="26">
        <v>5953.0</v>
      </c>
      <c r="H186" s="26">
        <v>1686.0</v>
      </c>
      <c r="I186" s="26">
        <v>861.0</v>
      </c>
      <c r="J186" s="26">
        <v>825.0</v>
      </c>
      <c r="K186" s="26">
        <v>2997.0</v>
      </c>
      <c r="L186" s="26">
        <v>1692.0</v>
      </c>
      <c r="M186" s="26">
        <v>1273.0</v>
      </c>
      <c r="N186" s="26">
        <v>23.0</v>
      </c>
      <c r="O186" s="26">
        <v>9.0</v>
      </c>
      <c r="P186" s="26">
        <f t="shared" si="3"/>
        <v>1282</v>
      </c>
      <c r="Q186" s="26">
        <f t="shared" si="4"/>
        <v>1715</v>
      </c>
      <c r="R186" s="26">
        <f t="shared" si="5"/>
        <v>2133</v>
      </c>
      <c r="S186" s="26">
        <f t="shared" si="6"/>
        <v>2134</v>
      </c>
      <c r="T186" s="26">
        <f t="shared" ref="T186:U186" si="369">(P186/R186)*100</f>
        <v>60.10314112</v>
      </c>
      <c r="U186" s="26">
        <f t="shared" si="369"/>
        <v>80.36551078</v>
      </c>
      <c r="V186" s="26">
        <v>1270.0</v>
      </c>
      <c r="W186" s="26">
        <v>419.0</v>
      </c>
      <c r="X186" s="26">
        <v>851.0</v>
      </c>
      <c r="Y186" s="26">
        <v>0.0</v>
      </c>
      <c r="Z186" s="26">
        <v>4187.0</v>
      </c>
      <c r="AA186" s="26">
        <v>964.0</v>
      </c>
      <c r="AB186" s="26">
        <v>491.0</v>
      </c>
      <c r="AC186" s="26">
        <v>473.0</v>
      </c>
      <c r="AD186" s="26">
        <v>2404.0</v>
      </c>
      <c r="AE186" s="26">
        <v>1310.0</v>
      </c>
      <c r="AF186" s="26">
        <v>1050.0</v>
      </c>
      <c r="AG186" s="26">
        <v>29.0</v>
      </c>
      <c r="AH186" s="26">
        <v>15.0</v>
      </c>
      <c r="AI186" s="26">
        <f t="shared" si="8"/>
        <v>1065</v>
      </c>
      <c r="AJ186" s="26">
        <f t="shared" si="9"/>
        <v>1339</v>
      </c>
      <c r="AK186" s="26">
        <f t="shared" si="10"/>
        <v>1503</v>
      </c>
      <c r="AL186" s="26">
        <f t="shared" si="11"/>
        <v>1594</v>
      </c>
      <c r="AM186" s="26">
        <f t="shared" ref="AM186:AN186" si="370">(AI186/AK186)*100</f>
        <v>70.85828343</v>
      </c>
      <c r="AN186" s="26">
        <f t="shared" si="370"/>
        <v>84.00250941</v>
      </c>
      <c r="AO186" s="26">
        <v>693.0</v>
      </c>
      <c r="AP186" s="26">
        <v>255.0</v>
      </c>
      <c r="AQ186" s="26">
        <v>438.0</v>
      </c>
      <c r="AR186" s="26">
        <v>126.0</v>
      </c>
      <c r="AS186" s="27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>
      <c r="A187" s="22">
        <v>5713.0</v>
      </c>
      <c r="B187" s="23" t="s">
        <v>25</v>
      </c>
      <c r="C187" s="29" t="s">
        <v>222</v>
      </c>
      <c r="D187" s="29" t="s">
        <v>241</v>
      </c>
      <c r="E187" s="29" t="s">
        <v>243</v>
      </c>
      <c r="F187" s="29" t="s">
        <v>243</v>
      </c>
      <c r="G187" s="26">
        <v>3261.0</v>
      </c>
      <c r="H187" s="26">
        <v>1086.0</v>
      </c>
      <c r="I187" s="26">
        <v>558.0</v>
      </c>
      <c r="J187" s="26">
        <v>528.0</v>
      </c>
      <c r="K187" s="26">
        <v>1431.0</v>
      </c>
      <c r="L187" s="26">
        <v>889.0</v>
      </c>
      <c r="M187" s="26">
        <v>523.0</v>
      </c>
      <c r="N187" s="26">
        <v>14.0</v>
      </c>
      <c r="O187" s="26">
        <v>5.0</v>
      </c>
      <c r="P187" s="26">
        <f t="shared" si="3"/>
        <v>528</v>
      </c>
      <c r="Q187" s="26">
        <f t="shared" si="4"/>
        <v>903</v>
      </c>
      <c r="R187" s="26">
        <f t="shared" si="5"/>
        <v>1055</v>
      </c>
      <c r="S187" s="26">
        <f t="shared" si="6"/>
        <v>1120</v>
      </c>
      <c r="T187" s="26">
        <f t="shared" ref="T187:U187" si="371">(P187/R187)*100</f>
        <v>50.04739336</v>
      </c>
      <c r="U187" s="26">
        <f t="shared" si="371"/>
        <v>80.625</v>
      </c>
      <c r="V187" s="26">
        <v>744.0</v>
      </c>
      <c r="W187" s="26">
        <v>217.0</v>
      </c>
      <c r="X187" s="26">
        <v>527.0</v>
      </c>
      <c r="Y187" s="26">
        <v>0.0</v>
      </c>
      <c r="Z187" s="26">
        <v>3639.0</v>
      </c>
      <c r="AA187" s="26">
        <v>856.0</v>
      </c>
      <c r="AB187" s="26">
        <v>434.0</v>
      </c>
      <c r="AC187" s="26">
        <v>422.0</v>
      </c>
      <c r="AD187" s="26">
        <v>1920.0</v>
      </c>
      <c r="AE187" s="26">
        <v>1157.0</v>
      </c>
      <c r="AF187" s="26">
        <v>725.0</v>
      </c>
      <c r="AG187" s="26">
        <v>17.0</v>
      </c>
      <c r="AH187" s="26">
        <v>21.0</v>
      </c>
      <c r="AI187" s="26">
        <f t="shared" si="8"/>
        <v>746</v>
      </c>
      <c r="AJ187" s="26">
        <f t="shared" si="9"/>
        <v>1174</v>
      </c>
      <c r="AK187" s="26">
        <f t="shared" si="10"/>
        <v>1283</v>
      </c>
      <c r="AL187" s="26">
        <f t="shared" si="11"/>
        <v>1411</v>
      </c>
      <c r="AM187" s="26">
        <f t="shared" ref="AM187:AN187" si="372">(AI187/AK187)*100</f>
        <v>58.14497272</v>
      </c>
      <c r="AN187" s="26">
        <f t="shared" si="372"/>
        <v>83.20340184</v>
      </c>
      <c r="AO187" s="26">
        <v>774.0</v>
      </c>
      <c r="AP187" s="26">
        <v>237.0</v>
      </c>
      <c r="AQ187" s="26">
        <v>537.0</v>
      </c>
      <c r="AR187" s="26">
        <v>89.0</v>
      </c>
      <c r="AS187" s="27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>
      <c r="A188" s="22">
        <v>5761.0</v>
      </c>
      <c r="B188" s="23" t="s">
        <v>25</v>
      </c>
      <c r="C188" s="29" t="s">
        <v>222</v>
      </c>
      <c r="D188" s="29" t="s">
        <v>244</v>
      </c>
      <c r="E188" s="29" t="s">
        <v>245</v>
      </c>
      <c r="F188" s="29" t="s">
        <v>245</v>
      </c>
      <c r="G188" s="26">
        <v>24668.0</v>
      </c>
      <c r="H188" s="26">
        <v>8109.0</v>
      </c>
      <c r="I188" s="26">
        <v>4090.0</v>
      </c>
      <c r="J188" s="26">
        <v>4019.0</v>
      </c>
      <c r="K188" s="26">
        <v>9850.0</v>
      </c>
      <c r="L188" s="26">
        <v>6695.0</v>
      </c>
      <c r="M188" s="26">
        <v>3023.0</v>
      </c>
      <c r="N188" s="26">
        <v>79.0</v>
      </c>
      <c r="O188" s="26">
        <v>53.0</v>
      </c>
      <c r="P188" s="26">
        <f t="shared" si="3"/>
        <v>3076</v>
      </c>
      <c r="Q188" s="26">
        <f t="shared" si="4"/>
        <v>6774</v>
      </c>
      <c r="R188" s="26">
        <f t="shared" si="5"/>
        <v>7846</v>
      </c>
      <c r="S188" s="26">
        <f t="shared" si="6"/>
        <v>8713</v>
      </c>
      <c r="T188" s="26">
        <f t="shared" ref="T188:U188" si="373">(P188/R188)*100</f>
        <v>39.20469029</v>
      </c>
      <c r="U188" s="26">
        <f t="shared" si="373"/>
        <v>77.74589694</v>
      </c>
      <c r="V188" s="26">
        <v>6709.0</v>
      </c>
      <c r="W188" s="26">
        <v>1939.0</v>
      </c>
      <c r="X188" s="26">
        <v>4770.0</v>
      </c>
      <c r="Y188" s="26">
        <v>0.0</v>
      </c>
      <c r="Z188" s="26">
        <v>20014.0</v>
      </c>
      <c r="AA188" s="26">
        <v>4942.0</v>
      </c>
      <c r="AB188" s="26">
        <v>2481.0</v>
      </c>
      <c r="AC188" s="26">
        <v>2461.0</v>
      </c>
      <c r="AD188" s="26">
        <v>9455.0</v>
      </c>
      <c r="AE188" s="26">
        <v>5582.0</v>
      </c>
      <c r="AF188" s="26">
        <v>3568.0</v>
      </c>
      <c r="AG188" s="26">
        <v>174.0</v>
      </c>
      <c r="AH188" s="26">
        <v>131.0</v>
      </c>
      <c r="AI188" s="26">
        <f t="shared" si="8"/>
        <v>3699</v>
      </c>
      <c r="AJ188" s="26">
        <f t="shared" si="9"/>
        <v>5756</v>
      </c>
      <c r="AK188" s="26">
        <f t="shared" si="10"/>
        <v>7158</v>
      </c>
      <c r="AL188" s="26">
        <f t="shared" si="11"/>
        <v>7546</v>
      </c>
      <c r="AM188" s="26">
        <f t="shared" ref="AM188:AN188" si="374">(AI188/AK188)*100</f>
        <v>51.67644593</v>
      </c>
      <c r="AN188" s="26">
        <f t="shared" si="374"/>
        <v>76.27882322</v>
      </c>
      <c r="AO188" s="26">
        <v>5249.0</v>
      </c>
      <c r="AP188" s="26">
        <v>1790.0</v>
      </c>
      <c r="AQ188" s="26">
        <v>3459.0</v>
      </c>
      <c r="AR188" s="26">
        <v>368.0</v>
      </c>
      <c r="AS188" s="27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>
      <c r="A189" s="22">
        <v>5785.0</v>
      </c>
      <c r="B189" s="23" t="s">
        <v>25</v>
      </c>
      <c r="C189" s="29" t="s">
        <v>222</v>
      </c>
      <c r="D189" s="29" t="s">
        <v>244</v>
      </c>
      <c r="E189" s="29" t="s">
        <v>246</v>
      </c>
      <c r="F189" s="29" t="s">
        <v>246</v>
      </c>
      <c r="G189" s="26">
        <v>4811.0</v>
      </c>
      <c r="H189" s="26">
        <v>1347.0</v>
      </c>
      <c r="I189" s="26">
        <v>680.0</v>
      </c>
      <c r="J189" s="26">
        <v>667.0</v>
      </c>
      <c r="K189" s="26">
        <v>2124.0</v>
      </c>
      <c r="L189" s="26">
        <v>1180.0</v>
      </c>
      <c r="M189" s="26">
        <v>912.0</v>
      </c>
      <c r="N189" s="26">
        <v>22.0</v>
      </c>
      <c r="O189" s="26">
        <v>10.0</v>
      </c>
      <c r="P189" s="26">
        <f t="shared" si="3"/>
        <v>922</v>
      </c>
      <c r="Q189" s="26">
        <f t="shared" si="4"/>
        <v>1202</v>
      </c>
      <c r="R189" s="26">
        <f t="shared" si="5"/>
        <v>1794</v>
      </c>
      <c r="S189" s="26">
        <f t="shared" si="6"/>
        <v>1670</v>
      </c>
      <c r="T189" s="26">
        <f t="shared" ref="T189:U189" si="375">(P189/R189)*100</f>
        <v>51.393534</v>
      </c>
      <c r="U189" s="26">
        <f t="shared" si="375"/>
        <v>71.9760479</v>
      </c>
      <c r="V189" s="26">
        <v>1340.0</v>
      </c>
      <c r="W189" s="26">
        <v>468.0</v>
      </c>
      <c r="X189" s="26">
        <v>872.0</v>
      </c>
      <c r="Y189" s="26">
        <v>0.0</v>
      </c>
      <c r="Z189" s="26">
        <v>6091.0</v>
      </c>
      <c r="AA189" s="26">
        <v>1460.0</v>
      </c>
      <c r="AB189" s="26">
        <v>748.0</v>
      </c>
      <c r="AC189" s="26">
        <v>712.0</v>
      </c>
      <c r="AD189" s="26">
        <v>3209.0</v>
      </c>
      <c r="AE189" s="26">
        <v>1769.0</v>
      </c>
      <c r="AF189" s="26">
        <v>1374.0</v>
      </c>
      <c r="AG189" s="26">
        <v>27.0</v>
      </c>
      <c r="AH189" s="26">
        <v>39.0</v>
      </c>
      <c r="AI189" s="26">
        <f t="shared" si="8"/>
        <v>1413</v>
      </c>
      <c r="AJ189" s="26">
        <f t="shared" si="9"/>
        <v>1796</v>
      </c>
      <c r="AK189" s="26">
        <f t="shared" si="10"/>
        <v>2269</v>
      </c>
      <c r="AL189" s="26">
        <f t="shared" si="11"/>
        <v>2259</v>
      </c>
      <c r="AM189" s="26">
        <f t="shared" ref="AM189:AN189" si="376">(AI189/AK189)*100</f>
        <v>62.27412957</v>
      </c>
      <c r="AN189" s="26">
        <f t="shared" si="376"/>
        <v>79.5042054</v>
      </c>
      <c r="AO189" s="26">
        <v>1319.0</v>
      </c>
      <c r="AP189" s="26">
        <v>463.0</v>
      </c>
      <c r="AQ189" s="26">
        <v>856.0</v>
      </c>
      <c r="AR189" s="26">
        <v>103.0</v>
      </c>
      <c r="AS189" s="27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>
      <c r="A190" s="22">
        <v>5833.0</v>
      </c>
      <c r="B190" s="23" t="s">
        <v>25</v>
      </c>
      <c r="C190" s="29" t="s">
        <v>222</v>
      </c>
      <c r="D190" s="29" t="s">
        <v>247</v>
      </c>
      <c r="E190" s="29" t="s">
        <v>248</v>
      </c>
      <c r="F190" s="29" t="s">
        <v>248</v>
      </c>
      <c r="G190" s="26">
        <v>11865.0</v>
      </c>
      <c r="H190" s="26">
        <v>3482.0</v>
      </c>
      <c r="I190" s="26">
        <v>1842.0</v>
      </c>
      <c r="J190" s="26">
        <v>1640.0</v>
      </c>
      <c r="K190" s="26">
        <v>6525.0</v>
      </c>
      <c r="L190" s="26">
        <v>3621.0</v>
      </c>
      <c r="M190" s="26">
        <v>2886.0</v>
      </c>
      <c r="N190" s="26">
        <v>13.0</v>
      </c>
      <c r="O190" s="26">
        <v>5.0</v>
      </c>
      <c r="P190" s="26">
        <f t="shared" si="3"/>
        <v>2891</v>
      </c>
      <c r="Q190" s="26">
        <f t="shared" si="4"/>
        <v>3634</v>
      </c>
      <c r="R190" s="26">
        <f t="shared" si="5"/>
        <v>4019</v>
      </c>
      <c r="S190" s="26">
        <f t="shared" si="6"/>
        <v>4364</v>
      </c>
      <c r="T190" s="26">
        <f t="shared" ref="T190:U190" si="377">(P190/R190)*100</f>
        <v>71.93331675</v>
      </c>
      <c r="U190" s="26">
        <f t="shared" si="377"/>
        <v>83.27222731</v>
      </c>
      <c r="V190" s="26">
        <v>1858.0</v>
      </c>
      <c r="W190" s="26">
        <v>730.0</v>
      </c>
      <c r="X190" s="26">
        <v>1128.0</v>
      </c>
      <c r="Y190" s="26">
        <v>0.0</v>
      </c>
      <c r="Z190" s="26">
        <v>15781.0</v>
      </c>
      <c r="AA190" s="26">
        <v>4070.0</v>
      </c>
      <c r="AB190" s="26">
        <v>2106.0</v>
      </c>
      <c r="AC190" s="26">
        <v>1964.0</v>
      </c>
      <c r="AD190" s="26">
        <v>8949.0</v>
      </c>
      <c r="AE190" s="26">
        <v>4828.0</v>
      </c>
      <c r="AF190" s="26">
        <v>3966.0</v>
      </c>
      <c r="AG190" s="26">
        <v>99.0</v>
      </c>
      <c r="AH190" s="26">
        <v>56.0</v>
      </c>
      <c r="AI190" s="26">
        <f t="shared" si="8"/>
        <v>4022</v>
      </c>
      <c r="AJ190" s="26">
        <f t="shared" si="9"/>
        <v>4927</v>
      </c>
      <c r="AK190" s="26">
        <f t="shared" si="10"/>
        <v>5564</v>
      </c>
      <c r="AL190" s="26">
        <f t="shared" si="11"/>
        <v>5849</v>
      </c>
      <c r="AM190" s="26">
        <f t="shared" ref="AM190:AN190" si="378">(AI190/AK190)*100</f>
        <v>72.28612509</v>
      </c>
      <c r="AN190" s="26">
        <f t="shared" si="378"/>
        <v>84.23662164</v>
      </c>
      <c r="AO190" s="26">
        <v>2464.0</v>
      </c>
      <c r="AP190" s="26">
        <v>922.0</v>
      </c>
      <c r="AQ190" s="26">
        <v>1542.0</v>
      </c>
      <c r="AR190" s="26">
        <v>298.0</v>
      </c>
      <c r="AS190" s="27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>
      <c r="A191" s="22">
        <v>5857.0</v>
      </c>
      <c r="B191" s="23" t="s">
        <v>25</v>
      </c>
      <c r="C191" s="29" t="s">
        <v>222</v>
      </c>
      <c r="D191" s="29" t="s">
        <v>247</v>
      </c>
      <c r="E191" s="29" t="s">
        <v>249</v>
      </c>
      <c r="F191" s="29" t="s">
        <v>249</v>
      </c>
      <c r="G191" s="26">
        <v>2970.0</v>
      </c>
      <c r="H191" s="26">
        <v>934.0</v>
      </c>
      <c r="I191" s="26">
        <v>497.0</v>
      </c>
      <c r="J191" s="26">
        <v>437.0</v>
      </c>
      <c r="K191" s="26">
        <v>1407.0</v>
      </c>
      <c r="L191" s="26">
        <v>847.0</v>
      </c>
      <c r="M191" s="26">
        <v>553.0</v>
      </c>
      <c r="N191" s="26">
        <v>4.0</v>
      </c>
      <c r="O191" s="26">
        <v>3.0</v>
      </c>
      <c r="P191" s="26">
        <f t="shared" si="3"/>
        <v>556</v>
      </c>
      <c r="Q191" s="26">
        <f t="shared" si="4"/>
        <v>851</v>
      </c>
      <c r="R191" s="26">
        <f t="shared" si="5"/>
        <v>967</v>
      </c>
      <c r="S191" s="26">
        <f t="shared" si="6"/>
        <v>1069</v>
      </c>
      <c r="T191" s="26">
        <f t="shared" ref="T191:U191" si="379">(P191/R191)*100</f>
        <v>57.49741468</v>
      </c>
      <c r="U191" s="26">
        <f t="shared" si="379"/>
        <v>79.60710945</v>
      </c>
      <c r="V191" s="26">
        <v>629.0</v>
      </c>
      <c r="W191" s="26">
        <v>218.0</v>
      </c>
      <c r="X191" s="26">
        <v>411.0</v>
      </c>
      <c r="Y191" s="26">
        <v>0.0</v>
      </c>
      <c r="Z191" s="26">
        <v>3171.0</v>
      </c>
      <c r="AA191" s="26">
        <v>798.0</v>
      </c>
      <c r="AB191" s="26">
        <v>438.0</v>
      </c>
      <c r="AC191" s="26">
        <v>360.0</v>
      </c>
      <c r="AD191" s="26">
        <v>1782.0</v>
      </c>
      <c r="AE191" s="26">
        <v>981.0</v>
      </c>
      <c r="AF191" s="26">
        <v>779.0</v>
      </c>
      <c r="AG191" s="26">
        <v>12.0</v>
      </c>
      <c r="AH191" s="26">
        <v>10.0</v>
      </c>
      <c r="AI191" s="26">
        <f t="shared" si="8"/>
        <v>789</v>
      </c>
      <c r="AJ191" s="26">
        <f t="shared" si="9"/>
        <v>993</v>
      </c>
      <c r="AK191" s="26">
        <f t="shared" si="10"/>
        <v>1110</v>
      </c>
      <c r="AL191" s="26">
        <f t="shared" si="11"/>
        <v>1163</v>
      </c>
      <c r="AM191" s="26">
        <f t="shared" ref="AM191:AN191" si="380">(AI191/AK191)*100</f>
        <v>71.08108108</v>
      </c>
      <c r="AN191" s="26">
        <f t="shared" si="380"/>
        <v>85.38263113</v>
      </c>
      <c r="AO191" s="26">
        <v>491.0</v>
      </c>
      <c r="AP191" s="26">
        <v>170.0</v>
      </c>
      <c r="AQ191" s="26">
        <v>321.0</v>
      </c>
      <c r="AR191" s="26">
        <v>100.0</v>
      </c>
      <c r="AS191" s="27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>
      <c r="A192" s="22">
        <v>5905.0</v>
      </c>
      <c r="B192" s="23" t="s">
        <v>25</v>
      </c>
      <c r="C192" s="29" t="s">
        <v>222</v>
      </c>
      <c r="D192" s="29" t="s">
        <v>250</v>
      </c>
      <c r="E192" s="29" t="s">
        <v>250</v>
      </c>
      <c r="F192" s="29" t="s">
        <v>250</v>
      </c>
      <c r="G192" s="26">
        <v>7974.0</v>
      </c>
      <c r="H192" s="26">
        <v>2492.0</v>
      </c>
      <c r="I192" s="26">
        <v>1283.0</v>
      </c>
      <c r="J192" s="26">
        <v>1209.0</v>
      </c>
      <c r="K192" s="26">
        <v>3403.0</v>
      </c>
      <c r="L192" s="26">
        <v>2065.0</v>
      </c>
      <c r="M192" s="26">
        <v>1246.0</v>
      </c>
      <c r="N192" s="26">
        <v>72.0</v>
      </c>
      <c r="O192" s="26">
        <v>20.0</v>
      </c>
      <c r="P192" s="26">
        <f t="shared" si="3"/>
        <v>1266</v>
      </c>
      <c r="Q192" s="26">
        <f t="shared" si="4"/>
        <v>2137</v>
      </c>
      <c r="R192" s="26">
        <f t="shared" si="5"/>
        <v>2640</v>
      </c>
      <c r="S192" s="26">
        <f t="shared" si="6"/>
        <v>2842</v>
      </c>
      <c r="T192" s="26">
        <f t="shared" ref="T192:U192" si="381">(P192/R192)*100</f>
        <v>47.95454545</v>
      </c>
      <c r="U192" s="26">
        <f t="shared" si="381"/>
        <v>75.19352569</v>
      </c>
      <c r="V192" s="26">
        <v>2079.0</v>
      </c>
      <c r="W192" s="26">
        <v>705.0</v>
      </c>
      <c r="X192" s="26">
        <v>1374.0</v>
      </c>
      <c r="Y192" s="26">
        <v>0.0</v>
      </c>
      <c r="Z192" s="26">
        <v>15323.0</v>
      </c>
      <c r="AA192" s="26">
        <v>3821.0</v>
      </c>
      <c r="AB192" s="26">
        <v>2012.0</v>
      </c>
      <c r="AC192" s="26">
        <v>1809.0</v>
      </c>
      <c r="AD192" s="26">
        <v>8544.0</v>
      </c>
      <c r="AE192" s="26">
        <v>4654.0</v>
      </c>
      <c r="AF192" s="26">
        <v>3730.0</v>
      </c>
      <c r="AG192" s="26">
        <v>97.0</v>
      </c>
      <c r="AH192" s="26">
        <v>63.0</v>
      </c>
      <c r="AI192" s="26">
        <f t="shared" si="8"/>
        <v>3793</v>
      </c>
      <c r="AJ192" s="26">
        <f t="shared" si="9"/>
        <v>4751</v>
      </c>
      <c r="AK192" s="26">
        <f t="shared" si="10"/>
        <v>5506</v>
      </c>
      <c r="AL192" s="26">
        <f t="shared" si="11"/>
        <v>5772</v>
      </c>
      <c r="AM192" s="26">
        <f t="shared" ref="AM192:AN192" si="382">(AI192/AK192)*100</f>
        <v>68.88848529</v>
      </c>
      <c r="AN192" s="26">
        <f t="shared" si="382"/>
        <v>82.31115731</v>
      </c>
      <c r="AO192" s="26">
        <v>2734.0</v>
      </c>
      <c r="AP192" s="26">
        <v>1021.0</v>
      </c>
      <c r="AQ192" s="26">
        <v>1713.0</v>
      </c>
      <c r="AR192" s="26">
        <v>224.0</v>
      </c>
      <c r="AS192" s="27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>
      <c r="A193" s="22">
        <v>5929.0</v>
      </c>
      <c r="B193" s="23" t="s">
        <v>25</v>
      </c>
      <c r="C193" s="29" t="s">
        <v>222</v>
      </c>
      <c r="D193" s="29" t="s">
        <v>250</v>
      </c>
      <c r="E193" s="29" t="s">
        <v>251</v>
      </c>
      <c r="F193" s="29" t="s">
        <v>251</v>
      </c>
      <c r="G193" s="26">
        <v>903.0</v>
      </c>
      <c r="H193" s="26">
        <v>297.0</v>
      </c>
      <c r="I193" s="26">
        <v>156.0</v>
      </c>
      <c r="J193" s="26">
        <v>141.0</v>
      </c>
      <c r="K193" s="26">
        <v>387.0</v>
      </c>
      <c r="L193" s="26">
        <v>244.0</v>
      </c>
      <c r="M193" s="26">
        <v>141.0</v>
      </c>
      <c r="N193" s="26">
        <v>1.0</v>
      </c>
      <c r="O193" s="26">
        <v>1.0</v>
      </c>
      <c r="P193" s="26">
        <f t="shared" si="3"/>
        <v>142</v>
      </c>
      <c r="Q193" s="26">
        <f t="shared" si="4"/>
        <v>245</v>
      </c>
      <c r="R193" s="26">
        <f t="shared" si="5"/>
        <v>283</v>
      </c>
      <c r="S193" s="26">
        <f t="shared" si="6"/>
        <v>323</v>
      </c>
      <c r="T193" s="26">
        <f t="shared" ref="T193:U193" si="383">(P193/R193)*100</f>
        <v>50.17667845</v>
      </c>
      <c r="U193" s="26">
        <f t="shared" si="383"/>
        <v>75.85139319</v>
      </c>
      <c r="V193" s="26">
        <v>219.0</v>
      </c>
      <c r="W193" s="26">
        <v>78.0</v>
      </c>
      <c r="X193" s="26">
        <v>141.0</v>
      </c>
      <c r="Y193" s="26">
        <v>0.0</v>
      </c>
      <c r="Z193" s="26">
        <v>1357.0</v>
      </c>
      <c r="AA193" s="26">
        <v>458.0</v>
      </c>
      <c r="AB193" s="26">
        <v>252.0</v>
      </c>
      <c r="AC193" s="26">
        <v>206.0</v>
      </c>
      <c r="AD193" s="26">
        <v>606.0</v>
      </c>
      <c r="AE193" s="26">
        <v>344.0</v>
      </c>
      <c r="AF193" s="26">
        <v>239.0</v>
      </c>
      <c r="AG193" s="26">
        <v>20.0</v>
      </c>
      <c r="AH193" s="26">
        <v>3.0</v>
      </c>
      <c r="AI193" s="26">
        <f t="shared" si="8"/>
        <v>242</v>
      </c>
      <c r="AJ193" s="26">
        <f t="shared" si="9"/>
        <v>364</v>
      </c>
      <c r="AK193" s="26">
        <f t="shared" si="10"/>
        <v>432</v>
      </c>
      <c r="AL193" s="26">
        <f t="shared" si="11"/>
        <v>452</v>
      </c>
      <c r="AM193" s="26">
        <f t="shared" ref="AM193:AN193" si="384">(AI193/AK193)*100</f>
        <v>56.01851852</v>
      </c>
      <c r="AN193" s="26">
        <f t="shared" si="384"/>
        <v>80.53097345</v>
      </c>
      <c r="AO193" s="26">
        <v>278.0</v>
      </c>
      <c r="AP193" s="26">
        <v>88.0</v>
      </c>
      <c r="AQ193" s="26">
        <v>190.0</v>
      </c>
      <c r="AR193" s="26">
        <v>15.0</v>
      </c>
      <c r="AS193" s="27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>
      <c r="A194" s="22">
        <v>5953.0</v>
      </c>
      <c r="B194" s="23" t="s">
        <v>25</v>
      </c>
      <c r="C194" s="29" t="s">
        <v>222</v>
      </c>
      <c r="D194" s="29" t="s">
        <v>250</v>
      </c>
      <c r="E194" s="29" t="s">
        <v>252</v>
      </c>
      <c r="F194" s="29" t="s">
        <v>252</v>
      </c>
      <c r="G194" s="26">
        <v>1971.0</v>
      </c>
      <c r="H194" s="26">
        <v>677.0</v>
      </c>
      <c r="I194" s="26">
        <v>335.0</v>
      </c>
      <c r="J194" s="26">
        <v>342.0</v>
      </c>
      <c r="K194" s="26">
        <v>759.0</v>
      </c>
      <c r="L194" s="26">
        <v>445.0</v>
      </c>
      <c r="M194" s="26">
        <v>301.0</v>
      </c>
      <c r="N194" s="26">
        <v>11.0</v>
      </c>
      <c r="O194" s="26">
        <v>2.0</v>
      </c>
      <c r="P194" s="26">
        <f t="shared" si="3"/>
        <v>303</v>
      </c>
      <c r="Q194" s="26">
        <f t="shared" si="4"/>
        <v>456</v>
      </c>
      <c r="R194" s="26">
        <f t="shared" si="5"/>
        <v>641</v>
      </c>
      <c r="S194" s="26">
        <f t="shared" si="6"/>
        <v>653</v>
      </c>
      <c r="T194" s="26">
        <f t="shared" ref="T194:U194" si="385">(P194/R194)*100</f>
        <v>47.2698908</v>
      </c>
      <c r="U194" s="26">
        <f t="shared" si="385"/>
        <v>69.83154671</v>
      </c>
      <c r="V194" s="26">
        <v>535.0</v>
      </c>
      <c r="W194" s="26">
        <v>197.0</v>
      </c>
      <c r="X194" s="26">
        <v>338.0</v>
      </c>
      <c r="Y194" s="26">
        <v>0.0</v>
      </c>
      <c r="Z194" s="26">
        <v>2302.0</v>
      </c>
      <c r="AA194" s="26">
        <v>654.0</v>
      </c>
      <c r="AB194" s="26">
        <v>339.0</v>
      </c>
      <c r="AC194" s="26">
        <v>315.0</v>
      </c>
      <c r="AD194" s="26">
        <v>1040.0</v>
      </c>
      <c r="AE194" s="26">
        <v>534.0</v>
      </c>
      <c r="AF194" s="26">
        <v>433.0</v>
      </c>
      <c r="AG194" s="26">
        <v>52.0</v>
      </c>
      <c r="AH194" s="26">
        <v>21.0</v>
      </c>
      <c r="AI194" s="26">
        <f t="shared" si="8"/>
        <v>454</v>
      </c>
      <c r="AJ194" s="26">
        <f t="shared" si="9"/>
        <v>586</v>
      </c>
      <c r="AK194" s="26">
        <f t="shared" si="10"/>
        <v>776</v>
      </c>
      <c r="AL194" s="26">
        <f t="shared" si="11"/>
        <v>770</v>
      </c>
      <c r="AM194" s="26">
        <f t="shared" ref="AM194:AN194" si="386">(AI194/AK194)*100</f>
        <v>58.50515464</v>
      </c>
      <c r="AN194" s="26">
        <f t="shared" si="386"/>
        <v>76.1038961</v>
      </c>
      <c r="AO194" s="26">
        <v>506.0</v>
      </c>
      <c r="AP194" s="26">
        <v>184.0</v>
      </c>
      <c r="AQ194" s="26">
        <v>322.0</v>
      </c>
      <c r="AR194" s="26">
        <v>102.0</v>
      </c>
      <c r="AS194" s="27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>
      <c r="A195" s="22">
        <v>6001.0</v>
      </c>
      <c r="B195" s="23" t="s">
        <v>25</v>
      </c>
      <c r="C195" s="29" t="s">
        <v>222</v>
      </c>
      <c r="D195" s="29" t="s">
        <v>253</v>
      </c>
      <c r="E195" s="29" t="s">
        <v>254</v>
      </c>
      <c r="F195" s="29" t="s">
        <v>254</v>
      </c>
      <c r="G195" s="26">
        <v>10138.0</v>
      </c>
      <c r="H195" s="26">
        <v>2549.0</v>
      </c>
      <c r="I195" s="26">
        <v>1327.0</v>
      </c>
      <c r="J195" s="26">
        <v>1222.0</v>
      </c>
      <c r="K195" s="26">
        <v>5743.0</v>
      </c>
      <c r="L195" s="26">
        <v>3093.0</v>
      </c>
      <c r="M195" s="26">
        <v>2570.0</v>
      </c>
      <c r="N195" s="26">
        <v>61.0</v>
      </c>
      <c r="O195" s="26">
        <v>19.0</v>
      </c>
      <c r="P195" s="26">
        <f t="shared" si="3"/>
        <v>2589</v>
      </c>
      <c r="Q195" s="26">
        <f t="shared" si="4"/>
        <v>3154</v>
      </c>
      <c r="R195" s="26">
        <f t="shared" si="5"/>
        <v>3732</v>
      </c>
      <c r="S195" s="26">
        <f t="shared" si="6"/>
        <v>3857</v>
      </c>
      <c r="T195" s="26">
        <f t="shared" ref="T195:U195" si="387">(P195/R195)*100</f>
        <v>69.37299035</v>
      </c>
      <c r="U195" s="26">
        <f t="shared" si="387"/>
        <v>81.77339901</v>
      </c>
      <c r="V195" s="26">
        <v>1846.0</v>
      </c>
      <c r="W195" s="26">
        <v>703.0</v>
      </c>
      <c r="X195" s="26">
        <v>1143.0</v>
      </c>
      <c r="Y195" s="26">
        <v>0.0</v>
      </c>
      <c r="Z195" s="26">
        <v>12008.0</v>
      </c>
      <c r="AA195" s="26">
        <v>2398.0</v>
      </c>
      <c r="AB195" s="26">
        <v>1239.0</v>
      </c>
      <c r="AC195" s="26">
        <v>1159.0</v>
      </c>
      <c r="AD195" s="26">
        <v>7548.0</v>
      </c>
      <c r="AE195" s="26">
        <v>3967.0</v>
      </c>
      <c r="AF195" s="26">
        <v>3450.0</v>
      </c>
      <c r="AG195" s="26">
        <v>89.0</v>
      </c>
      <c r="AH195" s="26">
        <v>42.0</v>
      </c>
      <c r="AI195" s="26">
        <f t="shared" si="8"/>
        <v>3492</v>
      </c>
      <c r="AJ195" s="26">
        <f t="shared" si="9"/>
        <v>4056</v>
      </c>
      <c r="AK195" s="26">
        <f t="shared" si="10"/>
        <v>4569</v>
      </c>
      <c r="AL195" s="26">
        <f t="shared" si="11"/>
        <v>4775</v>
      </c>
      <c r="AM195" s="26">
        <f t="shared" ref="AM195:AN195" si="388">(AI195/AK195)*100</f>
        <v>76.42810243</v>
      </c>
      <c r="AN195" s="26">
        <f t="shared" si="388"/>
        <v>84.94240838</v>
      </c>
      <c r="AO195" s="26">
        <v>1796.0</v>
      </c>
      <c r="AP195" s="26">
        <v>719.0</v>
      </c>
      <c r="AQ195" s="26">
        <v>1077.0</v>
      </c>
      <c r="AR195" s="26">
        <v>266.0</v>
      </c>
      <c r="AS195" s="27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>
      <c r="A196" s="22">
        <v>6049.0</v>
      </c>
      <c r="B196" s="23" t="s">
        <v>25</v>
      </c>
      <c r="C196" s="29" t="s">
        <v>222</v>
      </c>
      <c r="D196" s="29" t="s">
        <v>255</v>
      </c>
      <c r="E196" s="29" t="s">
        <v>256</v>
      </c>
      <c r="F196" s="29" t="s">
        <v>256</v>
      </c>
      <c r="G196" s="26">
        <v>5267.0</v>
      </c>
      <c r="H196" s="26">
        <v>1542.0</v>
      </c>
      <c r="I196" s="26">
        <v>791.0</v>
      </c>
      <c r="J196" s="26">
        <v>751.0</v>
      </c>
      <c r="K196" s="26">
        <v>2613.0</v>
      </c>
      <c r="L196" s="26">
        <v>1453.0</v>
      </c>
      <c r="M196" s="26">
        <v>1143.0</v>
      </c>
      <c r="N196" s="26">
        <v>15.0</v>
      </c>
      <c r="O196" s="26">
        <v>2.0</v>
      </c>
      <c r="P196" s="26">
        <f t="shared" si="3"/>
        <v>1145</v>
      </c>
      <c r="Q196" s="26">
        <f t="shared" si="4"/>
        <v>1468</v>
      </c>
      <c r="R196" s="26">
        <f t="shared" si="5"/>
        <v>1848</v>
      </c>
      <c r="S196" s="26">
        <f t="shared" si="6"/>
        <v>1877</v>
      </c>
      <c r="T196" s="26">
        <f t="shared" ref="T196:U196" si="389">(P196/R196)*100</f>
        <v>61.95887446</v>
      </c>
      <c r="U196" s="26">
        <f t="shared" si="389"/>
        <v>78.20990943</v>
      </c>
      <c r="V196" s="26">
        <v>1112.0</v>
      </c>
      <c r="W196" s="26">
        <v>409.0</v>
      </c>
      <c r="X196" s="26">
        <v>703.0</v>
      </c>
      <c r="Y196" s="26">
        <v>0.0</v>
      </c>
      <c r="Z196" s="26">
        <v>5284.0</v>
      </c>
      <c r="AA196" s="26">
        <v>1310.0</v>
      </c>
      <c r="AB196" s="26">
        <v>703.0</v>
      </c>
      <c r="AC196" s="26">
        <v>607.0</v>
      </c>
      <c r="AD196" s="26">
        <v>3070.0</v>
      </c>
      <c r="AE196" s="26">
        <v>1654.0</v>
      </c>
      <c r="AF196" s="26">
        <v>1365.0</v>
      </c>
      <c r="AG196" s="26">
        <v>28.0</v>
      </c>
      <c r="AH196" s="26">
        <v>23.0</v>
      </c>
      <c r="AI196" s="26">
        <f t="shared" si="8"/>
        <v>1388</v>
      </c>
      <c r="AJ196" s="26">
        <f t="shared" si="9"/>
        <v>1682</v>
      </c>
      <c r="AK196" s="26">
        <f t="shared" si="10"/>
        <v>1905</v>
      </c>
      <c r="AL196" s="26">
        <f t="shared" si="11"/>
        <v>1987</v>
      </c>
      <c r="AM196" s="26">
        <f t="shared" ref="AM196:AN196" si="390">(AI196/AK196)*100</f>
        <v>72.86089239</v>
      </c>
      <c r="AN196" s="26">
        <f t="shared" si="390"/>
        <v>84.65022647</v>
      </c>
      <c r="AO196" s="26">
        <v>822.0</v>
      </c>
      <c r="AP196" s="26">
        <v>305.0</v>
      </c>
      <c r="AQ196" s="26">
        <v>517.0</v>
      </c>
      <c r="AR196" s="26">
        <v>82.0</v>
      </c>
      <c r="AS196" s="27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>
      <c r="A197" s="22">
        <v>6097.0</v>
      </c>
      <c r="B197" s="23" t="s">
        <v>25</v>
      </c>
      <c r="C197" s="29" t="s">
        <v>222</v>
      </c>
      <c r="D197" s="29" t="s">
        <v>257</v>
      </c>
      <c r="E197" s="29" t="s">
        <v>258</v>
      </c>
      <c r="F197" s="29" t="s">
        <v>258</v>
      </c>
      <c r="G197" s="26">
        <v>5212.0</v>
      </c>
      <c r="H197" s="26">
        <v>1241.0</v>
      </c>
      <c r="I197" s="26">
        <v>658.0</v>
      </c>
      <c r="J197" s="26">
        <v>583.0</v>
      </c>
      <c r="K197" s="26">
        <v>2732.0</v>
      </c>
      <c r="L197" s="26">
        <v>1534.0</v>
      </c>
      <c r="M197" s="26">
        <v>1185.0</v>
      </c>
      <c r="N197" s="26">
        <v>7.0</v>
      </c>
      <c r="O197" s="26">
        <v>6.0</v>
      </c>
      <c r="P197" s="26">
        <f t="shared" si="3"/>
        <v>1191</v>
      </c>
      <c r="Q197" s="26">
        <f t="shared" si="4"/>
        <v>1541</v>
      </c>
      <c r="R197" s="26">
        <f t="shared" si="5"/>
        <v>1985</v>
      </c>
      <c r="S197" s="26">
        <f t="shared" si="6"/>
        <v>1986</v>
      </c>
      <c r="T197" s="26">
        <f t="shared" ref="T197:U197" si="391">(P197/R197)*100</f>
        <v>60</v>
      </c>
      <c r="U197" s="26">
        <f t="shared" si="391"/>
        <v>77.59315206</v>
      </c>
      <c r="V197" s="26">
        <v>1239.0</v>
      </c>
      <c r="W197" s="26">
        <v>445.0</v>
      </c>
      <c r="X197" s="26">
        <v>794.0</v>
      </c>
      <c r="Y197" s="26">
        <v>0.0</v>
      </c>
      <c r="Z197" s="26">
        <v>6232.0</v>
      </c>
      <c r="AA197" s="26">
        <v>1297.0</v>
      </c>
      <c r="AB197" s="26">
        <v>667.0</v>
      </c>
      <c r="AC197" s="26">
        <v>630.0</v>
      </c>
      <c r="AD197" s="26">
        <v>3776.0</v>
      </c>
      <c r="AE197" s="26">
        <v>2053.0</v>
      </c>
      <c r="AF197" s="26">
        <v>1660.0</v>
      </c>
      <c r="AG197" s="26">
        <v>45.0</v>
      </c>
      <c r="AH197" s="26">
        <v>18.0</v>
      </c>
      <c r="AI197" s="26">
        <f t="shared" si="8"/>
        <v>1678</v>
      </c>
      <c r="AJ197" s="26">
        <f t="shared" si="9"/>
        <v>2098</v>
      </c>
      <c r="AK197" s="26">
        <f t="shared" si="10"/>
        <v>2256</v>
      </c>
      <c r="AL197" s="26">
        <f t="shared" si="11"/>
        <v>2483</v>
      </c>
      <c r="AM197" s="26">
        <f t="shared" ref="AM197:AN197" si="392">(AI197/AK197)*100</f>
        <v>74.37943262</v>
      </c>
      <c r="AN197" s="26">
        <f t="shared" si="392"/>
        <v>84.49456303</v>
      </c>
      <c r="AO197" s="26">
        <v>963.0</v>
      </c>
      <c r="AP197" s="26">
        <v>385.0</v>
      </c>
      <c r="AQ197" s="26">
        <v>578.0</v>
      </c>
      <c r="AR197" s="26">
        <v>196.0</v>
      </c>
      <c r="AS197" s="27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>
      <c r="A198" s="22">
        <v>6121.0</v>
      </c>
      <c r="B198" s="23" t="s">
        <v>25</v>
      </c>
      <c r="C198" s="29" t="s">
        <v>222</v>
      </c>
      <c r="D198" s="29" t="s">
        <v>257</v>
      </c>
      <c r="E198" s="29" t="s">
        <v>259</v>
      </c>
      <c r="F198" s="29" t="s">
        <v>259</v>
      </c>
      <c r="G198" s="26">
        <v>2006.0</v>
      </c>
      <c r="H198" s="26">
        <v>556.0</v>
      </c>
      <c r="I198" s="26">
        <v>316.0</v>
      </c>
      <c r="J198" s="26">
        <v>240.0</v>
      </c>
      <c r="K198" s="26">
        <v>1045.0</v>
      </c>
      <c r="L198" s="26">
        <v>567.0</v>
      </c>
      <c r="M198" s="26">
        <v>467.0</v>
      </c>
      <c r="N198" s="26">
        <v>8.0</v>
      </c>
      <c r="O198" s="26">
        <v>3.0</v>
      </c>
      <c r="P198" s="26">
        <f t="shared" si="3"/>
        <v>470</v>
      </c>
      <c r="Q198" s="26">
        <f t="shared" si="4"/>
        <v>575</v>
      </c>
      <c r="R198" s="26">
        <f t="shared" si="5"/>
        <v>723</v>
      </c>
      <c r="S198" s="26">
        <f t="shared" si="6"/>
        <v>727</v>
      </c>
      <c r="T198" s="26">
        <f t="shared" ref="T198:U198" si="393">(P198/R198)*100</f>
        <v>65.00691563</v>
      </c>
      <c r="U198" s="26">
        <f t="shared" si="393"/>
        <v>79.09215956</v>
      </c>
      <c r="V198" s="26">
        <v>405.0</v>
      </c>
      <c r="W198" s="26">
        <v>152.0</v>
      </c>
      <c r="X198" s="26">
        <v>253.0</v>
      </c>
      <c r="Y198" s="26">
        <v>0.0</v>
      </c>
      <c r="Z198" s="26">
        <v>2997.0</v>
      </c>
      <c r="AA198" s="26">
        <v>688.0</v>
      </c>
      <c r="AB198" s="26">
        <v>374.0</v>
      </c>
      <c r="AC198" s="26">
        <v>314.0</v>
      </c>
      <c r="AD198" s="26">
        <v>1816.0</v>
      </c>
      <c r="AE198" s="26">
        <v>964.0</v>
      </c>
      <c r="AF198" s="26">
        <v>821.0</v>
      </c>
      <c r="AG198" s="26">
        <v>16.0</v>
      </c>
      <c r="AH198" s="26">
        <v>15.0</v>
      </c>
      <c r="AI198" s="26">
        <f t="shared" si="8"/>
        <v>836</v>
      </c>
      <c r="AJ198" s="26">
        <f t="shared" si="9"/>
        <v>980</v>
      </c>
      <c r="AK198" s="26">
        <f t="shared" si="10"/>
        <v>1088</v>
      </c>
      <c r="AL198" s="26">
        <f t="shared" si="11"/>
        <v>1133</v>
      </c>
      <c r="AM198" s="26">
        <f t="shared" ref="AM198:AN198" si="394">(AI198/AK198)*100</f>
        <v>76.83823529</v>
      </c>
      <c r="AN198" s="26">
        <f t="shared" si="394"/>
        <v>86.49602824</v>
      </c>
      <c r="AO198" s="26">
        <v>405.0</v>
      </c>
      <c r="AP198" s="26">
        <v>153.0</v>
      </c>
      <c r="AQ198" s="26">
        <v>252.0</v>
      </c>
      <c r="AR198" s="26">
        <v>88.0</v>
      </c>
      <c r="AS198" s="27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>
      <c r="A199" s="22">
        <v>6169.0</v>
      </c>
      <c r="B199" s="23" t="s">
        <v>25</v>
      </c>
      <c r="C199" s="29" t="s">
        <v>222</v>
      </c>
      <c r="D199" s="29" t="s">
        <v>260</v>
      </c>
      <c r="E199" s="29" t="s">
        <v>204</v>
      </c>
      <c r="F199" s="29" t="s">
        <v>204</v>
      </c>
      <c r="G199" s="26">
        <v>5518.0</v>
      </c>
      <c r="H199" s="26">
        <v>1563.0</v>
      </c>
      <c r="I199" s="26">
        <v>775.0</v>
      </c>
      <c r="J199" s="26">
        <v>788.0</v>
      </c>
      <c r="K199" s="26">
        <v>2977.0</v>
      </c>
      <c r="L199" s="26">
        <v>1656.0</v>
      </c>
      <c r="M199" s="26">
        <v>1299.0</v>
      </c>
      <c r="N199" s="26">
        <v>16.0</v>
      </c>
      <c r="O199" s="26">
        <v>6.0</v>
      </c>
      <c r="P199" s="26">
        <f t="shared" si="3"/>
        <v>1305</v>
      </c>
      <c r="Q199" s="26">
        <f t="shared" si="4"/>
        <v>1672</v>
      </c>
      <c r="R199" s="26">
        <f t="shared" si="5"/>
        <v>1889</v>
      </c>
      <c r="S199" s="26">
        <f t="shared" si="6"/>
        <v>2066</v>
      </c>
      <c r="T199" s="26">
        <f t="shared" ref="T199:U199" si="395">(P199/R199)*100</f>
        <v>69.08417152</v>
      </c>
      <c r="U199" s="26">
        <f t="shared" si="395"/>
        <v>80.92933204</v>
      </c>
      <c r="V199" s="26">
        <v>978.0</v>
      </c>
      <c r="W199" s="26">
        <v>394.0</v>
      </c>
      <c r="X199" s="26">
        <v>584.0</v>
      </c>
      <c r="Y199" s="26">
        <v>0.0</v>
      </c>
      <c r="Z199" s="26">
        <v>6389.0</v>
      </c>
      <c r="AA199" s="26">
        <v>1455.0</v>
      </c>
      <c r="AB199" s="26">
        <v>768.0</v>
      </c>
      <c r="AC199" s="26">
        <v>687.0</v>
      </c>
      <c r="AD199" s="26">
        <v>4005.0</v>
      </c>
      <c r="AE199" s="26">
        <v>2180.0</v>
      </c>
      <c r="AF199" s="26">
        <v>1770.0</v>
      </c>
      <c r="AG199" s="26">
        <v>37.0</v>
      </c>
      <c r="AH199" s="26">
        <v>18.0</v>
      </c>
      <c r="AI199" s="26">
        <f t="shared" si="8"/>
        <v>1788</v>
      </c>
      <c r="AJ199" s="26">
        <f t="shared" si="9"/>
        <v>2217</v>
      </c>
      <c r="AK199" s="26">
        <f t="shared" si="10"/>
        <v>2231</v>
      </c>
      <c r="AL199" s="26">
        <f t="shared" si="11"/>
        <v>2520</v>
      </c>
      <c r="AM199" s="26">
        <f t="shared" ref="AM199:AN199" si="396">(AI199/AK199)*100</f>
        <v>80.14343344</v>
      </c>
      <c r="AN199" s="26">
        <f t="shared" si="396"/>
        <v>87.97619048</v>
      </c>
      <c r="AO199" s="26">
        <v>746.0</v>
      </c>
      <c r="AP199" s="26">
        <v>303.0</v>
      </c>
      <c r="AQ199" s="26">
        <v>443.0</v>
      </c>
      <c r="AR199" s="26">
        <v>183.0</v>
      </c>
      <c r="AS199" s="27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>
      <c r="A200" s="22">
        <v>6217.0</v>
      </c>
      <c r="B200" s="23" t="s">
        <v>25</v>
      </c>
      <c r="C200" s="29" t="s">
        <v>222</v>
      </c>
      <c r="D200" s="29" t="s">
        <v>261</v>
      </c>
      <c r="E200" s="29" t="s">
        <v>262</v>
      </c>
      <c r="F200" s="29" t="s">
        <v>262</v>
      </c>
      <c r="G200" s="26">
        <v>13246.0</v>
      </c>
      <c r="H200" s="26">
        <v>3554.0</v>
      </c>
      <c r="I200" s="26">
        <v>1879.0</v>
      </c>
      <c r="J200" s="26">
        <v>1675.0</v>
      </c>
      <c r="K200" s="26">
        <v>6943.0</v>
      </c>
      <c r="L200" s="26">
        <v>4189.0</v>
      </c>
      <c r="M200" s="26">
        <v>2691.0</v>
      </c>
      <c r="N200" s="26">
        <v>43.0</v>
      </c>
      <c r="O200" s="26">
        <v>20.0</v>
      </c>
      <c r="P200" s="26">
        <f t="shared" si="3"/>
        <v>2711</v>
      </c>
      <c r="Q200" s="26">
        <f t="shared" si="4"/>
        <v>4232</v>
      </c>
      <c r="R200" s="26">
        <f t="shared" si="5"/>
        <v>4396</v>
      </c>
      <c r="S200" s="26">
        <f t="shared" si="6"/>
        <v>5296</v>
      </c>
      <c r="T200" s="26">
        <f t="shared" ref="T200:U200" si="397">(P200/R200)*100</f>
        <v>61.66969973</v>
      </c>
      <c r="U200" s="26">
        <f t="shared" si="397"/>
        <v>79.90936556</v>
      </c>
      <c r="V200" s="26">
        <v>2749.0</v>
      </c>
      <c r="W200" s="26">
        <v>1064.0</v>
      </c>
      <c r="X200" s="26">
        <v>1685.0</v>
      </c>
      <c r="Y200" s="26">
        <v>0.0</v>
      </c>
      <c r="Z200" s="26">
        <v>13329.0</v>
      </c>
      <c r="AA200" s="26">
        <v>3278.0</v>
      </c>
      <c r="AB200" s="26">
        <v>1676.0</v>
      </c>
      <c r="AC200" s="26">
        <v>1602.0</v>
      </c>
      <c r="AD200" s="26">
        <v>7606.0</v>
      </c>
      <c r="AE200" s="26">
        <v>4390.0</v>
      </c>
      <c r="AF200" s="26">
        <v>3043.0</v>
      </c>
      <c r="AG200" s="26">
        <v>116.0</v>
      </c>
      <c r="AH200" s="26">
        <v>57.0</v>
      </c>
      <c r="AI200" s="26">
        <f t="shared" si="8"/>
        <v>3100</v>
      </c>
      <c r="AJ200" s="26">
        <f t="shared" si="9"/>
        <v>4506</v>
      </c>
      <c r="AK200" s="26">
        <f t="shared" si="10"/>
        <v>4483</v>
      </c>
      <c r="AL200" s="26">
        <f t="shared" si="11"/>
        <v>5401</v>
      </c>
      <c r="AM200" s="26">
        <f t="shared" ref="AM200:AN200" si="398">(AI200/AK200)*100</f>
        <v>69.15012269</v>
      </c>
      <c r="AN200" s="26">
        <f t="shared" si="398"/>
        <v>83.42899463</v>
      </c>
      <c r="AO200" s="26">
        <v>2278.0</v>
      </c>
      <c r="AP200" s="26">
        <v>895.0</v>
      </c>
      <c r="AQ200" s="26">
        <v>1383.0</v>
      </c>
      <c r="AR200" s="26">
        <v>167.0</v>
      </c>
      <c r="AS200" s="27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>
      <c r="A201" s="22">
        <v>6265.0</v>
      </c>
      <c r="B201" s="23" t="s">
        <v>25</v>
      </c>
      <c r="C201" s="29" t="s">
        <v>222</v>
      </c>
      <c r="D201" s="29" t="s">
        <v>263</v>
      </c>
      <c r="E201" s="29" t="s">
        <v>264</v>
      </c>
      <c r="F201" s="29" t="s">
        <v>264</v>
      </c>
      <c r="G201" s="26">
        <v>508.0</v>
      </c>
      <c r="H201" s="26">
        <v>160.0</v>
      </c>
      <c r="I201" s="26">
        <v>85.0</v>
      </c>
      <c r="J201" s="26">
        <v>75.0</v>
      </c>
      <c r="K201" s="26">
        <v>261.0</v>
      </c>
      <c r="L201" s="26">
        <v>145.0</v>
      </c>
      <c r="M201" s="26">
        <v>113.0</v>
      </c>
      <c r="N201" s="26">
        <v>2.0</v>
      </c>
      <c r="O201" s="26">
        <v>1.0</v>
      </c>
      <c r="P201" s="26">
        <f t="shared" si="3"/>
        <v>114</v>
      </c>
      <c r="Q201" s="26">
        <f t="shared" si="4"/>
        <v>147</v>
      </c>
      <c r="R201" s="26">
        <f t="shared" si="5"/>
        <v>180</v>
      </c>
      <c r="S201" s="26">
        <f t="shared" si="6"/>
        <v>168</v>
      </c>
      <c r="T201" s="26">
        <f t="shared" ref="T201:U201" si="399">(P201/R201)*100</f>
        <v>63.33333333</v>
      </c>
      <c r="U201" s="26">
        <f t="shared" si="399"/>
        <v>87.5</v>
      </c>
      <c r="V201" s="26">
        <v>87.0</v>
      </c>
      <c r="W201" s="26">
        <v>21.0</v>
      </c>
      <c r="X201" s="26">
        <v>66.0</v>
      </c>
      <c r="Y201" s="26">
        <v>0.0</v>
      </c>
      <c r="Z201" s="26">
        <v>1248.0</v>
      </c>
      <c r="AA201" s="26">
        <v>342.0</v>
      </c>
      <c r="AB201" s="26">
        <v>156.0</v>
      </c>
      <c r="AC201" s="26">
        <v>186.0</v>
      </c>
      <c r="AD201" s="26">
        <v>620.0</v>
      </c>
      <c r="AE201" s="26">
        <v>321.0</v>
      </c>
      <c r="AF201" s="26">
        <v>267.0</v>
      </c>
      <c r="AG201" s="26">
        <v>21.0</v>
      </c>
      <c r="AH201" s="26">
        <v>11.0</v>
      </c>
      <c r="AI201" s="26">
        <f t="shared" si="8"/>
        <v>278</v>
      </c>
      <c r="AJ201" s="26">
        <f t="shared" si="9"/>
        <v>342</v>
      </c>
      <c r="AK201" s="26">
        <f t="shared" si="10"/>
        <v>451</v>
      </c>
      <c r="AL201" s="26">
        <f t="shared" si="11"/>
        <v>449</v>
      </c>
      <c r="AM201" s="26">
        <f t="shared" ref="AM201:AN201" si="400">(AI201/AK201)*100</f>
        <v>61.64079823</v>
      </c>
      <c r="AN201" s="26">
        <f t="shared" si="400"/>
        <v>76.16926503</v>
      </c>
      <c r="AO201" s="26">
        <v>280.0</v>
      </c>
      <c r="AP201" s="26">
        <v>107.0</v>
      </c>
      <c r="AQ201" s="26">
        <v>173.0</v>
      </c>
      <c r="AR201" s="26">
        <v>6.0</v>
      </c>
      <c r="AS201" s="27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>
      <c r="A202" s="22">
        <v>6289.0</v>
      </c>
      <c r="B202" s="23" t="s">
        <v>25</v>
      </c>
      <c r="C202" s="29" t="s">
        <v>222</v>
      </c>
      <c r="D202" s="29" t="s">
        <v>263</v>
      </c>
      <c r="E202" s="29" t="s">
        <v>265</v>
      </c>
      <c r="F202" s="29" t="s">
        <v>265</v>
      </c>
      <c r="G202" s="26">
        <v>726.0</v>
      </c>
      <c r="H202" s="26">
        <v>218.0</v>
      </c>
      <c r="I202" s="26">
        <v>116.0</v>
      </c>
      <c r="J202" s="26">
        <v>102.0</v>
      </c>
      <c r="K202" s="26">
        <v>338.0</v>
      </c>
      <c r="L202" s="26">
        <v>204.0</v>
      </c>
      <c r="M202" s="26">
        <v>133.0</v>
      </c>
      <c r="N202" s="26">
        <v>1.0</v>
      </c>
      <c r="O202" s="26">
        <v>0.0</v>
      </c>
      <c r="P202" s="26">
        <f t="shared" si="3"/>
        <v>133</v>
      </c>
      <c r="Q202" s="26">
        <f t="shared" si="4"/>
        <v>205</v>
      </c>
      <c r="R202" s="26">
        <f t="shared" si="5"/>
        <v>224</v>
      </c>
      <c r="S202" s="26">
        <f t="shared" si="6"/>
        <v>284</v>
      </c>
      <c r="T202" s="26">
        <f t="shared" ref="T202:U202" si="401">(P202/R202)*100</f>
        <v>59.375</v>
      </c>
      <c r="U202" s="26">
        <f t="shared" si="401"/>
        <v>72.18309859</v>
      </c>
      <c r="V202" s="26">
        <v>170.0</v>
      </c>
      <c r="W202" s="26">
        <v>79.0</v>
      </c>
      <c r="X202" s="26">
        <v>91.0</v>
      </c>
      <c r="Y202" s="26">
        <v>0.0</v>
      </c>
      <c r="Z202" s="26">
        <v>1131.0</v>
      </c>
      <c r="AA202" s="26">
        <v>315.0</v>
      </c>
      <c r="AB202" s="26">
        <v>159.0</v>
      </c>
      <c r="AC202" s="26">
        <v>156.0</v>
      </c>
      <c r="AD202" s="26">
        <v>596.0</v>
      </c>
      <c r="AE202" s="26">
        <v>333.0</v>
      </c>
      <c r="AF202" s="26">
        <v>256.0</v>
      </c>
      <c r="AG202" s="26">
        <v>5.0</v>
      </c>
      <c r="AH202" s="26">
        <v>2.0</v>
      </c>
      <c r="AI202" s="26">
        <f t="shared" si="8"/>
        <v>258</v>
      </c>
      <c r="AJ202" s="26">
        <f t="shared" si="9"/>
        <v>338</v>
      </c>
      <c r="AK202" s="26">
        <f t="shared" si="10"/>
        <v>366</v>
      </c>
      <c r="AL202" s="26">
        <f t="shared" si="11"/>
        <v>437</v>
      </c>
      <c r="AM202" s="26">
        <f t="shared" ref="AM202:AN202" si="402">(AI202/AK202)*100</f>
        <v>70.49180328</v>
      </c>
      <c r="AN202" s="26">
        <f t="shared" si="402"/>
        <v>77.34553776</v>
      </c>
      <c r="AO202" s="26">
        <v>207.0</v>
      </c>
      <c r="AP202" s="26">
        <v>99.0</v>
      </c>
      <c r="AQ202" s="26">
        <v>108.0</v>
      </c>
      <c r="AR202" s="26">
        <v>13.0</v>
      </c>
      <c r="AS202" s="27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>
      <c r="A203" s="22">
        <v>6313.0</v>
      </c>
      <c r="B203" s="23" t="s">
        <v>25</v>
      </c>
      <c r="C203" s="29" t="s">
        <v>222</v>
      </c>
      <c r="D203" s="29" t="s">
        <v>263</v>
      </c>
      <c r="E203" s="29" t="s">
        <v>229</v>
      </c>
      <c r="F203" s="29" t="s">
        <v>229</v>
      </c>
      <c r="G203" s="26">
        <v>839.0</v>
      </c>
      <c r="H203" s="26">
        <v>285.0</v>
      </c>
      <c r="I203" s="26">
        <v>162.0</v>
      </c>
      <c r="J203" s="26">
        <v>123.0</v>
      </c>
      <c r="K203" s="26">
        <v>349.0</v>
      </c>
      <c r="L203" s="26">
        <v>191.0</v>
      </c>
      <c r="M203" s="26">
        <v>154.0</v>
      </c>
      <c r="N203" s="26">
        <v>3.0</v>
      </c>
      <c r="O203" s="26">
        <v>1.0</v>
      </c>
      <c r="P203" s="26">
        <f t="shared" si="3"/>
        <v>155</v>
      </c>
      <c r="Q203" s="26">
        <f t="shared" si="4"/>
        <v>194</v>
      </c>
      <c r="R203" s="26">
        <f t="shared" si="5"/>
        <v>299</v>
      </c>
      <c r="S203" s="26">
        <f t="shared" si="6"/>
        <v>255</v>
      </c>
      <c r="T203" s="26">
        <f t="shared" ref="T203:U203" si="403">(P203/R203)*100</f>
        <v>51.83946488</v>
      </c>
      <c r="U203" s="26">
        <f t="shared" si="403"/>
        <v>76.07843137</v>
      </c>
      <c r="V203" s="26">
        <v>205.0</v>
      </c>
      <c r="W203" s="26">
        <v>61.0</v>
      </c>
      <c r="X203" s="26">
        <v>144.0</v>
      </c>
      <c r="Y203" s="26">
        <v>0.0</v>
      </c>
      <c r="Z203" s="26">
        <v>1091.0</v>
      </c>
      <c r="AA203" s="26">
        <v>295.0</v>
      </c>
      <c r="AB203" s="26">
        <v>164.0</v>
      </c>
      <c r="AC203" s="26">
        <v>131.0</v>
      </c>
      <c r="AD203" s="26">
        <v>588.0</v>
      </c>
      <c r="AE203" s="26">
        <v>306.0</v>
      </c>
      <c r="AF203" s="26">
        <v>264.0</v>
      </c>
      <c r="AG203" s="26">
        <v>10.0</v>
      </c>
      <c r="AH203" s="26">
        <v>8.0</v>
      </c>
      <c r="AI203" s="26">
        <f t="shared" si="8"/>
        <v>272</v>
      </c>
      <c r="AJ203" s="26">
        <f t="shared" si="9"/>
        <v>316</v>
      </c>
      <c r="AK203" s="26">
        <f t="shared" si="10"/>
        <v>389</v>
      </c>
      <c r="AL203" s="26">
        <f t="shared" si="11"/>
        <v>386</v>
      </c>
      <c r="AM203" s="26">
        <f t="shared" ref="AM203:AN203" si="404">(AI203/AK203)*100</f>
        <v>69.92287918</v>
      </c>
      <c r="AN203" s="26">
        <f t="shared" si="404"/>
        <v>81.86528497</v>
      </c>
      <c r="AO203" s="26">
        <v>187.0</v>
      </c>
      <c r="AP203" s="26">
        <v>70.0</v>
      </c>
      <c r="AQ203" s="26">
        <v>117.0</v>
      </c>
      <c r="AR203" s="26">
        <v>21.0</v>
      </c>
      <c r="AS203" s="27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>
      <c r="A204" s="22">
        <v>6361.0</v>
      </c>
      <c r="B204" s="23" t="s">
        <v>25</v>
      </c>
      <c r="C204" s="29" t="s">
        <v>222</v>
      </c>
      <c r="D204" s="29" t="s">
        <v>266</v>
      </c>
      <c r="E204" s="29" t="s">
        <v>267</v>
      </c>
      <c r="F204" s="29" t="s">
        <v>267</v>
      </c>
      <c r="G204" s="26">
        <v>5500.0</v>
      </c>
      <c r="H204" s="26">
        <v>1175.0</v>
      </c>
      <c r="I204" s="26">
        <v>611.0</v>
      </c>
      <c r="J204" s="26">
        <v>564.0</v>
      </c>
      <c r="K204" s="26">
        <v>3280.0</v>
      </c>
      <c r="L204" s="26">
        <v>1930.0</v>
      </c>
      <c r="M204" s="26">
        <v>1336.0</v>
      </c>
      <c r="N204" s="26">
        <v>11.0</v>
      </c>
      <c r="O204" s="26">
        <v>3.0</v>
      </c>
      <c r="P204" s="26">
        <f t="shared" si="3"/>
        <v>1339</v>
      </c>
      <c r="Q204" s="26">
        <f t="shared" si="4"/>
        <v>1941</v>
      </c>
      <c r="R204" s="26">
        <f t="shared" si="5"/>
        <v>1989</v>
      </c>
      <c r="S204" s="26">
        <f t="shared" si="6"/>
        <v>2336</v>
      </c>
      <c r="T204" s="26">
        <f t="shared" ref="T204:U204" si="405">(P204/R204)*100</f>
        <v>67.32026144</v>
      </c>
      <c r="U204" s="26">
        <f t="shared" si="405"/>
        <v>83.09075342</v>
      </c>
      <c r="V204" s="26">
        <v>1045.0</v>
      </c>
      <c r="W204" s="26">
        <v>395.0</v>
      </c>
      <c r="X204" s="26">
        <v>650.0</v>
      </c>
      <c r="Y204" s="26">
        <v>0.0</v>
      </c>
      <c r="Z204" s="26">
        <v>5907.0</v>
      </c>
      <c r="AA204" s="26">
        <v>1064.0</v>
      </c>
      <c r="AB204" s="26">
        <v>568.0</v>
      </c>
      <c r="AC204" s="26">
        <v>496.0</v>
      </c>
      <c r="AD204" s="26">
        <v>3953.0</v>
      </c>
      <c r="AE204" s="26">
        <v>2196.0</v>
      </c>
      <c r="AF204" s="26">
        <v>1726.0</v>
      </c>
      <c r="AG204" s="26">
        <v>17.0</v>
      </c>
      <c r="AH204" s="26">
        <v>14.0</v>
      </c>
      <c r="AI204" s="26">
        <f t="shared" si="8"/>
        <v>1740</v>
      </c>
      <c r="AJ204" s="26">
        <f t="shared" si="9"/>
        <v>2213</v>
      </c>
      <c r="AK204" s="26">
        <f t="shared" si="10"/>
        <v>2197</v>
      </c>
      <c r="AL204" s="26">
        <f t="shared" si="11"/>
        <v>2507</v>
      </c>
      <c r="AM204" s="26">
        <f t="shared" ref="AM204:AN204" si="406">(AI204/AK204)*100</f>
        <v>79.1989076</v>
      </c>
      <c r="AN204" s="26">
        <f t="shared" si="406"/>
        <v>88.27283606</v>
      </c>
      <c r="AO204" s="26">
        <v>751.0</v>
      </c>
      <c r="AP204" s="26">
        <v>294.0</v>
      </c>
      <c r="AQ204" s="26">
        <v>457.0</v>
      </c>
      <c r="AR204" s="26">
        <v>139.0</v>
      </c>
      <c r="AS204" s="27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>
      <c r="A205" s="22">
        <v>6433.0</v>
      </c>
      <c r="B205" s="23" t="s">
        <v>25</v>
      </c>
      <c r="C205" s="29" t="s">
        <v>268</v>
      </c>
      <c r="D205" s="29" t="s">
        <v>269</v>
      </c>
      <c r="E205" s="29" t="s">
        <v>268</v>
      </c>
      <c r="F205" s="29" t="s">
        <v>268</v>
      </c>
      <c r="G205" s="26">
        <v>190842.0</v>
      </c>
      <c r="H205" s="26">
        <v>59211.0</v>
      </c>
      <c r="I205" s="26">
        <v>29734.0</v>
      </c>
      <c r="J205" s="26">
        <v>29477.0</v>
      </c>
      <c r="K205" s="26">
        <v>73119.0</v>
      </c>
      <c r="L205" s="26">
        <v>41750.0</v>
      </c>
      <c r="M205" s="26">
        <v>29426.0</v>
      </c>
      <c r="N205" s="26">
        <v>1045.0</v>
      </c>
      <c r="O205" s="26">
        <v>898.0</v>
      </c>
      <c r="P205" s="26">
        <f t="shared" si="3"/>
        <v>30324</v>
      </c>
      <c r="Q205" s="26">
        <f t="shared" si="4"/>
        <v>42795</v>
      </c>
      <c r="R205" s="26">
        <f t="shared" si="5"/>
        <v>69951</v>
      </c>
      <c r="S205" s="26">
        <f t="shared" si="6"/>
        <v>61680</v>
      </c>
      <c r="T205" s="26">
        <f t="shared" ref="T205:U205" si="407">(P205/R205)*100</f>
        <v>43.35034524</v>
      </c>
      <c r="U205" s="26">
        <f t="shared" si="407"/>
        <v>69.38229572</v>
      </c>
      <c r="V205" s="26">
        <v>58512.0</v>
      </c>
      <c r="W205" s="26">
        <v>18885.0</v>
      </c>
      <c r="X205" s="26">
        <v>39627.0</v>
      </c>
      <c r="Y205" s="26">
        <v>0.0</v>
      </c>
      <c r="Z205" s="26">
        <v>217625.0</v>
      </c>
      <c r="AA205" s="26">
        <v>58392.0</v>
      </c>
      <c r="AB205" s="26">
        <v>29319.0</v>
      </c>
      <c r="AC205" s="26">
        <v>29073.0</v>
      </c>
      <c r="AD205" s="26">
        <v>101782.0</v>
      </c>
      <c r="AE205" s="26">
        <v>53128.0</v>
      </c>
      <c r="AF205" s="26">
        <v>43939.0</v>
      </c>
      <c r="AG205" s="26">
        <v>2248.0</v>
      </c>
      <c r="AH205" s="26">
        <v>2467.0</v>
      </c>
      <c r="AI205" s="26">
        <f t="shared" si="8"/>
        <v>46406</v>
      </c>
      <c r="AJ205" s="26">
        <f t="shared" si="9"/>
        <v>55376</v>
      </c>
      <c r="AK205" s="26">
        <f t="shared" si="10"/>
        <v>82752</v>
      </c>
      <c r="AL205" s="26">
        <f t="shared" si="11"/>
        <v>73609</v>
      </c>
      <c r="AM205" s="26">
        <f t="shared" ref="AM205:AN205" si="408">(AI205/AK205)*100</f>
        <v>56.07840294</v>
      </c>
      <c r="AN205" s="26">
        <f t="shared" si="408"/>
        <v>75.22993112</v>
      </c>
      <c r="AO205" s="26">
        <v>54579.0</v>
      </c>
      <c r="AP205" s="26">
        <v>18233.0</v>
      </c>
      <c r="AQ205" s="26">
        <v>36346.0</v>
      </c>
      <c r="AR205" s="26">
        <v>2872.0</v>
      </c>
      <c r="AS205" s="27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>
      <c r="A206" s="22">
        <v>6457.0</v>
      </c>
      <c r="B206" s="23" t="s">
        <v>25</v>
      </c>
      <c r="C206" s="29" t="s">
        <v>268</v>
      </c>
      <c r="D206" s="29" t="s">
        <v>269</v>
      </c>
      <c r="E206" s="29" t="s">
        <v>270</v>
      </c>
      <c r="F206" s="29" t="s">
        <v>270</v>
      </c>
      <c r="G206" s="26">
        <v>27187.0</v>
      </c>
      <c r="H206" s="26">
        <v>9914.0</v>
      </c>
      <c r="I206" s="26">
        <v>5237.0</v>
      </c>
      <c r="J206" s="26">
        <v>4677.0</v>
      </c>
      <c r="K206" s="26">
        <v>12494.0</v>
      </c>
      <c r="L206" s="26">
        <v>7721.0</v>
      </c>
      <c r="M206" s="26">
        <v>4724.0</v>
      </c>
      <c r="N206" s="26">
        <v>35.0</v>
      </c>
      <c r="O206" s="26">
        <v>14.0</v>
      </c>
      <c r="P206" s="26">
        <f t="shared" si="3"/>
        <v>4738</v>
      </c>
      <c r="Q206" s="26">
        <f t="shared" si="4"/>
        <v>7756</v>
      </c>
      <c r="R206" s="26">
        <f t="shared" si="5"/>
        <v>8175</v>
      </c>
      <c r="S206" s="26">
        <f t="shared" si="6"/>
        <v>9098</v>
      </c>
      <c r="T206" s="26">
        <f t="shared" ref="T206:U206" si="409">(P206/R206)*100</f>
        <v>57.95718654</v>
      </c>
      <c r="U206" s="26">
        <f t="shared" si="409"/>
        <v>85.24950539</v>
      </c>
      <c r="V206" s="26">
        <v>4779.0</v>
      </c>
      <c r="W206" s="26">
        <v>1342.0</v>
      </c>
      <c r="X206" s="26">
        <v>3437.0</v>
      </c>
      <c r="Y206" s="26">
        <v>0.0</v>
      </c>
      <c r="Z206" s="26">
        <v>28589.0</v>
      </c>
      <c r="AA206" s="26">
        <v>9469.0</v>
      </c>
      <c r="AB206" s="26">
        <v>5170.0</v>
      </c>
      <c r="AC206" s="26">
        <v>4299.0</v>
      </c>
      <c r="AD206" s="26">
        <v>15084.0</v>
      </c>
      <c r="AE206" s="26">
        <v>9267.0</v>
      </c>
      <c r="AF206" s="26">
        <v>5588.0</v>
      </c>
      <c r="AG206" s="26">
        <v>132.0</v>
      </c>
      <c r="AH206" s="26">
        <v>97.0</v>
      </c>
      <c r="AI206" s="26">
        <f t="shared" si="8"/>
        <v>5685</v>
      </c>
      <c r="AJ206" s="26">
        <f t="shared" si="9"/>
        <v>9399</v>
      </c>
      <c r="AK206" s="26">
        <f t="shared" si="10"/>
        <v>8004</v>
      </c>
      <c r="AL206" s="26">
        <f t="shared" si="11"/>
        <v>10607</v>
      </c>
      <c r="AM206" s="26">
        <f t="shared" ref="AM206:AN206" si="410">(AI206/AK206)*100</f>
        <v>71.02698651</v>
      </c>
      <c r="AN206" s="26">
        <f t="shared" si="410"/>
        <v>88.61129443</v>
      </c>
      <c r="AO206" s="26">
        <v>3527.0</v>
      </c>
      <c r="AP206" s="26">
        <v>1208.0</v>
      </c>
      <c r="AQ206" s="26">
        <v>2319.0</v>
      </c>
      <c r="AR206" s="26">
        <v>509.0</v>
      </c>
      <c r="AS206" s="27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>
      <c r="A207" s="22">
        <v>6481.0</v>
      </c>
      <c r="B207" s="23" t="s">
        <v>25</v>
      </c>
      <c r="C207" s="29" t="s">
        <v>268</v>
      </c>
      <c r="D207" s="29" t="s">
        <v>269</v>
      </c>
      <c r="E207" s="29" t="s">
        <v>271</v>
      </c>
      <c r="F207" s="29" t="s">
        <v>271</v>
      </c>
      <c r="G207" s="26">
        <v>8946.0</v>
      </c>
      <c r="H207" s="26">
        <v>2331.0</v>
      </c>
      <c r="I207" s="26">
        <v>1223.0</v>
      </c>
      <c r="J207" s="26">
        <v>1108.0</v>
      </c>
      <c r="K207" s="26">
        <v>4373.0</v>
      </c>
      <c r="L207" s="26">
        <v>2640.0</v>
      </c>
      <c r="M207" s="26">
        <v>1703.0</v>
      </c>
      <c r="N207" s="26">
        <v>23.0</v>
      </c>
      <c r="O207" s="26">
        <v>7.0</v>
      </c>
      <c r="P207" s="26">
        <f t="shared" si="3"/>
        <v>1710</v>
      </c>
      <c r="Q207" s="26">
        <f t="shared" si="4"/>
        <v>2663</v>
      </c>
      <c r="R207" s="26">
        <f t="shared" si="5"/>
        <v>3234</v>
      </c>
      <c r="S207" s="26">
        <f t="shared" si="6"/>
        <v>3381</v>
      </c>
      <c r="T207" s="26">
        <f t="shared" ref="T207:U207" si="411">(P207/R207)*100</f>
        <v>52.87569573</v>
      </c>
      <c r="U207" s="26">
        <f t="shared" si="411"/>
        <v>78.76367938</v>
      </c>
      <c r="V207" s="26">
        <v>2242.0</v>
      </c>
      <c r="W207" s="26">
        <v>718.0</v>
      </c>
      <c r="X207" s="26">
        <v>1524.0</v>
      </c>
      <c r="Y207" s="26">
        <v>0.0</v>
      </c>
      <c r="Z207" s="26">
        <v>12034.0</v>
      </c>
      <c r="AA207" s="26">
        <v>2845.0</v>
      </c>
      <c r="AB207" s="26">
        <v>1476.0</v>
      </c>
      <c r="AC207" s="26">
        <v>1369.0</v>
      </c>
      <c r="AD207" s="26">
        <v>7018.0</v>
      </c>
      <c r="AE207" s="26">
        <v>3933.0</v>
      </c>
      <c r="AF207" s="26">
        <v>2988.0</v>
      </c>
      <c r="AG207" s="26">
        <v>59.0</v>
      </c>
      <c r="AH207" s="26">
        <v>38.0</v>
      </c>
      <c r="AI207" s="26">
        <f t="shared" si="8"/>
        <v>3026</v>
      </c>
      <c r="AJ207" s="26">
        <f t="shared" si="9"/>
        <v>3992</v>
      </c>
      <c r="AK207" s="26">
        <f t="shared" si="10"/>
        <v>4400</v>
      </c>
      <c r="AL207" s="26">
        <f t="shared" si="11"/>
        <v>4589</v>
      </c>
      <c r="AM207" s="26">
        <f t="shared" ref="AM207:AN207" si="412">(AI207/AK207)*100</f>
        <v>68.77272727</v>
      </c>
      <c r="AN207" s="26">
        <f t="shared" si="412"/>
        <v>86.99062977</v>
      </c>
      <c r="AO207" s="26">
        <v>1971.0</v>
      </c>
      <c r="AP207" s="26">
        <v>597.0</v>
      </c>
      <c r="AQ207" s="26">
        <v>1374.0</v>
      </c>
      <c r="AR207" s="26">
        <v>200.0</v>
      </c>
      <c r="AS207" s="27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>
      <c r="A208" s="22">
        <v>6505.0</v>
      </c>
      <c r="B208" s="23" t="s">
        <v>25</v>
      </c>
      <c r="C208" s="29" t="s">
        <v>268</v>
      </c>
      <c r="D208" s="29" t="s">
        <v>269</v>
      </c>
      <c r="E208" s="29" t="s">
        <v>272</v>
      </c>
      <c r="F208" s="29" t="s">
        <v>272</v>
      </c>
      <c r="G208" s="26">
        <v>2756.0</v>
      </c>
      <c r="H208" s="26">
        <v>753.0</v>
      </c>
      <c r="I208" s="26">
        <v>406.0</v>
      </c>
      <c r="J208" s="26">
        <v>347.0</v>
      </c>
      <c r="K208" s="26">
        <v>1442.0</v>
      </c>
      <c r="L208" s="26">
        <v>955.0</v>
      </c>
      <c r="M208" s="26">
        <v>477.0</v>
      </c>
      <c r="N208" s="26">
        <v>8.0</v>
      </c>
      <c r="O208" s="26">
        <v>2.0</v>
      </c>
      <c r="P208" s="26">
        <f t="shared" si="3"/>
        <v>479</v>
      </c>
      <c r="Q208" s="26">
        <f t="shared" si="4"/>
        <v>963</v>
      </c>
      <c r="R208" s="26">
        <f t="shared" si="5"/>
        <v>839</v>
      </c>
      <c r="S208" s="26">
        <f t="shared" si="6"/>
        <v>1164</v>
      </c>
      <c r="T208" s="26">
        <f t="shared" ref="T208:U208" si="413">(P208/R208)*100</f>
        <v>57.09177592</v>
      </c>
      <c r="U208" s="26">
        <f t="shared" si="413"/>
        <v>82.73195876</v>
      </c>
      <c r="V208" s="26">
        <v>561.0</v>
      </c>
      <c r="W208" s="26">
        <v>201.0</v>
      </c>
      <c r="X208" s="26">
        <v>360.0</v>
      </c>
      <c r="Y208" s="26">
        <v>0.0</v>
      </c>
      <c r="Z208" s="26">
        <v>3101.0</v>
      </c>
      <c r="AA208" s="26">
        <v>710.0</v>
      </c>
      <c r="AB208" s="26">
        <v>407.0</v>
      </c>
      <c r="AC208" s="26">
        <v>303.0</v>
      </c>
      <c r="AD208" s="26">
        <v>1937.0</v>
      </c>
      <c r="AE208" s="26">
        <v>1239.0</v>
      </c>
      <c r="AF208" s="26">
        <v>674.0</v>
      </c>
      <c r="AG208" s="26">
        <v>18.0</v>
      </c>
      <c r="AH208" s="26">
        <v>6.0</v>
      </c>
      <c r="AI208" s="26">
        <f t="shared" si="8"/>
        <v>680</v>
      </c>
      <c r="AJ208" s="26">
        <f t="shared" si="9"/>
        <v>1257</v>
      </c>
      <c r="AK208" s="26">
        <f t="shared" si="10"/>
        <v>942</v>
      </c>
      <c r="AL208" s="26">
        <f t="shared" si="11"/>
        <v>1429</v>
      </c>
      <c r="AM208" s="26">
        <f t="shared" ref="AM208:AN208" si="414">(AI208/AK208)*100</f>
        <v>72.18683652</v>
      </c>
      <c r="AN208" s="26">
        <f t="shared" si="414"/>
        <v>87.96361092</v>
      </c>
      <c r="AO208" s="26">
        <v>434.0</v>
      </c>
      <c r="AP208" s="26">
        <v>172.0</v>
      </c>
      <c r="AQ208" s="26">
        <v>262.0</v>
      </c>
      <c r="AR208" s="26">
        <v>20.0</v>
      </c>
      <c r="AS208" s="27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>
      <c r="A209" s="22">
        <v>6553.0</v>
      </c>
      <c r="B209" s="23" t="s">
        <v>25</v>
      </c>
      <c r="C209" s="29" t="s">
        <v>268</v>
      </c>
      <c r="D209" s="29" t="s">
        <v>273</v>
      </c>
      <c r="E209" s="29" t="s">
        <v>274</v>
      </c>
      <c r="F209" s="29" t="s">
        <v>274</v>
      </c>
      <c r="G209" s="26">
        <v>22008.0</v>
      </c>
      <c r="H209" s="26">
        <v>7060.0</v>
      </c>
      <c r="I209" s="26">
        <v>3659.0</v>
      </c>
      <c r="J209" s="26">
        <v>3401.0</v>
      </c>
      <c r="K209" s="26">
        <v>9533.0</v>
      </c>
      <c r="L209" s="26">
        <v>5405.0</v>
      </c>
      <c r="M209" s="26">
        <v>3994.0</v>
      </c>
      <c r="N209" s="26">
        <v>95.0</v>
      </c>
      <c r="O209" s="26">
        <v>39.0</v>
      </c>
      <c r="P209" s="26">
        <f t="shared" si="3"/>
        <v>4033</v>
      </c>
      <c r="Q209" s="26">
        <f t="shared" si="4"/>
        <v>5500</v>
      </c>
      <c r="R209" s="26">
        <f t="shared" si="5"/>
        <v>7533</v>
      </c>
      <c r="S209" s="26">
        <f t="shared" si="6"/>
        <v>7415</v>
      </c>
      <c r="T209" s="26">
        <f t="shared" ref="T209:U209" si="415">(P209/R209)*100</f>
        <v>53.53776716</v>
      </c>
      <c r="U209" s="26">
        <f t="shared" si="415"/>
        <v>74.17397168</v>
      </c>
      <c r="V209" s="26">
        <v>5415.0</v>
      </c>
      <c r="W209" s="26">
        <v>1915.0</v>
      </c>
      <c r="X209" s="26">
        <v>3500.0</v>
      </c>
      <c r="Y209" s="26">
        <v>0.0</v>
      </c>
      <c r="Z209" s="26">
        <v>22545.0</v>
      </c>
      <c r="AA209" s="26">
        <v>6124.0</v>
      </c>
      <c r="AB209" s="26">
        <v>3162.0</v>
      </c>
      <c r="AC209" s="26">
        <v>2962.0</v>
      </c>
      <c r="AD209" s="26">
        <v>11731.0</v>
      </c>
      <c r="AE209" s="26">
        <v>6283.0</v>
      </c>
      <c r="AF209" s="26">
        <v>5176.0</v>
      </c>
      <c r="AG209" s="26">
        <v>173.0</v>
      </c>
      <c r="AH209" s="26">
        <v>99.0</v>
      </c>
      <c r="AI209" s="26">
        <f t="shared" si="8"/>
        <v>5275</v>
      </c>
      <c r="AJ209" s="26">
        <f t="shared" si="9"/>
        <v>6456</v>
      </c>
      <c r="AK209" s="26">
        <f t="shared" si="10"/>
        <v>7735</v>
      </c>
      <c r="AL209" s="26">
        <f t="shared" si="11"/>
        <v>8089</v>
      </c>
      <c r="AM209" s="26">
        <f t="shared" ref="AM209:AN209" si="416">(AI209/AK209)*100</f>
        <v>68.19650937</v>
      </c>
      <c r="AN209" s="26">
        <f t="shared" si="416"/>
        <v>79.81209049</v>
      </c>
      <c r="AO209" s="26">
        <v>4093.0</v>
      </c>
      <c r="AP209" s="26">
        <v>1633.0</v>
      </c>
      <c r="AQ209" s="26">
        <v>2460.0</v>
      </c>
      <c r="AR209" s="26">
        <v>597.0</v>
      </c>
      <c r="AS209" s="27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>
      <c r="A210" s="22">
        <v>6577.0</v>
      </c>
      <c r="B210" s="23" t="s">
        <v>25</v>
      </c>
      <c r="C210" s="29" t="s">
        <v>268</v>
      </c>
      <c r="D210" s="29" t="s">
        <v>273</v>
      </c>
      <c r="E210" s="29" t="s">
        <v>275</v>
      </c>
      <c r="F210" s="29" t="s">
        <v>275</v>
      </c>
      <c r="G210" s="26">
        <v>16122.0</v>
      </c>
      <c r="H210" s="26">
        <v>5530.0</v>
      </c>
      <c r="I210" s="26">
        <v>2758.0</v>
      </c>
      <c r="J210" s="26">
        <v>2772.0</v>
      </c>
      <c r="K210" s="26">
        <v>7378.0</v>
      </c>
      <c r="L210" s="26">
        <v>4163.0</v>
      </c>
      <c r="M210" s="26">
        <v>3182.0</v>
      </c>
      <c r="N210" s="26">
        <v>22.0</v>
      </c>
      <c r="O210" s="26">
        <v>11.0</v>
      </c>
      <c r="P210" s="26">
        <f t="shared" si="3"/>
        <v>3193</v>
      </c>
      <c r="Q210" s="26">
        <f t="shared" si="4"/>
        <v>4185</v>
      </c>
      <c r="R210" s="26">
        <f t="shared" si="5"/>
        <v>5383</v>
      </c>
      <c r="S210" s="26">
        <f t="shared" si="6"/>
        <v>5209</v>
      </c>
      <c r="T210" s="26">
        <f t="shared" ref="T210:U210" si="417">(P210/R210)*100</f>
        <v>59.31636634</v>
      </c>
      <c r="U210" s="26">
        <f t="shared" si="417"/>
        <v>80.34171626</v>
      </c>
      <c r="V210" s="26">
        <v>3214.0</v>
      </c>
      <c r="W210" s="26">
        <v>1024.0</v>
      </c>
      <c r="X210" s="26">
        <v>2190.0</v>
      </c>
      <c r="Y210" s="26">
        <v>0.0</v>
      </c>
      <c r="Z210" s="26">
        <v>15836.0</v>
      </c>
      <c r="AA210" s="26">
        <v>4204.0</v>
      </c>
      <c r="AB210" s="26">
        <v>2131.0</v>
      </c>
      <c r="AC210" s="26">
        <v>2073.0</v>
      </c>
      <c r="AD210" s="26">
        <v>8789.0</v>
      </c>
      <c r="AE210" s="26">
        <v>4971.0</v>
      </c>
      <c r="AF210" s="26">
        <v>3678.0</v>
      </c>
      <c r="AG210" s="26">
        <v>98.0</v>
      </c>
      <c r="AH210" s="26">
        <v>42.0</v>
      </c>
      <c r="AI210" s="26">
        <f t="shared" si="8"/>
        <v>3720</v>
      </c>
      <c r="AJ210" s="26">
        <f t="shared" si="9"/>
        <v>5069</v>
      </c>
      <c r="AK210" s="26">
        <f t="shared" si="10"/>
        <v>5296</v>
      </c>
      <c r="AL210" s="26">
        <f t="shared" si="11"/>
        <v>5929</v>
      </c>
      <c r="AM210" s="26">
        <f t="shared" ref="AM210:AN210" si="418">(AI210/AK210)*100</f>
        <v>70.24169184</v>
      </c>
      <c r="AN210" s="26">
        <f t="shared" si="418"/>
        <v>85.49502446</v>
      </c>
      <c r="AO210" s="26">
        <v>2436.0</v>
      </c>
      <c r="AP210" s="26">
        <v>860.0</v>
      </c>
      <c r="AQ210" s="26">
        <v>1576.0</v>
      </c>
      <c r="AR210" s="26">
        <v>407.0</v>
      </c>
      <c r="AS210" s="27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  <row r="211">
      <c r="A211" s="22">
        <v>6601.0</v>
      </c>
      <c r="B211" s="23" t="s">
        <v>25</v>
      </c>
      <c r="C211" s="29" t="s">
        <v>268</v>
      </c>
      <c r="D211" s="29" t="s">
        <v>273</v>
      </c>
      <c r="E211" s="29" t="s">
        <v>276</v>
      </c>
      <c r="F211" s="29" t="s">
        <v>276</v>
      </c>
      <c r="G211" s="26">
        <v>41071.0</v>
      </c>
      <c r="H211" s="26">
        <v>13592.0</v>
      </c>
      <c r="I211" s="26">
        <v>6907.0</v>
      </c>
      <c r="J211" s="26">
        <v>6685.0</v>
      </c>
      <c r="K211" s="26">
        <v>15698.0</v>
      </c>
      <c r="L211" s="26">
        <v>8637.0</v>
      </c>
      <c r="M211" s="26">
        <v>6794.0</v>
      </c>
      <c r="N211" s="26">
        <v>128.0</v>
      </c>
      <c r="O211" s="26">
        <v>139.0</v>
      </c>
      <c r="P211" s="26">
        <f t="shared" si="3"/>
        <v>6933</v>
      </c>
      <c r="Q211" s="26">
        <f t="shared" si="4"/>
        <v>8765</v>
      </c>
      <c r="R211" s="26">
        <f t="shared" si="5"/>
        <v>14749</v>
      </c>
      <c r="S211" s="26">
        <f t="shared" si="6"/>
        <v>12730</v>
      </c>
      <c r="T211" s="26">
        <f t="shared" ref="T211:U211" si="419">(P211/R211)*100</f>
        <v>47.00657672</v>
      </c>
      <c r="U211" s="26">
        <f t="shared" si="419"/>
        <v>68.85310291</v>
      </c>
      <c r="V211" s="26">
        <v>11781.0</v>
      </c>
      <c r="W211" s="26">
        <v>3965.0</v>
      </c>
      <c r="X211" s="26">
        <v>7816.0</v>
      </c>
      <c r="Y211" s="26">
        <v>0.0</v>
      </c>
      <c r="Z211" s="26">
        <v>41519.0</v>
      </c>
      <c r="AA211" s="26">
        <v>10569.0</v>
      </c>
      <c r="AB211" s="26">
        <v>5353.0</v>
      </c>
      <c r="AC211" s="26">
        <v>5216.0</v>
      </c>
      <c r="AD211" s="26">
        <v>19963.0</v>
      </c>
      <c r="AE211" s="26">
        <v>10170.0</v>
      </c>
      <c r="AF211" s="26">
        <v>9140.0</v>
      </c>
      <c r="AG211" s="26">
        <v>298.0</v>
      </c>
      <c r="AH211" s="26">
        <v>355.0</v>
      </c>
      <c r="AI211" s="26">
        <f t="shared" si="8"/>
        <v>9495</v>
      </c>
      <c r="AJ211" s="26">
        <f t="shared" si="9"/>
        <v>10468</v>
      </c>
      <c r="AK211" s="26">
        <f t="shared" si="10"/>
        <v>16276</v>
      </c>
      <c r="AL211" s="26">
        <f t="shared" si="11"/>
        <v>14117</v>
      </c>
      <c r="AM211" s="26">
        <f t="shared" ref="AM211:AN211" si="420">(AI211/AK211)*100</f>
        <v>58.33742934</v>
      </c>
      <c r="AN211" s="26">
        <f t="shared" si="420"/>
        <v>74.15173195</v>
      </c>
      <c r="AO211" s="26">
        <v>10430.0</v>
      </c>
      <c r="AP211" s="26">
        <v>3649.0</v>
      </c>
      <c r="AQ211" s="26">
        <v>6781.0</v>
      </c>
      <c r="AR211" s="26">
        <v>557.0</v>
      </c>
      <c r="AS211" s="27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</row>
    <row r="212">
      <c r="A212" s="22">
        <v>6625.0</v>
      </c>
      <c r="B212" s="23" t="s">
        <v>25</v>
      </c>
      <c r="C212" s="29" t="s">
        <v>268</v>
      </c>
      <c r="D212" s="29" t="s">
        <v>273</v>
      </c>
      <c r="E212" s="29" t="s">
        <v>277</v>
      </c>
      <c r="F212" s="29" t="s">
        <v>277</v>
      </c>
      <c r="G212" s="26">
        <v>8016.0</v>
      </c>
      <c r="H212" s="26">
        <v>3031.0</v>
      </c>
      <c r="I212" s="26">
        <v>1582.0</v>
      </c>
      <c r="J212" s="26">
        <v>1449.0</v>
      </c>
      <c r="K212" s="26">
        <v>3027.0</v>
      </c>
      <c r="L212" s="26">
        <v>2110.0</v>
      </c>
      <c r="M212" s="26">
        <v>887.0</v>
      </c>
      <c r="N212" s="26">
        <v>23.0</v>
      </c>
      <c r="O212" s="26">
        <v>7.0</v>
      </c>
      <c r="P212" s="26">
        <f t="shared" si="3"/>
        <v>894</v>
      </c>
      <c r="Q212" s="26">
        <f t="shared" si="4"/>
        <v>2133</v>
      </c>
      <c r="R212" s="26">
        <f t="shared" si="5"/>
        <v>2346</v>
      </c>
      <c r="S212" s="26">
        <f t="shared" si="6"/>
        <v>2639</v>
      </c>
      <c r="T212" s="26">
        <f t="shared" ref="T212:U212" si="421">(P212/R212)*100</f>
        <v>38.10741688</v>
      </c>
      <c r="U212" s="26">
        <f t="shared" si="421"/>
        <v>80.82607048</v>
      </c>
      <c r="V212" s="26">
        <v>1958.0</v>
      </c>
      <c r="W212" s="26">
        <v>506.0</v>
      </c>
      <c r="X212" s="26">
        <v>1452.0</v>
      </c>
      <c r="Y212" s="26">
        <v>0.0</v>
      </c>
      <c r="Z212" s="26">
        <v>8159.0</v>
      </c>
      <c r="AA212" s="26">
        <v>2492.0</v>
      </c>
      <c r="AB212" s="26">
        <v>1317.0</v>
      </c>
      <c r="AC212" s="26">
        <v>1175.0</v>
      </c>
      <c r="AD212" s="26">
        <v>4023.0</v>
      </c>
      <c r="AE212" s="26">
        <v>2554.0</v>
      </c>
      <c r="AF212" s="26">
        <v>1378.0</v>
      </c>
      <c r="AG212" s="26">
        <v>63.0</v>
      </c>
      <c r="AH212" s="26">
        <v>28.0</v>
      </c>
      <c r="AI212" s="26">
        <f t="shared" si="8"/>
        <v>1406</v>
      </c>
      <c r="AJ212" s="26">
        <f t="shared" si="9"/>
        <v>2617</v>
      </c>
      <c r="AK212" s="26">
        <f t="shared" si="10"/>
        <v>2390</v>
      </c>
      <c r="AL212" s="26">
        <f t="shared" si="11"/>
        <v>3049</v>
      </c>
      <c r="AM212" s="26">
        <f t="shared" ref="AM212:AN212" si="422">(AI212/AK212)*100</f>
        <v>58.82845188</v>
      </c>
      <c r="AN212" s="26">
        <f t="shared" si="422"/>
        <v>85.83142014</v>
      </c>
      <c r="AO212" s="26">
        <v>1416.0</v>
      </c>
      <c r="AP212" s="26">
        <v>432.0</v>
      </c>
      <c r="AQ212" s="26">
        <v>984.0</v>
      </c>
      <c r="AR212" s="26">
        <v>228.0</v>
      </c>
      <c r="AS212" s="27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</row>
    <row r="213">
      <c r="A213" s="22">
        <v>6673.0</v>
      </c>
      <c r="B213" s="23" t="s">
        <v>25</v>
      </c>
      <c r="C213" s="29" t="s">
        <v>268</v>
      </c>
      <c r="D213" s="29" t="s">
        <v>278</v>
      </c>
      <c r="E213" s="29" t="s">
        <v>279</v>
      </c>
      <c r="F213" s="29" t="s">
        <v>279</v>
      </c>
      <c r="G213" s="26">
        <v>33789.0</v>
      </c>
      <c r="H213" s="26">
        <v>10954.0</v>
      </c>
      <c r="I213" s="26">
        <v>5588.0</v>
      </c>
      <c r="J213" s="26">
        <v>5366.0</v>
      </c>
      <c r="K213" s="26">
        <v>15606.0</v>
      </c>
      <c r="L213" s="26">
        <v>8808.0</v>
      </c>
      <c r="M213" s="26">
        <v>6703.0</v>
      </c>
      <c r="N213" s="26">
        <v>60.0</v>
      </c>
      <c r="O213" s="26">
        <v>35.0</v>
      </c>
      <c r="P213" s="26">
        <f t="shared" si="3"/>
        <v>6738</v>
      </c>
      <c r="Q213" s="26">
        <f t="shared" si="4"/>
        <v>8868</v>
      </c>
      <c r="R213" s="26">
        <f t="shared" si="5"/>
        <v>11630</v>
      </c>
      <c r="S213" s="26">
        <f t="shared" si="6"/>
        <v>11205</v>
      </c>
      <c r="T213" s="26">
        <f t="shared" ref="T213:U213" si="423">(P213/R213)*100</f>
        <v>57.93637145</v>
      </c>
      <c r="U213" s="26">
        <f t="shared" si="423"/>
        <v>79.14323963</v>
      </c>
      <c r="V213" s="26">
        <v>7229.0</v>
      </c>
      <c r="W213" s="26">
        <v>2337.0</v>
      </c>
      <c r="X213" s="26">
        <v>4892.0</v>
      </c>
      <c r="Y213" s="26">
        <v>0.0</v>
      </c>
      <c r="Z213" s="26">
        <v>31423.0</v>
      </c>
      <c r="AA213" s="26">
        <v>8177.0</v>
      </c>
      <c r="AB213" s="26">
        <v>4130.0</v>
      </c>
      <c r="AC213" s="26">
        <v>4047.0</v>
      </c>
      <c r="AD213" s="26">
        <v>18208.0</v>
      </c>
      <c r="AE213" s="26">
        <v>9691.0</v>
      </c>
      <c r="AF213" s="26">
        <v>8284.0</v>
      </c>
      <c r="AG213" s="26">
        <v>148.0</v>
      </c>
      <c r="AH213" s="26">
        <v>85.0</v>
      </c>
      <c r="AI213" s="26">
        <f t="shared" si="8"/>
        <v>8369</v>
      </c>
      <c r="AJ213" s="26">
        <f t="shared" si="9"/>
        <v>9839</v>
      </c>
      <c r="AK213" s="26">
        <f t="shared" si="10"/>
        <v>11337</v>
      </c>
      <c r="AL213" s="26">
        <f t="shared" si="11"/>
        <v>11238</v>
      </c>
      <c r="AM213" s="26">
        <f t="shared" ref="AM213:AN213" si="424">(AI213/AK213)*100</f>
        <v>73.82023463</v>
      </c>
      <c r="AN213" s="26">
        <f t="shared" si="424"/>
        <v>87.55116569</v>
      </c>
      <c r="AO213" s="26">
        <v>4367.0</v>
      </c>
      <c r="AP213" s="26">
        <v>1399.0</v>
      </c>
      <c r="AQ213" s="26">
        <v>2968.0</v>
      </c>
      <c r="AR213" s="26">
        <v>671.0</v>
      </c>
      <c r="AS213" s="27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</row>
    <row r="214">
      <c r="A214" s="22">
        <v>6697.0</v>
      </c>
      <c r="B214" s="23" t="s">
        <v>25</v>
      </c>
      <c r="C214" s="29" t="s">
        <v>268</v>
      </c>
      <c r="D214" s="29" t="s">
        <v>278</v>
      </c>
      <c r="E214" s="29" t="s">
        <v>280</v>
      </c>
      <c r="F214" s="29" t="s">
        <v>280</v>
      </c>
      <c r="G214" s="26">
        <v>9813.0</v>
      </c>
      <c r="H214" s="26">
        <v>2818.0</v>
      </c>
      <c r="I214" s="26">
        <v>1451.0</v>
      </c>
      <c r="J214" s="26">
        <v>1367.0</v>
      </c>
      <c r="K214" s="26">
        <v>4399.0</v>
      </c>
      <c r="L214" s="26">
        <v>2521.0</v>
      </c>
      <c r="M214" s="26">
        <v>1852.0</v>
      </c>
      <c r="N214" s="26">
        <v>21.0</v>
      </c>
      <c r="O214" s="26">
        <v>5.0</v>
      </c>
      <c r="P214" s="26">
        <f t="shared" si="3"/>
        <v>1857</v>
      </c>
      <c r="Q214" s="26">
        <f t="shared" si="4"/>
        <v>2542</v>
      </c>
      <c r="R214" s="26">
        <f t="shared" si="5"/>
        <v>3703</v>
      </c>
      <c r="S214" s="26">
        <f t="shared" si="6"/>
        <v>3292</v>
      </c>
      <c r="T214" s="26">
        <f t="shared" ref="T214:U214" si="425">(P214/R214)*100</f>
        <v>50.14852822</v>
      </c>
      <c r="U214" s="26">
        <f t="shared" si="425"/>
        <v>77.21749696</v>
      </c>
      <c r="V214" s="26">
        <v>2596.0</v>
      </c>
      <c r="W214" s="26">
        <v>750.0</v>
      </c>
      <c r="X214" s="26">
        <v>1846.0</v>
      </c>
      <c r="Y214" s="26">
        <v>0.0</v>
      </c>
      <c r="Z214" s="26">
        <v>9126.0</v>
      </c>
      <c r="AA214" s="26">
        <v>2135.0</v>
      </c>
      <c r="AB214" s="26">
        <v>1098.0</v>
      </c>
      <c r="AC214" s="26">
        <v>1037.0</v>
      </c>
      <c r="AD214" s="26">
        <v>5149.0</v>
      </c>
      <c r="AE214" s="26">
        <v>2744.0</v>
      </c>
      <c r="AF214" s="26">
        <v>2297.0</v>
      </c>
      <c r="AG214" s="26">
        <v>73.0</v>
      </c>
      <c r="AH214" s="26">
        <v>35.0</v>
      </c>
      <c r="AI214" s="26">
        <f t="shared" si="8"/>
        <v>2332</v>
      </c>
      <c r="AJ214" s="26">
        <f t="shared" si="9"/>
        <v>2817</v>
      </c>
      <c r="AK214" s="26">
        <f t="shared" si="10"/>
        <v>3494</v>
      </c>
      <c r="AL214" s="26">
        <f t="shared" si="11"/>
        <v>3353</v>
      </c>
      <c r="AM214" s="26">
        <f t="shared" ref="AM214:AN214" si="426">(AI214/AK214)*100</f>
        <v>66.74298798</v>
      </c>
      <c r="AN214" s="26">
        <f t="shared" si="426"/>
        <v>84.01431554</v>
      </c>
      <c r="AO214" s="26">
        <v>1698.0</v>
      </c>
      <c r="AP214" s="26">
        <v>536.0</v>
      </c>
      <c r="AQ214" s="26">
        <v>1162.0</v>
      </c>
      <c r="AR214" s="26">
        <v>144.0</v>
      </c>
      <c r="AS214" s="27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</row>
    <row r="215">
      <c r="A215" s="22">
        <v>6721.0</v>
      </c>
      <c r="B215" s="23" t="s">
        <v>25</v>
      </c>
      <c r="C215" s="29" t="s">
        <v>268</v>
      </c>
      <c r="D215" s="29" t="s">
        <v>278</v>
      </c>
      <c r="E215" s="29" t="s">
        <v>281</v>
      </c>
      <c r="F215" s="29" t="s">
        <v>281</v>
      </c>
      <c r="G215" s="26">
        <v>11833.0</v>
      </c>
      <c r="H215" s="26">
        <v>3934.0</v>
      </c>
      <c r="I215" s="26">
        <v>2038.0</v>
      </c>
      <c r="J215" s="26">
        <v>1896.0</v>
      </c>
      <c r="K215" s="26">
        <v>5633.0</v>
      </c>
      <c r="L215" s="26">
        <v>3464.0</v>
      </c>
      <c r="M215" s="26">
        <v>2132.0</v>
      </c>
      <c r="N215" s="26">
        <v>29.0</v>
      </c>
      <c r="O215" s="26">
        <v>8.0</v>
      </c>
      <c r="P215" s="26">
        <f t="shared" si="3"/>
        <v>2140</v>
      </c>
      <c r="Q215" s="26">
        <f t="shared" si="4"/>
        <v>3493</v>
      </c>
      <c r="R215" s="26">
        <f t="shared" si="5"/>
        <v>3724</v>
      </c>
      <c r="S215" s="26">
        <f t="shared" si="6"/>
        <v>4175</v>
      </c>
      <c r="T215" s="26">
        <f t="shared" ref="T215:U215" si="427">(P215/R215)*100</f>
        <v>57.4650913</v>
      </c>
      <c r="U215" s="26">
        <f t="shared" si="427"/>
        <v>83.66467066</v>
      </c>
      <c r="V215" s="26">
        <v>2266.0</v>
      </c>
      <c r="W215" s="26">
        <v>682.0</v>
      </c>
      <c r="X215" s="26">
        <v>1584.0</v>
      </c>
      <c r="Y215" s="26">
        <v>0.0</v>
      </c>
      <c r="Z215" s="26">
        <v>14201.0</v>
      </c>
      <c r="AA215" s="26">
        <v>4021.0</v>
      </c>
      <c r="AB215" s="26">
        <v>2142.0</v>
      </c>
      <c r="AC215" s="26">
        <v>1879.0</v>
      </c>
      <c r="AD215" s="26">
        <v>7793.0</v>
      </c>
      <c r="AE215" s="26">
        <v>4628.0</v>
      </c>
      <c r="AF215" s="26">
        <v>3038.0</v>
      </c>
      <c r="AG215" s="26">
        <v>95.0</v>
      </c>
      <c r="AH215" s="26">
        <v>32.0</v>
      </c>
      <c r="AI215" s="26">
        <f t="shared" si="8"/>
        <v>3070</v>
      </c>
      <c r="AJ215" s="26">
        <f t="shared" si="9"/>
        <v>4723</v>
      </c>
      <c r="AK215" s="26">
        <f t="shared" si="10"/>
        <v>4393</v>
      </c>
      <c r="AL215" s="26">
        <f t="shared" si="11"/>
        <v>5449</v>
      </c>
      <c r="AM215" s="26">
        <f t="shared" ref="AM215:AN215" si="428">(AI215/AK215)*100</f>
        <v>69.88390621</v>
      </c>
      <c r="AN215" s="26">
        <f t="shared" si="428"/>
        <v>86.6764544</v>
      </c>
      <c r="AO215" s="26">
        <v>2049.0</v>
      </c>
      <c r="AP215" s="26">
        <v>726.0</v>
      </c>
      <c r="AQ215" s="26">
        <v>1323.0</v>
      </c>
      <c r="AR215" s="26">
        <v>338.0</v>
      </c>
      <c r="AS215" s="27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</row>
    <row r="216">
      <c r="A216" s="22">
        <v>6769.0</v>
      </c>
      <c r="B216" s="23" t="s">
        <v>25</v>
      </c>
      <c r="C216" s="29" t="s">
        <v>268</v>
      </c>
      <c r="D216" s="29" t="s">
        <v>275</v>
      </c>
      <c r="E216" s="29" t="s">
        <v>282</v>
      </c>
      <c r="F216" s="29" t="s">
        <v>282</v>
      </c>
      <c r="G216" s="26">
        <v>15254.0</v>
      </c>
      <c r="H216" s="26">
        <v>5514.0</v>
      </c>
      <c r="I216" s="26">
        <v>2839.0</v>
      </c>
      <c r="J216" s="26">
        <v>2675.0</v>
      </c>
      <c r="K216" s="26">
        <v>6952.0</v>
      </c>
      <c r="L216" s="26">
        <v>4348.0</v>
      </c>
      <c r="M216" s="26">
        <v>2571.0</v>
      </c>
      <c r="N216" s="26">
        <v>23.0</v>
      </c>
      <c r="O216" s="26">
        <v>10.0</v>
      </c>
      <c r="P216" s="26">
        <f t="shared" si="3"/>
        <v>2581</v>
      </c>
      <c r="Q216" s="26">
        <f t="shared" si="4"/>
        <v>4371</v>
      </c>
      <c r="R216" s="26">
        <f t="shared" si="5"/>
        <v>4562</v>
      </c>
      <c r="S216" s="26">
        <f t="shared" si="6"/>
        <v>5178</v>
      </c>
      <c r="T216" s="26">
        <f t="shared" ref="T216:U216" si="429">(P216/R216)*100</f>
        <v>56.57606313</v>
      </c>
      <c r="U216" s="26">
        <f t="shared" si="429"/>
        <v>84.41483198</v>
      </c>
      <c r="V216" s="26">
        <v>2788.0</v>
      </c>
      <c r="W216" s="26">
        <v>807.0</v>
      </c>
      <c r="X216" s="26">
        <v>1981.0</v>
      </c>
      <c r="Y216" s="26">
        <v>0.0</v>
      </c>
      <c r="Z216" s="26">
        <v>15797.0</v>
      </c>
      <c r="AA216" s="26">
        <v>4843.0</v>
      </c>
      <c r="AB216" s="26">
        <v>2508.0</v>
      </c>
      <c r="AC216" s="26">
        <v>2335.0</v>
      </c>
      <c r="AD216" s="26">
        <v>8320.0</v>
      </c>
      <c r="AE216" s="26">
        <v>5410.0</v>
      </c>
      <c r="AF216" s="26">
        <v>2789.0</v>
      </c>
      <c r="AG216" s="26">
        <v>73.0</v>
      </c>
      <c r="AH216" s="26">
        <v>48.0</v>
      </c>
      <c r="AI216" s="26">
        <f t="shared" si="8"/>
        <v>2837</v>
      </c>
      <c r="AJ216" s="26">
        <f t="shared" si="9"/>
        <v>5483</v>
      </c>
      <c r="AK216" s="26">
        <f t="shared" si="10"/>
        <v>4289</v>
      </c>
      <c r="AL216" s="26">
        <f t="shared" si="11"/>
        <v>6099</v>
      </c>
      <c r="AM216" s="26">
        <f t="shared" ref="AM216:AN216" si="430">(AI216/AK216)*100</f>
        <v>66.14595477</v>
      </c>
      <c r="AN216" s="26">
        <f t="shared" si="430"/>
        <v>89.8999836</v>
      </c>
      <c r="AO216" s="26">
        <v>2068.0</v>
      </c>
      <c r="AP216" s="26">
        <v>616.0</v>
      </c>
      <c r="AQ216" s="26">
        <v>1452.0</v>
      </c>
      <c r="AR216" s="26">
        <v>566.0</v>
      </c>
      <c r="AS216" s="27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</row>
    <row r="217">
      <c r="A217" s="22">
        <v>6793.0</v>
      </c>
      <c r="B217" s="23" t="s">
        <v>25</v>
      </c>
      <c r="C217" s="29" t="s">
        <v>268</v>
      </c>
      <c r="D217" s="29" t="s">
        <v>275</v>
      </c>
      <c r="E217" s="29" t="s">
        <v>283</v>
      </c>
      <c r="F217" s="29" t="s">
        <v>283</v>
      </c>
      <c r="G217" s="26">
        <v>21200.0</v>
      </c>
      <c r="H217" s="26">
        <v>7312.0</v>
      </c>
      <c r="I217" s="26">
        <v>3750.0</v>
      </c>
      <c r="J217" s="26">
        <v>3562.0</v>
      </c>
      <c r="K217" s="26">
        <v>9780.0</v>
      </c>
      <c r="L217" s="26">
        <v>5718.0</v>
      </c>
      <c r="M217" s="26">
        <v>3990.0</v>
      </c>
      <c r="N217" s="26">
        <v>63.0</v>
      </c>
      <c r="O217" s="26">
        <v>9.0</v>
      </c>
      <c r="P217" s="26">
        <f t="shared" si="3"/>
        <v>3999</v>
      </c>
      <c r="Q217" s="26">
        <f t="shared" si="4"/>
        <v>5781</v>
      </c>
      <c r="R217" s="26">
        <f t="shared" si="5"/>
        <v>6897</v>
      </c>
      <c r="S217" s="26">
        <f t="shared" si="6"/>
        <v>6991</v>
      </c>
      <c r="T217" s="26">
        <f t="shared" ref="T217:U217" si="431">(P217/R217)*100</f>
        <v>57.98173119</v>
      </c>
      <c r="U217" s="26">
        <f t="shared" si="431"/>
        <v>82.69203261</v>
      </c>
      <c r="V217" s="26">
        <v>4108.0</v>
      </c>
      <c r="W217" s="26">
        <v>1210.0</v>
      </c>
      <c r="X217" s="26">
        <v>2898.0</v>
      </c>
      <c r="Y217" s="26">
        <v>0.0</v>
      </c>
      <c r="Z217" s="26">
        <v>16564.0</v>
      </c>
      <c r="AA217" s="26">
        <v>4116.0</v>
      </c>
      <c r="AB217" s="26">
        <v>2208.0</v>
      </c>
      <c r="AC217" s="26">
        <v>1908.0</v>
      </c>
      <c r="AD217" s="26">
        <v>10040.0</v>
      </c>
      <c r="AE217" s="26">
        <v>5638.0</v>
      </c>
      <c r="AF217" s="26">
        <v>4298.0</v>
      </c>
      <c r="AG217" s="26">
        <v>67.0</v>
      </c>
      <c r="AH217" s="26">
        <v>37.0</v>
      </c>
      <c r="AI217" s="26">
        <f t="shared" si="8"/>
        <v>4335</v>
      </c>
      <c r="AJ217" s="26">
        <f t="shared" si="9"/>
        <v>5705</v>
      </c>
      <c r="AK217" s="26">
        <f t="shared" si="10"/>
        <v>5591</v>
      </c>
      <c r="AL217" s="26">
        <f t="shared" si="11"/>
        <v>6265</v>
      </c>
      <c r="AM217" s="26">
        <f t="shared" ref="AM217:AN217" si="432">(AI217/AK217)*100</f>
        <v>77.53532463</v>
      </c>
      <c r="AN217" s="26">
        <f t="shared" si="432"/>
        <v>91.06145251</v>
      </c>
      <c r="AO217" s="26">
        <v>1816.0</v>
      </c>
      <c r="AP217" s="26">
        <v>560.0</v>
      </c>
      <c r="AQ217" s="26">
        <v>1256.0</v>
      </c>
      <c r="AR217" s="26">
        <v>592.0</v>
      </c>
      <c r="AS217" s="27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</row>
    <row r="218">
      <c r="A218" s="22">
        <v>6817.0</v>
      </c>
      <c r="B218" s="23" t="s">
        <v>25</v>
      </c>
      <c r="C218" s="29" t="s">
        <v>268</v>
      </c>
      <c r="D218" s="29" t="s">
        <v>275</v>
      </c>
      <c r="E218" s="29" t="s">
        <v>284</v>
      </c>
      <c r="F218" s="29" t="s">
        <v>284</v>
      </c>
      <c r="G218" s="26">
        <v>26310.0</v>
      </c>
      <c r="H218" s="26">
        <v>8560.0</v>
      </c>
      <c r="I218" s="26">
        <v>4340.0</v>
      </c>
      <c r="J218" s="26">
        <v>4220.0</v>
      </c>
      <c r="K218" s="26">
        <v>12306.0</v>
      </c>
      <c r="L218" s="26">
        <v>7332.0</v>
      </c>
      <c r="M218" s="26">
        <v>4925.0</v>
      </c>
      <c r="N218" s="26">
        <v>26.0</v>
      </c>
      <c r="O218" s="26">
        <v>23.0</v>
      </c>
      <c r="P218" s="26">
        <f t="shared" si="3"/>
        <v>4948</v>
      </c>
      <c r="Q218" s="26">
        <f t="shared" si="4"/>
        <v>7358</v>
      </c>
      <c r="R218" s="26">
        <f t="shared" si="5"/>
        <v>8731</v>
      </c>
      <c r="S218" s="26">
        <f t="shared" si="6"/>
        <v>9019</v>
      </c>
      <c r="T218" s="26">
        <f t="shared" ref="T218:U218" si="433">(P218/R218)*100</f>
        <v>56.67162982</v>
      </c>
      <c r="U218" s="26">
        <f t="shared" si="433"/>
        <v>81.58332409</v>
      </c>
      <c r="V218" s="26">
        <v>5444.0</v>
      </c>
      <c r="W218" s="26">
        <v>1661.0</v>
      </c>
      <c r="X218" s="26">
        <v>3783.0</v>
      </c>
      <c r="Y218" s="26">
        <v>0.0</v>
      </c>
      <c r="Z218" s="26">
        <v>32169.0</v>
      </c>
      <c r="AA218" s="26">
        <v>9194.0</v>
      </c>
      <c r="AB218" s="26">
        <v>4775.0</v>
      </c>
      <c r="AC218" s="26">
        <v>4419.0</v>
      </c>
      <c r="AD218" s="26">
        <v>17585.0</v>
      </c>
      <c r="AE218" s="26">
        <v>9750.0</v>
      </c>
      <c r="AF218" s="26">
        <v>7514.0</v>
      </c>
      <c r="AG218" s="26">
        <v>175.0</v>
      </c>
      <c r="AH218" s="26">
        <v>146.0</v>
      </c>
      <c r="AI218" s="26">
        <f t="shared" si="8"/>
        <v>7660</v>
      </c>
      <c r="AJ218" s="26">
        <f t="shared" si="9"/>
        <v>9925</v>
      </c>
      <c r="AK218" s="26">
        <f t="shared" si="10"/>
        <v>10518</v>
      </c>
      <c r="AL218" s="26">
        <f t="shared" si="11"/>
        <v>11543</v>
      </c>
      <c r="AM218" s="26">
        <f t="shared" ref="AM218:AN218" si="434">(AI218/AK218)*100</f>
        <v>72.82753375</v>
      </c>
      <c r="AN218" s="26">
        <f t="shared" si="434"/>
        <v>85.98284675</v>
      </c>
      <c r="AO218" s="26">
        <v>4476.0</v>
      </c>
      <c r="AP218" s="26">
        <v>1618.0</v>
      </c>
      <c r="AQ218" s="26">
        <v>2858.0</v>
      </c>
      <c r="AR218" s="26">
        <v>914.0</v>
      </c>
      <c r="AS218" s="27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</row>
    <row r="219">
      <c r="A219" s="22">
        <v>6841.0</v>
      </c>
      <c r="B219" s="23" t="s">
        <v>25</v>
      </c>
      <c r="C219" s="29" t="s">
        <v>268</v>
      </c>
      <c r="D219" s="29" t="s">
        <v>275</v>
      </c>
      <c r="E219" s="29" t="s">
        <v>285</v>
      </c>
      <c r="F219" s="29" t="s">
        <v>285</v>
      </c>
      <c r="G219" s="26">
        <v>16115.0</v>
      </c>
      <c r="H219" s="26">
        <v>5846.0</v>
      </c>
      <c r="I219" s="26">
        <v>3084.0</v>
      </c>
      <c r="J219" s="26">
        <v>2762.0</v>
      </c>
      <c r="K219" s="26">
        <v>7634.0</v>
      </c>
      <c r="L219" s="26">
        <v>4586.0</v>
      </c>
      <c r="M219" s="26">
        <v>3001.0</v>
      </c>
      <c r="N219" s="26">
        <v>28.0</v>
      </c>
      <c r="O219" s="26">
        <v>19.0</v>
      </c>
      <c r="P219" s="26">
        <f t="shared" si="3"/>
        <v>3020</v>
      </c>
      <c r="Q219" s="26">
        <f t="shared" si="4"/>
        <v>4614</v>
      </c>
      <c r="R219" s="26">
        <f t="shared" si="5"/>
        <v>4884</v>
      </c>
      <c r="S219" s="26">
        <f t="shared" si="6"/>
        <v>5385</v>
      </c>
      <c r="T219" s="26">
        <f t="shared" ref="T219:U219" si="435">(P219/R219)*100</f>
        <v>61.83456183</v>
      </c>
      <c r="U219" s="26">
        <f t="shared" si="435"/>
        <v>85.68245125</v>
      </c>
      <c r="V219" s="26">
        <v>2635.0</v>
      </c>
      <c r="W219" s="26">
        <v>771.0</v>
      </c>
      <c r="X219" s="26">
        <v>1864.0</v>
      </c>
      <c r="Y219" s="26">
        <v>0.0</v>
      </c>
      <c r="Z219" s="26">
        <v>14190.0</v>
      </c>
      <c r="AA219" s="26">
        <v>3909.0</v>
      </c>
      <c r="AB219" s="26">
        <v>2088.0</v>
      </c>
      <c r="AC219" s="26">
        <v>1821.0</v>
      </c>
      <c r="AD219" s="26">
        <v>8044.0</v>
      </c>
      <c r="AE219" s="26">
        <v>5041.0</v>
      </c>
      <c r="AF219" s="26">
        <v>2892.0</v>
      </c>
      <c r="AG219" s="26">
        <v>82.0</v>
      </c>
      <c r="AH219" s="26">
        <v>29.0</v>
      </c>
      <c r="AI219" s="26">
        <f t="shared" si="8"/>
        <v>2921</v>
      </c>
      <c r="AJ219" s="26">
        <f t="shared" si="9"/>
        <v>5123</v>
      </c>
      <c r="AK219" s="26">
        <f t="shared" si="10"/>
        <v>4058</v>
      </c>
      <c r="AL219" s="26">
        <f t="shared" si="11"/>
        <v>5669</v>
      </c>
      <c r="AM219" s="26">
        <f t="shared" ref="AM219:AN219" si="436">(AI219/AK219)*100</f>
        <v>71.98127156</v>
      </c>
      <c r="AN219" s="26">
        <f t="shared" si="436"/>
        <v>90.36867172</v>
      </c>
      <c r="AO219" s="26">
        <v>1683.0</v>
      </c>
      <c r="AP219" s="26">
        <v>546.0</v>
      </c>
      <c r="AQ219" s="26">
        <v>1137.0</v>
      </c>
      <c r="AR219" s="26">
        <v>554.0</v>
      </c>
      <c r="AS219" s="27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</row>
    <row r="220">
      <c r="A220" s="22">
        <v>6865.0</v>
      </c>
      <c r="B220" s="23" t="s">
        <v>25</v>
      </c>
      <c r="C220" s="29" t="s">
        <v>268</v>
      </c>
      <c r="D220" s="29" t="s">
        <v>275</v>
      </c>
      <c r="E220" s="29" t="s">
        <v>286</v>
      </c>
      <c r="F220" s="29" t="s">
        <v>286</v>
      </c>
      <c r="G220" s="26">
        <v>19887.0</v>
      </c>
      <c r="H220" s="26">
        <v>7185.0</v>
      </c>
      <c r="I220" s="26">
        <v>3701.0</v>
      </c>
      <c r="J220" s="26">
        <v>3484.0</v>
      </c>
      <c r="K220" s="26">
        <v>9195.0</v>
      </c>
      <c r="L220" s="26">
        <v>5565.0</v>
      </c>
      <c r="M220" s="26">
        <v>3593.0</v>
      </c>
      <c r="N220" s="26">
        <v>24.0</v>
      </c>
      <c r="O220" s="26">
        <v>13.0</v>
      </c>
      <c r="P220" s="26">
        <f t="shared" si="3"/>
        <v>3606</v>
      </c>
      <c r="Q220" s="26">
        <f t="shared" si="4"/>
        <v>5589</v>
      </c>
      <c r="R220" s="26">
        <f t="shared" si="5"/>
        <v>5921</v>
      </c>
      <c r="S220" s="26">
        <f t="shared" si="6"/>
        <v>6781</v>
      </c>
      <c r="T220" s="26">
        <f t="shared" ref="T220:U220" si="437">(P220/R220)*100</f>
        <v>60.90187468</v>
      </c>
      <c r="U220" s="26">
        <f t="shared" si="437"/>
        <v>82.42147176</v>
      </c>
      <c r="V220" s="26">
        <v>3507.0</v>
      </c>
      <c r="W220" s="26">
        <v>1192.0</v>
      </c>
      <c r="X220" s="26">
        <v>2315.0</v>
      </c>
      <c r="Y220" s="26">
        <v>0.0</v>
      </c>
      <c r="Z220" s="26">
        <v>20523.0</v>
      </c>
      <c r="AA220" s="26">
        <v>5998.0</v>
      </c>
      <c r="AB220" s="26">
        <v>3143.0</v>
      </c>
      <c r="AC220" s="26">
        <v>2855.0</v>
      </c>
      <c r="AD220" s="26">
        <v>11404.0</v>
      </c>
      <c r="AE220" s="26">
        <v>6807.0</v>
      </c>
      <c r="AF220" s="26">
        <v>4352.0</v>
      </c>
      <c r="AG220" s="26">
        <v>149.0</v>
      </c>
      <c r="AH220" s="26">
        <v>96.0</v>
      </c>
      <c r="AI220" s="26">
        <f t="shared" si="8"/>
        <v>4448</v>
      </c>
      <c r="AJ220" s="26">
        <f t="shared" si="9"/>
        <v>6956</v>
      </c>
      <c r="AK220" s="26">
        <f t="shared" si="10"/>
        <v>5985</v>
      </c>
      <c r="AL220" s="26">
        <f t="shared" si="11"/>
        <v>7775</v>
      </c>
      <c r="AM220" s="26">
        <f t="shared" ref="AM220:AN220" si="438">(AI220/AK220)*100</f>
        <v>74.31913116</v>
      </c>
      <c r="AN220" s="26">
        <f t="shared" si="438"/>
        <v>89.46623794</v>
      </c>
      <c r="AO220" s="26">
        <v>2356.0</v>
      </c>
      <c r="AP220" s="26">
        <v>819.0</v>
      </c>
      <c r="AQ220" s="26">
        <v>1537.0</v>
      </c>
      <c r="AR220" s="26">
        <v>765.0</v>
      </c>
      <c r="AS220" s="27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</row>
    <row r="221">
      <c r="A221" s="22">
        <v>6913.0</v>
      </c>
      <c r="B221" s="23" t="s">
        <v>25</v>
      </c>
      <c r="C221" s="29" t="s">
        <v>268</v>
      </c>
      <c r="D221" s="29" t="s">
        <v>287</v>
      </c>
      <c r="E221" s="29" t="s">
        <v>288</v>
      </c>
      <c r="F221" s="29" t="s">
        <v>288</v>
      </c>
      <c r="G221" s="26">
        <v>29991.0</v>
      </c>
      <c r="H221" s="26">
        <v>10662.0</v>
      </c>
      <c r="I221" s="26">
        <v>5474.0</v>
      </c>
      <c r="J221" s="26">
        <v>5188.0</v>
      </c>
      <c r="K221" s="26">
        <v>13617.0</v>
      </c>
      <c r="L221" s="26">
        <v>7878.0</v>
      </c>
      <c r="M221" s="26">
        <v>5690.0</v>
      </c>
      <c r="N221" s="26">
        <v>35.0</v>
      </c>
      <c r="O221" s="26">
        <v>14.0</v>
      </c>
      <c r="P221" s="26">
        <f t="shared" si="3"/>
        <v>5704</v>
      </c>
      <c r="Q221" s="26">
        <f t="shared" si="4"/>
        <v>7913</v>
      </c>
      <c r="R221" s="26">
        <f t="shared" si="5"/>
        <v>9441</v>
      </c>
      <c r="S221" s="26">
        <f t="shared" si="6"/>
        <v>9888</v>
      </c>
      <c r="T221" s="26">
        <f t="shared" ref="T221:U221" si="439">(P221/R221)*100</f>
        <v>60.41732867</v>
      </c>
      <c r="U221" s="26">
        <f t="shared" si="439"/>
        <v>80.0262945</v>
      </c>
      <c r="V221" s="26">
        <v>5712.0</v>
      </c>
      <c r="W221" s="26">
        <v>1975.0</v>
      </c>
      <c r="X221" s="26">
        <v>3737.0</v>
      </c>
      <c r="Y221" s="26">
        <v>0.0</v>
      </c>
      <c r="Z221" s="26">
        <v>28145.0</v>
      </c>
      <c r="AA221" s="26">
        <v>8966.0</v>
      </c>
      <c r="AB221" s="26">
        <v>4640.0</v>
      </c>
      <c r="AC221" s="26">
        <v>4326.0</v>
      </c>
      <c r="AD221" s="26">
        <v>15577.0</v>
      </c>
      <c r="AE221" s="26">
        <v>8731.0</v>
      </c>
      <c r="AF221" s="26">
        <v>6617.0</v>
      </c>
      <c r="AG221" s="26">
        <v>167.0</v>
      </c>
      <c r="AH221" s="26">
        <v>62.0</v>
      </c>
      <c r="AI221" s="26">
        <f t="shared" si="8"/>
        <v>6679</v>
      </c>
      <c r="AJ221" s="26">
        <f t="shared" si="9"/>
        <v>8898</v>
      </c>
      <c r="AK221" s="26">
        <f t="shared" si="10"/>
        <v>8668</v>
      </c>
      <c r="AL221" s="26">
        <f t="shared" si="11"/>
        <v>10070</v>
      </c>
      <c r="AM221" s="26">
        <f t="shared" ref="AM221:AN221" si="440">(AI221/AK221)*100</f>
        <v>77.05353023</v>
      </c>
      <c r="AN221" s="26">
        <f t="shared" si="440"/>
        <v>88.36146971</v>
      </c>
      <c r="AO221" s="26">
        <v>3161.0</v>
      </c>
      <c r="AP221" s="26">
        <v>1172.0</v>
      </c>
      <c r="AQ221" s="26">
        <v>1989.0</v>
      </c>
      <c r="AR221" s="26">
        <v>441.0</v>
      </c>
      <c r="AS221" s="27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</row>
    <row r="222">
      <c r="A222" s="22">
        <v>6937.0</v>
      </c>
      <c r="B222" s="23" t="s">
        <v>25</v>
      </c>
      <c r="C222" s="29" t="s">
        <v>268</v>
      </c>
      <c r="D222" s="29" t="s">
        <v>287</v>
      </c>
      <c r="E222" s="29" t="s">
        <v>289</v>
      </c>
      <c r="F222" s="29" t="s">
        <v>289</v>
      </c>
      <c r="G222" s="26">
        <v>10845.0</v>
      </c>
      <c r="H222" s="26">
        <v>3944.0</v>
      </c>
      <c r="I222" s="26">
        <v>1973.0</v>
      </c>
      <c r="J222" s="26">
        <v>1971.0</v>
      </c>
      <c r="K222" s="26">
        <v>4590.0</v>
      </c>
      <c r="L222" s="26">
        <v>2742.0</v>
      </c>
      <c r="M222" s="26">
        <v>1819.0</v>
      </c>
      <c r="N222" s="26">
        <v>23.0</v>
      </c>
      <c r="O222" s="26">
        <v>6.0</v>
      </c>
      <c r="P222" s="26">
        <f t="shared" si="3"/>
        <v>1825</v>
      </c>
      <c r="Q222" s="26">
        <f t="shared" si="4"/>
        <v>2765</v>
      </c>
      <c r="R222" s="26">
        <f t="shared" si="5"/>
        <v>3442</v>
      </c>
      <c r="S222" s="26">
        <f t="shared" si="6"/>
        <v>3459</v>
      </c>
      <c r="T222" s="26">
        <f t="shared" ref="T222:U222" si="441">(P222/R222)*100</f>
        <v>53.02149913</v>
      </c>
      <c r="U222" s="26">
        <f t="shared" si="441"/>
        <v>79.9363978</v>
      </c>
      <c r="V222" s="26">
        <v>2311.0</v>
      </c>
      <c r="W222" s="26">
        <v>694.0</v>
      </c>
      <c r="X222" s="26">
        <v>1617.0</v>
      </c>
      <c r="Y222" s="26">
        <v>0.0</v>
      </c>
      <c r="Z222" s="26">
        <v>10593.0</v>
      </c>
      <c r="AA222" s="26">
        <v>3100.0</v>
      </c>
      <c r="AB222" s="26">
        <v>1627.0</v>
      </c>
      <c r="AC222" s="26">
        <v>1473.0</v>
      </c>
      <c r="AD222" s="26">
        <v>6090.0</v>
      </c>
      <c r="AE222" s="26">
        <v>3279.0</v>
      </c>
      <c r="AF222" s="26">
        <v>2749.0</v>
      </c>
      <c r="AG222" s="26">
        <v>46.0</v>
      </c>
      <c r="AH222" s="26">
        <v>16.0</v>
      </c>
      <c r="AI222" s="26">
        <f t="shared" si="8"/>
        <v>2765</v>
      </c>
      <c r="AJ222" s="26">
        <f t="shared" si="9"/>
        <v>3325</v>
      </c>
      <c r="AK222" s="26">
        <f t="shared" si="10"/>
        <v>3549</v>
      </c>
      <c r="AL222" s="26">
        <f t="shared" si="11"/>
        <v>3718</v>
      </c>
      <c r="AM222" s="26">
        <f t="shared" ref="AM222:AN222" si="442">(AI222/AK222)*100</f>
        <v>77.90927022</v>
      </c>
      <c r="AN222" s="26">
        <f t="shared" si="442"/>
        <v>89.42980097</v>
      </c>
      <c r="AO222" s="26">
        <v>1177.0</v>
      </c>
      <c r="AP222" s="26">
        <v>393.0</v>
      </c>
      <c r="AQ222" s="26">
        <v>784.0</v>
      </c>
      <c r="AR222" s="26">
        <v>226.0</v>
      </c>
      <c r="AS222" s="27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</row>
    <row r="223">
      <c r="A223" s="22">
        <v>6985.0</v>
      </c>
      <c r="B223" s="23" t="s">
        <v>25</v>
      </c>
      <c r="C223" s="29" t="s">
        <v>268</v>
      </c>
      <c r="D223" s="29" t="s">
        <v>290</v>
      </c>
      <c r="E223" s="29" t="s">
        <v>291</v>
      </c>
      <c r="F223" s="29" t="s">
        <v>291</v>
      </c>
      <c r="G223" s="26">
        <v>31503.0</v>
      </c>
      <c r="H223" s="26">
        <v>9384.0</v>
      </c>
      <c r="I223" s="26">
        <v>4717.0</v>
      </c>
      <c r="J223" s="26">
        <v>4667.0</v>
      </c>
      <c r="K223" s="26">
        <v>14755.0</v>
      </c>
      <c r="L223" s="26">
        <v>8686.0</v>
      </c>
      <c r="M223" s="26">
        <v>5985.0</v>
      </c>
      <c r="N223" s="26">
        <v>63.0</v>
      </c>
      <c r="O223" s="26">
        <v>21.0</v>
      </c>
      <c r="P223" s="26">
        <f t="shared" si="3"/>
        <v>6006</v>
      </c>
      <c r="Q223" s="26">
        <f t="shared" si="4"/>
        <v>8749</v>
      </c>
      <c r="R223" s="26">
        <f t="shared" si="5"/>
        <v>11430</v>
      </c>
      <c r="S223" s="26">
        <f t="shared" si="6"/>
        <v>10689</v>
      </c>
      <c r="T223" s="26">
        <f t="shared" ref="T223:U223" si="443">(P223/R223)*100</f>
        <v>52.54593176</v>
      </c>
      <c r="U223" s="26">
        <f t="shared" si="443"/>
        <v>81.85050051</v>
      </c>
      <c r="V223" s="26">
        <v>7364.0</v>
      </c>
      <c r="W223" s="26">
        <v>1940.0</v>
      </c>
      <c r="X223" s="26">
        <v>5424.0</v>
      </c>
      <c r="Y223" s="26">
        <v>0.0</v>
      </c>
      <c r="Z223" s="26">
        <v>28369.0</v>
      </c>
      <c r="AA223" s="26">
        <v>6583.0</v>
      </c>
      <c r="AB223" s="26">
        <v>3347.0</v>
      </c>
      <c r="AC223" s="26">
        <v>3236.0</v>
      </c>
      <c r="AD223" s="26">
        <v>16441.0</v>
      </c>
      <c r="AE223" s="26">
        <v>8718.0</v>
      </c>
      <c r="AF223" s="26">
        <v>7397.0</v>
      </c>
      <c r="AG223" s="26">
        <v>216.0</v>
      </c>
      <c r="AH223" s="26">
        <v>110.0</v>
      </c>
      <c r="AI223" s="26">
        <f t="shared" si="8"/>
        <v>7507</v>
      </c>
      <c r="AJ223" s="26">
        <f t="shared" si="9"/>
        <v>8934</v>
      </c>
      <c r="AK223" s="26">
        <f t="shared" si="10"/>
        <v>10788</v>
      </c>
      <c r="AL223" s="26">
        <f t="shared" si="11"/>
        <v>10399</v>
      </c>
      <c r="AM223" s="26">
        <f t="shared" ref="AM223:AN223" si="444">(AI223/AK223)*100</f>
        <v>69.58657768</v>
      </c>
      <c r="AN223" s="26">
        <f t="shared" si="444"/>
        <v>85.91210693</v>
      </c>
      <c r="AO223" s="26">
        <v>4746.0</v>
      </c>
      <c r="AP223" s="26">
        <v>1465.0</v>
      </c>
      <c r="AQ223" s="26">
        <v>3281.0</v>
      </c>
      <c r="AR223" s="26">
        <v>599.0</v>
      </c>
      <c r="AS223" s="27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</row>
    <row r="224">
      <c r="A224" s="22">
        <v>7009.0</v>
      </c>
      <c r="B224" s="23" t="s">
        <v>25</v>
      </c>
      <c r="C224" s="29" t="s">
        <v>268</v>
      </c>
      <c r="D224" s="29" t="s">
        <v>290</v>
      </c>
      <c r="E224" s="29" t="s">
        <v>292</v>
      </c>
      <c r="F224" s="29" t="s">
        <v>292</v>
      </c>
      <c r="G224" s="26">
        <v>10612.0</v>
      </c>
      <c r="H224" s="26">
        <v>3233.0</v>
      </c>
      <c r="I224" s="26">
        <v>1618.0</v>
      </c>
      <c r="J224" s="26">
        <v>1615.0</v>
      </c>
      <c r="K224" s="26">
        <v>4481.0</v>
      </c>
      <c r="L224" s="26">
        <v>2530.0</v>
      </c>
      <c r="M224" s="26">
        <v>1918.0</v>
      </c>
      <c r="N224" s="26">
        <v>22.0</v>
      </c>
      <c r="O224" s="26">
        <v>11.0</v>
      </c>
      <c r="P224" s="26">
        <f t="shared" si="3"/>
        <v>1929</v>
      </c>
      <c r="Q224" s="26">
        <f t="shared" si="4"/>
        <v>2552</v>
      </c>
      <c r="R224" s="26">
        <f t="shared" si="5"/>
        <v>4029</v>
      </c>
      <c r="S224" s="26">
        <f t="shared" si="6"/>
        <v>3350</v>
      </c>
      <c r="T224" s="26">
        <f t="shared" ref="T224:U224" si="445">(P224/R224)*100</f>
        <v>47.87788533</v>
      </c>
      <c r="U224" s="26">
        <f t="shared" si="445"/>
        <v>76.17910448</v>
      </c>
      <c r="V224" s="26">
        <v>2898.0</v>
      </c>
      <c r="W224" s="26">
        <v>798.0</v>
      </c>
      <c r="X224" s="26">
        <v>2100.0</v>
      </c>
      <c r="Y224" s="26">
        <v>0.0</v>
      </c>
      <c r="Z224" s="26">
        <v>9689.0</v>
      </c>
      <c r="AA224" s="26">
        <v>2044.0</v>
      </c>
      <c r="AB224" s="26">
        <v>1041.0</v>
      </c>
      <c r="AC224" s="26">
        <v>1003.0</v>
      </c>
      <c r="AD224" s="26">
        <v>5856.0</v>
      </c>
      <c r="AE224" s="26">
        <v>2995.0</v>
      </c>
      <c r="AF224" s="26">
        <v>2807.0</v>
      </c>
      <c r="AG224" s="26">
        <v>43.0</v>
      </c>
      <c r="AH224" s="26">
        <v>11.0</v>
      </c>
      <c r="AI224" s="26">
        <f t="shared" si="8"/>
        <v>2818</v>
      </c>
      <c r="AJ224" s="26">
        <f t="shared" si="9"/>
        <v>3038</v>
      </c>
      <c r="AK224" s="26">
        <f t="shared" si="10"/>
        <v>3964</v>
      </c>
      <c r="AL224" s="26">
        <f t="shared" si="11"/>
        <v>3549</v>
      </c>
      <c r="AM224" s="26">
        <f t="shared" ref="AM224:AN224" si="446">(AI224/AK224)*100</f>
        <v>71.08980827</v>
      </c>
      <c r="AN224" s="26">
        <f t="shared" si="446"/>
        <v>85.60157791</v>
      </c>
      <c r="AO224" s="26">
        <v>1657.0</v>
      </c>
      <c r="AP224" s="26">
        <v>511.0</v>
      </c>
      <c r="AQ224" s="26">
        <v>1146.0</v>
      </c>
      <c r="AR224" s="26">
        <v>132.0</v>
      </c>
      <c r="AS224" s="27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</row>
    <row r="225">
      <c r="A225" s="22">
        <v>7057.0</v>
      </c>
      <c r="B225" s="23" t="s">
        <v>25</v>
      </c>
      <c r="C225" s="29" t="s">
        <v>268</v>
      </c>
      <c r="D225" s="29" t="s">
        <v>293</v>
      </c>
      <c r="E225" s="29" t="s">
        <v>294</v>
      </c>
      <c r="F225" s="29" t="s">
        <v>294</v>
      </c>
      <c r="G225" s="26">
        <v>19605.0</v>
      </c>
      <c r="H225" s="26">
        <v>6895.0</v>
      </c>
      <c r="I225" s="26">
        <v>3580.0</v>
      </c>
      <c r="J225" s="26">
        <v>3315.0</v>
      </c>
      <c r="K225" s="26">
        <v>9990.0</v>
      </c>
      <c r="L225" s="26">
        <v>5382.0</v>
      </c>
      <c r="M225" s="26">
        <v>4579.0</v>
      </c>
      <c r="N225" s="26">
        <v>25.0</v>
      </c>
      <c r="O225" s="26">
        <v>4.0</v>
      </c>
      <c r="P225" s="26">
        <f t="shared" si="3"/>
        <v>4583</v>
      </c>
      <c r="Q225" s="26">
        <f t="shared" si="4"/>
        <v>5407</v>
      </c>
      <c r="R225" s="26">
        <f t="shared" si="5"/>
        <v>6338</v>
      </c>
      <c r="S225" s="26">
        <f t="shared" si="6"/>
        <v>6372</v>
      </c>
      <c r="T225" s="26">
        <f t="shared" ref="T225:U225" si="447">(P225/R225)*100</f>
        <v>72.30987693</v>
      </c>
      <c r="U225" s="26">
        <f t="shared" si="447"/>
        <v>84.85561833</v>
      </c>
      <c r="V225" s="26">
        <v>2720.0</v>
      </c>
      <c r="W225" s="26">
        <v>965.0</v>
      </c>
      <c r="X225" s="26">
        <v>1755.0</v>
      </c>
      <c r="Y225" s="26">
        <v>0.0</v>
      </c>
      <c r="Z225" s="26">
        <v>17007.0</v>
      </c>
      <c r="AA225" s="26">
        <v>5118.0</v>
      </c>
      <c r="AB225" s="26">
        <v>2706.0</v>
      </c>
      <c r="AC225" s="26">
        <v>2412.0</v>
      </c>
      <c r="AD225" s="26">
        <v>9470.0</v>
      </c>
      <c r="AE225" s="26">
        <v>5262.0</v>
      </c>
      <c r="AF225" s="26">
        <v>4071.0</v>
      </c>
      <c r="AG225" s="26">
        <v>92.0</v>
      </c>
      <c r="AH225" s="26">
        <v>45.0</v>
      </c>
      <c r="AI225" s="26">
        <f t="shared" si="8"/>
        <v>4116</v>
      </c>
      <c r="AJ225" s="26">
        <f t="shared" si="9"/>
        <v>5354</v>
      </c>
      <c r="AK225" s="26">
        <f t="shared" si="10"/>
        <v>5189</v>
      </c>
      <c r="AL225" s="26">
        <f t="shared" si="11"/>
        <v>5996</v>
      </c>
      <c r="AM225" s="26">
        <f t="shared" ref="AM225:AN225" si="448">(AI225/AK225)*100</f>
        <v>79.32164193</v>
      </c>
      <c r="AN225" s="26">
        <f t="shared" si="448"/>
        <v>89.29286191</v>
      </c>
      <c r="AO225" s="26">
        <v>1715.0</v>
      </c>
      <c r="AP225" s="26">
        <v>642.0</v>
      </c>
      <c r="AQ225" s="26">
        <v>1073.0</v>
      </c>
      <c r="AR225" s="26">
        <v>704.0</v>
      </c>
      <c r="AS225" s="27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</row>
    <row r="226">
      <c r="A226" s="22">
        <v>7081.0</v>
      </c>
      <c r="B226" s="23" t="s">
        <v>25</v>
      </c>
      <c r="C226" s="29" t="s">
        <v>268</v>
      </c>
      <c r="D226" s="29" t="s">
        <v>293</v>
      </c>
      <c r="E226" s="29" t="s">
        <v>295</v>
      </c>
      <c r="F226" s="29" t="s">
        <v>295</v>
      </c>
      <c r="G226" s="26">
        <v>8701.0</v>
      </c>
      <c r="H226" s="26">
        <v>2918.0</v>
      </c>
      <c r="I226" s="26">
        <v>1535.0</v>
      </c>
      <c r="J226" s="26">
        <v>1383.0</v>
      </c>
      <c r="K226" s="26">
        <v>4646.0</v>
      </c>
      <c r="L226" s="26">
        <v>2576.0</v>
      </c>
      <c r="M226" s="26">
        <v>2058.0</v>
      </c>
      <c r="N226" s="26">
        <v>11.0</v>
      </c>
      <c r="O226" s="26">
        <v>1.0</v>
      </c>
      <c r="P226" s="26">
        <f t="shared" si="3"/>
        <v>2059</v>
      </c>
      <c r="Q226" s="26">
        <f t="shared" si="4"/>
        <v>2587</v>
      </c>
      <c r="R226" s="26">
        <f t="shared" si="5"/>
        <v>2735</v>
      </c>
      <c r="S226" s="26">
        <f t="shared" si="6"/>
        <v>3048</v>
      </c>
      <c r="T226" s="26">
        <f t="shared" ref="T226:U226" si="449">(P226/R226)*100</f>
        <v>75.2833638</v>
      </c>
      <c r="U226" s="26">
        <f t="shared" si="449"/>
        <v>84.87532808</v>
      </c>
      <c r="V226" s="26">
        <v>1137.0</v>
      </c>
      <c r="W226" s="26">
        <v>461.0</v>
      </c>
      <c r="X226" s="26">
        <v>676.0</v>
      </c>
      <c r="Y226" s="26">
        <v>0.0</v>
      </c>
      <c r="Z226" s="26">
        <v>8379.0</v>
      </c>
      <c r="AA226" s="26">
        <v>2149.0</v>
      </c>
      <c r="AB226" s="26">
        <v>1111.0</v>
      </c>
      <c r="AC226" s="26">
        <v>1038.0</v>
      </c>
      <c r="AD226" s="26">
        <v>5070.0</v>
      </c>
      <c r="AE226" s="26">
        <v>2923.0</v>
      </c>
      <c r="AF226" s="26">
        <v>2040.0</v>
      </c>
      <c r="AG226" s="26">
        <v>71.0</v>
      </c>
      <c r="AH226" s="26">
        <v>36.0</v>
      </c>
      <c r="AI226" s="26">
        <f t="shared" si="8"/>
        <v>2076</v>
      </c>
      <c r="AJ226" s="26">
        <f t="shared" si="9"/>
        <v>2994</v>
      </c>
      <c r="AK226" s="26">
        <f t="shared" si="10"/>
        <v>2634</v>
      </c>
      <c r="AL226" s="26">
        <f t="shared" si="11"/>
        <v>3369</v>
      </c>
      <c r="AM226" s="26">
        <f t="shared" ref="AM226:AN226" si="450">(AI226/AK226)*100</f>
        <v>78.81548975</v>
      </c>
      <c r="AN226" s="26">
        <f t="shared" si="450"/>
        <v>88.86910062</v>
      </c>
      <c r="AO226" s="26">
        <v>933.0</v>
      </c>
      <c r="AP226" s="26">
        <v>375.0</v>
      </c>
      <c r="AQ226" s="26">
        <v>558.0</v>
      </c>
      <c r="AR226" s="26">
        <v>227.0</v>
      </c>
      <c r="AS226" s="27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</row>
    <row r="227">
      <c r="A227" s="22">
        <v>7129.0</v>
      </c>
      <c r="B227" s="23" t="s">
        <v>25</v>
      </c>
      <c r="C227" s="29" t="s">
        <v>268</v>
      </c>
      <c r="D227" s="29" t="s">
        <v>296</v>
      </c>
      <c r="E227" s="29" t="s">
        <v>297</v>
      </c>
      <c r="F227" s="29" t="s">
        <v>297</v>
      </c>
      <c r="G227" s="26">
        <v>44458.0</v>
      </c>
      <c r="H227" s="26">
        <v>13173.0</v>
      </c>
      <c r="I227" s="26">
        <v>6731.0</v>
      </c>
      <c r="J227" s="26">
        <v>6442.0</v>
      </c>
      <c r="K227" s="26">
        <v>19368.0</v>
      </c>
      <c r="L227" s="26">
        <v>10700.0</v>
      </c>
      <c r="M227" s="26">
        <v>8469.0</v>
      </c>
      <c r="N227" s="26">
        <v>117.0</v>
      </c>
      <c r="O227" s="26">
        <v>82.0</v>
      </c>
      <c r="P227" s="26">
        <f t="shared" si="3"/>
        <v>8551</v>
      </c>
      <c r="Q227" s="26">
        <f t="shared" si="4"/>
        <v>10817</v>
      </c>
      <c r="R227" s="26">
        <f t="shared" si="5"/>
        <v>16521</v>
      </c>
      <c r="S227" s="26">
        <f t="shared" si="6"/>
        <v>14764</v>
      </c>
      <c r="T227" s="26">
        <f t="shared" ref="T227:U227" si="451">(P227/R227)*100</f>
        <v>51.75836814</v>
      </c>
      <c r="U227" s="26">
        <f t="shared" si="451"/>
        <v>73.26605256</v>
      </c>
      <c r="V227" s="26">
        <v>11917.0</v>
      </c>
      <c r="W227" s="26">
        <v>3947.0</v>
      </c>
      <c r="X227" s="26">
        <v>7970.0</v>
      </c>
      <c r="Y227" s="26">
        <v>0.0</v>
      </c>
      <c r="Z227" s="26">
        <v>45090.0</v>
      </c>
      <c r="AA227" s="26">
        <v>11364.0</v>
      </c>
      <c r="AB227" s="26">
        <v>5758.0</v>
      </c>
      <c r="AC227" s="26">
        <v>5606.0</v>
      </c>
      <c r="AD227" s="26">
        <v>23325.0</v>
      </c>
      <c r="AE227" s="26">
        <v>12148.0</v>
      </c>
      <c r="AF227" s="26">
        <v>10692.0</v>
      </c>
      <c r="AG227" s="26">
        <v>281.0</v>
      </c>
      <c r="AH227" s="26">
        <v>204.0</v>
      </c>
      <c r="AI227" s="26">
        <f t="shared" si="8"/>
        <v>10896</v>
      </c>
      <c r="AJ227" s="26">
        <f t="shared" si="9"/>
        <v>12429</v>
      </c>
      <c r="AK227" s="26">
        <f t="shared" si="10"/>
        <v>17227</v>
      </c>
      <c r="AL227" s="26">
        <f t="shared" si="11"/>
        <v>15776</v>
      </c>
      <c r="AM227" s="26">
        <f t="shared" ref="AM227:AN227" si="452">(AI227/AK227)*100</f>
        <v>63.24955012</v>
      </c>
      <c r="AN227" s="26">
        <f t="shared" si="452"/>
        <v>78.78422921</v>
      </c>
      <c r="AO227" s="26">
        <v>9678.0</v>
      </c>
      <c r="AP227" s="26">
        <v>3347.0</v>
      </c>
      <c r="AQ227" s="26">
        <v>6331.0</v>
      </c>
      <c r="AR227" s="26">
        <v>723.0</v>
      </c>
      <c r="AS227" s="27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</row>
    <row r="228">
      <c r="A228" s="22">
        <v>7153.0</v>
      </c>
      <c r="B228" s="23" t="s">
        <v>25</v>
      </c>
      <c r="C228" s="29" t="s">
        <v>268</v>
      </c>
      <c r="D228" s="29" t="s">
        <v>296</v>
      </c>
      <c r="E228" s="29" t="s">
        <v>298</v>
      </c>
      <c r="F228" s="29" t="s">
        <v>298</v>
      </c>
      <c r="G228" s="26">
        <v>11223.0</v>
      </c>
      <c r="H228" s="26">
        <v>3811.0</v>
      </c>
      <c r="I228" s="26">
        <v>1950.0</v>
      </c>
      <c r="J228" s="26">
        <v>1861.0</v>
      </c>
      <c r="K228" s="26">
        <v>4631.0</v>
      </c>
      <c r="L228" s="26">
        <v>3006.0</v>
      </c>
      <c r="M228" s="26">
        <v>1599.0</v>
      </c>
      <c r="N228" s="26">
        <v>14.0</v>
      </c>
      <c r="O228" s="26">
        <v>12.0</v>
      </c>
      <c r="P228" s="26">
        <f t="shared" si="3"/>
        <v>1611</v>
      </c>
      <c r="Q228" s="26">
        <f t="shared" si="4"/>
        <v>3020</v>
      </c>
      <c r="R228" s="26">
        <f t="shared" si="5"/>
        <v>3584</v>
      </c>
      <c r="S228" s="26">
        <f t="shared" si="6"/>
        <v>3828</v>
      </c>
      <c r="T228" s="26">
        <f t="shared" ref="T228:U228" si="453">(P228/R228)*100</f>
        <v>44.94977679</v>
      </c>
      <c r="U228" s="26">
        <f t="shared" si="453"/>
        <v>78.892372</v>
      </c>
      <c r="V228" s="26">
        <v>2781.0</v>
      </c>
      <c r="W228" s="26">
        <v>808.0</v>
      </c>
      <c r="X228" s="26">
        <v>1973.0</v>
      </c>
      <c r="Y228" s="26">
        <v>0.0</v>
      </c>
      <c r="Z228" s="26">
        <v>9562.0</v>
      </c>
      <c r="AA228" s="26">
        <v>2702.0</v>
      </c>
      <c r="AB228" s="26">
        <v>1401.0</v>
      </c>
      <c r="AC228" s="26">
        <v>1301.0</v>
      </c>
      <c r="AD228" s="26">
        <v>4684.0</v>
      </c>
      <c r="AE228" s="26">
        <v>2921.0</v>
      </c>
      <c r="AF228" s="26">
        <v>1695.0</v>
      </c>
      <c r="AG228" s="26">
        <v>23.0</v>
      </c>
      <c r="AH228" s="26">
        <v>45.0</v>
      </c>
      <c r="AI228" s="26">
        <f t="shared" si="8"/>
        <v>1740</v>
      </c>
      <c r="AJ228" s="26">
        <f t="shared" si="9"/>
        <v>2944</v>
      </c>
      <c r="AK228" s="26">
        <f t="shared" si="10"/>
        <v>3183</v>
      </c>
      <c r="AL228" s="26">
        <f t="shared" si="11"/>
        <v>3503</v>
      </c>
      <c r="AM228" s="26">
        <f t="shared" ref="AM228:AN228" si="454">(AI228/AK228)*100</f>
        <v>54.66540999</v>
      </c>
      <c r="AN228" s="26">
        <f t="shared" si="454"/>
        <v>84.0422495</v>
      </c>
      <c r="AO228" s="26">
        <v>2002.0</v>
      </c>
      <c r="AP228" s="26">
        <v>559.0</v>
      </c>
      <c r="AQ228" s="26">
        <v>1443.0</v>
      </c>
      <c r="AR228" s="26">
        <v>174.0</v>
      </c>
      <c r="AS228" s="27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</row>
    <row r="229">
      <c r="A229" s="22">
        <v>7201.0</v>
      </c>
      <c r="B229" s="23" t="s">
        <v>25</v>
      </c>
      <c r="C229" s="29" t="s">
        <v>268</v>
      </c>
      <c r="D229" s="29" t="s">
        <v>299</v>
      </c>
      <c r="E229" s="29" t="s">
        <v>300</v>
      </c>
      <c r="F229" s="29" t="s">
        <v>300</v>
      </c>
      <c r="G229" s="26">
        <v>12882.0</v>
      </c>
      <c r="H229" s="26">
        <v>3803.0</v>
      </c>
      <c r="I229" s="26">
        <v>1881.0</v>
      </c>
      <c r="J229" s="26">
        <v>1922.0</v>
      </c>
      <c r="K229" s="26">
        <v>6260.0</v>
      </c>
      <c r="L229" s="26">
        <v>4103.0</v>
      </c>
      <c r="M229" s="26">
        <v>2110.0</v>
      </c>
      <c r="N229" s="26">
        <v>36.0</v>
      </c>
      <c r="O229" s="26">
        <v>11.0</v>
      </c>
      <c r="P229" s="26">
        <f t="shared" si="3"/>
        <v>2121</v>
      </c>
      <c r="Q229" s="26">
        <f t="shared" si="4"/>
        <v>4139</v>
      </c>
      <c r="R229" s="26">
        <f t="shared" si="5"/>
        <v>3926</v>
      </c>
      <c r="S229" s="26">
        <f t="shared" si="6"/>
        <v>5153</v>
      </c>
      <c r="T229" s="26">
        <f t="shared" ref="T229:U229" si="455">(P229/R229)*100</f>
        <v>54.02445237</v>
      </c>
      <c r="U229" s="26">
        <f t="shared" si="455"/>
        <v>80.32214244</v>
      </c>
      <c r="V229" s="26">
        <v>2819.0</v>
      </c>
      <c r="W229" s="26">
        <v>1014.0</v>
      </c>
      <c r="X229" s="26">
        <v>1805.0</v>
      </c>
      <c r="Y229" s="26">
        <v>0.0</v>
      </c>
      <c r="Z229" s="26">
        <v>12591.0</v>
      </c>
      <c r="AA229" s="26">
        <v>3137.0</v>
      </c>
      <c r="AB229" s="26">
        <v>1598.0</v>
      </c>
      <c r="AC229" s="26">
        <v>1539.0</v>
      </c>
      <c r="AD229" s="26">
        <v>6864.0</v>
      </c>
      <c r="AE229" s="26">
        <v>4130.0</v>
      </c>
      <c r="AF229" s="26">
        <v>2608.0</v>
      </c>
      <c r="AG229" s="26">
        <v>82.0</v>
      </c>
      <c r="AH229" s="26">
        <v>44.0</v>
      </c>
      <c r="AI229" s="26">
        <f t="shared" si="8"/>
        <v>2652</v>
      </c>
      <c r="AJ229" s="26">
        <f t="shared" si="9"/>
        <v>4212</v>
      </c>
      <c r="AK229" s="26">
        <f t="shared" si="10"/>
        <v>4097</v>
      </c>
      <c r="AL229" s="26">
        <f t="shared" si="11"/>
        <v>5165</v>
      </c>
      <c r="AM229" s="26">
        <f t="shared" ref="AM229:AN229" si="456">(AI229/AK229)*100</f>
        <v>64.73029046</v>
      </c>
      <c r="AN229" s="26">
        <f t="shared" si="456"/>
        <v>81.54888674</v>
      </c>
      <c r="AO229" s="26">
        <v>2398.0</v>
      </c>
      <c r="AP229" s="26">
        <v>953.0</v>
      </c>
      <c r="AQ229" s="26">
        <v>1445.0</v>
      </c>
      <c r="AR229" s="26">
        <v>192.0</v>
      </c>
      <c r="AS229" s="27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</row>
    <row r="230">
      <c r="A230" s="22">
        <v>7225.0</v>
      </c>
      <c r="B230" s="23" t="s">
        <v>25</v>
      </c>
      <c r="C230" s="29" t="s">
        <v>268</v>
      </c>
      <c r="D230" s="29" t="s">
        <v>299</v>
      </c>
      <c r="E230" s="29" t="s">
        <v>301</v>
      </c>
      <c r="F230" s="29" t="s">
        <v>301</v>
      </c>
      <c r="G230" s="26">
        <v>991.0</v>
      </c>
      <c r="H230" s="26">
        <v>229.0</v>
      </c>
      <c r="I230" s="26">
        <v>114.0</v>
      </c>
      <c r="J230" s="26">
        <v>115.0</v>
      </c>
      <c r="K230" s="26">
        <v>588.0</v>
      </c>
      <c r="L230" s="26">
        <v>348.0</v>
      </c>
      <c r="M230" s="26">
        <v>234.0</v>
      </c>
      <c r="N230" s="26">
        <v>4.0</v>
      </c>
      <c r="O230" s="26">
        <v>2.0</v>
      </c>
      <c r="P230" s="26">
        <f t="shared" si="3"/>
        <v>236</v>
      </c>
      <c r="Q230" s="26">
        <f t="shared" si="4"/>
        <v>352</v>
      </c>
      <c r="R230" s="26">
        <f t="shared" si="5"/>
        <v>343</v>
      </c>
      <c r="S230" s="26">
        <f t="shared" si="6"/>
        <v>419</v>
      </c>
      <c r="T230" s="26">
        <f t="shared" ref="T230:U230" si="457">(P230/R230)*100</f>
        <v>68.80466472</v>
      </c>
      <c r="U230" s="26">
        <f t="shared" si="457"/>
        <v>84.00954654</v>
      </c>
      <c r="V230" s="26">
        <v>174.0</v>
      </c>
      <c r="W230" s="26">
        <v>67.0</v>
      </c>
      <c r="X230" s="26">
        <v>107.0</v>
      </c>
      <c r="Y230" s="26">
        <v>0.0</v>
      </c>
      <c r="Z230" s="26">
        <v>1583.0</v>
      </c>
      <c r="AA230" s="26">
        <v>309.0</v>
      </c>
      <c r="AB230" s="26">
        <v>149.0</v>
      </c>
      <c r="AC230" s="26">
        <v>160.0</v>
      </c>
      <c r="AD230" s="26">
        <v>954.0</v>
      </c>
      <c r="AE230" s="26">
        <v>562.0</v>
      </c>
      <c r="AF230" s="26">
        <v>377.0</v>
      </c>
      <c r="AG230" s="26">
        <v>11.0</v>
      </c>
      <c r="AH230" s="26">
        <v>4.0</v>
      </c>
      <c r="AI230" s="26">
        <f t="shared" si="8"/>
        <v>381</v>
      </c>
      <c r="AJ230" s="26">
        <f t="shared" si="9"/>
        <v>573</v>
      </c>
      <c r="AK230" s="26">
        <f t="shared" si="10"/>
        <v>555</v>
      </c>
      <c r="AL230" s="26">
        <f t="shared" si="11"/>
        <v>703</v>
      </c>
      <c r="AM230" s="26">
        <f t="shared" ref="AM230:AN230" si="458">(AI230/AK230)*100</f>
        <v>68.64864865</v>
      </c>
      <c r="AN230" s="26">
        <f t="shared" si="458"/>
        <v>81.50782361</v>
      </c>
      <c r="AO230" s="26">
        <v>304.0</v>
      </c>
      <c r="AP230" s="26">
        <v>130.0</v>
      </c>
      <c r="AQ230" s="26">
        <v>174.0</v>
      </c>
      <c r="AR230" s="26">
        <v>16.0</v>
      </c>
      <c r="AS230" s="27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</row>
    <row r="231">
      <c r="A231" s="22">
        <v>7273.0</v>
      </c>
      <c r="B231" s="23" t="s">
        <v>25</v>
      </c>
      <c r="C231" s="29" t="s">
        <v>268</v>
      </c>
      <c r="D231" s="29" t="s">
        <v>302</v>
      </c>
      <c r="E231" s="29" t="s">
        <v>303</v>
      </c>
      <c r="F231" s="29" t="s">
        <v>303</v>
      </c>
      <c r="G231" s="26">
        <v>3349.0</v>
      </c>
      <c r="H231" s="26">
        <v>1126.0</v>
      </c>
      <c r="I231" s="26">
        <v>596.0</v>
      </c>
      <c r="J231" s="26">
        <v>530.0</v>
      </c>
      <c r="K231" s="26">
        <v>1522.0</v>
      </c>
      <c r="L231" s="26">
        <v>936.0</v>
      </c>
      <c r="M231" s="26">
        <v>578.0</v>
      </c>
      <c r="N231" s="26">
        <v>8.0</v>
      </c>
      <c r="O231" s="26">
        <v>0.0</v>
      </c>
      <c r="P231" s="26">
        <f t="shared" si="3"/>
        <v>578</v>
      </c>
      <c r="Q231" s="26">
        <f t="shared" si="4"/>
        <v>944</v>
      </c>
      <c r="R231" s="26">
        <f t="shared" si="5"/>
        <v>1012</v>
      </c>
      <c r="S231" s="26">
        <f t="shared" si="6"/>
        <v>1211</v>
      </c>
      <c r="T231" s="26">
        <f t="shared" ref="T231:U231" si="459">(P231/R231)*100</f>
        <v>57.11462451</v>
      </c>
      <c r="U231" s="26">
        <f t="shared" si="459"/>
        <v>77.9521057</v>
      </c>
      <c r="V231" s="26">
        <v>701.0</v>
      </c>
      <c r="W231" s="26">
        <v>267.0</v>
      </c>
      <c r="X231" s="26">
        <v>434.0</v>
      </c>
      <c r="Y231" s="26">
        <v>0.0</v>
      </c>
      <c r="Z231" s="26">
        <v>3052.0</v>
      </c>
      <c r="AA231" s="26">
        <v>854.0</v>
      </c>
      <c r="AB231" s="26">
        <v>432.0</v>
      </c>
      <c r="AC231" s="26">
        <v>422.0</v>
      </c>
      <c r="AD231" s="26">
        <v>1639.0</v>
      </c>
      <c r="AE231" s="26">
        <v>928.0</v>
      </c>
      <c r="AF231" s="26">
        <v>685.0</v>
      </c>
      <c r="AG231" s="26">
        <v>20.0</v>
      </c>
      <c r="AH231" s="26">
        <v>6.0</v>
      </c>
      <c r="AI231" s="26">
        <f t="shared" si="8"/>
        <v>691</v>
      </c>
      <c r="AJ231" s="26">
        <f t="shared" si="9"/>
        <v>948</v>
      </c>
      <c r="AK231" s="26">
        <f t="shared" si="10"/>
        <v>1009</v>
      </c>
      <c r="AL231" s="26">
        <f t="shared" si="11"/>
        <v>1145</v>
      </c>
      <c r="AM231" s="26">
        <f t="shared" ref="AM231:AN231" si="460">(AI231/AK231)*100</f>
        <v>68.48364718</v>
      </c>
      <c r="AN231" s="26">
        <f t="shared" si="460"/>
        <v>82.79475983</v>
      </c>
      <c r="AO231" s="26">
        <v>515.0</v>
      </c>
      <c r="AP231" s="26">
        <v>197.0</v>
      </c>
      <c r="AQ231" s="26">
        <v>318.0</v>
      </c>
      <c r="AR231" s="26">
        <v>44.0</v>
      </c>
      <c r="AS231" s="27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</row>
    <row r="232">
      <c r="A232" s="22">
        <v>7297.0</v>
      </c>
      <c r="B232" s="23" t="s">
        <v>25</v>
      </c>
      <c r="C232" s="29" t="s">
        <v>268</v>
      </c>
      <c r="D232" s="29" t="s">
        <v>302</v>
      </c>
      <c r="E232" s="29" t="s">
        <v>304</v>
      </c>
      <c r="F232" s="29" t="s">
        <v>304</v>
      </c>
      <c r="G232" s="26">
        <v>1180.0</v>
      </c>
      <c r="H232" s="26">
        <v>359.0</v>
      </c>
      <c r="I232" s="26">
        <v>188.0</v>
      </c>
      <c r="J232" s="26">
        <v>171.0</v>
      </c>
      <c r="K232" s="26">
        <v>417.0</v>
      </c>
      <c r="L232" s="26">
        <v>278.0</v>
      </c>
      <c r="M232" s="26">
        <v>108.0</v>
      </c>
      <c r="N232" s="26">
        <v>28.0</v>
      </c>
      <c r="O232" s="26">
        <v>3.0</v>
      </c>
      <c r="P232" s="26">
        <f t="shared" si="3"/>
        <v>111</v>
      </c>
      <c r="Q232" s="26">
        <f t="shared" si="4"/>
        <v>306</v>
      </c>
      <c r="R232" s="26">
        <f t="shared" si="5"/>
        <v>422</v>
      </c>
      <c r="S232" s="26">
        <f t="shared" si="6"/>
        <v>399</v>
      </c>
      <c r="T232" s="26">
        <f t="shared" ref="T232:U232" si="461">(P232/R232)*100</f>
        <v>26.30331754</v>
      </c>
      <c r="U232" s="26">
        <f t="shared" si="461"/>
        <v>76.69172932</v>
      </c>
      <c r="V232" s="26">
        <v>404.0</v>
      </c>
      <c r="W232" s="26">
        <v>93.0</v>
      </c>
      <c r="X232" s="26">
        <v>311.0</v>
      </c>
      <c r="Y232" s="26">
        <v>0.0</v>
      </c>
      <c r="Z232" s="26">
        <v>1000.0</v>
      </c>
      <c r="AA232" s="26">
        <v>237.0</v>
      </c>
      <c r="AB232" s="26">
        <v>111.0</v>
      </c>
      <c r="AC232" s="26">
        <v>126.0</v>
      </c>
      <c r="AD232" s="26">
        <v>564.0</v>
      </c>
      <c r="AE232" s="26">
        <v>306.0</v>
      </c>
      <c r="AF232" s="26">
        <v>253.0</v>
      </c>
      <c r="AG232" s="26">
        <v>3.0</v>
      </c>
      <c r="AH232" s="26">
        <v>2.0</v>
      </c>
      <c r="AI232" s="26">
        <f t="shared" si="8"/>
        <v>255</v>
      </c>
      <c r="AJ232" s="26">
        <f t="shared" si="9"/>
        <v>309</v>
      </c>
      <c r="AK232" s="26">
        <f t="shared" si="10"/>
        <v>367</v>
      </c>
      <c r="AL232" s="26">
        <f t="shared" si="11"/>
        <v>381</v>
      </c>
      <c r="AM232" s="26">
        <f t="shared" ref="AM232:AN232" si="462">(AI232/AK232)*100</f>
        <v>69.48228883</v>
      </c>
      <c r="AN232" s="26">
        <f t="shared" si="462"/>
        <v>81.1023622</v>
      </c>
      <c r="AO232" s="26">
        <v>184.0</v>
      </c>
      <c r="AP232" s="26">
        <v>72.0</v>
      </c>
      <c r="AQ232" s="26">
        <v>112.0</v>
      </c>
      <c r="AR232" s="26">
        <v>15.0</v>
      </c>
      <c r="AS232" s="27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</row>
    <row r="233">
      <c r="A233" s="22">
        <v>7321.0</v>
      </c>
      <c r="B233" s="23" t="s">
        <v>25</v>
      </c>
      <c r="C233" s="29" t="s">
        <v>268</v>
      </c>
      <c r="D233" s="29" t="s">
        <v>302</v>
      </c>
      <c r="E233" s="29" t="s">
        <v>305</v>
      </c>
      <c r="F233" s="29" t="s">
        <v>305</v>
      </c>
      <c r="G233" s="26">
        <v>2227.0</v>
      </c>
      <c r="H233" s="26">
        <v>757.0</v>
      </c>
      <c r="I233" s="26">
        <v>361.0</v>
      </c>
      <c r="J233" s="26">
        <v>396.0</v>
      </c>
      <c r="K233" s="26">
        <v>1027.0</v>
      </c>
      <c r="L233" s="26">
        <v>587.0</v>
      </c>
      <c r="M233" s="26">
        <v>433.0</v>
      </c>
      <c r="N233" s="26">
        <v>5.0</v>
      </c>
      <c r="O233" s="26">
        <v>2.0</v>
      </c>
      <c r="P233" s="26">
        <f t="shared" si="3"/>
        <v>435</v>
      </c>
      <c r="Q233" s="26">
        <f t="shared" si="4"/>
        <v>592</v>
      </c>
      <c r="R233" s="26">
        <f t="shared" si="5"/>
        <v>746</v>
      </c>
      <c r="S233" s="26">
        <f t="shared" si="6"/>
        <v>724</v>
      </c>
      <c r="T233" s="26">
        <f t="shared" ref="T233:U233" si="463">(P233/R233)*100</f>
        <v>58.31099196</v>
      </c>
      <c r="U233" s="26">
        <f t="shared" si="463"/>
        <v>81.7679558</v>
      </c>
      <c r="V233" s="26">
        <v>443.0</v>
      </c>
      <c r="W233" s="26">
        <v>132.0</v>
      </c>
      <c r="X233" s="26">
        <v>311.0</v>
      </c>
      <c r="Y233" s="26">
        <v>0.0</v>
      </c>
      <c r="Z233" s="26">
        <v>1908.0</v>
      </c>
      <c r="AA233" s="26">
        <v>530.0</v>
      </c>
      <c r="AB233" s="26">
        <v>269.0</v>
      </c>
      <c r="AC233" s="26">
        <v>261.0</v>
      </c>
      <c r="AD233" s="26">
        <v>945.0</v>
      </c>
      <c r="AE233" s="26">
        <v>526.0</v>
      </c>
      <c r="AF233" s="26">
        <v>385.0</v>
      </c>
      <c r="AG233" s="26">
        <v>26.0</v>
      </c>
      <c r="AH233" s="26">
        <v>8.0</v>
      </c>
      <c r="AI233" s="26">
        <f t="shared" si="8"/>
        <v>393</v>
      </c>
      <c r="AJ233" s="26">
        <f t="shared" si="9"/>
        <v>552</v>
      </c>
      <c r="AK233" s="26">
        <f t="shared" si="10"/>
        <v>684</v>
      </c>
      <c r="AL233" s="26">
        <f t="shared" si="11"/>
        <v>674</v>
      </c>
      <c r="AM233" s="26">
        <f t="shared" ref="AM233:AN233" si="464">(AI233/AK233)*100</f>
        <v>57.45614035</v>
      </c>
      <c r="AN233" s="26">
        <f t="shared" si="464"/>
        <v>81.89910979</v>
      </c>
      <c r="AO233" s="26">
        <v>413.0</v>
      </c>
      <c r="AP233" s="26">
        <v>122.0</v>
      </c>
      <c r="AQ233" s="26">
        <v>291.0</v>
      </c>
      <c r="AR233" s="26">
        <v>20.0</v>
      </c>
      <c r="AS233" s="27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</row>
    <row r="234">
      <c r="A234" s="22">
        <v>7369.0</v>
      </c>
      <c r="B234" s="23" t="s">
        <v>25</v>
      </c>
      <c r="C234" s="29" t="s">
        <v>268</v>
      </c>
      <c r="D234" s="29" t="s">
        <v>306</v>
      </c>
      <c r="E234" s="29" t="s">
        <v>307</v>
      </c>
      <c r="F234" s="29" t="s">
        <v>307</v>
      </c>
      <c r="G234" s="26">
        <v>21708.0</v>
      </c>
      <c r="H234" s="26">
        <v>6432.0</v>
      </c>
      <c r="I234" s="26">
        <v>3233.0</v>
      </c>
      <c r="J234" s="26">
        <v>3199.0</v>
      </c>
      <c r="K234" s="26">
        <v>9875.0</v>
      </c>
      <c r="L234" s="26">
        <v>5433.0</v>
      </c>
      <c r="M234" s="26">
        <v>4364.0</v>
      </c>
      <c r="N234" s="26">
        <v>59.0</v>
      </c>
      <c r="O234" s="26">
        <v>19.0</v>
      </c>
      <c r="P234" s="26">
        <f t="shared" si="3"/>
        <v>4383</v>
      </c>
      <c r="Q234" s="26">
        <f t="shared" si="4"/>
        <v>5492</v>
      </c>
      <c r="R234" s="26">
        <f t="shared" si="5"/>
        <v>8135</v>
      </c>
      <c r="S234" s="26">
        <f t="shared" si="6"/>
        <v>7141</v>
      </c>
      <c r="T234" s="26">
        <f t="shared" ref="T234:U234" si="465">(P234/R234)*100</f>
        <v>53.87830363</v>
      </c>
      <c r="U234" s="26">
        <f t="shared" si="465"/>
        <v>76.90799608</v>
      </c>
      <c r="V234" s="26">
        <v>5401.0</v>
      </c>
      <c r="W234" s="26">
        <v>1649.0</v>
      </c>
      <c r="X234" s="26">
        <v>3752.0</v>
      </c>
      <c r="Y234" s="26">
        <v>0.0</v>
      </c>
      <c r="Z234" s="26">
        <v>15993.0</v>
      </c>
      <c r="AA234" s="26">
        <v>3581.0</v>
      </c>
      <c r="AB234" s="26">
        <v>1776.0</v>
      </c>
      <c r="AC234" s="26">
        <v>1805.0</v>
      </c>
      <c r="AD234" s="26">
        <v>9587.0</v>
      </c>
      <c r="AE234" s="26">
        <v>4875.0</v>
      </c>
      <c r="AF234" s="26">
        <v>4576.0</v>
      </c>
      <c r="AG234" s="26">
        <v>71.0</v>
      </c>
      <c r="AH234" s="26">
        <v>65.0</v>
      </c>
      <c r="AI234" s="26">
        <f t="shared" si="8"/>
        <v>4641</v>
      </c>
      <c r="AJ234" s="26">
        <f t="shared" si="9"/>
        <v>4946</v>
      </c>
      <c r="AK234" s="26">
        <f t="shared" si="10"/>
        <v>6285</v>
      </c>
      <c r="AL234" s="26">
        <f t="shared" si="11"/>
        <v>5807</v>
      </c>
      <c r="AM234" s="26">
        <f t="shared" ref="AM234:AN234" si="466">(AI234/AK234)*100</f>
        <v>73.8424821</v>
      </c>
      <c r="AN234" s="26">
        <f t="shared" si="466"/>
        <v>85.17306699</v>
      </c>
      <c r="AO234" s="26">
        <v>2505.0</v>
      </c>
      <c r="AP234" s="26">
        <v>861.0</v>
      </c>
      <c r="AQ234" s="26">
        <v>1644.0</v>
      </c>
      <c r="AR234" s="26">
        <v>320.0</v>
      </c>
      <c r="AS234" s="27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</row>
    <row r="235">
      <c r="A235" s="22">
        <v>7393.0</v>
      </c>
      <c r="B235" s="23" t="s">
        <v>25</v>
      </c>
      <c r="C235" s="29" t="s">
        <v>268</v>
      </c>
      <c r="D235" s="29" t="s">
        <v>306</v>
      </c>
      <c r="E235" s="29" t="s">
        <v>308</v>
      </c>
      <c r="F235" s="29" t="s">
        <v>308</v>
      </c>
      <c r="G235" s="26">
        <v>11923.0</v>
      </c>
      <c r="H235" s="26">
        <v>3317.0</v>
      </c>
      <c r="I235" s="26">
        <v>1703.0</v>
      </c>
      <c r="J235" s="26">
        <v>1614.0</v>
      </c>
      <c r="K235" s="26">
        <v>5335.0</v>
      </c>
      <c r="L235" s="26">
        <v>3045.0</v>
      </c>
      <c r="M235" s="26">
        <v>2227.0</v>
      </c>
      <c r="N235" s="26">
        <v>50.0</v>
      </c>
      <c r="O235" s="26">
        <v>13.0</v>
      </c>
      <c r="P235" s="26">
        <f t="shared" si="3"/>
        <v>2240</v>
      </c>
      <c r="Q235" s="26">
        <f t="shared" si="4"/>
        <v>3095</v>
      </c>
      <c r="R235" s="26">
        <f t="shared" si="5"/>
        <v>4468</v>
      </c>
      <c r="S235" s="26">
        <f t="shared" si="6"/>
        <v>4138</v>
      </c>
      <c r="T235" s="26">
        <f t="shared" ref="T235:U235" si="467">(P235/R235)*100</f>
        <v>50.13428827</v>
      </c>
      <c r="U235" s="26">
        <f t="shared" si="467"/>
        <v>74.79458676</v>
      </c>
      <c r="V235" s="26">
        <v>3271.0</v>
      </c>
      <c r="W235" s="26">
        <v>1043.0</v>
      </c>
      <c r="X235" s="26">
        <v>2228.0</v>
      </c>
      <c r="Y235" s="26">
        <v>0.0</v>
      </c>
      <c r="Z235" s="26">
        <v>12770.0</v>
      </c>
      <c r="AA235" s="26">
        <v>3325.0</v>
      </c>
      <c r="AB235" s="26">
        <v>1720.0</v>
      </c>
      <c r="AC235" s="26">
        <v>1605.0</v>
      </c>
      <c r="AD235" s="26">
        <v>6721.0</v>
      </c>
      <c r="AE235" s="26">
        <v>3667.0</v>
      </c>
      <c r="AF235" s="26">
        <v>2952.0</v>
      </c>
      <c r="AG235" s="26">
        <v>61.0</v>
      </c>
      <c r="AH235" s="26">
        <v>41.0</v>
      </c>
      <c r="AI235" s="26">
        <f t="shared" si="8"/>
        <v>2993</v>
      </c>
      <c r="AJ235" s="26">
        <f t="shared" si="9"/>
        <v>3728</v>
      </c>
      <c r="AK235" s="26">
        <f t="shared" si="10"/>
        <v>4694</v>
      </c>
      <c r="AL235" s="26">
        <f t="shared" si="11"/>
        <v>4512</v>
      </c>
      <c r="AM235" s="26">
        <f t="shared" ref="AM235:AN235" si="468">(AI235/AK235)*100</f>
        <v>63.76224968</v>
      </c>
      <c r="AN235" s="26">
        <f t="shared" si="468"/>
        <v>82.62411348</v>
      </c>
      <c r="AO235" s="26">
        <v>2485.0</v>
      </c>
      <c r="AP235" s="26">
        <v>784.0</v>
      </c>
      <c r="AQ235" s="26">
        <v>1701.0</v>
      </c>
      <c r="AR235" s="26">
        <v>239.0</v>
      </c>
      <c r="AS235" s="27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</row>
    <row r="236">
      <c r="A236" s="22">
        <v>7417.0</v>
      </c>
      <c r="B236" s="23" t="s">
        <v>25</v>
      </c>
      <c r="C236" s="29" t="s">
        <v>268</v>
      </c>
      <c r="D236" s="29" t="s">
        <v>306</v>
      </c>
      <c r="E236" s="29" t="s">
        <v>309</v>
      </c>
      <c r="F236" s="29" t="s">
        <v>309</v>
      </c>
      <c r="G236" s="26">
        <v>15767.0</v>
      </c>
      <c r="H236" s="26">
        <v>6055.0</v>
      </c>
      <c r="I236" s="26">
        <v>3146.0</v>
      </c>
      <c r="J236" s="26">
        <v>2909.0</v>
      </c>
      <c r="K236" s="26">
        <v>6553.0</v>
      </c>
      <c r="L236" s="26">
        <v>3835.0</v>
      </c>
      <c r="M236" s="26">
        <v>2665.0</v>
      </c>
      <c r="N236" s="26">
        <v>36.0</v>
      </c>
      <c r="O236" s="26">
        <v>17.0</v>
      </c>
      <c r="P236" s="26">
        <f t="shared" si="3"/>
        <v>2682</v>
      </c>
      <c r="Q236" s="26">
        <f t="shared" si="4"/>
        <v>3871</v>
      </c>
      <c r="R236" s="26">
        <f t="shared" si="5"/>
        <v>4927</v>
      </c>
      <c r="S236" s="26">
        <f t="shared" si="6"/>
        <v>4785</v>
      </c>
      <c r="T236" s="26">
        <f t="shared" ref="T236:U236" si="469">(P236/R236)*100</f>
        <v>54.43474731</v>
      </c>
      <c r="U236" s="26">
        <f t="shared" si="469"/>
        <v>80.89864159</v>
      </c>
      <c r="V236" s="26">
        <v>3159.0</v>
      </c>
      <c r="W236" s="26">
        <v>914.0</v>
      </c>
      <c r="X236" s="26">
        <v>2245.0</v>
      </c>
      <c r="Y236" s="26">
        <v>0.0</v>
      </c>
      <c r="Z236" s="26">
        <v>14040.0</v>
      </c>
      <c r="AA236" s="26">
        <v>4189.0</v>
      </c>
      <c r="AB236" s="26">
        <v>2164.0</v>
      </c>
      <c r="AC236" s="26">
        <v>2025.0</v>
      </c>
      <c r="AD236" s="26">
        <v>7896.0</v>
      </c>
      <c r="AE236" s="26">
        <v>4369.0</v>
      </c>
      <c r="AF236" s="26">
        <v>3423.0</v>
      </c>
      <c r="AG236" s="26">
        <v>64.0</v>
      </c>
      <c r="AH236" s="26">
        <v>40.0</v>
      </c>
      <c r="AI236" s="26">
        <f t="shared" si="8"/>
        <v>3463</v>
      </c>
      <c r="AJ236" s="26">
        <f t="shared" si="9"/>
        <v>4433</v>
      </c>
      <c r="AK236" s="26">
        <f t="shared" si="10"/>
        <v>4666</v>
      </c>
      <c r="AL236" s="26">
        <f t="shared" si="11"/>
        <v>4992</v>
      </c>
      <c r="AM236" s="26">
        <f t="shared" ref="AM236:AN236" si="470">(AI236/AK236)*100</f>
        <v>74.21774539</v>
      </c>
      <c r="AN236" s="26">
        <f t="shared" si="470"/>
        <v>88.80208333</v>
      </c>
      <c r="AO236" s="26">
        <v>1762.0</v>
      </c>
      <c r="AP236" s="26">
        <v>559.0</v>
      </c>
      <c r="AQ236" s="26">
        <v>1203.0</v>
      </c>
      <c r="AR236" s="26">
        <v>193.0</v>
      </c>
      <c r="AS236" s="27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</row>
    <row r="237">
      <c r="A237" s="22">
        <v>7465.0</v>
      </c>
      <c r="B237" s="23" t="s">
        <v>25</v>
      </c>
      <c r="C237" s="29" t="s">
        <v>268</v>
      </c>
      <c r="D237" s="29" t="s">
        <v>310</v>
      </c>
      <c r="E237" s="29" t="s">
        <v>311</v>
      </c>
      <c r="F237" s="29" t="s">
        <v>311</v>
      </c>
      <c r="G237" s="26">
        <v>29455.0</v>
      </c>
      <c r="H237" s="26">
        <v>9363.0</v>
      </c>
      <c r="I237" s="26">
        <v>4747.0</v>
      </c>
      <c r="J237" s="26">
        <v>4616.0</v>
      </c>
      <c r="K237" s="26">
        <v>12900.0</v>
      </c>
      <c r="L237" s="26">
        <v>7038.0</v>
      </c>
      <c r="M237" s="26">
        <v>5723.0</v>
      </c>
      <c r="N237" s="26">
        <v>87.0</v>
      </c>
      <c r="O237" s="26">
        <v>52.0</v>
      </c>
      <c r="P237" s="26">
        <f t="shared" si="3"/>
        <v>5775</v>
      </c>
      <c r="Q237" s="26">
        <f t="shared" si="4"/>
        <v>7125</v>
      </c>
      <c r="R237" s="26">
        <f t="shared" si="5"/>
        <v>10447</v>
      </c>
      <c r="S237" s="26">
        <f t="shared" si="6"/>
        <v>9645</v>
      </c>
      <c r="T237" s="26">
        <f t="shared" ref="T237:U237" si="471">(P237/R237)*100</f>
        <v>55.27902747</v>
      </c>
      <c r="U237" s="26">
        <f t="shared" si="471"/>
        <v>73.87247278</v>
      </c>
      <c r="V237" s="26">
        <v>7192.0</v>
      </c>
      <c r="W237" s="26">
        <v>2520.0</v>
      </c>
      <c r="X237" s="26">
        <v>4672.0</v>
      </c>
      <c r="Y237" s="26">
        <v>0.0</v>
      </c>
      <c r="Z237" s="26">
        <v>34811.0</v>
      </c>
      <c r="AA237" s="26">
        <v>9471.0</v>
      </c>
      <c r="AB237" s="26">
        <v>4682.0</v>
      </c>
      <c r="AC237" s="26">
        <v>4789.0</v>
      </c>
      <c r="AD237" s="26">
        <v>17951.0</v>
      </c>
      <c r="AE237" s="26">
        <v>9255.0</v>
      </c>
      <c r="AF237" s="26">
        <v>8305.0</v>
      </c>
      <c r="AG237" s="26">
        <v>225.0</v>
      </c>
      <c r="AH237" s="26">
        <v>166.0</v>
      </c>
      <c r="AI237" s="26">
        <f t="shared" si="8"/>
        <v>8471</v>
      </c>
      <c r="AJ237" s="26">
        <f t="shared" si="9"/>
        <v>9480</v>
      </c>
      <c r="AK237" s="26">
        <f t="shared" si="10"/>
        <v>12760</v>
      </c>
      <c r="AL237" s="26">
        <f t="shared" si="11"/>
        <v>11908</v>
      </c>
      <c r="AM237" s="26">
        <f t="shared" ref="AM237:AN237" si="472">(AI237/AK237)*100</f>
        <v>66.38714734</v>
      </c>
      <c r="AN237" s="26">
        <f t="shared" si="472"/>
        <v>79.61034599</v>
      </c>
      <c r="AO237" s="26">
        <v>6717.0</v>
      </c>
      <c r="AP237" s="26">
        <v>2428.0</v>
      </c>
      <c r="AQ237" s="26">
        <v>4289.0</v>
      </c>
      <c r="AR237" s="26">
        <v>672.0</v>
      </c>
      <c r="AS237" s="27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</row>
    <row r="238">
      <c r="A238" s="22">
        <v>7489.0</v>
      </c>
      <c r="B238" s="23" t="s">
        <v>25</v>
      </c>
      <c r="C238" s="29" t="s">
        <v>268</v>
      </c>
      <c r="D238" s="29" t="s">
        <v>310</v>
      </c>
      <c r="E238" s="29" t="s">
        <v>312</v>
      </c>
      <c r="F238" s="29" t="s">
        <v>312</v>
      </c>
      <c r="G238" s="26">
        <v>8821.0</v>
      </c>
      <c r="H238" s="26">
        <v>2569.0</v>
      </c>
      <c r="I238" s="26">
        <v>1297.0</v>
      </c>
      <c r="J238" s="26">
        <v>1272.0</v>
      </c>
      <c r="K238" s="26">
        <v>4037.0</v>
      </c>
      <c r="L238" s="26">
        <v>2361.0</v>
      </c>
      <c r="M238" s="26">
        <v>1637.0</v>
      </c>
      <c r="N238" s="26">
        <v>25.0</v>
      </c>
      <c r="O238" s="26">
        <v>14.0</v>
      </c>
      <c r="P238" s="26">
        <f t="shared" si="3"/>
        <v>1651</v>
      </c>
      <c r="Q238" s="26">
        <f t="shared" si="4"/>
        <v>2386</v>
      </c>
      <c r="R238" s="26">
        <f t="shared" si="5"/>
        <v>3106</v>
      </c>
      <c r="S238" s="26">
        <f t="shared" si="6"/>
        <v>3146</v>
      </c>
      <c r="T238" s="26">
        <f t="shared" ref="T238:U238" si="473">(P238/R238)*100</f>
        <v>53.15518352</v>
      </c>
      <c r="U238" s="26">
        <f t="shared" si="473"/>
        <v>75.84233948</v>
      </c>
      <c r="V238" s="26">
        <v>2215.0</v>
      </c>
      <c r="W238" s="26">
        <v>760.0</v>
      </c>
      <c r="X238" s="26">
        <v>1455.0</v>
      </c>
      <c r="Y238" s="26">
        <v>0.0</v>
      </c>
      <c r="Z238" s="26">
        <v>7710.0</v>
      </c>
      <c r="AA238" s="26">
        <v>1912.0</v>
      </c>
      <c r="AB238" s="26">
        <v>958.0</v>
      </c>
      <c r="AC238" s="26">
        <v>954.0</v>
      </c>
      <c r="AD238" s="26">
        <v>4336.0</v>
      </c>
      <c r="AE238" s="26">
        <v>2305.0</v>
      </c>
      <c r="AF238" s="26">
        <v>1947.0</v>
      </c>
      <c r="AG238" s="26">
        <v>48.0</v>
      </c>
      <c r="AH238" s="26">
        <v>36.0</v>
      </c>
      <c r="AI238" s="26">
        <f t="shared" si="8"/>
        <v>1983</v>
      </c>
      <c r="AJ238" s="26">
        <f t="shared" si="9"/>
        <v>2353</v>
      </c>
      <c r="AK238" s="26">
        <f t="shared" si="10"/>
        <v>2838</v>
      </c>
      <c r="AL238" s="26">
        <f t="shared" si="11"/>
        <v>2811</v>
      </c>
      <c r="AM238" s="26">
        <f t="shared" ref="AM238:AN238" si="474">(AI238/AK238)*100</f>
        <v>69.87315011</v>
      </c>
      <c r="AN238" s="26">
        <f t="shared" si="474"/>
        <v>83.70686588</v>
      </c>
      <c r="AO238" s="26">
        <v>1313.0</v>
      </c>
      <c r="AP238" s="26">
        <v>458.0</v>
      </c>
      <c r="AQ238" s="26">
        <v>855.0</v>
      </c>
      <c r="AR238" s="26">
        <v>149.0</v>
      </c>
      <c r="AS238" s="27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</row>
    <row r="239">
      <c r="A239" s="22">
        <v>7513.0</v>
      </c>
      <c r="B239" s="23" t="s">
        <v>25</v>
      </c>
      <c r="C239" s="29" t="s">
        <v>268</v>
      </c>
      <c r="D239" s="29" t="s">
        <v>310</v>
      </c>
      <c r="E239" s="29" t="s">
        <v>313</v>
      </c>
      <c r="F239" s="29" t="s">
        <v>313</v>
      </c>
      <c r="G239" s="26">
        <v>10855.0</v>
      </c>
      <c r="H239" s="26">
        <v>4074.0</v>
      </c>
      <c r="I239" s="26">
        <v>1988.0</v>
      </c>
      <c r="J239" s="26">
        <v>2086.0</v>
      </c>
      <c r="K239" s="26">
        <v>3740.0</v>
      </c>
      <c r="L239" s="26">
        <v>2814.0</v>
      </c>
      <c r="M239" s="26">
        <v>904.0</v>
      </c>
      <c r="N239" s="26">
        <v>16.0</v>
      </c>
      <c r="O239" s="26">
        <v>6.0</v>
      </c>
      <c r="P239" s="26">
        <f t="shared" si="3"/>
        <v>910</v>
      </c>
      <c r="Q239" s="26">
        <f t="shared" si="4"/>
        <v>2830</v>
      </c>
      <c r="R239" s="26">
        <f t="shared" si="5"/>
        <v>3233</v>
      </c>
      <c r="S239" s="26">
        <f t="shared" si="6"/>
        <v>3548</v>
      </c>
      <c r="T239" s="26">
        <f t="shared" ref="T239:U239" si="475">(P239/R239)*100</f>
        <v>28.14723167</v>
      </c>
      <c r="U239" s="26">
        <f t="shared" si="475"/>
        <v>79.7632469</v>
      </c>
      <c r="V239" s="26">
        <v>3041.0</v>
      </c>
      <c r="W239" s="26">
        <v>718.0</v>
      </c>
      <c r="X239" s="26">
        <v>2323.0</v>
      </c>
      <c r="Y239" s="26">
        <v>0.0</v>
      </c>
      <c r="Z239" s="26">
        <v>14584.0</v>
      </c>
      <c r="AA239" s="26">
        <v>4265.0</v>
      </c>
      <c r="AB239" s="26">
        <v>2214.0</v>
      </c>
      <c r="AC239" s="26">
        <v>2051.0</v>
      </c>
      <c r="AD239" s="26">
        <v>7223.0</v>
      </c>
      <c r="AE239" s="26">
        <v>4830.0</v>
      </c>
      <c r="AF239" s="26">
        <v>2240.0</v>
      </c>
      <c r="AG239" s="26">
        <v>78.0</v>
      </c>
      <c r="AH239" s="26">
        <v>75.0</v>
      </c>
      <c r="AI239" s="26">
        <f t="shared" si="8"/>
        <v>2315</v>
      </c>
      <c r="AJ239" s="26">
        <f t="shared" si="9"/>
        <v>4908</v>
      </c>
      <c r="AK239" s="26">
        <f t="shared" si="10"/>
        <v>4399</v>
      </c>
      <c r="AL239" s="26">
        <f t="shared" si="11"/>
        <v>5615</v>
      </c>
      <c r="AM239" s="26">
        <f t="shared" ref="AM239:AN239" si="476">(AI239/AK239)*100</f>
        <v>52.62559673</v>
      </c>
      <c r="AN239" s="26">
        <f t="shared" si="476"/>
        <v>87.40872663</v>
      </c>
      <c r="AO239" s="26">
        <v>2791.0</v>
      </c>
      <c r="AP239" s="26">
        <v>707.0</v>
      </c>
      <c r="AQ239" s="26">
        <v>2084.0</v>
      </c>
      <c r="AR239" s="26">
        <v>305.0</v>
      </c>
      <c r="AS239" s="27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</row>
    <row r="240">
      <c r="A240" s="22">
        <v>7537.0</v>
      </c>
      <c r="B240" s="23" t="s">
        <v>25</v>
      </c>
      <c r="C240" s="29" t="s">
        <v>268</v>
      </c>
      <c r="D240" s="29" t="s">
        <v>310</v>
      </c>
      <c r="E240" s="29" t="s">
        <v>314</v>
      </c>
      <c r="F240" s="29" t="s">
        <v>314</v>
      </c>
      <c r="G240" s="26">
        <v>5881.0</v>
      </c>
      <c r="H240" s="26">
        <v>1987.0</v>
      </c>
      <c r="I240" s="26">
        <v>1010.0</v>
      </c>
      <c r="J240" s="26">
        <v>977.0</v>
      </c>
      <c r="K240" s="26">
        <v>2413.0</v>
      </c>
      <c r="L240" s="26">
        <v>1374.0</v>
      </c>
      <c r="M240" s="26">
        <v>1016.0</v>
      </c>
      <c r="N240" s="26">
        <v>20.0</v>
      </c>
      <c r="O240" s="26">
        <v>3.0</v>
      </c>
      <c r="P240" s="26">
        <f t="shared" si="3"/>
        <v>1019</v>
      </c>
      <c r="Q240" s="26">
        <f t="shared" si="4"/>
        <v>1394</v>
      </c>
      <c r="R240" s="26">
        <f t="shared" si="5"/>
        <v>2050</v>
      </c>
      <c r="S240" s="26">
        <f t="shared" si="6"/>
        <v>1844</v>
      </c>
      <c r="T240" s="26">
        <f t="shared" ref="T240:U240" si="477">(P240/R240)*100</f>
        <v>49.70731707</v>
      </c>
      <c r="U240" s="26">
        <f t="shared" si="477"/>
        <v>75.59652928</v>
      </c>
      <c r="V240" s="26">
        <v>1481.0</v>
      </c>
      <c r="W240" s="26">
        <v>450.0</v>
      </c>
      <c r="X240" s="26">
        <v>1031.0</v>
      </c>
      <c r="Y240" s="26">
        <v>0.0</v>
      </c>
      <c r="Z240" s="26">
        <v>5713.0</v>
      </c>
      <c r="AA240" s="26">
        <v>1479.0</v>
      </c>
      <c r="AB240" s="26">
        <v>771.0</v>
      </c>
      <c r="AC240" s="26">
        <v>708.0</v>
      </c>
      <c r="AD240" s="26">
        <v>3121.0</v>
      </c>
      <c r="AE240" s="26">
        <v>1618.0</v>
      </c>
      <c r="AF240" s="26">
        <v>1446.0</v>
      </c>
      <c r="AG240" s="26">
        <v>32.0</v>
      </c>
      <c r="AH240" s="26">
        <v>25.0</v>
      </c>
      <c r="AI240" s="26">
        <f t="shared" si="8"/>
        <v>1471</v>
      </c>
      <c r="AJ240" s="26">
        <f t="shared" si="9"/>
        <v>1650</v>
      </c>
      <c r="AK240" s="26">
        <f t="shared" si="10"/>
        <v>2157</v>
      </c>
      <c r="AL240" s="26">
        <f t="shared" si="11"/>
        <v>1969</v>
      </c>
      <c r="AM240" s="26">
        <f t="shared" ref="AM240:AN240" si="478">(AI240/AK240)*100</f>
        <v>68.19656931</v>
      </c>
      <c r="AN240" s="26">
        <f t="shared" si="478"/>
        <v>83.79888268</v>
      </c>
      <c r="AO240" s="26">
        <v>1005.0</v>
      </c>
      <c r="AP240" s="26">
        <v>319.0</v>
      </c>
      <c r="AQ240" s="26">
        <v>686.0</v>
      </c>
      <c r="AR240" s="26">
        <v>108.0</v>
      </c>
      <c r="AS240" s="27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</row>
    <row r="241">
      <c r="A241" s="22">
        <v>7585.0</v>
      </c>
      <c r="B241" s="23" t="s">
        <v>25</v>
      </c>
      <c r="C241" s="29" t="s">
        <v>268</v>
      </c>
      <c r="D241" s="29" t="s">
        <v>315</v>
      </c>
      <c r="E241" s="29" t="s">
        <v>316</v>
      </c>
      <c r="F241" s="29" t="s">
        <v>316</v>
      </c>
      <c r="G241" s="26">
        <v>4167.0</v>
      </c>
      <c r="H241" s="26">
        <v>1502.0</v>
      </c>
      <c r="I241" s="26">
        <v>758.0</v>
      </c>
      <c r="J241" s="26">
        <v>744.0</v>
      </c>
      <c r="K241" s="26">
        <v>1866.0</v>
      </c>
      <c r="L241" s="26">
        <v>1144.0</v>
      </c>
      <c r="M241" s="26">
        <v>717.0</v>
      </c>
      <c r="N241" s="26">
        <v>4.0</v>
      </c>
      <c r="O241" s="26">
        <v>1.0</v>
      </c>
      <c r="P241" s="26">
        <f t="shared" si="3"/>
        <v>718</v>
      </c>
      <c r="Q241" s="26">
        <f t="shared" si="4"/>
        <v>1148</v>
      </c>
      <c r="R241" s="26">
        <f t="shared" si="5"/>
        <v>1295</v>
      </c>
      <c r="S241" s="26">
        <f t="shared" si="6"/>
        <v>1370</v>
      </c>
      <c r="T241" s="26">
        <f t="shared" ref="T241:U241" si="479">(P241/R241)*100</f>
        <v>55.44401544</v>
      </c>
      <c r="U241" s="26">
        <f t="shared" si="479"/>
        <v>83.79562044</v>
      </c>
      <c r="V241" s="26">
        <v>799.0</v>
      </c>
      <c r="W241" s="26">
        <v>222.0</v>
      </c>
      <c r="X241" s="26">
        <v>577.0</v>
      </c>
      <c r="Y241" s="26">
        <v>0.0</v>
      </c>
      <c r="Z241" s="26">
        <v>3633.0</v>
      </c>
      <c r="AA241" s="26">
        <v>1039.0</v>
      </c>
      <c r="AB241" s="26">
        <v>537.0</v>
      </c>
      <c r="AC241" s="26">
        <v>502.0</v>
      </c>
      <c r="AD241" s="26">
        <v>2182.0</v>
      </c>
      <c r="AE241" s="26">
        <v>1216.0</v>
      </c>
      <c r="AF241" s="26">
        <v>946.0</v>
      </c>
      <c r="AG241" s="26">
        <v>14.0</v>
      </c>
      <c r="AH241" s="26">
        <v>6.0</v>
      </c>
      <c r="AI241" s="26">
        <f t="shared" si="8"/>
        <v>952</v>
      </c>
      <c r="AJ241" s="26">
        <f t="shared" si="9"/>
        <v>1230</v>
      </c>
      <c r="AK241" s="26">
        <f t="shared" si="10"/>
        <v>1176</v>
      </c>
      <c r="AL241" s="26">
        <f t="shared" si="11"/>
        <v>1324</v>
      </c>
      <c r="AM241" s="26">
        <f t="shared" ref="AM241:AN241" si="480">(AI241/AK241)*100</f>
        <v>80.95238095</v>
      </c>
      <c r="AN241" s="26">
        <f t="shared" si="480"/>
        <v>92.90030211</v>
      </c>
      <c r="AO241" s="26">
        <v>318.0</v>
      </c>
      <c r="AP241" s="26">
        <v>94.0</v>
      </c>
      <c r="AQ241" s="26">
        <v>224.0</v>
      </c>
      <c r="AR241" s="26">
        <v>94.0</v>
      </c>
      <c r="AS241" s="27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</row>
    <row r="242">
      <c r="A242" s="22">
        <v>7609.0</v>
      </c>
      <c r="B242" s="23" t="s">
        <v>25</v>
      </c>
      <c r="C242" s="29" t="s">
        <v>268</v>
      </c>
      <c r="D242" s="29" t="s">
        <v>315</v>
      </c>
      <c r="E242" s="29" t="s">
        <v>317</v>
      </c>
      <c r="F242" s="29" t="s">
        <v>317</v>
      </c>
      <c r="G242" s="26">
        <v>6152.0</v>
      </c>
      <c r="H242" s="26">
        <v>2245.0</v>
      </c>
      <c r="I242" s="26">
        <v>1119.0</v>
      </c>
      <c r="J242" s="26">
        <v>1126.0</v>
      </c>
      <c r="K242" s="26">
        <v>2530.0</v>
      </c>
      <c r="L242" s="26">
        <v>1504.0</v>
      </c>
      <c r="M242" s="26">
        <v>1015.0</v>
      </c>
      <c r="N242" s="26">
        <v>9.0</v>
      </c>
      <c r="O242" s="26">
        <v>2.0</v>
      </c>
      <c r="P242" s="26">
        <f t="shared" si="3"/>
        <v>1017</v>
      </c>
      <c r="Q242" s="26">
        <f t="shared" si="4"/>
        <v>1513</v>
      </c>
      <c r="R242" s="26">
        <f t="shared" si="5"/>
        <v>1970</v>
      </c>
      <c r="S242" s="26">
        <f t="shared" si="6"/>
        <v>1937</v>
      </c>
      <c r="T242" s="26">
        <f t="shared" ref="T242:U242" si="481">(P242/R242)*100</f>
        <v>51.62436548</v>
      </c>
      <c r="U242" s="26">
        <f t="shared" si="481"/>
        <v>78.11048012</v>
      </c>
      <c r="V242" s="26">
        <v>1377.0</v>
      </c>
      <c r="W242" s="26">
        <v>424.0</v>
      </c>
      <c r="X242" s="26">
        <v>953.0</v>
      </c>
      <c r="Y242" s="26">
        <v>0.0</v>
      </c>
      <c r="Z242" s="26">
        <v>4422.0</v>
      </c>
      <c r="AA242" s="26">
        <v>1127.0</v>
      </c>
      <c r="AB242" s="26">
        <v>540.0</v>
      </c>
      <c r="AC242" s="26">
        <v>587.0</v>
      </c>
      <c r="AD242" s="26">
        <v>2730.0</v>
      </c>
      <c r="AE242" s="26">
        <v>1430.0</v>
      </c>
      <c r="AF242" s="26">
        <v>1272.0</v>
      </c>
      <c r="AG242" s="26">
        <v>16.0</v>
      </c>
      <c r="AH242" s="26">
        <v>12.0</v>
      </c>
      <c r="AI242" s="26">
        <f t="shared" si="8"/>
        <v>1284</v>
      </c>
      <c r="AJ242" s="26">
        <f t="shared" si="9"/>
        <v>1446</v>
      </c>
      <c r="AK242" s="26">
        <f t="shared" si="10"/>
        <v>1577</v>
      </c>
      <c r="AL242" s="26">
        <f t="shared" si="11"/>
        <v>1584</v>
      </c>
      <c r="AM242" s="26">
        <f t="shared" ref="AM242:AN242" si="482">(AI242/AK242)*100</f>
        <v>81.42041852</v>
      </c>
      <c r="AN242" s="26">
        <f t="shared" si="482"/>
        <v>91.28787879</v>
      </c>
      <c r="AO242" s="26">
        <v>431.0</v>
      </c>
      <c r="AP242" s="26">
        <v>138.0</v>
      </c>
      <c r="AQ242" s="26">
        <v>293.0</v>
      </c>
      <c r="AR242" s="26">
        <v>134.0</v>
      </c>
      <c r="AS242" s="27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</row>
    <row r="243">
      <c r="A243" s="22">
        <v>7657.0</v>
      </c>
      <c r="B243" s="23" t="s">
        <v>25</v>
      </c>
      <c r="C243" s="29" t="s">
        <v>268</v>
      </c>
      <c r="D243" s="29" t="s">
        <v>318</v>
      </c>
      <c r="E243" s="29" t="s">
        <v>319</v>
      </c>
      <c r="F243" s="29" t="s">
        <v>319</v>
      </c>
      <c r="G243" s="26">
        <v>4119.0</v>
      </c>
      <c r="H243" s="26">
        <v>1056.0</v>
      </c>
      <c r="I243" s="26">
        <v>532.0</v>
      </c>
      <c r="J243" s="26">
        <v>524.0</v>
      </c>
      <c r="K243" s="26">
        <v>2313.0</v>
      </c>
      <c r="L243" s="26">
        <v>1322.0</v>
      </c>
      <c r="M243" s="26">
        <v>981.0</v>
      </c>
      <c r="N243" s="26">
        <v>8.0</v>
      </c>
      <c r="O243" s="26">
        <v>2.0</v>
      </c>
      <c r="P243" s="26">
        <f t="shared" si="3"/>
        <v>983</v>
      </c>
      <c r="Q243" s="26">
        <f t="shared" si="4"/>
        <v>1330</v>
      </c>
      <c r="R243" s="26">
        <f t="shared" si="5"/>
        <v>1426</v>
      </c>
      <c r="S243" s="26">
        <f t="shared" si="6"/>
        <v>1637</v>
      </c>
      <c r="T243" s="26">
        <f t="shared" ref="T243:U243" si="483">(P243/R243)*100</f>
        <v>68.93408135</v>
      </c>
      <c r="U243" s="26">
        <f t="shared" si="483"/>
        <v>81.24618204</v>
      </c>
      <c r="V243" s="26">
        <v>750.0</v>
      </c>
      <c r="W243" s="26">
        <v>307.0</v>
      </c>
      <c r="X243" s="26">
        <v>443.0</v>
      </c>
      <c r="Y243" s="26">
        <v>0.0</v>
      </c>
      <c r="Z243" s="26">
        <v>4123.0</v>
      </c>
      <c r="AA243" s="26">
        <v>925.0</v>
      </c>
      <c r="AB243" s="26">
        <v>473.0</v>
      </c>
      <c r="AC243" s="26">
        <v>452.0</v>
      </c>
      <c r="AD243" s="26">
        <v>2260.0</v>
      </c>
      <c r="AE243" s="26">
        <v>1208.0</v>
      </c>
      <c r="AF243" s="26">
        <v>989.0</v>
      </c>
      <c r="AG243" s="26">
        <v>41.0</v>
      </c>
      <c r="AH243" s="26">
        <v>22.0</v>
      </c>
      <c r="AI243" s="26">
        <f t="shared" si="8"/>
        <v>1011</v>
      </c>
      <c r="AJ243" s="26">
        <f t="shared" si="9"/>
        <v>1249</v>
      </c>
      <c r="AK243" s="26">
        <f t="shared" si="10"/>
        <v>1533</v>
      </c>
      <c r="AL243" s="26">
        <f t="shared" si="11"/>
        <v>1614</v>
      </c>
      <c r="AM243" s="26">
        <f t="shared" ref="AM243:AN243" si="484">(AI243/AK243)*100</f>
        <v>65.94911937</v>
      </c>
      <c r="AN243" s="26">
        <f t="shared" si="484"/>
        <v>77.38537794</v>
      </c>
      <c r="AO243" s="26">
        <v>887.0</v>
      </c>
      <c r="AP243" s="26">
        <v>365.0</v>
      </c>
      <c r="AQ243" s="26">
        <v>522.0</v>
      </c>
      <c r="AR243" s="26">
        <v>51.0</v>
      </c>
      <c r="AS243" s="27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</row>
    <row r="244">
      <c r="A244" s="22">
        <v>7681.0</v>
      </c>
      <c r="B244" s="23" t="s">
        <v>25</v>
      </c>
      <c r="C244" s="29" t="s">
        <v>268</v>
      </c>
      <c r="D244" s="29" t="s">
        <v>318</v>
      </c>
      <c r="E244" s="29" t="s">
        <v>320</v>
      </c>
      <c r="F244" s="29" t="s">
        <v>320</v>
      </c>
      <c r="G244" s="26">
        <v>1693.0</v>
      </c>
      <c r="H244" s="26">
        <v>455.0</v>
      </c>
      <c r="I244" s="26">
        <v>230.0</v>
      </c>
      <c r="J244" s="26">
        <v>225.0</v>
      </c>
      <c r="K244" s="26">
        <v>877.0</v>
      </c>
      <c r="L244" s="26">
        <v>504.0</v>
      </c>
      <c r="M244" s="26">
        <v>370.0</v>
      </c>
      <c r="N244" s="26">
        <v>2.0</v>
      </c>
      <c r="O244" s="26">
        <v>1.0</v>
      </c>
      <c r="P244" s="26">
        <f t="shared" si="3"/>
        <v>371</v>
      </c>
      <c r="Q244" s="26">
        <f t="shared" si="4"/>
        <v>506</v>
      </c>
      <c r="R244" s="26">
        <f t="shared" si="5"/>
        <v>593</v>
      </c>
      <c r="S244" s="26">
        <f t="shared" si="6"/>
        <v>645</v>
      </c>
      <c r="T244" s="26">
        <f t="shared" ref="T244:U244" si="485">(P244/R244)*100</f>
        <v>62.56323777</v>
      </c>
      <c r="U244" s="26">
        <f t="shared" si="485"/>
        <v>78.4496124</v>
      </c>
      <c r="V244" s="26">
        <v>361.0</v>
      </c>
      <c r="W244" s="26">
        <v>139.0</v>
      </c>
      <c r="X244" s="26">
        <v>222.0</v>
      </c>
      <c r="Y244" s="26">
        <v>0.0</v>
      </c>
      <c r="Z244" s="26">
        <v>1501.0</v>
      </c>
      <c r="AA244" s="26">
        <v>326.0</v>
      </c>
      <c r="AB244" s="26">
        <v>177.0</v>
      </c>
      <c r="AC244" s="26">
        <v>149.0</v>
      </c>
      <c r="AD244" s="26">
        <v>868.0</v>
      </c>
      <c r="AE244" s="26">
        <v>471.0</v>
      </c>
      <c r="AF244" s="26">
        <v>377.0</v>
      </c>
      <c r="AG244" s="26">
        <v>10.0</v>
      </c>
      <c r="AH244" s="26">
        <v>10.0</v>
      </c>
      <c r="AI244" s="26">
        <f t="shared" si="8"/>
        <v>387</v>
      </c>
      <c r="AJ244" s="26">
        <f t="shared" si="9"/>
        <v>481</v>
      </c>
      <c r="AK244" s="26">
        <f t="shared" si="10"/>
        <v>564</v>
      </c>
      <c r="AL244" s="26">
        <f t="shared" si="11"/>
        <v>586</v>
      </c>
      <c r="AM244" s="26">
        <f t="shared" ref="AM244:AN244" si="486">(AI244/AK244)*100</f>
        <v>68.61702128</v>
      </c>
      <c r="AN244" s="26">
        <f t="shared" si="486"/>
        <v>82.08191126</v>
      </c>
      <c r="AO244" s="26">
        <v>282.0</v>
      </c>
      <c r="AP244" s="26">
        <v>105.0</v>
      </c>
      <c r="AQ244" s="26">
        <v>177.0</v>
      </c>
      <c r="AR244" s="26">
        <v>25.0</v>
      </c>
      <c r="AS244" s="27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</row>
    <row r="245">
      <c r="A245" s="22">
        <v>7729.0</v>
      </c>
      <c r="B245" s="23" t="s">
        <v>25</v>
      </c>
      <c r="C245" s="29" t="s">
        <v>268</v>
      </c>
      <c r="D245" s="29" t="s">
        <v>321</v>
      </c>
      <c r="E245" s="29" t="s">
        <v>322</v>
      </c>
      <c r="F245" s="29" t="s">
        <v>322</v>
      </c>
      <c r="G245" s="26">
        <v>44456.0</v>
      </c>
      <c r="H245" s="26">
        <v>13515.0</v>
      </c>
      <c r="I245" s="26">
        <v>6980.0</v>
      </c>
      <c r="J245" s="26">
        <v>6535.0</v>
      </c>
      <c r="K245" s="26">
        <v>19888.0</v>
      </c>
      <c r="L245" s="26">
        <v>10537.0</v>
      </c>
      <c r="M245" s="26">
        <v>9147.0</v>
      </c>
      <c r="N245" s="26">
        <v>135.0</v>
      </c>
      <c r="O245" s="26">
        <v>69.0</v>
      </c>
      <c r="P245" s="26">
        <f t="shared" si="3"/>
        <v>9216</v>
      </c>
      <c r="Q245" s="26">
        <f t="shared" si="4"/>
        <v>10672</v>
      </c>
      <c r="R245" s="26">
        <f t="shared" si="5"/>
        <v>16676</v>
      </c>
      <c r="S245" s="26">
        <f t="shared" si="6"/>
        <v>14265</v>
      </c>
      <c r="T245" s="26">
        <f t="shared" ref="T245:U245" si="487">(P245/R245)*100</f>
        <v>55.26505157</v>
      </c>
      <c r="U245" s="26">
        <f t="shared" si="487"/>
        <v>74.81247809</v>
      </c>
      <c r="V245" s="26">
        <v>11053.0</v>
      </c>
      <c r="W245" s="26">
        <v>3593.0</v>
      </c>
      <c r="X245" s="26">
        <v>7460.0</v>
      </c>
      <c r="Y245" s="26">
        <v>0.0</v>
      </c>
      <c r="Z245" s="26">
        <v>48383.0</v>
      </c>
      <c r="AA245" s="26">
        <v>12339.0</v>
      </c>
      <c r="AB245" s="26">
        <v>6260.0</v>
      </c>
      <c r="AC245" s="26">
        <v>6079.0</v>
      </c>
      <c r="AD245" s="26">
        <v>25364.0</v>
      </c>
      <c r="AE245" s="26">
        <v>12847.0</v>
      </c>
      <c r="AF245" s="26">
        <v>11909.0</v>
      </c>
      <c r="AG245" s="26">
        <v>321.0</v>
      </c>
      <c r="AH245" s="26">
        <v>287.0</v>
      </c>
      <c r="AI245" s="26">
        <f t="shared" si="8"/>
        <v>12196</v>
      </c>
      <c r="AJ245" s="26">
        <f t="shared" si="9"/>
        <v>13168</v>
      </c>
      <c r="AK245" s="26">
        <f t="shared" si="10"/>
        <v>18382</v>
      </c>
      <c r="AL245" s="26">
        <f t="shared" si="11"/>
        <v>16263</v>
      </c>
      <c r="AM245" s="26">
        <f t="shared" ref="AM245:AN245" si="488">(AI245/AK245)*100</f>
        <v>66.34751387</v>
      </c>
      <c r="AN245" s="26">
        <f t="shared" si="488"/>
        <v>80.9690709</v>
      </c>
      <c r="AO245" s="26">
        <v>9281.0</v>
      </c>
      <c r="AP245" s="26">
        <v>3095.0</v>
      </c>
      <c r="AQ245" s="26">
        <v>6186.0</v>
      </c>
      <c r="AR245" s="26">
        <v>1399.0</v>
      </c>
      <c r="AS245" s="27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</row>
    <row r="246">
      <c r="A246" s="22">
        <v>7777.0</v>
      </c>
      <c r="B246" s="23" t="s">
        <v>25</v>
      </c>
      <c r="C246" s="29" t="s">
        <v>268</v>
      </c>
      <c r="D246" s="29" t="s">
        <v>323</v>
      </c>
      <c r="E246" s="29" t="s">
        <v>324</v>
      </c>
      <c r="F246" s="29" t="s">
        <v>324</v>
      </c>
      <c r="G246" s="26">
        <v>1663.0</v>
      </c>
      <c r="H246" s="26">
        <v>487.0</v>
      </c>
      <c r="I246" s="26">
        <v>242.0</v>
      </c>
      <c r="J246" s="26">
        <v>245.0</v>
      </c>
      <c r="K246" s="26">
        <v>805.0</v>
      </c>
      <c r="L246" s="26">
        <v>460.0</v>
      </c>
      <c r="M246" s="26">
        <v>342.0</v>
      </c>
      <c r="N246" s="26">
        <v>2.0</v>
      </c>
      <c r="O246" s="26">
        <v>1.0</v>
      </c>
      <c r="P246" s="26">
        <f t="shared" si="3"/>
        <v>343</v>
      </c>
      <c r="Q246" s="26">
        <f t="shared" si="4"/>
        <v>462</v>
      </c>
      <c r="R246" s="26">
        <f t="shared" si="5"/>
        <v>595</v>
      </c>
      <c r="S246" s="26">
        <f t="shared" si="6"/>
        <v>581</v>
      </c>
      <c r="T246" s="26">
        <f t="shared" ref="T246:U246" si="489">(P246/R246)*100</f>
        <v>57.64705882</v>
      </c>
      <c r="U246" s="26">
        <f t="shared" si="489"/>
        <v>79.51807229</v>
      </c>
      <c r="V246" s="26">
        <v>371.0</v>
      </c>
      <c r="W246" s="26">
        <v>119.0</v>
      </c>
      <c r="X246" s="26">
        <v>252.0</v>
      </c>
      <c r="Y246" s="26">
        <v>0.0</v>
      </c>
      <c r="Z246" s="26">
        <v>2052.0</v>
      </c>
      <c r="AA246" s="26">
        <v>491.0</v>
      </c>
      <c r="AB246" s="26">
        <v>239.0</v>
      </c>
      <c r="AC246" s="26">
        <v>252.0</v>
      </c>
      <c r="AD246" s="26">
        <v>1071.0</v>
      </c>
      <c r="AE246" s="26">
        <v>573.0</v>
      </c>
      <c r="AF246" s="26">
        <v>469.0</v>
      </c>
      <c r="AG246" s="26">
        <v>24.0</v>
      </c>
      <c r="AH246" s="26">
        <v>5.0</v>
      </c>
      <c r="AI246" s="26">
        <f t="shared" si="8"/>
        <v>474</v>
      </c>
      <c r="AJ246" s="26">
        <f t="shared" si="9"/>
        <v>597</v>
      </c>
      <c r="AK246" s="26">
        <f t="shared" si="10"/>
        <v>768</v>
      </c>
      <c r="AL246" s="26">
        <f t="shared" si="11"/>
        <v>778</v>
      </c>
      <c r="AM246" s="26">
        <f t="shared" ref="AM246:AN246" si="490">(AI246/AK246)*100</f>
        <v>61.71875</v>
      </c>
      <c r="AN246" s="26">
        <f t="shared" si="490"/>
        <v>76.73521851</v>
      </c>
      <c r="AO246" s="26">
        <v>475.0</v>
      </c>
      <c r="AP246" s="26">
        <v>181.0</v>
      </c>
      <c r="AQ246" s="26">
        <v>294.0</v>
      </c>
      <c r="AR246" s="26">
        <v>15.0</v>
      </c>
      <c r="AS246" s="27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</row>
    <row r="247">
      <c r="A247" s="22">
        <v>7849.0</v>
      </c>
      <c r="B247" s="23" t="s">
        <v>25</v>
      </c>
      <c r="C247" s="29" t="s">
        <v>325</v>
      </c>
      <c r="D247" s="29" t="s">
        <v>169</v>
      </c>
      <c r="E247" s="29" t="s">
        <v>325</v>
      </c>
      <c r="F247" s="29" t="s">
        <v>325</v>
      </c>
      <c r="G247" s="26">
        <v>204924.0</v>
      </c>
      <c r="H247" s="26">
        <v>51692.0</v>
      </c>
      <c r="I247" s="26">
        <v>26501.0</v>
      </c>
      <c r="J247" s="26">
        <v>25191.0</v>
      </c>
      <c r="K247" s="26">
        <v>98794.0</v>
      </c>
      <c r="L247" s="26">
        <v>53677.0</v>
      </c>
      <c r="M247" s="26">
        <v>43382.0</v>
      </c>
      <c r="N247" s="26">
        <v>858.0</v>
      </c>
      <c r="O247" s="26">
        <v>877.0</v>
      </c>
      <c r="P247" s="26">
        <f t="shared" si="3"/>
        <v>44259</v>
      </c>
      <c r="Q247" s="26">
        <f t="shared" si="4"/>
        <v>54535</v>
      </c>
      <c r="R247" s="26">
        <f t="shared" si="5"/>
        <v>80437</v>
      </c>
      <c r="S247" s="26">
        <f t="shared" si="6"/>
        <v>72795</v>
      </c>
      <c r="T247" s="26">
        <f t="shared" ref="T247:U247" si="491">(P247/R247)*100</f>
        <v>55.02318585</v>
      </c>
      <c r="U247" s="26">
        <f t="shared" si="491"/>
        <v>74.91585961</v>
      </c>
      <c r="V247" s="26">
        <v>54438.0</v>
      </c>
      <c r="W247" s="26">
        <v>18260.0</v>
      </c>
      <c r="X247" s="26">
        <v>36178.0</v>
      </c>
      <c r="Y247" s="26">
        <v>0.0</v>
      </c>
      <c r="Z247" s="26">
        <v>237349.0</v>
      </c>
      <c r="AA247" s="26">
        <v>51812.0</v>
      </c>
      <c r="AB247" s="26">
        <v>26280.0</v>
      </c>
      <c r="AC247" s="26">
        <v>25532.0</v>
      </c>
      <c r="AD247" s="26">
        <v>128560.0</v>
      </c>
      <c r="AE247" s="26">
        <v>65450.0</v>
      </c>
      <c r="AF247" s="26">
        <v>58140.0</v>
      </c>
      <c r="AG247" s="26">
        <v>2527.0</v>
      </c>
      <c r="AH247" s="26">
        <v>2443.0</v>
      </c>
      <c r="AI247" s="26">
        <f t="shared" si="8"/>
        <v>60583</v>
      </c>
      <c r="AJ247" s="26">
        <f t="shared" si="9"/>
        <v>67977</v>
      </c>
      <c r="AK247" s="26">
        <f t="shared" si="10"/>
        <v>94150</v>
      </c>
      <c r="AL247" s="26">
        <f t="shared" si="11"/>
        <v>87358</v>
      </c>
      <c r="AM247" s="26">
        <f t="shared" ref="AM247:AN247" si="492">(AI247/AK247)*100</f>
        <v>64.34731811</v>
      </c>
      <c r="AN247" s="26">
        <f t="shared" si="492"/>
        <v>77.81428146</v>
      </c>
      <c r="AO247" s="26">
        <v>52948.0</v>
      </c>
      <c r="AP247" s="26">
        <v>19381.0</v>
      </c>
      <c r="AQ247" s="26">
        <v>33567.0</v>
      </c>
      <c r="AR247" s="26">
        <v>4029.0</v>
      </c>
      <c r="AS247" s="27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</row>
    <row r="248">
      <c r="A248" s="22">
        <v>7897.0</v>
      </c>
      <c r="B248" s="23" t="s">
        <v>25</v>
      </c>
      <c r="C248" s="29" t="s">
        <v>325</v>
      </c>
      <c r="D248" s="29" t="s">
        <v>326</v>
      </c>
      <c r="E248" s="29" t="s">
        <v>327</v>
      </c>
      <c r="F248" s="29" t="s">
        <v>327</v>
      </c>
      <c r="G248" s="26">
        <v>18608.0</v>
      </c>
      <c r="H248" s="26">
        <v>5281.0</v>
      </c>
      <c r="I248" s="26">
        <v>2726.0</v>
      </c>
      <c r="J248" s="26">
        <v>2555.0</v>
      </c>
      <c r="K248" s="26">
        <v>9243.0</v>
      </c>
      <c r="L248" s="26">
        <v>5792.0</v>
      </c>
      <c r="M248" s="26">
        <v>3417.0</v>
      </c>
      <c r="N248" s="26">
        <v>23.0</v>
      </c>
      <c r="O248" s="26">
        <v>11.0</v>
      </c>
      <c r="P248" s="26">
        <f t="shared" si="3"/>
        <v>3428</v>
      </c>
      <c r="Q248" s="26">
        <f t="shared" si="4"/>
        <v>5815</v>
      </c>
      <c r="R248" s="26">
        <f t="shared" si="5"/>
        <v>6478</v>
      </c>
      <c r="S248" s="26">
        <f t="shared" si="6"/>
        <v>6849</v>
      </c>
      <c r="T248" s="26">
        <f t="shared" ref="T248:U248" si="493">(P248/R248)*100</f>
        <v>52.91756715</v>
      </c>
      <c r="U248" s="26">
        <f t="shared" si="493"/>
        <v>84.90290553</v>
      </c>
      <c r="V248" s="26">
        <v>4084.0</v>
      </c>
      <c r="W248" s="26">
        <v>1034.0</v>
      </c>
      <c r="X248" s="26">
        <v>3050.0</v>
      </c>
      <c r="Y248" s="26">
        <v>0.0</v>
      </c>
      <c r="Z248" s="26">
        <v>17701.0</v>
      </c>
      <c r="AA248" s="26">
        <v>3823.0</v>
      </c>
      <c r="AB248" s="26">
        <v>1957.0</v>
      </c>
      <c r="AC248" s="26">
        <v>1866.0</v>
      </c>
      <c r="AD248" s="26">
        <v>10519.0</v>
      </c>
      <c r="AE248" s="26">
        <v>5934.0</v>
      </c>
      <c r="AF248" s="26">
        <v>4429.0</v>
      </c>
      <c r="AG248" s="26">
        <v>92.0</v>
      </c>
      <c r="AH248" s="26">
        <v>64.0</v>
      </c>
      <c r="AI248" s="26">
        <f t="shared" si="8"/>
        <v>4493</v>
      </c>
      <c r="AJ248" s="26">
        <f t="shared" si="9"/>
        <v>6026</v>
      </c>
      <c r="AK248" s="26">
        <f t="shared" si="10"/>
        <v>6665</v>
      </c>
      <c r="AL248" s="26">
        <f t="shared" si="11"/>
        <v>7068</v>
      </c>
      <c r="AM248" s="26">
        <f t="shared" ref="AM248:AN248" si="494">(AI248/AK248)*100</f>
        <v>67.41185296</v>
      </c>
      <c r="AN248" s="26">
        <f t="shared" si="494"/>
        <v>85.25749859</v>
      </c>
      <c r="AO248" s="26">
        <v>3214.0</v>
      </c>
      <c r="AP248" s="26">
        <v>1042.0</v>
      </c>
      <c r="AQ248" s="26">
        <v>2172.0</v>
      </c>
      <c r="AR248" s="26">
        <v>145.0</v>
      </c>
      <c r="AS248" s="27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</row>
    <row r="249">
      <c r="A249" s="22">
        <v>7921.0</v>
      </c>
      <c r="B249" s="23" t="s">
        <v>25</v>
      </c>
      <c r="C249" s="29" t="s">
        <v>325</v>
      </c>
      <c r="D249" s="29" t="s">
        <v>326</v>
      </c>
      <c r="E249" s="29" t="s">
        <v>328</v>
      </c>
      <c r="F249" s="29" t="s">
        <v>328</v>
      </c>
      <c r="G249" s="26">
        <v>34348.0</v>
      </c>
      <c r="H249" s="26">
        <v>9159.0</v>
      </c>
      <c r="I249" s="26">
        <v>4627.0</v>
      </c>
      <c r="J249" s="26">
        <v>4532.0</v>
      </c>
      <c r="K249" s="26">
        <v>17376.0</v>
      </c>
      <c r="L249" s="26">
        <v>9938.0</v>
      </c>
      <c r="M249" s="26">
        <v>7274.0</v>
      </c>
      <c r="N249" s="26">
        <v>88.0</v>
      </c>
      <c r="O249" s="26">
        <v>76.0</v>
      </c>
      <c r="P249" s="26">
        <f t="shared" si="3"/>
        <v>7350</v>
      </c>
      <c r="Q249" s="26">
        <f t="shared" si="4"/>
        <v>10026</v>
      </c>
      <c r="R249" s="26">
        <f t="shared" si="5"/>
        <v>12666</v>
      </c>
      <c r="S249" s="26">
        <f t="shared" si="6"/>
        <v>12523</v>
      </c>
      <c r="T249" s="26">
        <f t="shared" ref="T249:U249" si="495">(P249/R249)*100</f>
        <v>58.02936997</v>
      </c>
      <c r="U249" s="26">
        <f t="shared" si="495"/>
        <v>80.06068833</v>
      </c>
      <c r="V249" s="26">
        <v>7813.0</v>
      </c>
      <c r="W249" s="26">
        <v>2497.0</v>
      </c>
      <c r="X249" s="26">
        <v>5316.0</v>
      </c>
      <c r="Y249" s="26">
        <v>0.0</v>
      </c>
      <c r="Z249" s="26">
        <v>36661.0</v>
      </c>
      <c r="AA249" s="26">
        <v>8779.0</v>
      </c>
      <c r="AB249" s="26">
        <v>4465.0</v>
      </c>
      <c r="AC249" s="26">
        <v>4314.0</v>
      </c>
      <c r="AD249" s="26">
        <v>19732.0</v>
      </c>
      <c r="AE249" s="26">
        <v>10406.0</v>
      </c>
      <c r="AF249" s="26">
        <v>8739.0</v>
      </c>
      <c r="AG249" s="26">
        <v>361.0</v>
      </c>
      <c r="AH249" s="26">
        <v>226.0</v>
      </c>
      <c r="AI249" s="26">
        <f t="shared" si="8"/>
        <v>8965</v>
      </c>
      <c r="AJ249" s="26">
        <f t="shared" si="9"/>
        <v>10767</v>
      </c>
      <c r="AK249" s="26">
        <f t="shared" si="10"/>
        <v>13866</v>
      </c>
      <c r="AL249" s="26">
        <f t="shared" si="11"/>
        <v>13408</v>
      </c>
      <c r="AM249" s="26">
        <f t="shared" ref="AM249:AN249" si="496">(AI249/AK249)*100</f>
        <v>64.6545507</v>
      </c>
      <c r="AN249" s="26">
        <f t="shared" si="496"/>
        <v>80.3028043</v>
      </c>
      <c r="AO249" s="26">
        <v>7542.0</v>
      </c>
      <c r="AP249" s="26">
        <v>2641.0</v>
      </c>
      <c r="AQ249" s="26">
        <v>4901.0</v>
      </c>
      <c r="AR249" s="26">
        <v>608.0</v>
      </c>
      <c r="AS249" s="27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</row>
    <row r="250">
      <c r="A250" s="22">
        <v>7969.0</v>
      </c>
      <c r="B250" s="23" t="s">
        <v>25</v>
      </c>
      <c r="C250" s="29" t="s">
        <v>325</v>
      </c>
      <c r="D250" s="29" t="s">
        <v>329</v>
      </c>
      <c r="E250" s="29" t="s">
        <v>330</v>
      </c>
      <c r="F250" s="29" t="s">
        <v>330</v>
      </c>
      <c r="G250" s="26">
        <v>91991.0</v>
      </c>
      <c r="H250" s="26">
        <v>27571.0</v>
      </c>
      <c r="I250" s="26">
        <v>14190.0</v>
      </c>
      <c r="J250" s="26">
        <v>13381.0</v>
      </c>
      <c r="K250" s="26">
        <v>41293.0</v>
      </c>
      <c r="L250" s="26">
        <v>24397.0</v>
      </c>
      <c r="M250" s="26">
        <v>16412.0</v>
      </c>
      <c r="N250" s="26">
        <v>299.0</v>
      </c>
      <c r="O250" s="26">
        <v>185.0</v>
      </c>
      <c r="P250" s="26">
        <f t="shared" si="3"/>
        <v>16597</v>
      </c>
      <c r="Q250" s="26">
        <f t="shared" si="4"/>
        <v>24696</v>
      </c>
      <c r="R250" s="26">
        <f t="shared" si="5"/>
        <v>32619</v>
      </c>
      <c r="S250" s="26">
        <f t="shared" si="6"/>
        <v>31801</v>
      </c>
      <c r="T250" s="26">
        <f t="shared" ref="T250:U250" si="497">(P250/R250)*100</f>
        <v>50.88138815</v>
      </c>
      <c r="U250" s="26">
        <f t="shared" si="497"/>
        <v>77.65793529</v>
      </c>
      <c r="V250" s="26">
        <v>23127.0</v>
      </c>
      <c r="W250" s="26">
        <v>7105.0</v>
      </c>
      <c r="X250" s="26">
        <v>16022.0</v>
      </c>
      <c r="Y250" s="26">
        <v>0.0</v>
      </c>
      <c r="Z250" s="26">
        <v>96746.0</v>
      </c>
      <c r="AA250" s="26">
        <v>24899.0</v>
      </c>
      <c r="AB250" s="26">
        <v>12666.0</v>
      </c>
      <c r="AC250" s="26">
        <v>12233.0</v>
      </c>
      <c r="AD250" s="26">
        <v>49677.0</v>
      </c>
      <c r="AE250" s="26">
        <v>26861.0</v>
      </c>
      <c r="AF250" s="26">
        <v>21185.0</v>
      </c>
      <c r="AG250" s="26">
        <v>933.0</v>
      </c>
      <c r="AH250" s="26">
        <v>698.0</v>
      </c>
      <c r="AI250" s="26">
        <f t="shared" si="8"/>
        <v>21883</v>
      </c>
      <c r="AJ250" s="26">
        <f t="shared" si="9"/>
        <v>27794</v>
      </c>
      <c r="AK250" s="26">
        <f t="shared" si="10"/>
        <v>35002</v>
      </c>
      <c r="AL250" s="26">
        <f t="shared" si="11"/>
        <v>34543</v>
      </c>
      <c r="AM250" s="26">
        <f t="shared" ref="AM250:AN250" si="498">(AI250/AK250)*100</f>
        <v>62.51928461</v>
      </c>
      <c r="AN250" s="26">
        <f t="shared" si="498"/>
        <v>80.46203283</v>
      </c>
      <c r="AO250" s="26">
        <v>19868.0</v>
      </c>
      <c r="AP250" s="26">
        <v>6749.0</v>
      </c>
      <c r="AQ250" s="26">
        <v>13119.0</v>
      </c>
      <c r="AR250" s="26">
        <v>2302.0</v>
      </c>
      <c r="AS250" s="27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</row>
    <row r="251">
      <c r="A251" s="22">
        <v>7993.0</v>
      </c>
      <c r="B251" s="23" t="s">
        <v>25</v>
      </c>
      <c r="C251" s="29" t="s">
        <v>325</v>
      </c>
      <c r="D251" s="29" t="s">
        <v>329</v>
      </c>
      <c r="E251" s="29" t="s">
        <v>331</v>
      </c>
      <c r="F251" s="29" t="s">
        <v>331</v>
      </c>
      <c r="G251" s="26">
        <v>15342.0</v>
      </c>
      <c r="H251" s="26">
        <v>4085.0</v>
      </c>
      <c r="I251" s="26">
        <v>2109.0</v>
      </c>
      <c r="J251" s="26">
        <v>1976.0</v>
      </c>
      <c r="K251" s="26">
        <v>8209.0</v>
      </c>
      <c r="L251" s="26">
        <v>5956.0</v>
      </c>
      <c r="M251" s="26">
        <v>2220.0</v>
      </c>
      <c r="N251" s="26">
        <v>27.0</v>
      </c>
      <c r="O251" s="26">
        <v>6.0</v>
      </c>
      <c r="P251" s="26">
        <f t="shared" si="3"/>
        <v>2226</v>
      </c>
      <c r="Q251" s="26">
        <f t="shared" si="4"/>
        <v>5983</v>
      </c>
      <c r="R251" s="26">
        <f t="shared" si="5"/>
        <v>4432</v>
      </c>
      <c r="S251" s="26">
        <f t="shared" si="6"/>
        <v>6825</v>
      </c>
      <c r="T251" s="26">
        <f t="shared" ref="T251:U251" si="499">(P251/R251)*100</f>
        <v>50.22563177</v>
      </c>
      <c r="U251" s="26">
        <f t="shared" si="499"/>
        <v>87.66300366</v>
      </c>
      <c r="V251" s="26">
        <v>3048.0</v>
      </c>
      <c r="W251" s="26">
        <v>842.0</v>
      </c>
      <c r="X251" s="26">
        <v>2206.0</v>
      </c>
      <c r="Y251" s="26">
        <v>0.0</v>
      </c>
      <c r="Z251" s="26">
        <v>15493.0</v>
      </c>
      <c r="AA251" s="26">
        <v>4234.0</v>
      </c>
      <c r="AB251" s="26">
        <v>2175.0</v>
      </c>
      <c r="AC251" s="26">
        <v>2059.0</v>
      </c>
      <c r="AD251" s="26">
        <v>8185.0</v>
      </c>
      <c r="AE251" s="26">
        <v>4680.0</v>
      </c>
      <c r="AF251" s="26">
        <v>3335.0</v>
      </c>
      <c r="AG251" s="26">
        <v>95.0</v>
      </c>
      <c r="AH251" s="26">
        <v>75.0</v>
      </c>
      <c r="AI251" s="26">
        <f t="shared" si="8"/>
        <v>3410</v>
      </c>
      <c r="AJ251" s="26">
        <f t="shared" si="9"/>
        <v>4775</v>
      </c>
      <c r="AK251" s="26">
        <f t="shared" si="10"/>
        <v>5300</v>
      </c>
      <c r="AL251" s="26">
        <f t="shared" si="11"/>
        <v>5774</v>
      </c>
      <c r="AM251" s="26">
        <f t="shared" ref="AM251:AN251" si="500">(AI251/AK251)*100</f>
        <v>64.33962264</v>
      </c>
      <c r="AN251" s="26">
        <f t="shared" si="500"/>
        <v>82.69830274</v>
      </c>
      <c r="AO251" s="26">
        <v>2889.0</v>
      </c>
      <c r="AP251" s="26">
        <v>999.0</v>
      </c>
      <c r="AQ251" s="26">
        <v>1890.0</v>
      </c>
      <c r="AR251" s="26">
        <v>185.0</v>
      </c>
      <c r="AS251" s="27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</row>
    <row r="252">
      <c r="A252" s="22">
        <v>8017.0</v>
      </c>
      <c r="B252" s="23" t="s">
        <v>25</v>
      </c>
      <c r="C252" s="29" t="s">
        <v>325</v>
      </c>
      <c r="D252" s="29" t="s">
        <v>329</v>
      </c>
      <c r="E252" s="29" t="s">
        <v>332</v>
      </c>
      <c r="F252" s="29" t="s">
        <v>332</v>
      </c>
      <c r="G252" s="26">
        <v>39804.0</v>
      </c>
      <c r="H252" s="26">
        <v>11903.0</v>
      </c>
      <c r="I252" s="26">
        <v>5981.0</v>
      </c>
      <c r="J252" s="26">
        <v>5922.0</v>
      </c>
      <c r="K252" s="26">
        <v>17834.0</v>
      </c>
      <c r="L252" s="26">
        <v>10906.0</v>
      </c>
      <c r="M252" s="26">
        <v>6729.0</v>
      </c>
      <c r="N252" s="26">
        <v>114.0</v>
      </c>
      <c r="O252" s="26">
        <v>85.0</v>
      </c>
      <c r="P252" s="26">
        <f t="shared" si="3"/>
        <v>6814</v>
      </c>
      <c r="Q252" s="26">
        <f t="shared" si="4"/>
        <v>11020</v>
      </c>
      <c r="R252" s="26">
        <f t="shared" si="5"/>
        <v>13336</v>
      </c>
      <c r="S252" s="26">
        <f t="shared" si="6"/>
        <v>14565</v>
      </c>
      <c r="T252" s="26">
        <f t="shared" ref="T252:U252" si="501">(P252/R252)*100</f>
        <v>51.09478104</v>
      </c>
      <c r="U252" s="26">
        <f t="shared" si="501"/>
        <v>75.66083076</v>
      </c>
      <c r="V252" s="26">
        <v>10067.0</v>
      </c>
      <c r="W252" s="26">
        <v>3545.0</v>
      </c>
      <c r="X252" s="26">
        <v>6522.0</v>
      </c>
      <c r="Y252" s="26">
        <v>0.0</v>
      </c>
      <c r="Z252" s="26">
        <v>45566.0</v>
      </c>
      <c r="AA252" s="26">
        <v>12313.0</v>
      </c>
      <c r="AB252" s="26">
        <v>6194.0</v>
      </c>
      <c r="AC252" s="26">
        <v>6119.0</v>
      </c>
      <c r="AD252" s="26">
        <v>21977.0</v>
      </c>
      <c r="AE252" s="26">
        <v>12109.0</v>
      </c>
      <c r="AF252" s="26">
        <v>8924.0</v>
      </c>
      <c r="AG252" s="26">
        <v>556.0</v>
      </c>
      <c r="AH252" s="26">
        <v>388.0</v>
      </c>
      <c r="AI252" s="26">
        <f t="shared" si="8"/>
        <v>9312</v>
      </c>
      <c r="AJ252" s="26">
        <f t="shared" si="9"/>
        <v>12665</v>
      </c>
      <c r="AK252" s="26">
        <f t="shared" si="10"/>
        <v>15199</v>
      </c>
      <c r="AL252" s="26">
        <f t="shared" si="11"/>
        <v>16223</v>
      </c>
      <c r="AM252" s="26">
        <f t="shared" ref="AM252:AN252" si="502">(AI252/AK252)*100</f>
        <v>61.26718863</v>
      </c>
      <c r="AN252" s="26">
        <f t="shared" si="502"/>
        <v>78.06817481</v>
      </c>
      <c r="AO252" s="26">
        <v>9445.0</v>
      </c>
      <c r="AP252" s="26">
        <v>3558.0</v>
      </c>
      <c r="AQ252" s="26">
        <v>5887.0</v>
      </c>
      <c r="AR252" s="26">
        <v>1831.0</v>
      </c>
      <c r="AS252" s="27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</row>
    <row r="253">
      <c r="A253" s="31"/>
      <c r="B253" s="32"/>
      <c r="C253" s="33" t="s">
        <v>329</v>
      </c>
      <c r="D253" s="33" t="s">
        <v>329</v>
      </c>
      <c r="E253" s="33"/>
      <c r="F253" s="33"/>
      <c r="G253" s="34"/>
      <c r="H253" s="34"/>
      <c r="I253" s="34"/>
      <c r="J253" s="34"/>
      <c r="K253" s="34"/>
      <c r="L253" s="34">
        <f t="shared" ref="L253:O253" si="503">SUM(L250:L252)</f>
        <v>41259</v>
      </c>
      <c r="M253" s="34">
        <f t="shared" si="503"/>
        <v>25361</v>
      </c>
      <c r="N253" s="34">
        <f t="shared" si="503"/>
        <v>440</v>
      </c>
      <c r="O253" s="34">
        <f t="shared" si="503"/>
        <v>276</v>
      </c>
      <c r="P253" s="34">
        <f t="shared" si="3"/>
        <v>25637</v>
      </c>
      <c r="Q253" s="34">
        <f t="shared" si="4"/>
        <v>41699</v>
      </c>
      <c r="R253" s="34">
        <f t="shared" si="5"/>
        <v>50387</v>
      </c>
      <c r="S253" s="34">
        <f t="shared" si="6"/>
        <v>53191</v>
      </c>
      <c r="T253" s="34">
        <f t="shared" ref="T253:U253" si="504">(P253/R253)*100</f>
        <v>50.88018735</v>
      </c>
      <c r="U253" s="34">
        <f t="shared" si="504"/>
        <v>78.39484123</v>
      </c>
      <c r="V253" s="34"/>
      <c r="W253" s="34">
        <f t="shared" ref="W253:X253" si="505">SUM(W250:W252)</f>
        <v>11492</v>
      </c>
      <c r="X253" s="34">
        <f t="shared" si="505"/>
        <v>24750</v>
      </c>
      <c r="Y253" s="34"/>
      <c r="Z253" s="34"/>
      <c r="AA253" s="34"/>
      <c r="AB253" s="34"/>
      <c r="AC253" s="34"/>
      <c r="AD253" s="34"/>
      <c r="AE253" s="34">
        <f t="shared" ref="AE253:AH253" si="506">SUM(AE250:AE252)</f>
        <v>43650</v>
      </c>
      <c r="AF253" s="34">
        <f t="shared" si="506"/>
        <v>33444</v>
      </c>
      <c r="AG253" s="34">
        <f t="shared" si="506"/>
        <v>1584</v>
      </c>
      <c r="AH253" s="34">
        <f t="shared" si="506"/>
        <v>1161</v>
      </c>
      <c r="AI253" s="26">
        <f t="shared" si="8"/>
        <v>34605</v>
      </c>
      <c r="AJ253" s="26">
        <f t="shared" si="9"/>
        <v>45234</v>
      </c>
      <c r="AK253" s="26">
        <f t="shared" si="10"/>
        <v>55501</v>
      </c>
      <c r="AL253" s="26">
        <f t="shared" si="11"/>
        <v>56540</v>
      </c>
      <c r="AM253" s="26">
        <f t="shared" ref="AM253:AN253" si="507">(AI253/AK253)*100</f>
        <v>62.35022792</v>
      </c>
      <c r="AN253" s="26">
        <f t="shared" si="507"/>
        <v>80.00353732</v>
      </c>
      <c r="AO253" s="34"/>
      <c r="AP253" s="34">
        <f t="shared" ref="AP253:AQ253" si="508">SUM(AP250:AP252)</f>
        <v>11306</v>
      </c>
      <c r="AQ253" s="34">
        <f t="shared" si="508"/>
        <v>20896</v>
      </c>
      <c r="AR253" s="34"/>
      <c r="AS253" s="35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</row>
    <row r="254">
      <c r="A254" s="22">
        <v>8065.0</v>
      </c>
      <c r="B254" s="23" t="s">
        <v>25</v>
      </c>
      <c r="C254" s="29" t="s">
        <v>325</v>
      </c>
      <c r="D254" s="29" t="s">
        <v>333</v>
      </c>
      <c r="E254" s="29" t="s">
        <v>334</v>
      </c>
      <c r="F254" s="29" t="s">
        <v>334</v>
      </c>
      <c r="G254" s="26">
        <v>14758.0</v>
      </c>
      <c r="H254" s="26">
        <v>3967.0</v>
      </c>
      <c r="I254" s="26">
        <v>2008.0</v>
      </c>
      <c r="J254" s="26">
        <v>1959.0</v>
      </c>
      <c r="K254" s="26">
        <v>8082.0</v>
      </c>
      <c r="L254" s="26">
        <v>4626.0</v>
      </c>
      <c r="M254" s="26">
        <v>3425.0</v>
      </c>
      <c r="N254" s="26">
        <v>17.0</v>
      </c>
      <c r="O254" s="26">
        <v>14.0</v>
      </c>
      <c r="P254" s="26">
        <f t="shared" si="3"/>
        <v>3439</v>
      </c>
      <c r="Q254" s="26">
        <f t="shared" si="4"/>
        <v>4643</v>
      </c>
      <c r="R254" s="26">
        <f t="shared" si="5"/>
        <v>5466</v>
      </c>
      <c r="S254" s="26">
        <f t="shared" si="6"/>
        <v>5325</v>
      </c>
      <c r="T254" s="26">
        <f t="shared" ref="T254:U254" si="509">(P254/R254)*100</f>
        <v>62.91620929</v>
      </c>
      <c r="U254" s="26">
        <f t="shared" si="509"/>
        <v>87.19248826</v>
      </c>
      <c r="V254" s="26">
        <v>2709.0</v>
      </c>
      <c r="W254" s="26">
        <v>682.0</v>
      </c>
      <c r="X254" s="26">
        <v>2027.0</v>
      </c>
      <c r="Y254" s="26">
        <v>0.0</v>
      </c>
      <c r="Z254" s="26">
        <v>15774.0</v>
      </c>
      <c r="AA254" s="26">
        <v>3684.0</v>
      </c>
      <c r="AB254" s="26">
        <v>1800.0</v>
      </c>
      <c r="AC254" s="26">
        <v>1884.0</v>
      </c>
      <c r="AD254" s="26">
        <v>9240.0</v>
      </c>
      <c r="AE254" s="26">
        <v>5030.0</v>
      </c>
      <c r="AF254" s="26">
        <v>4078.0</v>
      </c>
      <c r="AG254" s="26">
        <v>78.0</v>
      </c>
      <c r="AH254" s="26">
        <v>54.0</v>
      </c>
      <c r="AI254" s="26">
        <f t="shared" si="8"/>
        <v>4132</v>
      </c>
      <c r="AJ254" s="26">
        <f t="shared" si="9"/>
        <v>5108</v>
      </c>
      <c r="AK254" s="26">
        <f t="shared" si="10"/>
        <v>6047</v>
      </c>
      <c r="AL254" s="26">
        <f t="shared" si="11"/>
        <v>5839</v>
      </c>
      <c r="AM254" s="26">
        <f t="shared" ref="AM254:AN254" si="510">(AI254/AK254)*100</f>
        <v>68.331404</v>
      </c>
      <c r="AN254" s="26">
        <f t="shared" si="510"/>
        <v>87.480733</v>
      </c>
      <c r="AO254" s="26">
        <v>2646.0</v>
      </c>
      <c r="AP254" s="26">
        <v>731.0</v>
      </c>
      <c r="AQ254" s="26">
        <v>1915.0</v>
      </c>
      <c r="AR254" s="26">
        <v>204.0</v>
      </c>
      <c r="AS254" s="27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</row>
    <row r="255">
      <c r="A255" s="22">
        <v>8089.0</v>
      </c>
      <c r="B255" s="23" t="s">
        <v>25</v>
      </c>
      <c r="C255" s="29" t="s">
        <v>325</v>
      </c>
      <c r="D255" s="29" t="s">
        <v>333</v>
      </c>
      <c r="E255" s="29" t="s">
        <v>335</v>
      </c>
      <c r="F255" s="29" t="s">
        <v>335</v>
      </c>
      <c r="G255" s="26">
        <v>5457.0</v>
      </c>
      <c r="H255" s="26">
        <v>1781.0</v>
      </c>
      <c r="I255" s="26">
        <v>919.0</v>
      </c>
      <c r="J255" s="26">
        <v>862.0</v>
      </c>
      <c r="K255" s="26">
        <v>2726.0</v>
      </c>
      <c r="L255" s="26">
        <v>1552.0</v>
      </c>
      <c r="M255" s="26">
        <v>1168.0</v>
      </c>
      <c r="N255" s="26">
        <v>6.0</v>
      </c>
      <c r="O255" s="26">
        <v>0.0</v>
      </c>
      <c r="P255" s="26">
        <f t="shared" si="3"/>
        <v>1168</v>
      </c>
      <c r="Q255" s="26">
        <f t="shared" si="4"/>
        <v>1558</v>
      </c>
      <c r="R255" s="26">
        <f t="shared" si="5"/>
        <v>1880</v>
      </c>
      <c r="S255" s="26">
        <f t="shared" si="6"/>
        <v>1796</v>
      </c>
      <c r="T255" s="26">
        <f t="shared" ref="T255:U255" si="511">(P255/R255)*100</f>
        <v>62.12765957</v>
      </c>
      <c r="U255" s="26">
        <f t="shared" si="511"/>
        <v>86.74832962</v>
      </c>
      <c r="V255" s="26">
        <v>950.0</v>
      </c>
      <c r="W255" s="26">
        <v>238.0</v>
      </c>
      <c r="X255" s="26">
        <v>712.0</v>
      </c>
      <c r="Y255" s="26">
        <v>0.0</v>
      </c>
      <c r="Z255" s="26">
        <v>4674.0</v>
      </c>
      <c r="AA255" s="26">
        <v>1201.0</v>
      </c>
      <c r="AB255" s="26">
        <v>601.0</v>
      </c>
      <c r="AC255" s="26">
        <v>600.0</v>
      </c>
      <c r="AD255" s="26">
        <v>2735.0</v>
      </c>
      <c r="AE255" s="26">
        <v>1446.0</v>
      </c>
      <c r="AF255" s="26">
        <v>1254.0</v>
      </c>
      <c r="AG255" s="26">
        <v>21.0</v>
      </c>
      <c r="AH255" s="26">
        <v>14.0</v>
      </c>
      <c r="AI255" s="26">
        <f t="shared" si="8"/>
        <v>1268</v>
      </c>
      <c r="AJ255" s="26">
        <f t="shared" si="9"/>
        <v>1467</v>
      </c>
      <c r="AK255" s="26">
        <f t="shared" si="10"/>
        <v>1750</v>
      </c>
      <c r="AL255" s="26">
        <f t="shared" si="11"/>
        <v>1683</v>
      </c>
      <c r="AM255" s="26">
        <f t="shared" ref="AM255:AN255" si="512">(AI255/AK255)*100</f>
        <v>72.45714286</v>
      </c>
      <c r="AN255" s="26">
        <f t="shared" si="512"/>
        <v>87.1657754</v>
      </c>
      <c r="AO255" s="26">
        <v>698.0</v>
      </c>
      <c r="AP255" s="26">
        <v>216.0</v>
      </c>
      <c r="AQ255" s="26">
        <v>482.0</v>
      </c>
      <c r="AR255" s="26">
        <v>40.0</v>
      </c>
      <c r="AS255" s="27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</row>
    <row r="256">
      <c r="A256" s="22">
        <v>8137.0</v>
      </c>
      <c r="B256" s="23" t="s">
        <v>25</v>
      </c>
      <c r="C256" s="29" t="s">
        <v>325</v>
      </c>
      <c r="D256" s="29" t="s">
        <v>336</v>
      </c>
      <c r="E256" s="29" t="s">
        <v>337</v>
      </c>
      <c r="F256" s="29" t="s">
        <v>337</v>
      </c>
      <c r="G256" s="26">
        <v>23823.0</v>
      </c>
      <c r="H256" s="26">
        <v>6820.0</v>
      </c>
      <c r="I256" s="26">
        <v>3507.0</v>
      </c>
      <c r="J256" s="26">
        <v>3313.0</v>
      </c>
      <c r="K256" s="26">
        <v>11839.0</v>
      </c>
      <c r="L256" s="26">
        <v>6756.0</v>
      </c>
      <c r="M256" s="26">
        <v>5026.0</v>
      </c>
      <c r="N256" s="26">
        <v>33.0</v>
      </c>
      <c r="O256" s="26">
        <v>24.0</v>
      </c>
      <c r="P256" s="26">
        <f t="shared" si="3"/>
        <v>5050</v>
      </c>
      <c r="Q256" s="26">
        <f t="shared" si="4"/>
        <v>6789</v>
      </c>
      <c r="R256" s="26">
        <f t="shared" si="5"/>
        <v>8799</v>
      </c>
      <c r="S256" s="26">
        <f t="shared" si="6"/>
        <v>8204</v>
      </c>
      <c r="T256" s="26">
        <f t="shared" ref="T256:U256" si="513">(P256/R256)*100</f>
        <v>57.39288556</v>
      </c>
      <c r="U256" s="26">
        <f t="shared" si="513"/>
        <v>82.75231594</v>
      </c>
      <c r="V256" s="26">
        <v>5164.0</v>
      </c>
      <c r="W256" s="26">
        <v>1415.0</v>
      </c>
      <c r="X256" s="26">
        <v>3749.0</v>
      </c>
      <c r="Y256" s="26">
        <v>0.0</v>
      </c>
      <c r="Z256" s="26">
        <v>30095.0</v>
      </c>
      <c r="AA256" s="26">
        <v>6939.0</v>
      </c>
      <c r="AB256" s="26">
        <v>3566.0</v>
      </c>
      <c r="AC256" s="26">
        <v>3373.0</v>
      </c>
      <c r="AD256" s="26">
        <v>17343.0</v>
      </c>
      <c r="AE256" s="26">
        <v>9072.0</v>
      </c>
      <c r="AF256" s="26">
        <v>7848.0</v>
      </c>
      <c r="AG256" s="26">
        <v>242.0</v>
      </c>
      <c r="AH256" s="26">
        <v>181.0</v>
      </c>
      <c r="AI256" s="26">
        <f t="shared" si="8"/>
        <v>8029</v>
      </c>
      <c r="AJ256" s="26">
        <f t="shared" si="9"/>
        <v>9314</v>
      </c>
      <c r="AK256" s="26">
        <f t="shared" si="10"/>
        <v>11668</v>
      </c>
      <c r="AL256" s="26">
        <f t="shared" si="11"/>
        <v>11098</v>
      </c>
      <c r="AM256" s="26">
        <f t="shared" ref="AM256:AN256" si="514">(AI256/AK256)*100</f>
        <v>68.81213576</v>
      </c>
      <c r="AN256" s="26">
        <f t="shared" si="514"/>
        <v>83.92503154</v>
      </c>
      <c r="AO256" s="26">
        <v>5423.0</v>
      </c>
      <c r="AP256" s="26">
        <v>1784.0</v>
      </c>
      <c r="AQ256" s="26">
        <v>3639.0</v>
      </c>
      <c r="AR256" s="26">
        <v>390.0</v>
      </c>
      <c r="AS256" s="27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</row>
    <row r="257">
      <c r="A257" s="22">
        <v>8161.0</v>
      </c>
      <c r="B257" s="23" t="s">
        <v>25</v>
      </c>
      <c r="C257" s="29" t="s">
        <v>325</v>
      </c>
      <c r="D257" s="29" t="s">
        <v>336</v>
      </c>
      <c r="E257" s="29" t="s">
        <v>338</v>
      </c>
      <c r="F257" s="29" t="s">
        <v>338</v>
      </c>
      <c r="G257" s="26">
        <v>11338.0</v>
      </c>
      <c r="H257" s="26">
        <v>3366.0</v>
      </c>
      <c r="I257" s="26">
        <v>1744.0</v>
      </c>
      <c r="J257" s="26">
        <v>1622.0</v>
      </c>
      <c r="K257" s="26">
        <v>5366.0</v>
      </c>
      <c r="L257" s="26">
        <v>3376.0</v>
      </c>
      <c r="M257" s="26">
        <v>1972.0</v>
      </c>
      <c r="N257" s="26">
        <v>12.0</v>
      </c>
      <c r="O257" s="26">
        <v>6.0</v>
      </c>
      <c r="P257" s="26">
        <f t="shared" si="3"/>
        <v>1978</v>
      </c>
      <c r="Q257" s="26">
        <f t="shared" si="4"/>
        <v>3388</v>
      </c>
      <c r="R257" s="26">
        <f t="shared" si="5"/>
        <v>4049</v>
      </c>
      <c r="S257" s="26">
        <f t="shared" si="6"/>
        <v>3923</v>
      </c>
      <c r="T257" s="26">
        <f t="shared" ref="T257:U257" si="515">(P257/R257)*100</f>
        <v>48.85156829</v>
      </c>
      <c r="U257" s="26">
        <f t="shared" si="515"/>
        <v>86.3624777</v>
      </c>
      <c r="V257" s="26">
        <v>2606.0</v>
      </c>
      <c r="W257" s="26">
        <v>535.0</v>
      </c>
      <c r="X257" s="26">
        <v>2071.0</v>
      </c>
      <c r="Y257" s="26">
        <v>0.0</v>
      </c>
      <c r="Z257" s="26">
        <v>9470.0</v>
      </c>
      <c r="AA257" s="26">
        <v>2163.0</v>
      </c>
      <c r="AB257" s="26">
        <v>1131.0</v>
      </c>
      <c r="AC257" s="26">
        <v>1032.0</v>
      </c>
      <c r="AD257" s="26">
        <v>5752.0</v>
      </c>
      <c r="AE257" s="26">
        <v>3006.0</v>
      </c>
      <c r="AF257" s="26">
        <v>2652.0</v>
      </c>
      <c r="AG257" s="26">
        <v>63.0</v>
      </c>
      <c r="AH257" s="26">
        <v>31.0</v>
      </c>
      <c r="AI257" s="26">
        <f t="shared" si="8"/>
        <v>2683</v>
      </c>
      <c r="AJ257" s="26">
        <f t="shared" si="9"/>
        <v>3069</v>
      </c>
      <c r="AK257" s="26">
        <f t="shared" si="10"/>
        <v>3732</v>
      </c>
      <c r="AL257" s="26">
        <f t="shared" si="11"/>
        <v>3490</v>
      </c>
      <c r="AM257" s="26">
        <f t="shared" ref="AM257:AN257" si="516">(AI257/AK257)*100</f>
        <v>71.89174705</v>
      </c>
      <c r="AN257" s="26">
        <f t="shared" si="516"/>
        <v>87.93696275</v>
      </c>
      <c r="AO257" s="26">
        <v>1470.0</v>
      </c>
      <c r="AP257" s="26">
        <v>421.0</v>
      </c>
      <c r="AQ257" s="26">
        <v>1049.0</v>
      </c>
      <c r="AR257" s="26">
        <v>85.0</v>
      </c>
      <c r="AS257" s="27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</row>
    <row r="258">
      <c r="A258" s="22">
        <v>8209.0</v>
      </c>
      <c r="B258" s="23" t="s">
        <v>25</v>
      </c>
      <c r="C258" s="29" t="s">
        <v>325</v>
      </c>
      <c r="D258" s="29" t="s">
        <v>339</v>
      </c>
      <c r="E258" s="29" t="s">
        <v>209</v>
      </c>
      <c r="F258" s="29" t="s">
        <v>209</v>
      </c>
      <c r="G258" s="26">
        <v>21954.0</v>
      </c>
      <c r="H258" s="26">
        <v>6720.0</v>
      </c>
      <c r="I258" s="26">
        <v>3420.0</v>
      </c>
      <c r="J258" s="26">
        <v>3300.0</v>
      </c>
      <c r="K258" s="26">
        <v>10434.0</v>
      </c>
      <c r="L258" s="26">
        <v>6956.0</v>
      </c>
      <c r="M258" s="26">
        <v>3390.0</v>
      </c>
      <c r="N258" s="26">
        <v>67.0</v>
      </c>
      <c r="O258" s="26">
        <v>21.0</v>
      </c>
      <c r="P258" s="26">
        <f t="shared" si="3"/>
        <v>3411</v>
      </c>
      <c r="Q258" s="26">
        <f t="shared" si="4"/>
        <v>7023</v>
      </c>
      <c r="R258" s="26">
        <f t="shared" si="5"/>
        <v>7046</v>
      </c>
      <c r="S258" s="26">
        <f t="shared" si="6"/>
        <v>8188</v>
      </c>
      <c r="T258" s="26">
        <f t="shared" ref="T258:U258" si="517">(P258/R258)*100</f>
        <v>48.41044564</v>
      </c>
      <c r="U258" s="26">
        <f t="shared" si="517"/>
        <v>85.77186126</v>
      </c>
      <c r="V258" s="26">
        <v>4800.0</v>
      </c>
      <c r="W258" s="26">
        <v>1165.0</v>
      </c>
      <c r="X258" s="26">
        <v>3635.0</v>
      </c>
      <c r="Y258" s="26">
        <v>0.0</v>
      </c>
      <c r="Z258" s="26">
        <v>20671.0</v>
      </c>
      <c r="AA258" s="26">
        <v>5380.0</v>
      </c>
      <c r="AB258" s="26">
        <v>2750.0</v>
      </c>
      <c r="AC258" s="26">
        <v>2630.0</v>
      </c>
      <c r="AD258" s="26">
        <v>11416.0</v>
      </c>
      <c r="AE258" s="26">
        <v>6514.0</v>
      </c>
      <c r="AF258" s="26">
        <v>4762.0</v>
      </c>
      <c r="AG258" s="26">
        <v>82.0</v>
      </c>
      <c r="AH258" s="26">
        <v>58.0</v>
      </c>
      <c r="AI258" s="26">
        <f t="shared" si="8"/>
        <v>4820</v>
      </c>
      <c r="AJ258" s="26">
        <f t="shared" si="9"/>
        <v>6596</v>
      </c>
      <c r="AK258" s="26">
        <f t="shared" si="10"/>
        <v>7148</v>
      </c>
      <c r="AL258" s="26">
        <f t="shared" si="11"/>
        <v>7660</v>
      </c>
      <c r="AM258" s="26">
        <f t="shared" ref="AM258:AN258" si="518">(AI258/AK258)*100</f>
        <v>67.43144936</v>
      </c>
      <c r="AN258" s="26">
        <f t="shared" si="518"/>
        <v>86.10966057</v>
      </c>
      <c r="AO258" s="26">
        <v>3392.0</v>
      </c>
      <c r="AP258" s="26">
        <v>1064.0</v>
      </c>
      <c r="AQ258" s="26">
        <v>2328.0</v>
      </c>
      <c r="AR258" s="26">
        <v>483.0</v>
      </c>
      <c r="AS258" s="27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</row>
    <row r="259">
      <c r="A259" s="22">
        <v>8281.0</v>
      </c>
      <c r="B259" s="23" t="s">
        <v>25</v>
      </c>
      <c r="C259" s="29" t="s">
        <v>340</v>
      </c>
      <c r="D259" s="29" t="s">
        <v>341</v>
      </c>
      <c r="E259" s="29" t="s">
        <v>342</v>
      </c>
      <c r="F259" s="29" t="s">
        <v>342</v>
      </c>
      <c r="G259" s="26">
        <v>1440577.0</v>
      </c>
      <c r="H259" s="26">
        <v>397810.0</v>
      </c>
      <c r="I259" s="26">
        <v>203253.0</v>
      </c>
      <c r="J259" s="26">
        <v>194557.0</v>
      </c>
      <c r="K259" s="26">
        <v>687274.0</v>
      </c>
      <c r="L259" s="26">
        <v>391248.0</v>
      </c>
      <c r="M259" s="26">
        <v>286214.0</v>
      </c>
      <c r="N259" s="26">
        <v>5453.0</v>
      </c>
      <c r="O259" s="26">
        <v>4359.0</v>
      </c>
      <c r="P259" s="26">
        <f t="shared" si="3"/>
        <v>290573</v>
      </c>
      <c r="Q259" s="26">
        <f t="shared" si="4"/>
        <v>396701</v>
      </c>
      <c r="R259" s="26">
        <f t="shared" si="5"/>
        <v>531469</v>
      </c>
      <c r="S259" s="26">
        <f t="shared" si="6"/>
        <v>511298</v>
      </c>
      <c r="T259" s="26">
        <f t="shared" ref="T259:U259" si="519">(P259/R259)*100</f>
        <v>54.67355575</v>
      </c>
      <c r="U259" s="26">
        <f t="shared" si="519"/>
        <v>77.58704317</v>
      </c>
      <c r="V259" s="26">
        <v>355493.0</v>
      </c>
      <c r="W259" s="26">
        <v>114597.0</v>
      </c>
      <c r="X259" s="26">
        <v>240896.0</v>
      </c>
      <c r="Y259" s="26">
        <v>0.0</v>
      </c>
      <c r="Z259" s="26">
        <v>1596142.0</v>
      </c>
      <c r="AA259" s="26">
        <v>384337.0</v>
      </c>
      <c r="AB259" s="26">
        <v>196049.0</v>
      </c>
      <c r="AC259" s="26">
        <v>188288.0</v>
      </c>
      <c r="AD259" s="26">
        <v>824965.0</v>
      </c>
      <c r="AE259" s="26">
        <v>442639.0</v>
      </c>
      <c r="AF259" s="26">
        <v>357573.0</v>
      </c>
      <c r="AG259" s="26">
        <v>13249.0</v>
      </c>
      <c r="AH259" s="26">
        <v>11504.0</v>
      </c>
      <c r="AI259" s="26">
        <f t="shared" si="8"/>
        <v>369077</v>
      </c>
      <c r="AJ259" s="26">
        <f t="shared" si="9"/>
        <v>455888</v>
      </c>
      <c r="AK259" s="26">
        <f t="shared" si="10"/>
        <v>580476</v>
      </c>
      <c r="AL259" s="26">
        <f t="shared" si="11"/>
        <v>569593</v>
      </c>
      <c r="AM259" s="26">
        <f t="shared" ref="AM259:AN259" si="520">(AI259/AK259)*100</f>
        <v>63.5817846</v>
      </c>
      <c r="AN259" s="26">
        <f t="shared" si="520"/>
        <v>80.03750046</v>
      </c>
      <c r="AO259" s="26">
        <v>325104.0</v>
      </c>
      <c r="AP259" s="26">
        <v>113705.0</v>
      </c>
      <c r="AQ259" s="26">
        <v>211399.0</v>
      </c>
      <c r="AR259" s="26">
        <v>61736.0</v>
      </c>
      <c r="AS259" s="27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</row>
    <row r="260">
      <c r="A260" s="22">
        <v>8305.0</v>
      </c>
      <c r="B260" s="23" t="s">
        <v>25</v>
      </c>
      <c r="C260" s="29" t="s">
        <v>340</v>
      </c>
      <c r="D260" s="29" t="s">
        <v>341</v>
      </c>
      <c r="E260" s="29" t="s">
        <v>343</v>
      </c>
      <c r="F260" s="29" t="s">
        <v>343</v>
      </c>
      <c r="G260" s="26">
        <v>55546.0</v>
      </c>
      <c r="H260" s="26">
        <v>19268.0</v>
      </c>
      <c r="I260" s="26">
        <v>9919.0</v>
      </c>
      <c r="J260" s="26">
        <v>9349.0</v>
      </c>
      <c r="K260" s="26">
        <v>23276.0</v>
      </c>
      <c r="L260" s="26">
        <v>15025.0</v>
      </c>
      <c r="M260" s="26">
        <v>8026.0</v>
      </c>
      <c r="N260" s="26">
        <v>130.0</v>
      </c>
      <c r="O260" s="26">
        <v>95.0</v>
      </c>
      <c r="P260" s="26">
        <f t="shared" si="3"/>
        <v>8121</v>
      </c>
      <c r="Q260" s="26">
        <f t="shared" si="4"/>
        <v>15155</v>
      </c>
      <c r="R260" s="26">
        <f t="shared" si="5"/>
        <v>17592</v>
      </c>
      <c r="S260" s="26">
        <f t="shared" si="6"/>
        <v>18686</v>
      </c>
      <c r="T260" s="26">
        <f t="shared" ref="T260:U260" si="521">(P260/R260)*100</f>
        <v>46.16302865</v>
      </c>
      <c r="U260" s="26">
        <f t="shared" si="521"/>
        <v>81.10349995</v>
      </c>
      <c r="V260" s="26">
        <v>13002.0</v>
      </c>
      <c r="W260" s="26">
        <v>3531.0</v>
      </c>
      <c r="X260" s="26">
        <v>9471.0</v>
      </c>
      <c r="Y260" s="26">
        <v>0.0</v>
      </c>
      <c r="Z260" s="26">
        <v>105600.0</v>
      </c>
      <c r="AA260" s="26">
        <v>32054.0</v>
      </c>
      <c r="AB260" s="26">
        <v>16436.0</v>
      </c>
      <c r="AC260" s="26">
        <v>15618.0</v>
      </c>
      <c r="AD260" s="26">
        <v>49416.0</v>
      </c>
      <c r="AE260" s="26">
        <v>28623.0</v>
      </c>
      <c r="AF260" s="26">
        <v>19344.0</v>
      </c>
      <c r="AG260" s="26">
        <v>827.0</v>
      </c>
      <c r="AH260" s="26">
        <v>622.0</v>
      </c>
      <c r="AI260" s="26">
        <f t="shared" si="8"/>
        <v>19966</v>
      </c>
      <c r="AJ260" s="26">
        <f t="shared" si="9"/>
        <v>29450</v>
      </c>
      <c r="AK260" s="26">
        <f t="shared" si="10"/>
        <v>32954</v>
      </c>
      <c r="AL260" s="26">
        <f t="shared" si="11"/>
        <v>35294</v>
      </c>
      <c r="AM260" s="26">
        <f t="shared" ref="AM260:AN260" si="522">(AI260/AK260)*100</f>
        <v>60.58748559</v>
      </c>
      <c r="AN260" s="26">
        <f t="shared" si="522"/>
        <v>83.44194481</v>
      </c>
      <c r="AO260" s="26">
        <v>18832.0</v>
      </c>
      <c r="AP260" s="26">
        <v>5844.0</v>
      </c>
      <c r="AQ260" s="26">
        <v>12988.0</v>
      </c>
      <c r="AR260" s="26">
        <v>5298.0</v>
      </c>
      <c r="AS260" s="27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</row>
    <row r="261">
      <c r="A261" s="22">
        <v>8329.0</v>
      </c>
      <c r="B261" s="23" t="s">
        <v>25</v>
      </c>
      <c r="C261" s="29" t="s">
        <v>340</v>
      </c>
      <c r="D261" s="29" t="s">
        <v>341</v>
      </c>
      <c r="E261" s="29" t="s">
        <v>344</v>
      </c>
      <c r="F261" s="29" t="s">
        <v>344</v>
      </c>
      <c r="G261" s="26">
        <v>15286.0</v>
      </c>
      <c r="H261" s="26">
        <v>5041.0</v>
      </c>
      <c r="I261" s="26">
        <v>2625.0</v>
      </c>
      <c r="J261" s="26">
        <v>2416.0</v>
      </c>
      <c r="K261" s="26">
        <v>7048.0</v>
      </c>
      <c r="L261" s="26">
        <v>4571.0</v>
      </c>
      <c r="M261" s="26">
        <v>2434.0</v>
      </c>
      <c r="N261" s="26">
        <v>19.0</v>
      </c>
      <c r="O261" s="26">
        <v>24.0</v>
      </c>
      <c r="P261" s="26">
        <f t="shared" si="3"/>
        <v>2458</v>
      </c>
      <c r="Q261" s="26">
        <f t="shared" si="4"/>
        <v>4590</v>
      </c>
      <c r="R261" s="26">
        <f t="shared" si="5"/>
        <v>4731</v>
      </c>
      <c r="S261" s="26">
        <f t="shared" si="6"/>
        <v>5514</v>
      </c>
      <c r="T261" s="26">
        <f t="shared" ref="T261:U261" si="523">(P261/R261)*100</f>
        <v>51.95518918</v>
      </c>
      <c r="U261" s="26">
        <f t="shared" si="523"/>
        <v>83.24265506</v>
      </c>
      <c r="V261" s="26">
        <v>3197.0</v>
      </c>
      <c r="W261" s="26">
        <v>924.0</v>
      </c>
      <c r="X261" s="26">
        <v>2273.0</v>
      </c>
      <c r="Y261" s="26">
        <v>0.0</v>
      </c>
      <c r="Z261" s="26">
        <v>22878.0</v>
      </c>
      <c r="AA261" s="26">
        <v>5575.0</v>
      </c>
      <c r="AB261" s="26">
        <v>2922.0</v>
      </c>
      <c r="AC261" s="26">
        <v>2653.0</v>
      </c>
      <c r="AD261" s="26">
        <v>11830.0</v>
      </c>
      <c r="AE261" s="26">
        <v>6856.0</v>
      </c>
      <c r="AF261" s="26">
        <v>4733.0</v>
      </c>
      <c r="AG261" s="26">
        <v>139.0</v>
      </c>
      <c r="AH261" s="26">
        <v>102.0</v>
      </c>
      <c r="AI261" s="26">
        <f t="shared" si="8"/>
        <v>4835</v>
      </c>
      <c r="AJ261" s="26">
        <f t="shared" si="9"/>
        <v>6995</v>
      </c>
      <c r="AK261" s="26">
        <f t="shared" si="10"/>
        <v>7974</v>
      </c>
      <c r="AL261" s="26">
        <f t="shared" si="11"/>
        <v>8626</v>
      </c>
      <c r="AM261" s="26">
        <f t="shared" ref="AM261:AN261" si="524">(AI261/AK261)*100</f>
        <v>60.63456233</v>
      </c>
      <c r="AN261" s="26">
        <f t="shared" si="524"/>
        <v>81.0920473</v>
      </c>
      <c r="AO261" s="26">
        <v>4770.0</v>
      </c>
      <c r="AP261" s="26">
        <v>1631.0</v>
      </c>
      <c r="AQ261" s="26">
        <v>3139.0</v>
      </c>
      <c r="AR261" s="26">
        <v>703.0</v>
      </c>
      <c r="AS261" s="27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</row>
    <row r="262">
      <c r="A262" s="22">
        <v>8353.0</v>
      </c>
      <c r="B262" s="23" t="s">
        <v>25</v>
      </c>
      <c r="C262" s="29" t="s">
        <v>340</v>
      </c>
      <c r="D262" s="29" t="s">
        <v>341</v>
      </c>
      <c r="E262" s="29" t="s">
        <v>345</v>
      </c>
      <c r="F262" s="29" t="s">
        <v>345</v>
      </c>
      <c r="G262" s="26">
        <v>89173.0</v>
      </c>
      <c r="H262" s="26">
        <v>27997.0</v>
      </c>
      <c r="I262" s="26">
        <v>14290.0</v>
      </c>
      <c r="J262" s="26">
        <v>13707.0</v>
      </c>
      <c r="K262" s="26">
        <v>40102.0</v>
      </c>
      <c r="L262" s="26">
        <v>24270.0</v>
      </c>
      <c r="M262" s="26">
        <v>15412.0</v>
      </c>
      <c r="N262" s="26">
        <v>240.0</v>
      </c>
      <c r="O262" s="26">
        <v>180.0</v>
      </c>
      <c r="P262" s="26">
        <f t="shared" si="3"/>
        <v>15592</v>
      </c>
      <c r="Q262" s="26">
        <f t="shared" si="4"/>
        <v>24510</v>
      </c>
      <c r="R262" s="26">
        <f t="shared" si="5"/>
        <v>30600</v>
      </c>
      <c r="S262" s="26">
        <f t="shared" si="6"/>
        <v>30576</v>
      </c>
      <c r="T262" s="26">
        <f t="shared" ref="T262:U262" si="525">(P262/R262)*100</f>
        <v>50.95424837</v>
      </c>
      <c r="U262" s="26">
        <f t="shared" si="525"/>
        <v>80.16091052</v>
      </c>
      <c r="V262" s="26">
        <v>21074.0</v>
      </c>
      <c r="W262" s="26">
        <v>6066.0</v>
      </c>
      <c r="X262" s="26">
        <v>15008.0</v>
      </c>
      <c r="Y262" s="26">
        <v>0.0</v>
      </c>
      <c r="Z262" s="26">
        <v>146637.0</v>
      </c>
      <c r="AA262" s="26">
        <v>41142.0</v>
      </c>
      <c r="AB262" s="26">
        <v>21121.0</v>
      </c>
      <c r="AC262" s="26">
        <v>20021.0</v>
      </c>
      <c r="AD262" s="26">
        <v>73720.0</v>
      </c>
      <c r="AE262" s="26">
        <v>40544.0</v>
      </c>
      <c r="AF262" s="26">
        <v>31194.0</v>
      </c>
      <c r="AG262" s="26">
        <v>1014.0</v>
      </c>
      <c r="AH262" s="26">
        <v>968.0</v>
      </c>
      <c r="AI262" s="26">
        <f t="shared" si="8"/>
        <v>32162</v>
      </c>
      <c r="AJ262" s="26">
        <f t="shared" si="9"/>
        <v>41558</v>
      </c>
      <c r="AK262" s="26">
        <f t="shared" si="10"/>
        <v>50619</v>
      </c>
      <c r="AL262" s="26">
        <f t="shared" si="11"/>
        <v>50349</v>
      </c>
      <c r="AM262" s="26">
        <f t="shared" ref="AM262:AN262" si="526">(AI262/AK262)*100</f>
        <v>63.5374069</v>
      </c>
      <c r="AN262" s="26">
        <f t="shared" si="526"/>
        <v>82.5398717</v>
      </c>
      <c r="AO262" s="26">
        <v>27248.0</v>
      </c>
      <c r="AP262" s="26">
        <v>8791.0</v>
      </c>
      <c r="AQ262" s="26">
        <v>18457.0</v>
      </c>
      <c r="AR262" s="26">
        <v>4527.0</v>
      </c>
      <c r="AS262" s="27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</row>
    <row r="263">
      <c r="A263" s="22">
        <v>8377.0</v>
      </c>
      <c r="B263" s="23" t="s">
        <v>25</v>
      </c>
      <c r="C263" s="29" t="s">
        <v>340</v>
      </c>
      <c r="D263" s="29" t="s">
        <v>341</v>
      </c>
      <c r="E263" s="29" t="s">
        <v>346</v>
      </c>
      <c r="F263" s="29" t="s">
        <v>346</v>
      </c>
      <c r="G263" s="26">
        <v>49584.0</v>
      </c>
      <c r="H263" s="26">
        <v>15386.0</v>
      </c>
      <c r="I263" s="26">
        <v>7833.0</v>
      </c>
      <c r="J263" s="26">
        <v>7553.0</v>
      </c>
      <c r="K263" s="26">
        <v>23075.0</v>
      </c>
      <c r="L263" s="26">
        <v>14272.0</v>
      </c>
      <c r="M263" s="26">
        <v>8616.0</v>
      </c>
      <c r="N263" s="26">
        <v>124.0</v>
      </c>
      <c r="O263" s="26">
        <v>63.0</v>
      </c>
      <c r="P263" s="26">
        <f t="shared" si="3"/>
        <v>8679</v>
      </c>
      <c r="Q263" s="26">
        <f t="shared" si="4"/>
        <v>14396</v>
      </c>
      <c r="R263" s="26">
        <f t="shared" si="5"/>
        <v>16777</v>
      </c>
      <c r="S263" s="26">
        <f t="shared" si="6"/>
        <v>17421</v>
      </c>
      <c r="T263" s="26">
        <f t="shared" ref="T263:U263" si="527">(P263/R263)*100</f>
        <v>51.73153722</v>
      </c>
      <c r="U263" s="26">
        <f t="shared" si="527"/>
        <v>82.6358992</v>
      </c>
      <c r="V263" s="26">
        <v>11123.0</v>
      </c>
      <c r="W263" s="26">
        <v>3025.0</v>
      </c>
      <c r="X263" s="26">
        <v>8098.0</v>
      </c>
      <c r="Y263" s="26">
        <v>0.0</v>
      </c>
      <c r="Z263" s="26">
        <v>55316.0</v>
      </c>
      <c r="AA263" s="26">
        <v>14807.0</v>
      </c>
      <c r="AB263" s="26">
        <v>7533.0</v>
      </c>
      <c r="AC263" s="26">
        <v>7274.0</v>
      </c>
      <c r="AD263" s="26">
        <v>28502.0</v>
      </c>
      <c r="AE263" s="26">
        <v>16134.0</v>
      </c>
      <c r="AF263" s="26">
        <v>11748.0</v>
      </c>
      <c r="AG263" s="26">
        <v>339.0</v>
      </c>
      <c r="AH263" s="26">
        <v>281.0</v>
      </c>
      <c r="AI263" s="26">
        <f t="shared" si="8"/>
        <v>12029</v>
      </c>
      <c r="AJ263" s="26">
        <f t="shared" si="9"/>
        <v>16473</v>
      </c>
      <c r="AK263" s="26">
        <f t="shared" si="10"/>
        <v>19072</v>
      </c>
      <c r="AL263" s="26">
        <f t="shared" si="11"/>
        <v>19890</v>
      </c>
      <c r="AM263" s="26">
        <f t="shared" ref="AM263:AN263" si="528">(AI263/AK263)*100</f>
        <v>63.07151846</v>
      </c>
      <c r="AN263" s="26">
        <f t="shared" si="528"/>
        <v>82.82051282</v>
      </c>
      <c r="AO263" s="26">
        <v>10460.0</v>
      </c>
      <c r="AP263" s="26">
        <v>3417.0</v>
      </c>
      <c r="AQ263" s="26">
        <v>7043.0</v>
      </c>
      <c r="AR263" s="26">
        <v>1547.0</v>
      </c>
      <c r="AS263" s="27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</row>
    <row r="264">
      <c r="A264" s="22">
        <v>8425.0</v>
      </c>
      <c r="B264" s="23" t="s">
        <v>25</v>
      </c>
      <c r="C264" s="29" t="s">
        <v>340</v>
      </c>
      <c r="D264" s="29" t="s">
        <v>347</v>
      </c>
      <c r="E264" s="29" t="s">
        <v>347</v>
      </c>
      <c r="F264" s="29" t="s">
        <v>347</v>
      </c>
      <c r="G264" s="26">
        <v>96275.0</v>
      </c>
      <c r="H264" s="26">
        <v>32415.0</v>
      </c>
      <c r="I264" s="26">
        <v>16599.0</v>
      </c>
      <c r="J264" s="26">
        <v>15816.0</v>
      </c>
      <c r="K264" s="26">
        <v>40564.0</v>
      </c>
      <c r="L264" s="26">
        <v>25808.0</v>
      </c>
      <c r="M264" s="26">
        <v>14383.0</v>
      </c>
      <c r="N264" s="26">
        <v>213.0</v>
      </c>
      <c r="O264" s="26">
        <v>160.0</v>
      </c>
      <c r="P264" s="26">
        <f t="shared" si="3"/>
        <v>14543</v>
      </c>
      <c r="Q264" s="26">
        <f t="shared" si="4"/>
        <v>26021</v>
      </c>
      <c r="R264" s="26">
        <f t="shared" si="5"/>
        <v>31519</v>
      </c>
      <c r="S264" s="26">
        <f t="shared" si="6"/>
        <v>32341</v>
      </c>
      <c r="T264" s="26">
        <f t="shared" ref="T264:U264" si="529">(P264/R264)*100</f>
        <v>46.14042324</v>
      </c>
      <c r="U264" s="26">
        <f t="shared" si="529"/>
        <v>80.45824186</v>
      </c>
      <c r="V264" s="26">
        <v>23296.0</v>
      </c>
      <c r="W264" s="26">
        <v>6320.0</v>
      </c>
      <c r="X264" s="26">
        <v>16976.0</v>
      </c>
      <c r="Y264" s="26">
        <v>0.0</v>
      </c>
      <c r="Z264" s="26">
        <v>149459.0</v>
      </c>
      <c r="AA264" s="26">
        <v>44312.0</v>
      </c>
      <c r="AB264" s="26">
        <v>22874.0</v>
      </c>
      <c r="AC264" s="26">
        <v>21438.0</v>
      </c>
      <c r="AD264" s="26">
        <v>70282.0</v>
      </c>
      <c r="AE264" s="26">
        <v>39993.0</v>
      </c>
      <c r="AF264" s="26">
        <v>28072.0</v>
      </c>
      <c r="AG264" s="26">
        <v>1258.0</v>
      </c>
      <c r="AH264" s="26">
        <v>959.0</v>
      </c>
      <c r="AI264" s="26">
        <f t="shared" si="8"/>
        <v>29031</v>
      </c>
      <c r="AJ264" s="26">
        <f t="shared" si="9"/>
        <v>41251</v>
      </c>
      <c r="AK264" s="26">
        <f t="shared" si="10"/>
        <v>48303</v>
      </c>
      <c r="AL264" s="26">
        <f t="shared" si="11"/>
        <v>50273</v>
      </c>
      <c r="AM264" s="26">
        <f t="shared" ref="AM264:AN264" si="530">(AI264/AK264)*100</f>
        <v>60.10185703</v>
      </c>
      <c r="AN264" s="26">
        <f t="shared" si="530"/>
        <v>82.05398524</v>
      </c>
      <c r="AO264" s="26">
        <v>28294.0</v>
      </c>
      <c r="AP264" s="26">
        <v>9022.0</v>
      </c>
      <c r="AQ264" s="26">
        <v>19272.0</v>
      </c>
      <c r="AR264" s="26">
        <v>6571.0</v>
      </c>
      <c r="AS264" s="27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</row>
    <row r="265">
      <c r="A265" s="22">
        <v>8449.0</v>
      </c>
      <c r="B265" s="23" t="s">
        <v>25</v>
      </c>
      <c r="C265" s="29" t="s">
        <v>340</v>
      </c>
      <c r="D265" s="29" t="s">
        <v>347</v>
      </c>
      <c r="E265" s="29" t="s">
        <v>348</v>
      </c>
      <c r="F265" s="29" t="s">
        <v>348</v>
      </c>
      <c r="G265" s="26">
        <v>12472.0</v>
      </c>
      <c r="H265" s="26">
        <v>4363.0</v>
      </c>
      <c r="I265" s="26">
        <v>2169.0</v>
      </c>
      <c r="J265" s="26">
        <v>2194.0</v>
      </c>
      <c r="K265" s="26">
        <v>4771.0</v>
      </c>
      <c r="L265" s="26">
        <v>3329.0</v>
      </c>
      <c r="M265" s="26">
        <v>1395.0</v>
      </c>
      <c r="N265" s="26">
        <v>39.0</v>
      </c>
      <c r="O265" s="26">
        <v>8.0</v>
      </c>
      <c r="P265" s="26">
        <f t="shared" si="3"/>
        <v>1403</v>
      </c>
      <c r="Q265" s="26">
        <f t="shared" si="4"/>
        <v>3368</v>
      </c>
      <c r="R265" s="26">
        <f t="shared" si="5"/>
        <v>3850</v>
      </c>
      <c r="S265" s="26">
        <f t="shared" si="6"/>
        <v>4259</v>
      </c>
      <c r="T265" s="26">
        <f t="shared" ref="T265:U265" si="531">(P265/R265)*100</f>
        <v>36.44155844</v>
      </c>
      <c r="U265" s="26">
        <f t="shared" si="531"/>
        <v>79.07959615</v>
      </c>
      <c r="V265" s="26">
        <v>3338.0</v>
      </c>
      <c r="W265" s="26">
        <v>891.0</v>
      </c>
      <c r="X265" s="26">
        <v>2447.0</v>
      </c>
      <c r="Y265" s="26">
        <v>0.0</v>
      </c>
      <c r="Z265" s="26">
        <v>10575.0</v>
      </c>
      <c r="AA265" s="26">
        <v>3123.0</v>
      </c>
      <c r="AB265" s="26">
        <v>1571.0</v>
      </c>
      <c r="AC265" s="26">
        <v>1552.0</v>
      </c>
      <c r="AD265" s="26">
        <v>4412.0</v>
      </c>
      <c r="AE265" s="26">
        <v>2775.0</v>
      </c>
      <c r="AF265" s="26">
        <v>1509.0</v>
      </c>
      <c r="AG265" s="26">
        <v>88.0</v>
      </c>
      <c r="AH265" s="26">
        <v>40.0</v>
      </c>
      <c r="AI265" s="26">
        <f t="shared" si="8"/>
        <v>1549</v>
      </c>
      <c r="AJ265" s="26">
        <f t="shared" si="9"/>
        <v>2863</v>
      </c>
      <c r="AK265" s="26">
        <f t="shared" si="10"/>
        <v>3328</v>
      </c>
      <c r="AL265" s="26">
        <f t="shared" si="11"/>
        <v>3623</v>
      </c>
      <c r="AM265" s="26">
        <f t="shared" ref="AM265:AN265" si="532">(AI265/AK265)*100</f>
        <v>46.54447115</v>
      </c>
      <c r="AN265" s="26">
        <f t="shared" si="532"/>
        <v>79.02290919</v>
      </c>
      <c r="AO265" s="26">
        <v>2539.0</v>
      </c>
      <c r="AP265" s="26">
        <v>760.0</v>
      </c>
      <c r="AQ265" s="26">
        <v>1779.0</v>
      </c>
      <c r="AR265" s="26">
        <v>501.0</v>
      </c>
      <c r="AS265" s="27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</row>
    <row r="266">
      <c r="A266" s="22">
        <v>8497.0</v>
      </c>
      <c r="B266" s="23" t="s">
        <v>25</v>
      </c>
      <c r="C266" s="29" t="s">
        <v>340</v>
      </c>
      <c r="D266" s="29" t="s">
        <v>349</v>
      </c>
      <c r="E266" s="29" t="s">
        <v>350</v>
      </c>
      <c r="F266" s="29" t="s">
        <v>350</v>
      </c>
      <c r="G266" s="26">
        <v>52297.0</v>
      </c>
      <c r="H266" s="26">
        <v>19522.0</v>
      </c>
      <c r="I266" s="26">
        <v>9990.0</v>
      </c>
      <c r="J266" s="26">
        <v>9532.0</v>
      </c>
      <c r="K266" s="26">
        <v>20653.0</v>
      </c>
      <c r="L266" s="26">
        <v>13335.0</v>
      </c>
      <c r="M266" s="26">
        <v>7186.0</v>
      </c>
      <c r="N266" s="26">
        <v>83.0</v>
      </c>
      <c r="O266" s="26">
        <v>49.0</v>
      </c>
      <c r="P266" s="26">
        <f t="shared" si="3"/>
        <v>7235</v>
      </c>
      <c r="Q266" s="26">
        <f t="shared" si="4"/>
        <v>13418</v>
      </c>
      <c r="R266" s="26">
        <f t="shared" si="5"/>
        <v>15942</v>
      </c>
      <c r="S266" s="26">
        <f t="shared" si="6"/>
        <v>16833</v>
      </c>
      <c r="T266" s="26">
        <f t="shared" ref="T266:U266" si="533">(P266/R266)*100</f>
        <v>45.38326433</v>
      </c>
      <c r="U266" s="26">
        <f t="shared" si="533"/>
        <v>79.71246955</v>
      </c>
      <c r="V266" s="26">
        <v>12122.0</v>
      </c>
      <c r="W266" s="26">
        <v>3415.0</v>
      </c>
      <c r="X266" s="26">
        <v>8707.0</v>
      </c>
      <c r="Y266" s="26">
        <v>0.0</v>
      </c>
      <c r="Z266" s="26">
        <v>65996.0</v>
      </c>
      <c r="AA266" s="26">
        <v>21151.0</v>
      </c>
      <c r="AB266" s="26">
        <v>10809.0</v>
      </c>
      <c r="AC266" s="26">
        <v>10342.0</v>
      </c>
      <c r="AD266" s="26">
        <v>30955.0</v>
      </c>
      <c r="AE266" s="26">
        <v>18871.0</v>
      </c>
      <c r="AF266" s="26">
        <v>11414.0</v>
      </c>
      <c r="AG266" s="26">
        <v>423.0</v>
      </c>
      <c r="AH266" s="26">
        <v>247.0</v>
      </c>
      <c r="AI266" s="26">
        <f t="shared" si="8"/>
        <v>11661</v>
      </c>
      <c r="AJ266" s="26">
        <f t="shared" si="9"/>
        <v>19294</v>
      </c>
      <c r="AK266" s="26">
        <f t="shared" si="10"/>
        <v>19524</v>
      </c>
      <c r="AL266" s="26">
        <f t="shared" si="11"/>
        <v>22286</v>
      </c>
      <c r="AM266" s="26">
        <f t="shared" ref="AM266:AN266" si="534">(AI266/AK266)*100</f>
        <v>59.72649047</v>
      </c>
      <c r="AN266" s="26">
        <f t="shared" si="534"/>
        <v>86.5745311</v>
      </c>
      <c r="AO266" s="26">
        <v>10855.0</v>
      </c>
      <c r="AP266" s="26">
        <v>2992.0</v>
      </c>
      <c r="AQ266" s="26">
        <v>7863.0</v>
      </c>
      <c r="AR266" s="26">
        <v>3035.0</v>
      </c>
      <c r="AS266" s="27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</row>
    <row r="267">
      <c r="A267" s="22">
        <v>8521.0</v>
      </c>
      <c r="B267" s="23" t="s">
        <v>25</v>
      </c>
      <c r="C267" s="29" t="s">
        <v>340</v>
      </c>
      <c r="D267" s="29" t="s">
        <v>349</v>
      </c>
      <c r="E267" s="29" t="s">
        <v>351</v>
      </c>
      <c r="F267" s="29" t="s">
        <v>351</v>
      </c>
      <c r="G267" s="26">
        <v>11325.0</v>
      </c>
      <c r="H267" s="26">
        <v>3947.0</v>
      </c>
      <c r="I267" s="26">
        <v>2037.0</v>
      </c>
      <c r="J267" s="26">
        <v>1910.0</v>
      </c>
      <c r="K267" s="26">
        <v>4451.0</v>
      </c>
      <c r="L267" s="26">
        <v>2943.0</v>
      </c>
      <c r="M267" s="26">
        <v>1494.0</v>
      </c>
      <c r="N267" s="26">
        <v>12.0</v>
      </c>
      <c r="O267" s="26">
        <v>2.0</v>
      </c>
      <c r="P267" s="26">
        <f t="shared" si="3"/>
        <v>1496</v>
      </c>
      <c r="Q267" s="26">
        <f t="shared" si="4"/>
        <v>2955</v>
      </c>
      <c r="R267" s="26">
        <f t="shared" si="5"/>
        <v>3554</v>
      </c>
      <c r="S267" s="26">
        <f t="shared" si="6"/>
        <v>3824</v>
      </c>
      <c r="T267" s="26">
        <f t="shared" ref="T267:U267" si="535">(P267/R267)*100</f>
        <v>42.09341587</v>
      </c>
      <c r="U267" s="26">
        <f t="shared" si="535"/>
        <v>77.2751046</v>
      </c>
      <c r="V267" s="26">
        <v>2927.0</v>
      </c>
      <c r="W267" s="26">
        <v>869.0</v>
      </c>
      <c r="X267" s="26">
        <v>2058.0</v>
      </c>
      <c r="Y267" s="26">
        <v>0.0</v>
      </c>
      <c r="Z267" s="26">
        <v>14858.0</v>
      </c>
      <c r="AA267" s="26">
        <v>4340.0</v>
      </c>
      <c r="AB267" s="26">
        <v>2221.0</v>
      </c>
      <c r="AC267" s="26">
        <v>2119.0</v>
      </c>
      <c r="AD267" s="26">
        <v>7344.0</v>
      </c>
      <c r="AE267" s="26">
        <v>4610.0</v>
      </c>
      <c r="AF267" s="26">
        <v>2615.0</v>
      </c>
      <c r="AG267" s="26">
        <v>79.0</v>
      </c>
      <c r="AH267" s="26">
        <v>40.0</v>
      </c>
      <c r="AI267" s="26">
        <f t="shared" si="8"/>
        <v>2655</v>
      </c>
      <c r="AJ267" s="26">
        <f t="shared" si="9"/>
        <v>4689</v>
      </c>
      <c r="AK267" s="26">
        <f t="shared" si="10"/>
        <v>4412</v>
      </c>
      <c r="AL267" s="26">
        <f t="shared" si="11"/>
        <v>5377</v>
      </c>
      <c r="AM267" s="26">
        <f t="shared" ref="AM267:AN267" si="536">(AI267/AK267)*100</f>
        <v>60.17679057</v>
      </c>
      <c r="AN267" s="26">
        <f t="shared" si="536"/>
        <v>87.20476102</v>
      </c>
      <c r="AO267" s="26">
        <v>2445.0</v>
      </c>
      <c r="AP267" s="26">
        <v>688.0</v>
      </c>
      <c r="AQ267" s="26">
        <v>1757.0</v>
      </c>
      <c r="AR267" s="26">
        <v>729.0</v>
      </c>
      <c r="AS267" s="27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</row>
    <row r="268">
      <c r="A268" s="22">
        <v>8545.0</v>
      </c>
      <c r="B268" s="23" t="s">
        <v>25</v>
      </c>
      <c r="C268" s="29" t="s">
        <v>340</v>
      </c>
      <c r="D268" s="29" t="s">
        <v>349</v>
      </c>
      <c r="E268" s="29" t="s">
        <v>352</v>
      </c>
      <c r="F268" s="29" t="s">
        <v>352</v>
      </c>
      <c r="G268" s="26">
        <v>6137.0</v>
      </c>
      <c r="H268" s="26">
        <v>2170.0</v>
      </c>
      <c r="I268" s="26">
        <v>1051.0</v>
      </c>
      <c r="J268" s="26">
        <v>1119.0</v>
      </c>
      <c r="K268" s="26">
        <v>2651.0</v>
      </c>
      <c r="L268" s="26">
        <v>1873.0</v>
      </c>
      <c r="M268" s="26">
        <v>761.0</v>
      </c>
      <c r="N268" s="26">
        <v>14.0</v>
      </c>
      <c r="O268" s="26">
        <v>3.0</v>
      </c>
      <c r="P268" s="26">
        <f t="shared" si="3"/>
        <v>764</v>
      </c>
      <c r="Q268" s="26">
        <f t="shared" si="4"/>
        <v>1887</v>
      </c>
      <c r="R268" s="26">
        <f t="shared" si="5"/>
        <v>1739</v>
      </c>
      <c r="S268" s="26">
        <f t="shared" si="6"/>
        <v>2228</v>
      </c>
      <c r="T268" s="26">
        <f t="shared" ref="T268:U268" si="537">(P268/R268)*100</f>
        <v>43.933295</v>
      </c>
      <c r="U268" s="26">
        <f t="shared" si="537"/>
        <v>84.69479354</v>
      </c>
      <c r="V268" s="26">
        <v>1316.0</v>
      </c>
      <c r="W268" s="26">
        <v>341.0</v>
      </c>
      <c r="X268" s="26">
        <v>975.0</v>
      </c>
      <c r="Y268" s="26">
        <v>0.0</v>
      </c>
      <c r="Z268" s="26">
        <v>8733.0</v>
      </c>
      <c r="AA268" s="26">
        <v>2468.0</v>
      </c>
      <c r="AB268" s="26">
        <v>1285.0</v>
      </c>
      <c r="AC268" s="26">
        <v>1183.0</v>
      </c>
      <c r="AD268" s="26">
        <v>4532.0</v>
      </c>
      <c r="AE268" s="26">
        <v>2976.0</v>
      </c>
      <c r="AF268" s="26">
        <v>1478.0</v>
      </c>
      <c r="AG268" s="26">
        <v>55.0</v>
      </c>
      <c r="AH268" s="26">
        <v>23.0</v>
      </c>
      <c r="AI268" s="26">
        <f t="shared" si="8"/>
        <v>1501</v>
      </c>
      <c r="AJ268" s="26">
        <f t="shared" si="9"/>
        <v>3031</v>
      </c>
      <c r="AK268" s="26">
        <f t="shared" si="10"/>
        <v>2520</v>
      </c>
      <c r="AL268" s="26">
        <f t="shared" si="11"/>
        <v>3411</v>
      </c>
      <c r="AM268" s="26">
        <f t="shared" ref="AM268:AN268" si="538">(AI268/AK268)*100</f>
        <v>59.56349206</v>
      </c>
      <c r="AN268" s="26">
        <f t="shared" si="538"/>
        <v>88.85957197</v>
      </c>
      <c r="AO268" s="26">
        <v>1399.0</v>
      </c>
      <c r="AP268" s="26">
        <v>380.0</v>
      </c>
      <c r="AQ268" s="26">
        <v>1019.0</v>
      </c>
      <c r="AR268" s="26">
        <v>334.0</v>
      </c>
      <c r="AS268" s="27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</row>
    <row r="269">
      <c r="A269" s="22">
        <v>8593.0</v>
      </c>
      <c r="B269" s="23" t="s">
        <v>25</v>
      </c>
      <c r="C269" s="29" t="s">
        <v>340</v>
      </c>
      <c r="D269" s="29" t="s">
        <v>353</v>
      </c>
      <c r="E269" s="29" t="s">
        <v>354</v>
      </c>
      <c r="F269" s="29" t="s">
        <v>354</v>
      </c>
      <c r="G269" s="26">
        <v>12853.0</v>
      </c>
      <c r="H269" s="26">
        <v>4091.0</v>
      </c>
      <c r="I269" s="26">
        <v>2136.0</v>
      </c>
      <c r="J269" s="26">
        <v>1955.0</v>
      </c>
      <c r="K269" s="26">
        <v>5333.0</v>
      </c>
      <c r="L269" s="26">
        <v>3755.0</v>
      </c>
      <c r="M269" s="26">
        <v>1547.0</v>
      </c>
      <c r="N269" s="26">
        <v>17.0</v>
      </c>
      <c r="O269" s="26">
        <v>14.0</v>
      </c>
      <c r="P269" s="26">
        <f t="shared" si="3"/>
        <v>1561</v>
      </c>
      <c r="Q269" s="26">
        <f t="shared" si="4"/>
        <v>3772</v>
      </c>
      <c r="R269" s="26">
        <f t="shared" si="5"/>
        <v>3975</v>
      </c>
      <c r="S269" s="26">
        <f t="shared" si="6"/>
        <v>4787</v>
      </c>
      <c r="T269" s="26">
        <f t="shared" ref="T269:U269" si="539">(P269/R269)*100</f>
        <v>39.27044025</v>
      </c>
      <c r="U269" s="26">
        <f t="shared" si="539"/>
        <v>78.79674117</v>
      </c>
      <c r="V269" s="26">
        <v>3429.0</v>
      </c>
      <c r="W269" s="26">
        <v>1015.0</v>
      </c>
      <c r="X269" s="26">
        <v>2414.0</v>
      </c>
      <c r="Y269" s="26">
        <v>0.0</v>
      </c>
      <c r="Z269" s="26">
        <v>13494.0</v>
      </c>
      <c r="AA269" s="26">
        <v>3622.0</v>
      </c>
      <c r="AB269" s="26">
        <v>1891.0</v>
      </c>
      <c r="AC269" s="26">
        <v>1731.0</v>
      </c>
      <c r="AD269" s="26">
        <v>6576.0</v>
      </c>
      <c r="AE269" s="26">
        <v>4026.0</v>
      </c>
      <c r="AF269" s="26">
        <v>2424.0</v>
      </c>
      <c r="AG269" s="26">
        <v>74.0</v>
      </c>
      <c r="AH269" s="26">
        <v>52.0</v>
      </c>
      <c r="AI269" s="26">
        <f t="shared" si="8"/>
        <v>2476</v>
      </c>
      <c r="AJ269" s="26">
        <f t="shared" si="9"/>
        <v>4100</v>
      </c>
      <c r="AK269" s="26">
        <f t="shared" si="10"/>
        <v>4232</v>
      </c>
      <c r="AL269" s="26">
        <f t="shared" si="11"/>
        <v>5174</v>
      </c>
      <c r="AM269" s="26">
        <f t="shared" ref="AM269:AN269" si="540">(AI269/AK269)*100</f>
        <v>58.50661626</v>
      </c>
      <c r="AN269" s="26">
        <f t="shared" si="540"/>
        <v>79.24236567</v>
      </c>
      <c r="AO269" s="26">
        <v>2830.0</v>
      </c>
      <c r="AP269" s="26">
        <v>1074.0</v>
      </c>
      <c r="AQ269" s="26">
        <v>1756.0</v>
      </c>
      <c r="AR269" s="26">
        <v>466.0</v>
      </c>
      <c r="AS269" s="27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</row>
    <row r="270">
      <c r="A270" s="22">
        <v>8617.0</v>
      </c>
      <c r="B270" s="23" t="s">
        <v>25</v>
      </c>
      <c r="C270" s="29" t="s">
        <v>340</v>
      </c>
      <c r="D270" s="29" t="s">
        <v>353</v>
      </c>
      <c r="E270" s="29" t="s">
        <v>355</v>
      </c>
      <c r="F270" s="29" t="s">
        <v>355</v>
      </c>
      <c r="G270" s="26">
        <v>20063.0</v>
      </c>
      <c r="H270" s="26">
        <v>6772.0</v>
      </c>
      <c r="I270" s="26">
        <v>3454.0</v>
      </c>
      <c r="J270" s="26">
        <v>3318.0</v>
      </c>
      <c r="K270" s="26">
        <v>8378.0</v>
      </c>
      <c r="L270" s="26">
        <v>5538.0</v>
      </c>
      <c r="M270" s="26">
        <v>2776.0</v>
      </c>
      <c r="N270" s="26">
        <v>38.0</v>
      </c>
      <c r="O270" s="26">
        <v>26.0</v>
      </c>
      <c r="P270" s="26">
        <f t="shared" si="3"/>
        <v>2802</v>
      </c>
      <c r="Q270" s="26">
        <f t="shared" si="4"/>
        <v>5576</v>
      </c>
      <c r="R270" s="26">
        <f t="shared" si="5"/>
        <v>6307</v>
      </c>
      <c r="S270" s="26">
        <f t="shared" si="6"/>
        <v>6984</v>
      </c>
      <c r="T270" s="26">
        <f t="shared" ref="T270:U270" si="541">(P270/R270)*100</f>
        <v>44.42682733</v>
      </c>
      <c r="U270" s="26">
        <f t="shared" si="541"/>
        <v>79.83963345</v>
      </c>
      <c r="V270" s="26">
        <v>4913.0</v>
      </c>
      <c r="W270" s="26">
        <v>1408.0</v>
      </c>
      <c r="X270" s="26">
        <v>3505.0</v>
      </c>
      <c r="Y270" s="26">
        <v>0.0</v>
      </c>
      <c r="Z270" s="26">
        <v>18773.0</v>
      </c>
      <c r="AA270" s="26">
        <v>5314.0</v>
      </c>
      <c r="AB270" s="26">
        <v>2681.0</v>
      </c>
      <c r="AC270" s="26">
        <v>2633.0</v>
      </c>
      <c r="AD270" s="26">
        <v>9124.0</v>
      </c>
      <c r="AE270" s="26">
        <v>5466.0</v>
      </c>
      <c r="AF270" s="26">
        <v>3423.0</v>
      </c>
      <c r="AG270" s="26">
        <v>140.0</v>
      </c>
      <c r="AH270" s="26">
        <v>95.0</v>
      </c>
      <c r="AI270" s="26">
        <f t="shared" si="8"/>
        <v>3518</v>
      </c>
      <c r="AJ270" s="26">
        <f t="shared" si="9"/>
        <v>5606</v>
      </c>
      <c r="AK270" s="26">
        <f t="shared" si="10"/>
        <v>6094</v>
      </c>
      <c r="AL270" s="26">
        <f t="shared" si="11"/>
        <v>6745</v>
      </c>
      <c r="AM270" s="26">
        <f t="shared" ref="AM270:AN270" si="542">(AI270/AK270)*100</f>
        <v>57.72891369</v>
      </c>
      <c r="AN270" s="26">
        <f t="shared" si="542"/>
        <v>83.11341735</v>
      </c>
      <c r="AO270" s="26">
        <v>3715.0</v>
      </c>
      <c r="AP270" s="26">
        <v>1139.0</v>
      </c>
      <c r="AQ270" s="26">
        <v>2576.0</v>
      </c>
      <c r="AR270" s="26">
        <v>620.0</v>
      </c>
      <c r="AS270" s="27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</row>
    <row r="271">
      <c r="A271" s="22">
        <v>8641.0</v>
      </c>
      <c r="B271" s="23" t="s">
        <v>25</v>
      </c>
      <c r="C271" s="29" t="s">
        <v>340</v>
      </c>
      <c r="D271" s="29" t="s">
        <v>353</v>
      </c>
      <c r="E271" s="29" t="s">
        <v>356</v>
      </c>
      <c r="F271" s="29" t="s">
        <v>356</v>
      </c>
      <c r="G271" s="26">
        <v>50521.0</v>
      </c>
      <c r="H271" s="26">
        <v>15503.0</v>
      </c>
      <c r="I271" s="26">
        <v>7862.0</v>
      </c>
      <c r="J271" s="26">
        <v>7641.0</v>
      </c>
      <c r="K271" s="26">
        <v>24661.0</v>
      </c>
      <c r="L271" s="26">
        <v>16456.0</v>
      </c>
      <c r="M271" s="26">
        <v>8029.0</v>
      </c>
      <c r="N271" s="26">
        <v>111.0</v>
      </c>
      <c r="O271" s="26">
        <v>65.0</v>
      </c>
      <c r="P271" s="26">
        <f t="shared" si="3"/>
        <v>8094</v>
      </c>
      <c r="Q271" s="26">
        <f t="shared" si="4"/>
        <v>16567</v>
      </c>
      <c r="R271" s="26">
        <f t="shared" si="5"/>
        <v>15524</v>
      </c>
      <c r="S271" s="26">
        <f t="shared" si="6"/>
        <v>19494</v>
      </c>
      <c r="T271" s="26">
        <f t="shared" ref="T271:U271" si="543">(P271/R271)*100</f>
        <v>52.13862407</v>
      </c>
      <c r="U271" s="26">
        <f t="shared" si="543"/>
        <v>84.98512363</v>
      </c>
      <c r="V271" s="26">
        <v>10357.0</v>
      </c>
      <c r="W271" s="26">
        <v>2927.0</v>
      </c>
      <c r="X271" s="26">
        <v>7430.0</v>
      </c>
      <c r="Y271" s="26">
        <v>0.0</v>
      </c>
      <c r="Z271" s="26">
        <v>57274.0</v>
      </c>
      <c r="AA271" s="26">
        <v>15246.0</v>
      </c>
      <c r="AB271" s="26">
        <v>7792.0</v>
      </c>
      <c r="AC271" s="26">
        <v>7454.0</v>
      </c>
      <c r="AD271" s="26">
        <v>32251.0</v>
      </c>
      <c r="AE271" s="26">
        <v>19412.0</v>
      </c>
      <c r="AF271" s="26">
        <v>12313.0</v>
      </c>
      <c r="AG271" s="26">
        <v>296.0</v>
      </c>
      <c r="AH271" s="26">
        <v>230.0</v>
      </c>
      <c r="AI271" s="26">
        <f t="shared" si="8"/>
        <v>12543</v>
      </c>
      <c r="AJ271" s="26">
        <f t="shared" si="9"/>
        <v>19708</v>
      </c>
      <c r="AK271" s="26">
        <f t="shared" si="10"/>
        <v>18301</v>
      </c>
      <c r="AL271" s="26">
        <f t="shared" si="11"/>
        <v>22519</v>
      </c>
      <c r="AM271" s="26">
        <f t="shared" ref="AM271:AN271" si="544">(AI271/AK271)*100</f>
        <v>68.5372384</v>
      </c>
      <c r="AN271" s="26">
        <f t="shared" si="544"/>
        <v>87.51720769</v>
      </c>
      <c r="AO271" s="26">
        <v>8569.0</v>
      </c>
      <c r="AP271" s="26">
        <v>2811.0</v>
      </c>
      <c r="AQ271" s="26">
        <v>5758.0</v>
      </c>
      <c r="AR271" s="26">
        <v>1208.0</v>
      </c>
      <c r="AS271" s="27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</row>
    <row r="272">
      <c r="A272" s="22">
        <v>8665.0</v>
      </c>
      <c r="B272" s="23" t="s">
        <v>25</v>
      </c>
      <c r="C272" s="29" t="s">
        <v>340</v>
      </c>
      <c r="D272" s="29" t="s">
        <v>353</v>
      </c>
      <c r="E272" s="29" t="s">
        <v>357</v>
      </c>
      <c r="F272" s="29" t="s">
        <v>357</v>
      </c>
      <c r="G272" s="26">
        <v>9185.0</v>
      </c>
      <c r="H272" s="26">
        <v>3070.0</v>
      </c>
      <c r="I272" s="26">
        <v>1612.0</v>
      </c>
      <c r="J272" s="26">
        <v>1458.0</v>
      </c>
      <c r="K272" s="26">
        <v>4129.0</v>
      </c>
      <c r="L272" s="26">
        <v>2897.0</v>
      </c>
      <c r="M272" s="26">
        <v>1211.0</v>
      </c>
      <c r="N272" s="26">
        <v>15.0</v>
      </c>
      <c r="O272" s="26">
        <v>6.0</v>
      </c>
      <c r="P272" s="26">
        <f t="shared" si="3"/>
        <v>1217</v>
      </c>
      <c r="Q272" s="26">
        <f t="shared" si="4"/>
        <v>2912</v>
      </c>
      <c r="R272" s="26">
        <f t="shared" si="5"/>
        <v>2707</v>
      </c>
      <c r="S272" s="26">
        <f t="shared" si="6"/>
        <v>3408</v>
      </c>
      <c r="T272" s="26">
        <f t="shared" ref="T272:U272" si="545">(P272/R272)*100</f>
        <v>44.95751755</v>
      </c>
      <c r="U272" s="26">
        <f t="shared" si="545"/>
        <v>85.44600939</v>
      </c>
      <c r="V272" s="26">
        <v>1986.0</v>
      </c>
      <c r="W272" s="26">
        <v>496.0</v>
      </c>
      <c r="X272" s="26">
        <v>1490.0</v>
      </c>
      <c r="Y272" s="26">
        <v>0.0</v>
      </c>
      <c r="Z272" s="26">
        <v>10102.0</v>
      </c>
      <c r="AA272" s="26">
        <v>2878.0</v>
      </c>
      <c r="AB272" s="26">
        <v>1487.0</v>
      </c>
      <c r="AC272" s="26">
        <v>1391.0</v>
      </c>
      <c r="AD272" s="26">
        <v>4815.0</v>
      </c>
      <c r="AE272" s="26">
        <v>3031.0</v>
      </c>
      <c r="AF272" s="26">
        <v>1655.0</v>
      </c>
      <c r="AG272" s="26">
        <v>85.0</v>
      </c>
      <c r="AH272" s="26">
        <v>44.0</v>
      </c>
      <c r="AI272" s="26">
        <f t="shared" si="8"/>
        <v>1699</v>
      </c>
      <c r="AJ272" s="26">
        <f t="shared" si="9"/>
        <v>3116</v>
      </c>
      <c r="AK272" s="26">
        <f t="shared" si="10"/>
        <v>3106</v>
      </c>
      <c r="AL272" s="26">
        <f t="shared" si="11"/>
        <v>3807</v>
      </c>
      <c r="AM272" s="26">
        <f t="shared" ref="AM272:AN272" si="546">(AI272/AK272)*100</f>
        <v>54.70057952</v>
      </c>
      <c r="AN272" s="26">
        <f t="shared" si="546"/>
        <v>81.84922511</v>
      </c>
      <c r="AO272" s="26">
        <v>2098.0</v>
      </c>
      <c r="AP272" s="26">
        <v>691.0</v>
      </c>
      <c r="AQ272" s="26">
        <v>1407.0</v>
      </c>
      <c r="AR272" s="26">
        <v>311.0</v>
      </c>
      <c r="AS272" s="27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</row>
    <row r="273">
      <c r="A273" s="22">
        <v>8713.0</v>
      </c>
      <c r="B273" s="23" t="s">
        <v>25</v>
      </c>
      <c r="C273" s="29" t="s">
        <v>340</v>
      </c>
      <c r="D273" s="29" t="s">
        <v>358</v>
      </c>
      <c r="E273" s="29" t="s">
        <v>359</v>
      </c>
      <c r="F273" s="29" t="s">
        <v>359</v>
      </c>
      <c r="G273" s="26">
        <v>28891.0</v>
      </c>
      <c r="H273" s="26">
        <v>10171.0</v>
      </c>
      <c r="I273" s="26">
        <v>5164.0</v>
      </c>
      <c r="J273" s="26">
        <v>5007.0</v>
      </c>
      <c r="K273" s="26">
        <v>11811.0</v>
      </c>
      <c r="L273" s="26">
        <v>8518.0</v>
      </c>
      <c r="M273" s="26">
        <v>3245.0</v>
      </c>
      <c r="N273" s="26">
        <v>30.0</v>
      </c>
      <c r="O273" s="26">
        <v>18.0</v>
      </c>
      <c r="P273" s="26">
        <f t="shared" si="3"/>
        <v>3263</v>
      </c>
      <c r="Q273" s="26">
        <f t="shared" si="4"/>
        <v>8548</v>
      </c>
      <c r="R273" s="26">
        <f t="shared" si="5"/>
        <v>8492</v>
      </c>
      <c r="S273" s="26">
        <f t="shared" si="6"/>
        <v>10228</v>
      </c>
      <c r="T273" s="26">
        <f t="shared" ref="T273:U273" si="547">(P273/R273)*100</f>
        <v>38.42439943</v>
      </c>
      <c r="U273" s="26">
        <f t="shared" si="547"/>
        <v>83.57450137</v>
      </c>
      <c r="V273" s="26">
        <v>6909.0</v>
      </c>
      <c r="W273" s="26">
        <v>1680.0</v>
      </c>
      <c r="X273" s="26">
        <v>5229.0</v>
      </c>
      <c r="Y273" s="26">
        <v>0.0</v>
      </c>
      <c r="Z273" s="26">
        <v>40454.0</v>
      </c>
      <c r="AA273" s="26">
        <v>13260.0</v>
      </c>
      <c r="AB273" s="26">
        <v>6746.0</v>
      </c>
      <c r="AC273" s="26">
        <v>6514.0</v>
      </c>
      <c r="AD273" s="26">
        <v>20101.0</v>
      </c>
      <c r="AE273" s="26">
        <v>12510.0</v>
      </c>
      <c r="AF273" s="26">
        <v>7249.0</v>
      </c>
      <c r="AG273" s="26">
        <v>220.0</v>
      </c>
      <c r="AH273" s="26">
        <v>122.0</v>
      </c>
      <c r="AI273" s="26">
        <f t="shared" si="8"/>
        <v>7371</v>
      </c>
      <c r="AJ273" s="26">
        <f t="shared" si="9"/>
        <v>12730</v>
      </c>
      <c r="AK273" s="26">
        <f t="shared" si="10"/>
        <v>11451</v>
      </c>
      <c r="AL273" s="26">
        <f t="shared" si="11"/>
        <v>14221</v>
      </c>
      <c r="AM273" s="26">
        <f t="shared" ref="AM273:AN273" si="548">(AI273/AK273)*100</f>
        <v>64.36992402</v>
      </c>
      <c r="AN273" s="26">
        <f t="shared" si="548"/>
        <v>89.51550524</v>
      </c>
      <c r="AO273" s="26">
        <v>5571.0</v>
      </c>
      <c r="AP273" s="26">
        <v>1491.0</v>
      </c>
      <c r="AQ273" s="26">
        <v>4080.0</v>
      </c>
      <c r="AR273" s="26">
        <v>1522.0</v>
      </c>
      <c r="AS273" s="27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</row>
    <row r="274">
      <c r="A274" s="22">
        <v>8737.0</v>
      </c>
      <c r="B274" s="23" t="s">
        <v>25</v>
      </c>
      <c r="C274" s="29" t="s">
        <v>340</v>
      </c>
      <c r="D274" s="29" t="s">
        <v>358</v>
      </c>
      <c r="E274" s="29" t="s">
        <v>360</v>
      </c>
      <c r="F274" s="29" t="s">
        <v>360</v>
      </c>
      <c r="G274" s="26">
        <v>37824.0</v>
      </c>
      <c r="H274" s="26">
        <v>14551.0</v>
      </c>
      <c r="I274" s="26">
        <v>7457.0</v>
      </c>
      <c r="J274" s="26">
        <v>7094.0</v>
      </c>
      <c r="K274" s="26">
        <v>15902.0</v>
      </c>
      <c r="L274" s="26">
        <v>10594.0</v>
      </c>
      <c r="M274" s="26">
        <v>5226.0</v>
      </c>
      <c r="N274" s="26">
        <v>53.0</v>
      </c>
      <c r="O274" s="26">
        <v>29.0</v>
      </c>
      <c r="P274" s="26">
        <f t="shared" si="3"/>
        <v>5255</v>
      </c>
      <c r="Q274" s="26">
        <f t="shared" si="4"/>
        <v>10647</v>
      </c>
      <c r="R274" s="26">
        <f t="shared" si="5"/>
        <v>10948</v>
      </c>
      <c r="S274" s="26">
        <f t="shared" si="6"/>
        <v>12325</v>
      </c>
      <c r="T274" s="26">
        <f t="shared" ref="T274:U274" si="549">(P274/R274)*100</f>
        <v>47.99963464</v>
      </c>
      <c r="U274" s="26">
        <f t="shared" si="549"/>
        <v>86.38539554</v>
      </c>
      <c r="V274" s="26">
        <v>7371.0</v>
      </c>
      <c r="W274" s="26">
        <v>1678.0</v>
      </c>
      <c r="X274" s="26">
        <v>5693.0</v>
      </c>
      <c r="Y274" s="26">
        <v>0.0</v>
      </c>
      <c r="Z274" s="26">
        <v>53811.0</v>
      </c>
      <c r="AA274" s="26">
        <v>19354.0</v>
      </c>
      <c r="AB274" s="26">
        <v>9941.0</v>
      </c>
      <c r="AC274" s="26">
        <v>9413.0</v>
      </c>
      <c r="AD274" s="26">
        <v>24038.0</v>
      </c>
      <c r="AE274" s="26">
        <v>15505.0</v>
      </c>
      <c r="AF274" s="26">
        <v>8151.0</v>
      </c>
      <c r="AG274" s="26">
        <v>253.0</v>
      </c>
      <c r="AH274" s="26">
        <v>129.0</v>
      </c>
      <c r="AI274" s="26">
        <f t="shared" si="8"/>
        <v>8280</v>
      </c>
      <c r="AJ274" s="26">
        <f t="shared" si="9"/>
        <v>15758</v>
      </c>
      <c r="AK274" s="26">
        <f t="shared" si="10"/>
        <v>15133</v>
      </c>
      <c r="AL274" s="26">
        <f t="shared" si="11"/>
        <v>17570</v>
      </c>
      <c r="AM274" s="26">
        <f t="shared" ref="AM274:AN274" si="550">(AI274/AK274)*100</f>
        <v>54.71486156</v>
      </c>
      <c r="AN274" s="26">
        <f t="shared" si="550"/>
        <v>89.68696642</v>
      </c>
      <c r="AO274" s="26">
        <v>8665.0</v>
      </c>
      <c r="AP274" s="26">
        <v>1812.0</v>
      </c>
      <c r="AQ274" s="26">
        <v>6853.0</v>
      </c>
      <c r="AR274" s="26">
        <v>1754.0</v>
      </c>
      <c r="AS274" s="27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</row>
    <row r="275">
      <c r="A275" s="22">
        <v>8761.0</v>
      </c>
      <c r="B275" s="23" t="s">
        <v>25</v>
      </c>
      <c r="C275" s="29" t="s">
        <v>340</v>
      </c>
      <c r="D275" s="29" t="s">
        <v>358</v>
      </c>
      <c r="E275" s="29" t="s">
        <v>361</v>
      </c>
      <c r="F275" s="29" t="s">
        <v>361</v>
      </c>
      <c r="G275" s="26">
        <v>15617.0</v>
      </c>
      <c r="H275" s="26">
        <v>4662.0</v>
      </c>
      <c r="I275" s="26">
        <v>2366.0</v>
      </c>
      <c r="J275" s="26">
        <v>2296.0</v>
      </c>
      <c r="K275" s="26">
        <v>6032.0</v>
      </c>
      <c r="L275" s="26">
        <v>3924.0</v>
      </c>
      <c r="M275" s="26">
        <v>2062.0</v>
      </c>
      <c r="N275" s="26">
        <v>32.0</v>
      </c>
      <c r="O275" s="26">
        <v>14.0</v>
      </c>
      <c r="P275" s="26">
        <f t="shared" si="3"/>
        <v>2076</v>
      </c>
      <c r="Q275" s="26">
        <f t="shared" si="4"/>
        <v>3956</v>
      </c>
      <c r="R275" s="26">
        <f t="shared" si="5"/>
        <v>5106</v>
      </c>
      <c r="S275" s="26">
        <f t="shared" si="6"/>
        <v>5849</v>
      </c>
      <c r="T275" s="26">
        <f t="shared" ref="T275:U275" si="551">(P275/R275)*100</f>
        <v>40.65804935</v>
      </c>
      <c r="U275" s="26">
        <f t="shared" si="551"/>
        <v>67.63549325</v>
      </c>
      <c r="V275" s="26">
        <v>4923.0</v>
      </c>
      <c r="W275" s="26">
        <v>1893.0</v>
      </c>
      <c r="X275" s="26">
        <v>3030.0</v>
      </c>
      <c r="Y275" s="26">
        <v>0.0</v>
      </c>
      <c r="Z275" s="26">
        <v>18573.0</v>
      </c>
      <c r="AA275" s="26">
        <v>5138.0</v>
      </c>
      <c r="AB275" s="26">
        <v>2676.0</v>
      </c>
      <c r="AC275" s="26">
        <v>2462.0</v>
      </c>
      <c r="AD275" s="26">
        <v>8045.0</v>
      </c>
      <c r="AE275" s="26">
        <v>4863.0</v>
      </c>
      <c r="AF275" s="26">
        <v>2946.0</v>
      </c>
      <c r="AG275" s="26">
        <v>156.0</v>
      </c>
      <c r="AH275" s="26">
        <v>80.0</v>
      </c>
      <c r="AI275" s="26">
        <f t="shared" si="8"/>
        <v>3026</v>
      </c>
      <c r="AJ275" s="26">
        <f t="shared" si="9"/>
        <v>5019</v>
      </c>
      <c r="AK275" s="26">
        <f t="shared" si="10"/>
        <v>5737</v>
      </c>
      <c r="AL275" s="26">
        <f t="shared" si="11"/>
        <v>6819</v>
      </c>
      <c r="AM275" s="26">
        <f t="shared" ref="AM275:AN275" si="552">(AI275/AK275)*100</f>
        <v>52.74533728</v>
      </c>
      <c r="AN275" s="26">
        <f t="shared" si="552"/>
        <v>73.60316762</v>
      </c>
      <c r="AO275" s="26">
        <v>4511.0</v>
      </c>
      <c r="AP275" s="26">
        <v>1800.0</v>
      </c>
      <c r="AQ275" s="26">
        <v>2711.0</v>
      </c>
      <c r="AR275" s="26">
        <v>879.0</v>
      </c>
      <c r="AS275" s="27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</row>
    <row r="276">
      <c r="A276" s="22">
        <v>8809.0</v>
      </c>
      <c r="B276" s="23" t="s">
        <v>25</v>
      </c>
      <c r="C276" s="29" t="s">
        <v>340</v>
      </c>
      <c r="D276" s="29" t="s">
        <v>362</v>
      </c>
      <c r="E276" s="29" t="s">
        <v>363</v>
      </c>
      <c r="F276" s="29" t="s">
        <v>363</v>
      </c>
      <c r="G276" s="26">
        <v>17874.0</v>
      </c>
      <c r="H276" s="26">
        <v>5490.0</v>
      </c>
      <c r="I276" s="26">
        <v>2858.0</v>
      </c>
      <c r="J276" s="26">
        <v>2632.0</v>
      </c>
      <c r="K276" s="26">
        <v>7654.0</v>
      </c>
      <c r="L276" s="26">
        <v>4809.0</v>
      </c>
      <c r="M276" s="26">
        <v>2776.0</v>
      </c>
      <c r="N276" s="26">
        <v>42.0</v>
      </c>
      <c r="O276" s="26">
        <v>27.0</v>
      </c>
      <c r="P276" s="26">
        <f t="shared" si="3"/>
        <v>2803</v>
      </c>
      <c r="Q276" s="26">
        <f t="shared" si="4"/>
        <v>4851</v>
      </c>
      <c r="R276" s="26">
        <f t="shared" si="5"/>
        <v>6036</v>
      </c>
      <c r="S276" s="26">
        <f t="shared" si="6"/>
        <v>6348</v>
      </c>
      <c r="T276" s="26">
        <f t="shared" ref="T276:U276" si="553">(P276/R276)*100</f>
        <v>46.43803844</v>
      </c>
      <c r="U276" s="26">
        <f t="shared" si="553"/>
        <v>76.41776938</v>
      </c>
      <c r="V276" s="26">
        <v>4730.0</v>
      </c>
      <c r="W276" s="26">
        <v>1497.0</v>
      </c>
      <c r="X276" s="26">
        <v>3233.0</v>
      </c>
      <c r="Y276" s="26">
        <v>0.0</v>
      </c>
      <c r="Z276" s="26">
        <v>20500.0</v>
      </c>
      <c r="AA276" s="26">
        <v>5735.0</v>
      </c>
      <c r="AB276" s="26">
        <v>2966.0</v>
      </c>
      <c r="AC276" s="26">
        <v>2769.0</v>
      </c>
      <c r="AD276" s="26">
        <v>9441.0</v>
      </c>
      <c r="AE276" s="26">
        <v>5490.0</v>
      </c>
      <c r="AF276" s="26">
        <v>3715.0</v>
      </c>
      <c r="AG276" s="26">
        <v>138.0</v>
      </c>
      <c r="AH276" s="26">
        <v>98.0</v>
      </c>
      <c r="AI276" s="26">
        <f t="shared" si="8"/>
        <v>3813</v>
      </c>
      <c r="AJ276" s="26">
        <f t="shared" si="9"/>
        <v>5628</v>
      </c>
      <c r="AK276" s="26">
        <f t="shared" si="10"/>
        <v>6578</v>
      </c>
      <c r="AL276" s="26">
        <f t="shared" si="11"/>
        <v>7112</v>
      </c>
      <c r="AM276" s="26">
        <f t="shared" ref="AM276:AN276" si="554">(AI276/AK276)*100</f>
        <v>57.9659471</v>
      </c>
      <c r="AN276" s="26">
        <f t="shared" si="554"/>
        <v>79.13385827</v>
      </c>
      <c r="AO276" s="26">
        <v>4249.0</v>
      </c>
      <c r="AP276" s="26">
        <v>1484.0</v>
      </c>
      <c r="AQ276" s="26">
        <v>2765.0</v>
      </c>
      <c r="AR276" s="26">
        <v>1075.0</v>
      </c>
      <c r="AS276" s="27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</row>
    <row r="277">
      <c r="A277" s="22">
        <v>8833.0</v>
      </c>
      <c r="B277" s="23" t="s">
        <v>25</v>
      </c>
      <c r="C277" s="29" t="s">
        <v>340</v>
      </c>
      <c r="D277" s="29" t="s">
        <v>362</v>
      </c>
      <c r="E277" s="29" t="s">
        <v>364</v>
      </c>
      <c r="F277" s="29" t="s">
        <v>364</v>
      </c>
      <c r="G277" s="26">
        <v>19208.0</v>
      </c>
      <c r="H277" s="26">
        <v>6316.0</v>
      </c>
      <c r="I277" s="26">
        <v>3210.0</v>
      </c>
      <c r="J277" s="26">
        <v>3106.0</v>
      </c>
      <c r="K277" s="26">
        <v>8339.0</v>
      </c>
      <c r="L277" s="26">
        <v>6177.0</v>
      </c>
      <c r="M277" s="26">
        <v>2100.0</v>
      </c>
      <c r="N277" s="26">
        <v>47.0</v>
      </c>
      <c r="O277" s="26">
        <v>15.0</v>
      </c>
      <c r="P277" s="26">
        <f t="shared" si="3"/>
        <v>2115</v>
      </c>
      <c r="Q277" s="26">
        <f t="shared" si="4"/>
        <v>6224</v>
      </c>
      <c r="R277" s="26">
        <f t="shared" si="5"/>
        <v>5507</v>
      </c>
      <c r="S277" s="26">
        <f t="shared" si="6"/>
        <v>7385</v>
      </c>
      <c r="T277" s="26">
        <f t="shared" ref="T277:U277" si="555">(P277/R277)*100</f>
        <v>38.40566552</v>
      </c>
      <c r="U277" s="26">
        <f t="shared" si="555"/>
        <v>84.27894381</v>
      </c>
      <c r="V277" s="26">
        <v>4553.0</v>
      </c>
      <c r="W277" s="26">
        <v>1161.0</v>
      </c>
      <c r="X277" s="26">
        <v>3392.0</v>
      </c>
      <c r="Y277" s="26">
        <v>0.0</v>
      </c>
      <c r="Z277" s="26">
        <v>17841.0</v>
      </c>
      <c r="AA277" s="26">
        <v>4808.0</v>
      </c>
      <c r="AB277" s="26">
        <v>2455.0</v>
      </c>
      <c r="AC277" s="26">
        <v>2353.0</v>
      </c>
      <c r="AD277" s="26">
        <v>8764.0</v>
      </c>
      <c r="AE277" s="26">
        <v>5637.0</v>
      </c>
      <c r="AF277" s="26">
        <v>2897.0</v>
      </c>
      <c r="AG277" s="26">
        <v>148.0</v>
      </c>
      <c r="AH277" s="26">
        <v>82.0</v>
      </c>
      <c r="AI277" s="26">
        <f t="shared" si="8"/>
        <v>2979</v>
      </c>
      <c r="AJ277" s="26">
        <f t="shared" si="9"/>
        <v>5785</v>
      </c>
      <c r="AK277" s="26">
        <f t="shared" si="10"/>
        <v>5519</v>
      </c>
      <c r="AL277" s="26">
        <f t="shared" si="11"/>
        <v>6951</v>
      </c>
      <c r="AM277" s="26">
        <f t="shared" ref="AM277:AN277" si="556">(AI277/AK277)*100</f>
        <v>53.97716978</v>
      </c>
      <c r="AN277" s="26">
        <f t="shared" si="556"/>
        <v>83.22543519</v>
      </c>
      <c r="AO277" s="26">
        <v>3706.0</v>
      </c>
      <c r="AP277" s="26">
        <v>1166.0</v>
      </c>
      <c r="AQ277" s="26">
        <v>2540.0</v>
      </c>
      <c r="AR277" s="26">
        <v>563.0</v>
      </c>
      <c r="AS277" s="27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</row>
    <row r="278">
      <c r="A278" s="22">
        <v>8857.0</v>
      </c>
      <c r="B278" s="23" t="s">
        <v>25</v>
      </c>
      <c r="C278" s="29" t="s">
        <v>340</v>
      </c>
      <c r="D278" s="29" t="s">
        <v>362</v>
      </c>
      <c r="E278" s="29" t="s">
        <v>365</v>
      </c>
      <c r="F278" s="29" t="s">
        <v>365</v>
      </c>
      <c r="G278" s="26">
        <v>6067.0</v>
      </c>
      <c r="H278" s="26">
        <v>2073.0</v>
      </c>
      <c r="I278" s="26">
        <v>1058.0</v>
      </c>
      <c r="J278" s="26">
        <v>1015.0</v>
      </c>
      <c r="K278" s="26">
        <v>2391.0</v>
      </c>
      <c r="L278" s="26">
        <v>1680.0</v>
      </c>
      <c r="M278" s="26">
        <v>683.0</v>
      </c>
      <c r="N278" s="26">
        <v>19.0</v>
      </c>
      <c r="O278" s="26">
        <v>9.0</v>
      </c>
      <c r="P278" s="26">
        <f t="shared" si="3"/>
        <v>692</v>
      </c>
      <c r="Q278" s="26">
        <f t="shared" si="4"/>
        <v>1699</v>
      </c>
      <c r="R278" s="26">
        <f t="shared" si="5"/>
        <v>1885</v>
      </c>
      <c r="S278" s="26">
        <f t="shared" si="6"/>
        <v>2109</v>
      </c>
      <c r="T278" s="26">
        <f t="shared" ref="T278:U278" si="557">(P278/R278)*100</f>
        <v>36.71087533</v>
      </c>
      <c r="U278" s="26">
        <f t="shared" si="557"/>
        <v>80.55950688</v>
      </c>
      <c r="V278" s="26">
        <v>1603.0</v>
      </c>
      <c r="W278" s="26">
        <v>410.0</v>
      </c>
      <c r="X278" s="26">
        <v>1193.0</v>
      </c>
      <c r="Y278" s="26">
        <v>0.0</v>
      </c>
      <c r="Z278" s="26">
        <v>5945.0</v>
      </c>
      <c r="AA278" s="26">
        <v>1641.0</v>
      </c>
      <c r="AB278" s="26">
        <v>836.0</v>
      </c>
      <c r="AC278" s="26">
        <v>805.0</v>
      </c>
      <c r="AD278" s="26">
        <v>2567.0</v>
      </c>
      <c r="AE278" s="26">
        <v>1592.0</v>
      </c>
      <c r="AF278" s="26">
        <v>880.0</v>
      </c>
      <c r="AG278" s="26">
        <v>50.0</v>
      </c>
      <c r="AH278" s="26">
        <v>45.0</v>
      </c>
      <c r="AI278" s="26">
        <f t="shared" si="8"/>
        <v>925</v>
      </c>
      <c r="AJ278" s="26">
        <f t="shared" si="9"/>
        <v>1642</v>
      </c>
      <c r="AK278" s="26">
        <f t="shared" si="10"/>
        <v>1867</v>
      </c>
      <c r="AL278" s="26">
        <f t="shared" si="11"/>
        <v>2075</v>
      </c>
      <c r="AM278" s="26">
        <f t="shared" ref="AM278:AN278" si="558">(AI278/AK278)*100</f>
        <v>49.54472416</v>
      </c>
      <c r="AN278" s="26">
        <f t="shared" si="558"/>
        <v>79.13253012</v>
      </c>
      <c r="AO278" s="26">
        <v>1375.0</v>
      </c>
      <c r="AP278" s="26">
        <v>433.0</v>
      </c>
      <c r="AQ278" s="26">
        <v>942.0</v>
      </c>
      <c r="AR278" s="26">
        <v>362.0</v>
      </c>
      <c r="AS278" s="27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</row>
    <row r="279">
      <c r="A279" s="22">
        <v>8905.0</v>
      </c>
      <c r="B279" s="23" t="s">
        <v>25</v>
      </c>
      <c r="C279" s="29" t="s">
        <v>340</v>
      </c>
      <c r="D279" s="29" t="s">
        <v>366</v>
      </c>
      <c r="E279" s="29" t="s">
        <v>367</v>
      </c>
      <c r="F279" s="29" t="s">
        <v>367</v>
      </c>
      <c r="G279" s="26">
        <v>5366.0</v>
      </c>
      <c r="H279" s="26">
        <v>1871.0</v>
      </c>
      <c r="I279" s="26">
        <v>977.0</v>
      </c>
      <c r="J279" s="26">
        <v>894.0</v>
      </c>
      <c r="K279" s="26">
        <v>2044.0</v>
      </c>
      <c r="L279" s="26">
        <v>1568.0</v>
      </c>
      <c r="M279" s="26">
        <v>464.0</v>
      </c>
      <c r="N279" s="26">
        <v>10.0</v>
      </c>
      <c r="O279" s="26">
        <v>2.0</v>
      </c>
      <c r="P279" s="26">
        <f t="shared" si="3"/>
        <v>466</v>
      </c>
      <c r="Q279" s="26">
        <f t="shared" si="4"/>
        <v>1578</v>
      </c>
      <c r="R279" s="26">
        <f t="shared" si="5"/>
        <v>1551</v>
      </c>
      <c r="S279" s="26">
        <f t="shared" si="6"/>
        <v>1944</v>
      </c>
      <c r="T279" s="26">
        <f t="shared" ref="T279:U279" si="559">(P279/R279)*100</f>
        <v>30.04513217</v>
      </c>
      <c r="U279" s="26">
        <f t="shared" si="559"/>
        <v>81.17283951</v>
      </c>
      <c r="V279" s="26">
        <v>1451.0</v>
      </c>
      <c r="W279" s="26">
        <v>366.0</v>
      </c>
      <c r="X279" s="26">
        <v>1085.0</v>
      </c>
      <c r="Y279" s="26">
        <v>0.0</v>
      </c>
      <c r="Z279" s="26">
        <v>5841.0</v>
      </c>
      <c r="AA279" s="26">
        <v>1856.0</v>
      </c>
      <c r="AB279" s="26">
        <v>950.0</v>
      </c>
      <c r="AC279" s="26">
        <v>906.0</v>
      </c>
      <c r="AD279" s="26">
        <v>2824.0</v>
      </c>
      <c r="AE279" s="26">
        <v>1702.0</v>
      </c>
      <c r="AF279" s="26">
        <v>1083.0</v>
      </c>
      <c r="AG279" s="26">
        <v>20.0</v>
      </c>
      <c r="AH279" s="26">
        <v>19.0</v>
      </c>
      <c r="AI279" s="26">
        <f t="shared" si="8"/>
        <v>1102</v>
      </c>
      <c r="AJ279" s="26">
        <f t="shared" si="9"/>
        <v>1722</v>
      </c>
      <c r="AK279" s="26">
        <f t="shared" si="10"/>
        <v>1782</v>
      </c>
      <c r="AL279" s="26">
        <f t="shared" si="11"/>
        <v>2012</v>
      </c>
      <c r="AM279" s="26">
        <f t="shared" ref="AM279:AN279" si="560">(AI279/AK279)*100</f>
        <v>61.84062851</v>
      </c>
      <c r="AN279" s="26">
        <f t="shared" si="560"/>
        <v>85.58648111</v>
      </c>
      <c r="AO279" s="26">
        <v>970.0</v>
      </c>
      <c r="AP279" s="26">
        <v>290.0</v>
      </c>
      <c r="AQ279" s="26">
        <v>680.0</v>
      </c>
      <c r="AR279" s="26">
        <v>191.0</v>
      </c>
      <c r="AS279" s="27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</row>
    <row r="280">
      <c r="A280" s="22">
        <v>8929.0</v>
      </c>
      <c r="B280" s="23" t="s">
        <v>25</v>
      </c>
      <c r="C280" s="29" t="s">
        <v>340</v>
      </c>
      <c r="D280" s="29" t="s">
        <v>366</v>
      </c>
      <c r="E280" s="29" t="s">
        <v>368</v>
      </c>
      <c r="F280" s="29" t="s">
        <v>368</v>
      </c>
      <c r="G280" s="26">
        <v>32170.0</v>
      </c>
      <c r="H280" s="26">
        <v>12564.0</v>
      </c>
      <c r="I280" s="26">
        <v>6418.0</v>
      </c>
      <c r="J280" s="26">
        <v>6146.0</v>
      </c>
      <c r="K280" s="26">
        <v>11350.0</v>
      </c>
      <c r="L280" s="26">
        <v>7820.0</v>
      </c>
      <c r="M280" s="26">
        <v>3410.0</v>
      </c>
      <c r="N280" s="26">
        <v>92.0</v>
      </c>
      <c r="O280" s="26">
        <v>28.0</v>
      </c>
      <c r="P280" s="26">
        <f t="shared" si="3"/>
        <v>3438</v>
      </c>
      <c r="Q280" s="26">
        <f t="shared" si="4"/>
        <v>7912</v>
      </c>
      <c r="R280" s="26">
        <f t="shared" si="5"/>
        <v>9319</v>
      </c>
      <c r="S280" s="26">
        <f t="shared" si="6"/>
        <v>10287</v>
      </c>
      <c r="T280" s="26">
        <f t="shared" ref="T280:U280" si="561">(P280/R280)*100</f>
        <v>36.89237043</v>
      </c>
      <c r="U280" s="26">
        <f t="shared" si="561"/>
        <v>76.91260815</v>
      </c>
      <c r="V280" s="26">
        <v>8256.0</v>
      </c>
      <c r="W280" s="26">
        <v>2375.0</v>
      </c>
      <c r="X280" s="26">
        <v>5881.0</v>
      </c>
      <c r="Y280" s="26">
        <v>0.0</v>
      </c>
      <c r="Z280" s="26">
        <v>37200.0</v>
      </c>
      <c r="AA280" s="26">
        <v>12927.0</v>
      </c>
      <c r="AB280" s="26">
        <v>6627.0</v>
      </c>
      <c r="AC280" s="26">
        <v>6300.0</v>
      </c>
      <c r="AD280" s="26">
        <v>14964.0</v>
      </c>
      <c r="AE280" s="26">
        <v>9325.0</v>
      </c>
      <c r="AF280" s="26">
        <v>5243.0</v>
      </c>
      <c r="AG280" s="26">
        <v>291.0</v>
      </c>
      <c r="AH280" s="26">
        <v>105.0</v>
      </c>
      <c r="AI280" s="26">
        <f t="shared" si="8"/>
        <v>5348</v>
      </c>
      <c r="AJ280" s="26">
        <f t="shared" si="9"/>
        <v>9616</v>
      </c>
      <c r="AK280" s="26">
        <f t="shared" si="10"/>
        <v>10454</v>
      </c>
      <c r="AL280" s="26">
        <f t="shared" si="11"/>
        <v>11891</v>
      </c>
      <c r="AM280" s="26">
        <f t="shared" ref="AM280:AN280" si="562">(AI280/AK280)*100</f>
        <v>51.15745169</v>
      </c>
      <c r="AN280" s="26">
        <f t="shared" si="562"/>
        <v>80.86788327</v>
      </c>
      <c r="AO280" s="26">
        <v>7381.0</v>
      </c>
      <c r="AP280" s="26">
        <v>2275.0</v>
      </c>
      <c r="AQ280" s="26">
        <v>5106.0</v>
      </c>
      <c r="AR280" s="26">
        <v>1928.0</v>
      </c>
      <c r="AS280" s="27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</row>
    <row r="281">
      <c r="A281" s="22">
        <v>8953.0</v>
      </c>
      <c r="B281" s="23" t="s">
        <v>25</v>
      </c>
      <c r="C281" s="29" t="s">
        <v>340</v>
      </c>
      <c r="D281" s="29" t="s">
        <v>366</v>
      </c>
      <c r="E281" s="29" t="s">
        <v>369</v>
      </c>
      <c r="F281" s="29" t="s">
        <v>369</v>
      </c>
      <c r="G281" s="26">
        <v>26405.0</v>
      </c>
      <c r="H281" s="26">
        <v>9476.0</v>
      </c>
      <c r="I281" s="26">
        <v>4936.0</v>
      </c>
      <c r="J281" s="26">
        <v>4540.0</v>
      </c>
      <c r="K281" s="26">
        <v>11507.0</v>
      </c>
      <c r="L281" s="26">
        <v>8033.0</v>
      </c>
      <c r="M281" s="26">
        <v>3426.0</v>
      </c>
      <c r="N281" s="26">
        <v>34.0</v>
      </c>
      <c r="O281" s="26">
        <v>14.0</v>
      </c>
      <c r="P281" s="26">
        <f t="shared" si="3"/>
        <v>3440</v>
      </c>
      <c r="Q281" s="26">
        <f t="shared" si="4"/>
        <v>8067</v>
      </c>
      <c r="R281" s="26">
        <f t="shared" si="5"/>
        <v>7553</v>
      </c>
      <c r="S281" s="26">
        <f t="shared" si="6"/>
        <v>9376</v>
      </c>
      <c r="T281" s="26">
        <f t="shared" ref="T281:U281" si="563">(P281/R281)*100</f>
        <v>45.54481663</v>
      </c>
      <c r="U281" s="26">
        <f t="shared" si="563"/>
        <v>86.03882253</v>
      </c>
      <c r="V281" s="26">
        <v>5422.0</v>
      </c>
      <c r="W281" s="26">
        <v>1309.0</v>
      </c>
      <c r="X281" s="26">
        <v>4113.0</v>
      </c>
      <c r="Y281" s="26">
        <v>0.0</v>
      </c>
      <c r="Z281" s="26">
        <v>32468.0</v>
      </c>
      <c r="AA281" s="26">
        <v>10397.0</v>
      </c>
      <c r="AB281" s="26">
        <v>5266.0</v>
      </c>
      <c r="AC281" s="26">
        <v>5131.0</v>
      </c>
      <c r="AD281" s="26">
        <v>15090.0</v>
      </c>
      <c r="AE281" s="26">
        <v>9792.0</v>
      </c>
      <c r="AF281" s="26">
        <v>5037.0</v>
      </c>
      <c r="AG281" s="26">
        <v>168.0</v>
      </c>
      <c r="AH281" s="26">
        <v>93.0</v>
      </c>
      <c r="AI281" s="26">
        <f t="shared" si="8"/>
        <v>5130</v>
      </c>
      <c r="AJ281" s="26">
        <f t="shared" si="9"/>
        <v>9960</v>
      </c>
      <c r="AK281" s="26">
        <f t="shared" si="10"/>
        <v>9311</v>
      </c>
      <c r="AL281" s="26">
        <f t="shared" si="11"/>
        <v>11384</v>
      </c>
      <c r="AM281" s="26">
        <f t="shared" ref="AM281:AN281" si="564">(AI281/AK281)*100</f>
        <v>55.09612287</v>
      </c>
      <c r="AN281" s="26">
        <f t="shared" si="564"/>
        <v>87.49121574</v>
      </c>
      <c r="AO281" s="26">
        <v>5605.0</v>
      </c>
      <c r="AP281" s="26">
        <v>1424.0</v>
      </c>
      <c r="AQ281" s="26">
        <v>4181.0</v>
      </c>
      <c r="AR281" s="26">
        <v>1376.0</v>
      </c>
      <c r="AS281" s="27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</row>
    <row r="282">
      <c r="A282" s="22">
        <v>8977.0</v>
      </c>
      <c r="B282" s="23" t="s">
        <v>25</v>
      </c>
      <c r="C282" s="29" t="s">
        <v>340</v>
      </c>
      <c r="D282" s="29" t="s">
        <v>366</v>
      </c>
      <c r="E282" s="29" t="s">
        <v>370</v>
      </c>
      <c r="F282" s="29" t="s">
        <v>370</v>
      </c>
      <c r="G282" s="26">
        <v>5048.0</v>
      </c>
      <c r="H282" s="26">
        <v>1709.0</v>
      </c>
      <c r="I282" s="26">
        <v>800.0</v>
      </c>
      <c r="J282" s="26">
        <v>909.0</v>
      </c>
      <c r="K282" s="26">
        <v>1848.0</v>
      </c>
      <c r="L282" s="26">
        <v>1195.0</v>
      </c>
      <c r="M282" s="26">
        <v>611.0</v>
      </c>
      <c r="N282" s="26">
        <v>27.0</v>
      </c>
      <c r="O282" s="26">
        <v>15.0</v>
      </c>
      <c r="P282" s="26">
        <f t="shared" si="3"/>
        <v>626</v>
      </c>
      <c r="Q282" s="26">
        <f t="shared" si="4"/>
        <v>1222</v>
      </c>
      <c r="R282" s="26">
        <f t="shared" si="5"/>
        <v>1617</v>
      </c>
      <c r="S282" s="26">
        <f t="shared" si="6"/>
        <v>1722</v>
      </c>
      <c r="T282" s="26">
        <f t="shared" ref="T282:U282" si="565">(P282/R282)*100</f>
        <v>38.71366729</v>
      </c>
      <c r="U282" s="26">
        <f t="shared" si="565"/>
        <v>70.96399535</v>
      </c>
      <c r="V282" s="26">
        <v>1491.0</v>
      </c>
      <c r="W282" s="26">
        <v>500.0</v>
      </c>
      <c r="X282" s="26">
        <v>991.0</v>
      </c>
      <c r="Y282" s="26">
        <v>0.0</v>
      </c>
      <c r="Z282" s="26">
        <v>5224.0</v>
      </c>
      <c r="AA282" s="26">
        <v>1328.0</v>
      </c>
      <c r="AB282" s="26">
        <v>678.0</v>
      </c>
      <c r="AC282" s="26">
        <v>650.0</v>
      </c>
      <c r="AD282" s="26">
        <v>2342.0</v>
      </c>
      <c r="AE282" s="26">
        <v>1384.0</v>
      </c>
      <c r="AF282" s="26">
        <v>883.0</v>
      </c>
      <c r="AG282" s="26">
        <v>52.0</v>
      </c>
      <c r="AH282" s="26">
        <v>23.0</v>
      </c>
      <c r="AI282" s="26">
        <f t="shared" si="8"/>
        <v>906</v>
      </c>
      <c r="AJ282" s="26">
        <f t="shared" si="9"/>
        <v>1436</v>
      </c>
      <c r="AK282" s="26">
        <f t="shared" si="10"/>
        <v>1641</v>
      </c>
      <c r="AL282" s="26">
        <f t="shared" si="11"/>
        <v>2028</v>
      </c>
      <c r="AM282" s="26">
        <f t="shared" ref="AM282:AN282" si="566">(AI282/AK282)*100</f>
        <v>55.21023766</v>
      </c>
      <c r="AN282" s="26">
        <f t="shared" si="566"/>
        <v>70.8086785</v>
      </c>
      <c r="AO282" s="26">
        <v>1327.0</v>
      </c>
      <c r="AP282" s="26">
        <v>592.0</v>
      </c>
      <c r="AQ282" s="26">
        <v>735.0</v>
      </c>
      <c r="AR282" s="26">
        <v>227.0</v>
      </c>
      <c r="AS282" s="27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</row>
    <row r="283">
      <c r="A283" s="22">
        <v>9001.0</v>
      </c>
      <c r="B283" s="23" t="s">
        <v>25</v>
      </c>
      <c r="C283" s="29" t="s">
        <v>340</v>
      </c>
      <c r="D283" s="29" t="s">
        <v>366</v>
      </c>
      <c r="E283" s="29" t="s">
        <v>371</v>
      </c>
      <c r="F283" s="29" t="s">
        <v>371</v>
      </c>
      <c r="G283" s="26">
        <v>12270.0</v>
      </c>
      <c r="H283" s="26">
        <v>4879.0</v>
      </c>
      <c r="I283" s="26">
        <v>2446.0</v>
      </c>
      <c r="J283" s="26">
        <v>2433.0</v>
      </c>
      <c r="K283" s="26">
        <v>3836.0</v>
      </c>
      <c r="L283" s="26">
        <v>2718.0</v>
      </c>
      <c r="M283" s="26">
        <v>1074.0</v>
      </c>
      <c r="N283" s="26">
        <v>39.0</v>
      </c>
      <c r="O283" s="26">
        <v>5.0</v>
      </c>
      <c r="P283" s="26">
        <f t="shared" si="3"/>
        <v>1079</v>
      </c>
      <c r="Q283" s="26">
        <f t="shared" si="4"/>
        <v>2757</v>
      </c>
      <c r="R283" s="26">
        <f t="shared" si="5"/>
        <v>3694</v>
      </c>
      <c r="S283" s="26">
        <f t="shared" si="6"/>
        <v>3697</v>
      </c>
      <c r="T283" s="26">
        <f t="shared" ref="T283:U283" si="567">(P283/R283)*100</f>
        <v>29.20952897</v>
      </c>
      <c r="U283" s="26">
        <f t="shared" si="567"/>
        <v>74.5739789</v>
      </c>
      <c r="V283" s="26">
        <v>3555.0</v>
      </c>
      <c r="W283" s="26">
        <v>940.0</v>
      </c>
      <c r="X283" s="26">
        <v>2615.0</v>
      </c>
      <c r="Y283" s="26">
        <v>0.0</v>
      </c>
      <c r="Z283" s="26">
        <v>14189.0</v>
      </c>
      <c r="AA283" s="26">
        <v>4890.0</v>
      </c>
      <c r="AB283" s="26">
        <v>2459.0</v>
      </c>
      <c r="AC283" s="26">
        <v>2431.0</v>
      </c>
      <c r="AD283" s="26">
        <v>5470.0</v>
      </c>
      <c r="AE283" s="26">
        <v>3288.0</v>
      </c>
      <c r="AF283" s="26">
        <v>2114.0</v>
      </c>
      <c r="AG283" s="26">
        <v>49.0</v>
      </c>
      <c r="AH283" s="26">
        <v>19.0</v>
      </c>
      <c r="AI283" s="26">
        <f t="shared" si="8"/>
        <v>2133</v>
      </c>
      <c r="AJ283" s="26">
        <f t="shared" si="9"/>
        <v>3337</v>
      </c>
      <c r="AK283" s="26">
        <f t="shared" si="10"/>
        <v>3899</v>
      </c>
      <c r="AL283" s="26">
        <f t="shared" si="11"/>
        <v>4148</v>
      </c>
      <c r="AM283" s="26">
        <f t="shared" ref="AM283:AN283" si="568">(AI283/AK283)*100</f>
        <v>54.70633496</v>
      </c>
      <c r="AN283" s="26">
        <f t="shared" si="568"/>
        <v>80.44840887</v>
      </c>
      <c r="AO283" s="26">
        <v>2577.0</v>
      </c>
      <c r="AP283" s="26">
        <v>811.0</v>
      </c>
      <c r="AQ283" s="26">
        <v>1766.0</v>
      </c>
      <c r="AR283" s="26">
        <v>1252.0</v>
      </c>
      <c r="AS283" s="27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</row>
    <row r="284">
      <c r="A284" s="22">
        <v>9025.0</v>
      </c>
      <c r="B284" s="23" t="s">
        <v>25</v>
      </c>
      <c r="C284" s="29" t="s">
        <v>340</v>
      </c>
      <c r="D284" s="29" t="s">
        <v>366</v>
      </c>
      <c r="E284" s="29" t="s">
        <v>372</v>
      </c>
      <c r="F284" s="29" t="s">
        <v>372</v>
      </c>
      <c r="G284" s="26">
        <v>33795.0</v>
      </c>
      <c r="H284" s="26">
        <v>9678.0</v>
      </c>
      <c r="I284" s="26">
        <v>4902.0</v>
      </c>
      <c r="J284" s="26">
        <v>4776.0</v>
      </c>
      <c r="K284" s="26">
        <v>13250.0</v>
      </c>
      <c r="L284" s="26">
        <v>7469.0</v>
      </c>
      <c r="M284" s="26">
        <v>5495.0</v>
      </c>
      <c r="N284" s="26">
        <v>177.0</v>
      </c>
      <c r="O284" s="26">
        <v>109.0</v>
      </c>
      <c r="P284" s="26">
        <f t="shared" si="3"/>
        <v>5604</v>
      </c>
      <c r="Q284" s="26">
        <f t="shared" si="4"/>
        <v>7646</v>
      </c>
      <c r="R284" s="26">
        <f t="shared" si="5"/>
        <v>12712</v>
      </c>
      <c r="S284" s="26">
        <f t="shared" si="6"/>
        <v>11405</v>
      </c>
      <c r="T284" s="26">
        <f t="shared" ref="T284:U284" si="569">(P284/R284)*100</f>
        <v>44.08432977</v>
      </c>
      <c r="U284" s="26">
        <f t="shared" si="569"/>
        <v>67.04077159</v>
      </c>
      <c r="V284" s="26">
        <v>10867.0</v>
      </c>
      <c r="W284" s="26">
        <v>3759.0</v>
      </c>
      <c r="X284" s="26">
        <v>7108.0</v>
      </c>
      <c r="Y284" s="26">
        <v>0.0</v>
      </c>
      <c r="Z284" s="26">
        <v>31971.0</v>
      </c>
      <c r="AA284" s="26">
        <v>8051.0</v>
      </c>
      <c r="AB284" s="26">
        <v>4118.0</v>
      </c>
      <c r="AC284" s="26">
        <v>3933.0</v>
      </c>
      <c r="AD284" s="26">
        <v>14733.0</v>
      </c>
      <c r="AE284" s="26">
        <v>7734.0</v>
      </c>
      <c r="AF284" s="26">
        <v>6455.0</v>
      </c>
      <c r="AG284" s="26">
        <v>337.0</v>
      </c>
      <c r="AH284" s="26">
        <v>207.0</v>
      </c>
      <c r="AI284" s="26">
        <f t="shared" si="8"/>
        <v>6662</v>
      </c>
      <c r="AJ284" s="26">
        <f t="shared" si="9"/>
        <v>8071</v>
      </c>
      <c r="AK284" s="26">
        <f t="shared" si="10"/>
        <v>11634</v>
      </c>
      <c r="AL284" s="26">
        <f t="shared" si="11"/>
        <v>10820</v>
      </c>
      <c r="AM284" s="26">
        <f t="shared" ref="AM284:AN284" si="570">(AI284/AK284)*100</f>
        <v>57.26319409</v>
      </c>
      <c r="AN284" s="26">
        <f t="shared" si="570"/>
        <v>74.59334566</v>
      </c>
      <c r="AO284" s="26">
        <v>7721.0</v>
      </c>
      <c r="AP284" s="26">
        <v>2749.0</v>
      </c>
      <c r="AQ284" s="26">
        <v>4972.0</v>
      </c>
      <c r="AR284" s="26">
        <v>1466.0</v>
      </c>
      <c r="AS284" s="27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</row>
    <row r="285">
      <c r="A285" s="22">
        <v>9049.0</v>
      </c>
      <c r="B285" s="23" t="s">
        <v>25</v>
      </c>
      <c r="C285" s="29" t="s">
        <v>340</v>
      </c>
      <c r="D285" s="29" t="s">
        <v>366</v>
      </c>
      <c r="E285" s="29" t="s">
        <v>373</v>
      </c>
      <c r="F285" s="29" t="s">
        <v>373</v>
      </c>
      <c r="G285" s="26">
        <v>5085.0</v>
      </c>
      <c r="H285" s="26">
        <v>1578.0</v>
      </c>
      <c r="I285" s="26">
        <v>810.0</v>
      </c>
      <c r="J285" s="26">
        <v>768.0</v>
      </c>
      <c r="K285" s="26">
        <v>1862.0</v>
      </c>
      <c r="L285" s="26">
        <v>1223.0</v>
      </c>
      <c r="M285" s="26">
        <v>617.0</v>
      </c>
      <c r="N285" s="26">
        <v>16.0</v>
      </c>
      <c r="O285" s="26">
        <v>6.0</v>
      </c>
      <c r="P285" s="26">
        <f t="shared" si="3"/>
        <v>623</v>
      </c>
      <c r="Q285" s="26">
        <f t="shared" si="4"/>
        <v>1239</v>
      </c>
      <c r="R285" s="26">
        <f t="shared" si="5"/>
        <v>1726</v>
      </c>
      <c r="S285" s="26">
        <f t="shared" si="6"/>
        <v>1781</v>
      </c>
      <c r="T285" s="26">
        <f t="shared" ref="T285:U285" si="571">(P285/R285)*100</f>
        <v>36.09501738</v>
      </c>
      <c r="U285" s="26">
        <f t="shared" si="571"/>
        <v>69.56765862</v>
      </c>
      <c r="V285" s="26">
        <v>1645.0</v>
      </c>
      <c r="W285" s="26">
        <v>542.0</v>
      </c>
      <c r="X285" s="26">
        <v>1103.0</v>
      </c>
      <c r="Y285" s="26">
        <v>0.0</v>
      </c>
      <c r="Z285" s="26">
        <v>5482.0</v>
      </c>
      <c r="AA285" s="26">
        <v>1677.0</v>
      </c>
      <c r="AB285" s="26">
        <v>872.0</v>
      </c>
      <c r="AC285" s="26">
        <v>805.0</v>
      </c>
      <c r="AD285" s="26">
        <v>2211.0</v>
      </c>
      <c r="AE285" s="26">
        <v>1285.0</v>
      </c>
      <c r="AF285" s="26">
        <v>856.0</v>
      </c>
      <c r="AG285" s="26">
        <v>42.0</v>
      </c>
      <c r="AH285" s="26">
        <v>28.0</v>
      </c>
      <c r="AI285" s="26">
        <f t="shared" si="8"/>
        <v>884</v>
      </c>
      <c r="AJ285" s="26">
        <f t="shared" si="9"/>
        <v>1327</v>
      </c>
      <c r="AK285" s="26">
        <f t="shared" si="10"/>
        <v>1578</v>
      </c>
      <c r="AL285" s="26">
        <f t="shared" si="11"/>
        <v>1894</v>
      </c>
      <c r="AM285" s="26">
        <f t="shared" ref="AM285:AN285" si="572">(AI285/AK285)*100</f>
        <v>56.02027883</v>
      </c>
      <c r="AN285" s="26">
        <f t="shared" si="572"/>
        <v>70.06335797</v>
      </c>
      <c r="AO285" s="26">
        <v>1261.0</v>
      </c>
      <c r="AP285" s="26">
        <v>567.0</v>
      </c>
      <c r="AQ285" s="26">
        <v>694.0</v>
      </c>
      <c r="AR285" s="26">
        <v>333.0</v>
      </c>
      <c r="AS285" s="27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</row>
    <row r="286">
      <c r="A286" s="22">
        <v>9097.0</v>
      </c>
      <c r="B286" s="23" t="s">
        <v>25</v>
      </c>
      <c r="C286" s="29" t="s">
        <v>340</v>
      </c>
      <c r="D286" s="29" t="s">
        <v>374</v>
      </c>
      <c r="E286" s="29" t="s">
        <v>375</v>
      </c>
      <c r="F286" s="29" t="s">
        <v>375</v>
      </c>
      <c r="G286" s="26">
        <v>17195.0</v>
      </c>
      <c r="H286" s="26">
        <v>4564.0</v>
      </c>
      <c r="I286" s="26">
        <v>2314.0</v>
      </c>
      <c r="J286" s="26">
        <v>2250.0</v>
      </c>
      <c r="K286" s="26">
        <v>8818.0</v>
      </c>
      <c r="L286" s="26">
        <v>5372.0</v>
      </c>
      <c r="M286" s="26">
        <v>3394.0</v>
      </c>
      <c r="N286" s="26">
        <v>27.0</v>
      </c>
      <c r="O286" s="26">
        <v>25.0</v>
      </c>
      <c r="P286" s="26">
        <f t="shared" si="3"/>
        <v>3419</v>
      </c>
      <c r="Q286" s="26">
        <f t="shared" si="4"/>
        <v>5399</v>
      </c>
      <c r="R286" s="26">
        <f t="shared" si="5"/>
        <v>6180</v>
      </c>
      <c r="S286" s="26">
        <f t="shared" si="6"/>
        <v>6451</v>
      </c>
      <c r="T286" s="26">
        <f t="shared" ref="T286:U286" si="573">(P286/R286)*100</f>
        <v>55.3236246</v>
      </c>
      <c r="U286" s="26">
        <f t="shared" si="573"/>
        <v>83.69245078</v>
      </c>
      <c r="V286" s="26">
        <v>3813.0</v>
      </c>
      <c r="W286" s="26">
        <v>1052.0</v>
      </c>
      <c r="X286" s="26">
        <v>2761.0</v>
      </c>
      <c r="Y286" s="26">
        <v>0.0</v>
      </c>
      <c r="Z286" s="26">
        <v>17065.0</v>
      </c>
      <c r="AA286" s="26">
        <v>3786.0</v>
      </c>
      <c r="AB286" s="26">
        <v>1893.0</v>
      </c>
      <c r="AC286" s="26">
        <v>1893.0</v>
      </c>
      <c r="AD286" s="26">
        <v>9795.0</v>
      </c>
      <c r="AE286" s="26">
        <v>5443.0</v>
      </c>
      <c r="AF286" s="26">
        <v>4225.0</v>
      </c>
      <c r="AG286" s="26">
        <v>62.0</v>
      </c>
      <c r="AH286" s="26">
        <v>65.0</v>
      </c>
      <c r="AI286" s="26">
        <f t="shared" si="8"/>
        <v>4290</v>
      </c>
      <c r="AJ286" s="26">
        <f t="shared" si="9"/>
        <v>5505</v>
      </c>
      <c r="AK286" s="26">
        <f t="shared" si="10"/>
        <v>6181</v>
      </c>
      <c r="AL286" s="26">
        <f t="shared" si="11"/>
        <v>6561</v>
      </c>
      <c r="AM286" s="26">
        <f t="shared" ref="AM286:AN286" si="574">(AI286/AK286)*100</f>
        <v>69.40624494</v>
      </c>
      <c r="AN286" s="26">
        <f t="shared" si="574"/>
        <v>83.90489255</v>
      </c>
      <c r="AO286" s="26">
        <v>2947.0</v>
      </c>
      <c r="AP286" s="26">
        <v>1056.0</v>
      </c>
      <c r="AQ286" s="26">
        <v>1891.0</v>
      </c>
      <c r="AR286" s="26">
        <v>537.0</v>
      </c>
      <c r="AS286" s="27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</row>
    <row r="287">
      <c r="A287" s="22">
        <v>9121.0</v>
      </c>
      <c r="B287" s="23" t="s">
        <v>25</v>
      </c>
      <c r="C287" s="29" t="s">
        <v>340</v>
      </c>
      <c r="D287" s="29" t="s">
        <v>374</v>
      </c>
      <c r="E287" s="29" t="s">
        <v>376</v>
      </c>
      <c r="F287" s="29" t="s">
        <v>376</v>
      </c>
      <c r="G287" s="26">
        <v>2135.0</v>
      </c>
      <c r="H287" s="26">
        <v>536.0</v>
      </c>
      <c r="I287" s="26">
        <v>268.0</v>
      </c>
      <c r="J287" s="26">
        <v>268.0</v>
      </c>
      <c r="K287" s="26">
        <v>1091.0</v>
      </c>
      <c r="L287" s="26">
        <v>738.0</v>
      </c>
      <c r="M287" s="26">
        <v>351.0</v>
      </c>
      <c r="N287" s="26">
        <v>0.0</v>
      </c>
      <c r="O287" s="26">
        <v>2.0</v>
      </c>
      <c r="P287" s="26">
        <f t="shared" si="3"/>
        <v>353</v>
      </c>
      <c r="Q287" s="26">
        <f t="shared" si="4"/>
        <v>738</v>
      </c>
      <c r="R287" s="26">
        <f t="shared" si="5"/>
        <v>759</v>
      </c>
      <c r="S287" s="26">
        <f t="shared" si="6"/>
        <v>840</v>
      </c>
      <c r="T287" s="26">
        <f t="shared" ref="T287:U287" si="575">(P287/R287)*100</f>
        <v>46.5085639</v>
      </c>
      <c r="U287" s="26">
        <f t="shared" si="575"/>
        <v>87.85714286</v>
      </c>
      <c r="V287" s="26">
        <v>508.0</v>
      </c>
      <c r="W287" s="26">
        <v>102.0</v>
      </c>
      <c r="X287" s="26">
        <v>406.0</v>
      </c>
      <c r="Y287" s="26">
        <v>0.0</v>
      </c>
      <c r="Z287" s="26">
        <v>2341.0</v>
      </c>
      <c r="AA287" s="26">
        <v>510.0</v>
      </c>
      <c r="AB287" s="26">
        <v>269.0</v>
      </c>
      <c r="AC287" s="26">
        <v>241.0</v>
      </c>
      <c r="AD287" s="26">
        <v>1337.0</v>
      </c>
      <c r="AE287" s="26">
        <v>768.0</v>
      </c>
      <c r="AF287" s="26">
        <v>557.0</v>
      </c>
      <c r="AG287" s="26">
        <v>5.0</v>
      </c>
      <c r="AH287" s="26">
        <v>7.0</v>
      </c>
      <c r="AI287" s="26">
        <f t="shared" si="8"/>
        <v>564</v>
      </c>
      <c r="AJ287" s="26">
        <f t="shared" si="9"/>
        <v>773</v>
      </c>
      <c r="AK287" s="26">
        <f t="shared" si="10"/>
        <v>891</v>
      </c>
      <c r="AL287" s="26">
        <f t="shared" si="11"/>
        <v>902</v>
      </c>
      <c r="AM287" s="26">
        <f t="shared" ref="AM287:AN287" si="576">(AI287/AK287)*100</f>
        <v>63.2996633</v>
      </c>
      <c r="AN287" s="26">
        <f t="shared" si="576"/>
        <v>85.69844789</v>
      </c>
      <c r="AO287" s="26">
        <v>456.0</v>
      </c>
      <c r="AP287" s="26">
        <v>129.0</v>
      </c>
      <c r="AQ287" s="26">
        <v>327.0</v>
      </c>
      <c r="AR287" s="26">
        <v>38.0</v>
      </c>
      <c r="AS287" s="27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</row>
    <row r="288">
      <c r="A288" s="22">
        <v>9145.0</v>
      </c>
      <c r="B288" s="23" t="s">
        <v>25</v>
      </c>
      <c r="C288" s="29" t="s">
        <v>340</v>
      </c>
      <c r="D288" s="29" t="s">
        <v>374</v>
      </c>
      <c r="E288" s="29" t="s">
        <v>377</v>
      </c>
      <c r="F288" s="29" t="s">
        <v>377</v>
      </c>
      <c r="G288" s="26">
        <v>2767.0</v>
      </c>
      <c r="H288" s="26">
        <v>738.0</v>
      </c>
      <c r="I288" s="26">
        <v>382.0</v>
      </c>
      <c r="J288" s="26">
        <v>356.0</v>
      </c>
      <c r="K288" s="26">
        <v>1577.0</v>
      </c>
      <c r="L288" s="26">
        <v>954.0</v>
      </c>
      <c r="M288" s="26">
        <v>621.0</v>
      </c>
      <c r="N288" s="26">
        <v>0.0</v>
      </c>
      <c r="O288" s="26">
        <v>2.0</v>
      </c>
      <c r="P288" s="26">
        <f t="shared" si="3"/>
        <v>623</v>
      </c>
      <c r="Q288" s="26">
        <f t="shared" si="4"/>
        <v>954</v>
      </c>
      <c r="R288" s="26">
        <f t="shared" si="5"/>
        <v>969</v>
      </c>
      <c r="S288" s="26">
        <f t="shared" si="6"/>
        <v>1060</v>
      </c>
      <c r="T288" s="26">
        <f t="shared" ref="T288:U288" si="577">(P288/R288)*100</f>
        <v>64.29308566</v>
      </c>
      <c r="U288" s="26">
        <f t="shared" si="577"/>
        <v>90</v>
      </c>
      <c r="V288" s="26">
        <v>452.0</v>
      </c>
      <c r="W288" s="26">
        <v>106.0</v>
      </c>
      <c r="X288" s="26">
        <v>346.0</v>
      </c>
      <c r="Y288" s="26">
        <v>0.0</v>
      </c>
      <c r="Z288" s="26">
        <v>2762.0</v>
      </c>
      <c r="AA288" s="26">
        <v>607.0</v>
      </c>
      <c r="AB288" s="26">
        <v>310.0</v>
      </c>
      <c r="AC288" s="26">
        <v>297.0</v>
      </c>
      <c r="AD288" s="26">
        <v>1742.0</v>
      </c>
      <c r="AE288" s="26">
        <v>989.0</v>
      </c>
      <c r="AF288" s="26">
        <v>734.0</v>
      </c>
      <c r="AG288" s="26">
        <v>14.0</v>
      </c>
      <c r="AH288" s="26">
        <v>5.0</v>
      </c>
      <c r="AI288" s="26">
        <f t="shared" si="8"/>
        <v>739</v>
      </c>
      <c r="AJ288" s="26">
        <f t="shared" si="9"/>
        <v>1003</v>
      </c>
      <c r="AK288" s="26">
        <f t="shared" si="10"/>
        <v>1015</v>
      </c>
      <c r="AL288" s="26">
        <f t="shared" si="11"/>
        <v>1106</v>
      </c>
      <c r="AM288" s="26">
        <f t="shared" ref="AM288:AN288" si="578">(AI288/AK288)*100</f>
        <v>72.80788177</v>
      </c>
      <c r="AN288" s="26">
        <f t="shared" si="578"/>
        <v>90.68716094</v>
      </c>
      <c r="AO288" s="26">
        <v>379.0</v>
      </c>
      <c r="AP288" s="26">
        <v>103.0</v>
      </c>
      <c r="AQ288" s="26">
        <v>276.0</v>
      </c>
      <c r="AR288" s="26">
        <v>34.0</v>
      </c>
      <c r="AS288" s="27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</row>
    <row r="289">
      <c r="A289" s="22">
        <v>9169.0</v>
      </c>
      <c r="B289" s="23" t="s">
        <v>25</v>
      </c>
      <c r="C289" s="29" t="s">
        <v>340</v>
      </c>
      <c r="D289" s="29" t="s">
        <v>374</v>
      </c>
      <c r="E289" s="29" t="s">
        <v>378</v>
      </c>
      <c r="F289" s="29" t="s">
        <v>378</v>
      </c>
      <c r="G289" s="26">
        <v>2390.0</v>
      </c>
      <c r="H289" s="26">
        <v>669.0</v>
      </c>
      <c r="I289" s="26">
        <v>350.0</v>
      </c>
      <c r="J289" s="26">
        <v>319.0</v>
      </c>
      <c r="K289" s="26">
        <v>1247.0</v>
      </c>
      <c r="L289" s="26">
        <v>826.0</v>
      </c>
      <c r="M289" s="26">
        <v>417.0</v>
      </c>
      <c r="N289" s="26">
        <v>3.0</v>
      </c>
      <c r="O289" s="26">
        <v>1.0</v>
      </c>
      <c r="P289" s="26">
        <f t="shared" si="3"/>
        <v>418</v>
      </c>
      <c r="Q289" s="26">
        <f t="shared" si="4"/>
        <v>829</v>
      </c>
      <c r="R289" s="26">
        <f t="shared" si="5"/>
        <v>774</v>
      </c>
      <c r="S289" s="26">
        <f t="shared" si="6"/>
        <v>947</v>
      </c>
      <c r="T289" s="26">
        <f t="shared" ref="T289:U289" si="579">(P289/R289)*100</f>
        <v>54.00516796</v>
      </c>
      <c r="U289" s="26">
        <f t="shared" si="579"/>
        <v>87.53959873</v>
      </c>
      <c r="V289" s="26">
        <v>474.0</v>
      </c>
      <c r="W289" s="26">
        <v>118.0</v>
      </c>
      <c r="X289" s="26">
        <v>356.0</v>
      </c>
      <c r="Y289" s="26">
        <v>0.0</v>
      </c>
      <c r="Z289" s="26">
        <v>1767.0</v>
      </c>
      <c r="AA289" s="26">
        <v>372.0</v>
      </c>
      <c r="AB289" s="26">
        <v>205.0</v>
      </c>
      <c r="AC289" s="26">
        <v>167.0</v>
      </c>
      <c r="AD289" s="26">
        <v>1050.0</v>
      </c>
      <c r="AE289" s="26">
        <v>617.0</v>
      </c>
      <c r="AF289" s="26">
        <v>417.0</v>
      </c>
      <c r="AG289" s="26">
        <v>14.0</v>
      </c>
      <c r="AH289" s="26">
        <v>2.0</v>
      </c>
      <c r="AI289" s="26">
        <f t="shared" si="8"/>
        <v>419</v>
      </c>
      <c r="AJ289" s="26">
        <f t="shared" si="9"/>
        <v>631</v>
      </c>
      <c r="AK289" s="26">
        <f t="shared" si="10"/>
        <v>612</v>
      </c>
      <c r="AL289" s="26">
        <f t="shared" si="11"/>
        <v>741</v>
      </c>
      <c r="AM289" s="26">
        <f t="shared" ref="AM289:AN289" si="580">(AI289/AK289)*100</f>
        <v>68.46405229</v>
      </c>
      <c r="AN289" s="26">
        <f t="shared" si="580"/>
        <v>85.15519568</v>
      </c>
      <c r="AO289" s="26">
        <v>303.0</v>
      </c>
      <c r="AP289" s="26">
        <v>110.0</v>
      </c>
      <c r="AQ289" s="26">
        <v>193.0</v>
      </c>
      <c r="AR289" s="26">
        <v>42.0</v>
      </c>
      <c r="AS289" s="27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</row>
    <row r="290">
      <c r="A290" s="22">
        <v>9193.0</v>
      </c>
      <c r="B290" s="23" t="s">
        <v>25</v>
      </c>
      <c r="C290" s="29" t="s">
        <v>340</v>
      </c>
      <c r="D290" s="29" t="s">
        <v>374</v>
      </c>
      <c r="E290" s="29" t="s">
        <v>379</v>
      </c>
      <c r="F290" s="29" t="s">
        <v>379</v>
      </c>
      <c r="G290" s="26">
        <v>2069.0</v>
      </c>
      <c r="H290" s="26">
        <v>543.0</v>
      </c>
      <c r="I290" s="26">
        <v>304.0</v>
      </c>
      <c r="J290" s="26">
        <v>239.0</v>
      </c>
      <c r="K290" s="26">
        <v>1094.0</v>
      </c>
      <c r="L290" s="26">
        <v>670.0</v>
      </c>
      <c r="M290" s="26">
        <v>424.0</v>
      </c>
      <c r="N290" s="26">
        <v>0.0</v>
      </c>
      <c r="O290" s="26">
        <v>0.0</v>
      </c>
      <c r="P290" s="26">
        <f t="shared" si="3"/>
        <v>424</v>
      </c>
      <c r="Q290" s="26">
        <f t="shared" si="4"/>
        <v>670</v>
      </c>
      <c r="R290" s="26">
        <f t="shared" si="5"/>
        <v>714</v>
      </c>
      <c r="S290" s="26">
        <f t="shared" si="6"/>
        <v>812</v>
      </c>
      <c r="T290" s="26">
        <f t="shared" ref="T290:U290" si="581">(P290/R290)*100</f>
        <v>59.3837535</v>
      </c>
      <c r="U290" s="26">
        <f t="shared" si="581"/>
        <v>82.51231527</v>
      </c>
      <c r="V290" s="26">
        <v>432.0</v>
      </c>
      <c r="W290" s="26">
        <v>142.0</v>
      </c>
      <c r="X290" s="26">
        <v>290.0</v>
      </c>
      <c r="Y290" s="26">
        <v>0.0</v>
      </c>
      <c r="Z290" s="26">
        <v>1999.0</v>
      </c>
      <c r="AA290" s="26">
        <v>441.0</v>
      </c>
      <c r="AB290" s="26">
        <v>229.0</v>
      </c>
      <c r="AC290" s="26">
        <v>212.0</v>
      </c>
      <c r="AD290" s="26">
        <v>1189.0</v>
      </c>
      <c r="AE290" s="26">
        <v>732.0</v>
      </c>
      <c r="AF290" s="26">
        <v>443.0</v>
      </c>
      <c r="AG290" s="26">
        <v>8.0</v>
      </c>
      <c r="AH290" s="26">
        <v>6.0</v>
      </c>
      <c r="AI290" s="26">
        <f t="shared" si="8"/>
        <v>449</v>
      </c>
      <c r="AJ290" s="26">
        <f t="shared" si="9"/>
        <v>740</v>
      </c>
      <c r="AK290" s="26">
        <f t="shared" si="10"/>
        <v>690</v>
      </c>
      <c r="AL290" s="26">
        <f t="shared" si="11"/>
        <v>857</v>
      </c>
      <c r="AM290" s="26">
        <f t="shared" ref="AM290:AN290" si="582">(AI290/AK290)*100</f>
        <v>65.07246377</v>
      </c>
      <c r="AN290" s="26">
        <f t="shared" si="582"/>
        <v>86.34772462</v>
      </c>
      <c r="AO290" s="26">
        <v>358.0</v>
      </c>
      <c r="AP290" s="26">
        <v>117.0</v>
      </c>
      <c r="AQ290" s="26">
        <v>241.0</v>
      </c>
      <c r="AR290" s="26">
        <v>11.0</v>
      </c>
      <c r="AS290" s="27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</row>
    <row r="291">
      <c r="A291" s="22">
        <v>9241.0</v>
      </c>
      <c r="B291" s="23" t="s">
        <v>25</v>
      </c>
      <c r="C291" s="29" t="s">
        <v>340</v>
      </c>
      <c r="D291" s="29" t="s">
        <v>380</v>
      </c>
      <c r="E291" s="29" t="s">
        <v>381</v>
      </c>
      <c r="F291" s="29" t="s">
        <v>381</v>
      </c>
      <c r="G291" s="26">
        <v>10412.0</v>
      </c>
      <c r="H291" s="26">
        <v>2978.0</v>
      </c>
      <c r="I291" s="26">
        <v>1566.0</v>
      </c>
      <c r="J291" s="26">
        <v>1412.0</v>
      </c>
      <c r="K291" s="26">
        <v>5350.0</v>
      </c>
      <c r="L291" s="26">
        <v>3386.0</v>
      </c>
      <c r="M291" s="26">
        <v>1934.0</v>
      </c>
      <c r="N291" s="26">
        <v>16.0</v>
      </c>
      <c r="O291" s="26">
        <v>14.0</v>
      </c>
      <c r="P291" s="26">
        <f t="shared" si="3"/>
        <v>1948</v>
      </c>
      <c r="Q291" s="26">
        <f t="shared" si="4"/>
        <v>3402</v>
      </c>
      <c r="R291" s="26">
        <f t="shared" si="5"/>
        <v>3473</v>
      </c>
      <c r="S291" s="26">
        <f t="shared" si="6"/>
        <v>3961</v>
      </c>
      <c r="T291" s="26">
        <f t="shared" ref="T291:U291" si="583">(P291/R291)*100</f>
        <v>56.08983588</v>
      </c>
      <c r="U291" s="26">
        <f t="shared" si="583"/>
        <v>85.88740217</v>
      </c>
      <c r="V291" s="26">
        <v>2084.0</v>
      </c>
      <c r="W291" s="26">
        <v>559.0</v>
      </c>
      <c r="X291" s="26">
        <v>1525.0</v>
      </c>
      <c r="Y291" s="26">
        <v>0.0</v>
      </c>
      <c r="Z291" s="26">
        <v>11706.0</v>
      </c>
      <c r="AA291" s="26">
        <v>2819.0</v>
      </c>
      <c r="AB291" s="26">
        <v>1411.0</v>
      </c>
      <c r="AC291" s="26">
        <v>1408.0</v>
      </c>
      <c r="AD291" s="26">
        <v>6738.0</v>
      </c>
      <c r="AE291" s="26">
        <v>3960.0</v>
      </c>
      <c r="AF291" s="26">
        <v>2699.0</v>
      </c>
      <c r="AG291" s="26">
        <v>42.0</v>
      </c>
      <c r="AH291" s="26">
        <v>37.0</v>
      </c>
      <c r="AI291" s="26">
        <f t="shared" si="8"/>
        <v>2736</v>
      </c>
      <c r="AJ291" s="26">
        <f t="shared" si="9"/>
        <v>4002</v>
      </c>
      <c r="AK291" s="26">
        <f t="shared" si="10"/>
        <v>3954</v>
      </c>
      <c r="AL291" s="26">
        <f t="shared" si="11"/>
        <v>4610</v>
      </c>
      <c r="AM291" s="26">
        <f t="shared" ref="AM291:AN291" si="584">(AI291/AK291)*100</f>
        <v>69.19575114</v>
      </c>
      <c r="AN291" s="26">
        <f t="shared" si="584"/>
        <v>86.81127983</v>
      </c>
      <c r="AO291" s="26">
        <v>1826.0</v>
      </c>
      <c r="AP291" s="26">
        <v>608.0</v>
      </c>
      <c r="AQ291" s="26">
        <v>1218.0</v>
      </c>
      <c r="AR291" s="26">
        <v>323.0</v>
      </c>
      <c r="AS291" s="27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</row>
    <row r="292">
      <c r="A292" s="22">
        <v>9265.0</v>
      </c>
      <c r="B292" s="23" t="s">
        <v>25</v>
      </c>
      <c r="C292" s="29" t="s">
        <v>340</v>
      </c>
      <c r="D292" s="29" t="s">
        <v>380</v>
      </c>
      <c r="E292" s="29" t="s">
        <v>382</v>
      </c>
      <c r="F292" s="29" t="s">
        <v>382</v>
      </c>
      <c r="G292" s="26">
        <v>9193.0</v>
      </c>
      <c r="H292" s="26">
        <v>2887.0</v>
      </c>
      <c r="I292" s="26">
        <v>1491.0</v>
      </c>
      <c r="J292" s="26">
        <v>1396.0</v>
      </c>
      <c r="K292" s="26">
        <v>4507.0</v>
      </c>
      <c r="L292" s="26">
        <v>2859.0</v>
      </c>
      <c r="M292" s="26">
        <v>1618.0</v>
      </c>
      <c r="N292" s="26">
        <v>19.0</v>
      </c>
      <c r="O292" s="26">
        <v>11.0</v>
      </c>
      <c r="P292" s="26">
        <f t="shared" si="3"/>
        <v>1629</v>
      </c>
      <c r="Q292" s="26">
        <f t="shared" si="4"/>
        <v>2878</v>
      </c>
      <c r="R292" s="26">
        <f t="shared" si="5"/>
        <v>3005</v>
      </c>
      <c r="S292" s="26">
        <f t="shared" si="6"/>
        <v>3301</v>
      </c>
      <c r="T292" s="26">
        <f t="shared" ref="T292:U292" si="585">(P292/R292)*100</f>
        <v>54.20965058</v>
      </c>
      <c r="U292" s="26">
        <f t="shared" si="585"/>
        <v>87.1857013</v>
      </c>
      <c r="V292" s="26">
        <v>1799.0</v>
      </c>
      <c r="W292" s="26">
        <v>423.0</v>
      </c>
      <c r="X292" s="26">
        <v>1376.0</v>
      </c>
      <c r="Y292" s="26">
        <v>0.0</v>
      </c>
      <c r="Z292" s="26">
        <v>9643.0</v>
      </c>
      <c r="AA292" s="26">
        <v>2703.0</v>
      </c>
      <c r="AB292" s="26">
        <v>1342.0</v>
      </c>
      <c r="AC292" s="26">
        <v>1361.0</v>
      </c>
      <c r="AD292" s="26">
        <v>5182.0</v>
      </c>
      <c r="AE292" s="26">
        <v>3000.0</v>
      </c>
      <c r="AF292" s="26">
        <v>2108.0</v>
      </c>
      <c r="AG292" s="26">
        <v>42.0</v>
      </c>
      <c r="AH292" s="26">
        <v>32.0</v>
      </c>
      <c r="AI292" s="26">
        <f t="shared" si="8"/>
        <v>2140</v>
      </c>
      <c r="AJ292" s="26">
        <f t="shared" si="9"/>
        <v>3042</v>
      </c>
      <c r="AK292" s="26">
        <f t="shared" si="10"/>
        <v>3251</v>
      </c>
      <c r="AL292" s="26">
        <f t="shared" si="11"/>
        <v>3480</v>
      </c>
      <c r="AM292" s="26">
        <f t="shared" ref="AM292:AN292" si="586">(AI292/AK292)*100</f>
        <v>65.82589972</v>
      </c>
      <c r="AN292" s="26">
        <f t="shared" si="586"/>
        <v>87.4137931</v>
      </c>
      <c r="AO292" s="26">
        <v>1549.0</v>
      </c>
      <c r="AP292" s="26">
        <v>438.0</v>
      </c>
      <c r="AQ292" s="26">
        <v>1111.0</v>
      </c>
      <c r="AR292" s="26">
        <v>209.0</v>
      </c>
      <c r="AS292" s="27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</row>
    <row r="293">
      <c r="A293" s="22">
        <v>9289.0</v>
      </c>
      <c r="B293" s="23" t="s">
        <v>25</v>
      </c>
      <c r="C293" s="29" t="s">
        <v>340</v>
      </c>
      <c r="D293" s="29" t="s">
        <v>380</v>
      </c>
      <c r="E293" s="29" t="s">
        <v>383</v>
      </c>
      <c r="F293" s="29" t="s">
        <v>383</v>
      </c>
      <c r="G293" s="26">
        <v>10172.0</v>
      </c>
      <c r="H293" s="26">
        <v>3274.0</v>
      </c>
      <c r="I293" s="26">
        <v>1683.0</v>
      </c>
      <c r="J293" s="26">
        <v>1591.0</v>
      </c>
      <c r="K293" s="26">
        <v>4851.0</v>
      </c>
      <c r="L293" s="26">
        <v>3101.0</v>
      </c>
      <c r="M293" s="26">
        <v>1721.0</v>
      </c>
      <c r="N293" s="26">
        <v>7.0</v>
      </c>
      <c r="O293" s="26">
        <v>22.0</v>
      </c>
      <c r="P293" s="26">
        <f t="shared" si="3"/>
        <v>1743</v>
      </c>
      <c r="Q293" s="26">
        <f t="shared" si="4"/>
        <v>3108</v>
      </c>
      <c r="R293" s="26">
        <f t="shared" si="5"/>
        <v>3289</v>
      </c>
      <c r="S293" s="26">
        <f t="shared" si="6"/>
        <v>3609</v>
      </c>
      <c r="T293" s="26">
        <f t="shared" ref="T293:U293" si="587">(P293/R293)*100</f>
        <v>52.99483126</v>
      </c>
      <c r="U293" s="26">
        <f t="shared" si="587"/>
        <v>86.11803824</v>
      </c>
      <c r="V293" s="26">
        <v>2047.0</v>
      </c>
      <c r="W293" s="26">
        <v>501.0</v>
      </c>
      <c r="X293" s="26">
        <v>1546.0</v>
      </c>
      <c r="Y293" s="26">
        <v>0.0</v>
      </c>
      <c r="Z293" s="26">
        <v>12663.0</v>
      </c>
      <c r="AA293" s="26">
        <v>3540.0</v>
      </c>
      <c r="AB293" s="26">
        <v>1882.0</v>
      </c>
      <c r="AC293" s="26">
        <v>1658.0</v>
      </c>
      <c r="AD293" s="26">
        <v>6743.0</v>
      </c>
      <c r="AE293" s="26">
        <v>3947.0</v>
      </c>
      <c r="AF293" s="26">
        <v>2673.0</v>
      </c>
      <c r="AG293" s="26">
        <v>63.0</v>
      </c>
      <c r="AH293" s="26">
        <v>60.0</v>
      </c>
      <c r="AI293" s="26">
        <f t="shared" si="8"/>
        <v>2733</v>
      </c>
      <c r="AJ293" s="26">
        <f t="shared" si="9"/>
        <v>4010</v>
      </c>
      <c r="AK293" s="26">
        <f t="shared" si="10"/>
        <v>4245</v>
      </c>
      <c r="AL293" s="26">
        <f t="shared" si="11"/>
        <v>4577</v>
      </c>
      <c r="AM293" s="26">
        <f t="shared" ref="AM293:AN293" si="588">(AI293/AK293)*100</f>
        <v>64.38162544</v>
      </c>
      <c r="AN293" s="26">
        <f t="shared" si="588"/>
        <v>87.61197291</v>
      </c>
      <c r="AO293" s="26">
        <v>2079.0</v>
      </c>
      <c r="AP293" s="26">
        <v>567.0</v>
      </c>
      <c r="AQ293" s="26">
        <v>1512.0</v>
      </c>
      <c r="AR293" s="26">
        <v>301.0</v>
      </c>
      <c r="AS293" s="27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</row>
    <row r="294">
      <c r="A294" s="22">
        <v>9313.0</v>
      </c>
      <c r="B294" s="23" t="s">
        <v>25</v>
      </c>
      <c r="C294" s="29" t="s">
        <v>340</v>
      </c>
      <c r="D294" s="29" t="s">
        <v>380</v>
      </c>
      <c r="E294" s="29" t="s">
        <v>384</v>
      </c>
      <c r="F294" s="29" t="s">
        <v>384</v>
      </c>
      <c r="G294" s="26">
        <v>2990.0</v>
      </c>
      <c r="H294" s="26">
        <v>784.0</v>
      </c>
      <c r="I294" s="26">
        <v>409.0</v>
      </c>
      <c r="J294" s="26">
        <v>375.0</v>
      </c>
      <c r="K294" s="26">
        <v>1538.0</v>
      </c>
      <c r="L294" s="26">
        <v>962.0</v>
      </c>
      <c r="M294" s="26">
        <v>556.0</v>
      </c>
      <c r="N294" s="26">
        <v>12.0</v>
      </c>
      <c r="O294" s="26">
        <v>8.0</v>
      </c>
      <c r="P294" s="26">
        <f t="shared" si="3"/>
        <v>564</v>
      </c>
      <c r="Q294" s="26">
        <f t="shared" si="4"/>
        <v>974</v>
      </c>
      <c r="R294" s="26">
        <f t="shared" si="5"/>
        <v>1065</v>
      </c>
      <c r="S294" s="26">
        <f t="shared" si="6"/>
        <v>1141</v>
      </c>
      <c r="T294" s="26">
        <f t="shared" ref="T294:U294" si="589">(P294/R294)*100</f>
        <v>52.95774648</v>
      </c>
      <c r="U294" s="26">
        <f t="shared" si="589"/>
        <v>85.36371604</v>
      </c>
      <c r="V294" s="26">
        <v>668.0</v>
      </c>
      <c r="W294" s="26">
        <v>167.0</v>
      </c>
      <c r="X294" s="26">
        <v>501.0</v>
      </c>
      <c r="Y294" s="26">
        <v>0.0</v>
      </c>
      <c r="Z294" s="26">
        <v>3057.0</v>
      </c>
      <c r="AA294" s="26">
        <v>567.0</v>
      </c>
      <c r="AB294" s="26">
        <v>290.0</v>
      </c>
      <c r="AC294" s="26">
        <v>277.0</v>
      </c>
      <c r="AD294" s="26">
        <v>1806.0</v>
      </c>
      <c r="AE294" s="26">
        <v>1010.0</v>
      </c>
      <c r="AF294" s="26">
        <v>714.0</v>
      </c>
      <c r="AG294" s="26">
        <v>44.0</v>
      </c>
      <c r="AH294" s="26">
        <v>38.0</v>
      </c>
      <c r="AI294" s="26">
        <f t="shared" si="8"/>
        <v>752</v>
      </c>
      <c r="AJ294" s="26">
        <f t="shared" si="9"/>
        <v>1054</v>
      </c>
      <c r="AK294" s="26">
        <f t="shared" si="10"/>
        <v>1213</v>
      </c>
      <c r="AL294" s="26">
        <f t="shared" si="11"/>
        <v>1234</v>
      </c>
      <c r="AM294" s="26">
        <f t="shared" ref="AM294:AN294" si="590">(AI294/AK294)*100</f>
        <v>61.99505359</v>
      </c>
      <c r="AN294" s="26">
        <f t="shared" si="590"/>
        <v>85.41329011</v>
      </c>
      <c r="AO294" s="26">
        <v>641.0</v>
      </c>
      <c r="AP294" s="26">
        <v>180.0</v>
      </c>
      <c r="AQ294" s="26">
        <v>461.0</v>
      </c>
      <c r="AR294" s="26">
        <v>43.0</v>
      </c>
      <c r="AS294" s="27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</row>
    <row r="295">
      <c r="A295" s="22">
        <v>9361.0</v>
      </c>
      <c r="B295" s="23" t="s">
        <v>25</v>
      </c>
      <c r="C295" s="29" t="s">
        <v>340</v>
      </c>
      <c r="D295" s="29" t="s">
        <v>385</v>
      </c>
      <c r="E295" s="29" t="s">
        <v>386</v>
      </c>
      <c r="F295" s="29" t="s">
        <v>386</v>
      </c>
      <c r="G295" s="26">
        <v>109363.0</v>
      </c>
      <c r="H295" s="26">
        <v>33204.0</v>
      </c>
      <c r="I295" s="26">
        <v>16785.0</v>
      </c>
      <c r="J295" s="26">
        <v>16419.0</v>
      </c>
      <c r="K295" s="26">
        <v>47168.0</v>
      </c>
      <c r="L295" s="26">
        <v>28366.0</v>
      </c>
      <c r="M295" s="26">
        <v>18333.0</v>
      </c>
      <c r="N295" s="26">
        <v>283.0</v>
      </c>
      <c r="O295" s="26">
        <v>186.0</v>
      </c>
      <c r="P295" s="26">
        <f t="shared" si="3"/>
        <v>18519</v>
      </c>
      <c r="Q295" s="26">
        <f t="shared" si="4"/>
        <v>28649</v>
      </c>
      <c r="R295" s="26">
        <f t="shared" si="5"/>
        <v>38520</v>
      </c>
      <c r="S295" s="26">
        <f t="shared" si="6"/>
        <v>37639</v>
      </c>
      <c r="T295" s="26">
        <f t="shared" ref="T295:U295" si="591">(P295/R295)*100</f>
        <v>48.07632399</v>
      </c>
      <c r="U295" s="26">
        <f t="shared" si="591"/>
        <v>76.11519966</v>
      </c>
      <c r="V295" s="26">
        <v>28991.0</v>
      </c>
      <c r="W295" s="26">
        <v>8990.0</v>
      </c>
      <c r="X295" s="26">
        <v>20001.0</v>
      </c>
      <c r="Y295" s="26">
        <v>0.0</v>
      </c>
      <c r="Z295" s="26">
        <v>125491.0</v>
      </c>
      <c r="AA295" s="26">
        <v>34310.0</v>
      </c>
      <c r="AB295" s="26">
        <v>17431.0</v>
      </c>
      <c r="AC295" s="26">
        <v>16879.0</v>
      </c>
      <c r="AD295" s="26">
        <v>59565.0</v>
      </c>
      <c r="AE295" s="26">
        <v>32836.0</v>
      </c>
      <c r="AF295" s="26">
        <v>24966.0</v>
      </c>
      <c r="AG295" s="26">
        <v>975.0</v>
      </c>
      <c r="AH295" s="26">
        <v>788.0</v>
      </c>
      <c r="AI295" s="26">
        <f t="shared" si="8"/>
        <v>25754</v>
      </c>
      <c r="AJ295" s="26">
        <f t="shared" si="9"/>
        <v>33811</v>
      </c>
      <c r="AK295" s="26">
        <f t="shared" si="10"/>
        <v>42873</v>
      </c>
      <c r="AL295" s="26">
        <f t="shared" si="11"/>
        <v>43340</v>
      </c>
      <c r="AM295" s="26">
        <f t="shared" ref="AM295:AN295" si="592">(AI295/AK295)*100</f>
        <v>60.0704406</v>
      </c>
      <c r="AN295" s="26">
        <f t="shared" si="592"/>
        <v>78.01338256</v>
      </c>
      <c r="AO295" s="26">
        <v>26648.0</v>
      </c>
      <c r="AP295" s="26">
        <v>9529.0</v>
      </c>
      <c r="AQ295" s="26">
        <v>17119.0</v>
      </c>
      <c r="AR295" s="26">
        <v>4968.0</v>
      </c>
      <c r="AS295" s="27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</row>
    <row r="296">
      <c r="A296" s="22">
        <v>9385.0</v>
      </c>
      <c r="B296" s="23" t="s">
        <v>25</v>
      </c>
      <c r="C296" s="29" t="s">
        <v>340</v>
      </c>
      <c r="D296" s="29" t="s">
        <v>385</v>
      </c>
      <c r="E296" s="29" t="s">
        <v>387</v>
      </c>
      <c r="F296" s="29" t="s">
        <v>387</v>
      </c>
      <c r="G296" s="26">
        <v>14202.0</v>
      </c>
      <c r="H296" s="26">
        <v>4782.0</v>
      </c>
      <c r="I296" s="26">
        <v>2451.0</v>
      </c>
      <c r="J296" s="26">
        <v>2331.0</v>
      </c>
      <c r="K296" s="26">
        <v>5443.0</v>
      </c>
      <c r="L296" s="26">
        <v>3940.0</v>
      </c>
      <c r="M296" s="26">
        <v>1458.0</v>
      </c>
      <c r="N296" s="26">
        <v>30.0</v>
      </c>
      <c r="O296" s="26">
        <v>15.0</v>
      </c>
      <c r="P296" s="26">
        <f t="shared" si="3"/>
        <v>1473</v>
      </c>
      <c r="Q296" s="26">
        <f t="shared" si="4"/>
        <v>3970</v>
      </c>
      <c r="R296" s="26">
        <f t="shared" si="5"/>
        <v>4478</v>
      </c>
      <c r="S296" s="26">
        <f t="shared" si="6"/>
        <v>4942</v>
      </c>
      <c r="T296" s="26">
        <f t="shared" ref="T296:U296" si="593">(P296/R296)*100</f>
        <v>32.89414917</v>
      </c>
      <c r="U296" s="26">
        <f t="shared" si="593"/>
        <v>80.33184945</v>
      </c>
      <c r="V296" s="26">
        <v>3977.0</v>
      </c>
      <c r="W296" s="26">
        <v>972.0</v>
      </c>
      <c r="X296" s="26">
        <v>3005.0</v>
      </c>
      <c r="Y296" s="26">
        <v>0.0</v>
      </c>
      <c r="Z296" s="26">
        <v>16389.0</v>
      </c>
      <c r="AA296" s="26">
        <v>4899.0</v>
      </c>
      <c r="AB296" s="26">
        <v>2543.0</v>
      </c>
      <c r="AC296" s="26">
        <v>2356.0</v>
      </c>
      <c r="AD296" s="26">
        <v>7076.0</v>
      </c>
      <c r="AE296" s="26">
        <v>4439.0</v>
      </c>
      <c r="AF296" s="26">
        <v>2419.0</v>
      </c>
      <c r="AG296" s="26">
        <v>143.0</v>
      </c>
      <c r="AH296" s="26">
        <v>75.0</v>
      </c>
      <c r="AI296" s="26">
        <f t="shared" si="8"/>
        <v>2494</v>
      </c>
      <c r="AJ296" s="26">
        <f t="shared" si="9"/>
        <v>4582</v>
      </c>
      <c r="AK296" s="26">
        <f t="shared" si="10"/>
        <v>5025</v>
      </c>
      <c r="AL296" s="26">
        <f t="shared" si="11"/>
        <v>5598</v>
      </c>
      <c r="AM296" s="26">
        <f t="shared" ref="AM296:AN296" si="594">(AI296/AK296)*100</f>
        <v>49.6318408</v>
      </c>
      <c r="AN296" s="26">
        <f t="shared" si="594"/>
        <v>81.85066095</v>
      </c>
      <c r="AO296" s="26">
        <v>3547.0</v>
      </c>
      <c r="AP296" s="26">
        <v>1016.0</v>
      </c>
      <c r="AQ296" s="26">
        <v>2531.0</v>
      </c>
      <c r="AR296" s="26">
        <v>867.0</v>
      </c>
      <c r="AS296" s="27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</row>
    <row r="297">
      <c r="A297" s="22">
        <v>9409.0</v>
      </c>
      <c r="B297" s="23" t="s">
        <v>25</v>
      </c>
      <c r="C297" s="29" t="s">
        <v>340</v>
      </c>
      <c r="D297" s="29" t="s">
        <v>385</v>
      </c>
      <c r="E297" s="29" t="s">
        <v>388</v>
      </c>
      <c r="F297" s="29" t="s">
        <v>388</v>
      </c>
      <c r="G297" s="26">
        <v>23232.0</v>
      </c>
      <c r="H297" s="26">
        <v>7817.0</v>
      </c>
      <c r="I297" s="26">
        <v>3965.0</v>
      </c>
      <c r="J297" s="26">
        <v>3852.0</v>
      </c>
      <c r="K297" s="26">
        <v>9254.0</v>
      </c>
      <c r="L297" s="26">
        <v>6383.0</v>
      </c>
      <c r="M297" s="26">
        <v>2819.0</v>
      </c>
      <c r="N297" s="26">
        <v>31.0</v>
      </c>
      <c r="O297" s="26">
        <v>21.0</v>
      </c>
      <c r="P297" s="26">
        <f t="shared" si="3"/>
        <v>2840</v>
      </c>
      <c r="Q297" s="26">
        <f t="shared" si="4"/>
        <v>6414</v>
      </c>
      <c r="R297" s="26">
        <f t="shared" si="5"/>
        <v>7425</v>
      </c>
      <c r="S297" s="26">
        <f t="shared" si="6"/>
        <v>7990</v>
      </c>
      <c r="T297" s="26">
        <f t="shared" ref="T297:U297" si="595">(P297/R297)*100</f>
        <v>38.24915825</v>
      </c>
      <c r="U297" s="26">
        <f t="shared" si="595"/>
        <v>80.27534418</v>
      </c>
      <c r="V297" s="26">
        <v>6161.0</v>
      </c>
      <c r="W297" s="26">
        <v>1576.0</v>
      </c>
      <c r="X297" s="26">
        <v>4585.0</v>
      </c>
      <c r="Y297" s="26">
        <v>0.0</v>
      </c>
      <c r="Z297" s="26">
        <v>22914.0</v>
      </c>
      <c r="AA297" s="26">
        <v>6956.0</v>
      </c>
      <c r="AB297" s="26">
        <v>3533.0</v>
      </c>
      <c r="AC297" s="26">
        <v>3423.0</v>
      </c>
      <c r="AD297" s="26">
        <v>9978.0</v>
      </c>
      <c r="AE297" s="26">
        <v>5908.0</v>
      </c>
      <c r="AF297" s="26">
        <v>3716.0</v>
      </c>
      <c r="AG297" s="26">
        <v>232.0</v>
      </c>
      <c r="AH297" s="26">
        <v>122.0</v>
      </c>
      <c r="AI297" s="26">
        <f t="shared" si="8"/>
        <v>3838</v>
      </c>
      <c r="AJ297" s="26">
        <f t="shared" si="9"/>
        <v>6140</v>
      </c>
      <c r="AK297" s="26">
        <f t="shared" si="10"/>
        <v>7293</v>
      </c>
      <c r="AL297" s="26">
        <f t="shared" si="11"/>
        <v>7714</v>
      </c>
      <c r="AM297" s="26">
        <f t="shared" ref="AM297:AN297" si="596">(AI297/AK297)*100</f>
        <v>52.62580557</v>
      </c>
      <c r="AN297" s="26">
        <f t="shared" si="596"/>
        <v>79.59554058</v>
      </c>
      <c r="AO297" s="26">
        <v>5029.0</v>
      </c>
      <c r="AP297" s="26">
        <v>1574.0</v>
      </c>
      <c r="AQ297" s="26">
        <v>3455.0</v>
      </c>
      <c r="AR297" s="26">
        <v>951.0</v>
      </c>
      <c r="AS297" s="27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</row>
    <row r="298">
      <c r="A298" s="22">
        <v>9433.0</v>
      </c>
      <c r="B298" s="23" t="s">
        <v>25</v>
      </c>
      <c r="C298" s="29" t="s">
        <v>340</v>
      </c>
      <c r="D298" s="29" t="s">
        <v>385</v>
      </c>
      <c r="E298" s="29" t="s">
        <v>389</v>
      </c>
      <c r="F298" s="29" t="s">
        <v>389</v>
      </c>
      <c r="G298" s="26">
        <v>15108.0</v>
      </c>
      <c r="H298" s="26">
        <v>4625.0</v>
      </c>
      <c r="I298" s="26">
        <v>2440.0</v>
      </c>
      <c r="J298" s="26">
        <v>2185.0</v>
      </c>
      <c r="K298" s="26">
        <v>6513.0</v>
      </c>
      <c r="L298" s="26">
        <v>4803.0</v>
      </c>
      <c r="M298" s="26">
        <v>1586.0</v>
      </c>
      <c r="N298" s="26">
        <v>87.0</v>
      </c>
      <c r="O298" s="26">
        <v>37.0</v>
      </c>
      <c r="P298" s="26">
        <f t="shared" si="3"/>
        <v>1623</v>
      </c>
      <c r="Q298" s="26">
        <f t="shared" si="4"/>
        <v>4890</v>
      </c>
      <c r="R298" s="26">
        <f t="shared" si="5"/>
        <v>4509</v>
      </c>
      <c r="S298" s="26">
        <f t="shared" si="6"/>
        <v>5974</v>
      </c>
      <c r="T298" s="26">
        <f t="shared" ref="T298:U298" si="597">(P298/R298)*100</f>
        <v>35.99467731</v>
      </c>
      <c r="U298" s="26">
        <f t="shared" si="597"/>
        <v>81.85470372</v>
      </c>
      <c r="V298" s="26">
        <v>3970.0</v>
      </c>
      <c r="W298" s="26">
        <v>1084.0</v>
      </c>
      <c r="X298" s="26">
        <v>2886.0</v>
      </c>
      <c r="Y298" s="26">
        <v>0.0</v>
      </c>
      <c r="Z298" s="26">
        <v>14470.0</v>
      </c>
      <c r="AA298" s="26">
        <v>3643.0</v>
      </c>
      <c r="AB298" s="26">
        <v>1922.0</v>
      </c>
      <c r="AC298" s="26">
        <v>1721.0</v>
      </c>
      <c r="AD298" s="26">
        <v>7854.0</v>
      </c>
      <c r="AE298" s="26">
        <v>5235.0</v>
      </c>
      <c r="AF298" s="26">
        <v>2476.0</v>
      </c>
      <c r="AG298" s="26">
        <v>88.0</v>
      </c>
      <c r="AH298" s="26">
        <v>55.0</v>
      </c>
      <c r="AI298" s="26">
        <f t="shared" si="8"/>
        <v>2531</v>
      </c>
      <c r="AJ298" s="26">
        <f t="shared" si="9"/>
        <v>5323</v>
      </c>
      <c r="AK298" s="26">
        <f t="shared" si="10"/>
        <v>4346</v>
      </c>
      <c r="AL298" s="26">
        <f t="shared" si="11"/>
        <v>6124</v>
      </c>
      <c r="AM298" s="26">
        <f t="shared" ref="AM298:AN298" si="598">(AI298/AK298)*100</f>
        <v>58.23745973</v>
      </c>
      <c r="AN298" s="26">
        <f t="shared" si="598"/>
        <v>86.92031352</v>
      </c>
      <c r="AO298" s="26">
        <v>2616.0</v>
      </c>
      <c r="AP298" s="26">
        <v>801.0</v>
      </c>
      <c r="AQ298" s="26">
        <v>1815.0</v>
      </c>
      <c r="AR298" s="26">
        <v>357.0</v>
      </c>
      <c r="AS298" s="27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</row>
    <row r="299">
      <c r="A299" s="22">
        <v>9457.0</v>
      </c>
      <c r="B299" s="23" t="s">
        <v>25</v>
      </c>
      <c r="C299" s="29" t="s">
        <v>340</v>
      </c>
      <c r="D299" s="29" t="s">
        <v>385</v>
      </c>
      <c r="E299" s="29" t="s">
        <v>288</v>
      </c>
      <c r="F299" s="29" t="s">
        <v>288</v>
      </c>
      <c r="G299" s="26">
        <v>19096.0</v>
      </c>
      <c r="H299" s="26">
        <v>5860.0</v>
      </c>
      <c r="I299" s="26">
        <v>3017.0</v>
      </c>
      <c r="J299" s="26">
        <v>2843.0</v>
      </c>
      <c r="K299" s="26">
        <v>8895.0</v>
      </c>
      <c r="L299" s="26">
        <v>6625.0</v>
      </c>
      <c r="M299" s="26">
        <v>2174.0</v>
      </c>
      <c r="N299" s="26">
        <v>64.0</v>
      </c>
      <c r="O299" s="26">
        <v>32.0</v>
      </c>
      <c r="P299" s="26">
        <f t="shared" si="3"/>
        <v>2206</v>
      </c>
      <c r="Q299" s="26">
        <f t="shared" si="4"/>
        <v>6689</v>
      </c>
      <c r="R299" s="26">
        <f t="shared" si="5"/>
        <v>5279</v>
      </c>
      <c r="S299" s="26">
        <f t="shared" si="6"/>
        <v>7957</v>
      </c>
      <c r="T299" s="26">
        <f t="shared" ref="T299:U299" si="599">(P299/R299)*100</f>
        <v>41.78821747</v>
      </c>
      <c r="U299" s="26">
        <f t="shared" si="599"/>
        <v>84.06434586</v>
      </c>
      <c r="V299" s="26">
        <v>4341.0</v>
      </c>
      <c r="W299" s="26">
        <v>1268.0</v>
      </c>
      <c r="X299" s="26">
        <v>3073.0</v>
      </c>
      <c r="Y299" s="26">
        <v>0.0</v>
      </c>
      <c r="Z299" s="26">
        <v>15100.0</v>
      </c>
      <c r="AA299" s="26">
        <v>3812.0</v>
      </c>
      <c r="AB299" s="26">
        <v>1971.0</v>
      </c>
      <c r="AC299" s="26">
        <v>1841.0</v>
      </c>
      <c r="AD299" s="26">
        <v>7956.0</v>
      </c>
      <c r="AE299" s="26">
        <v>5058.0</v>
      </c>
      <c r="AF299" s="26">
        <v>2723.0</v>
      </c>
      <c r="AG299" s="26">
        <v>114.0</v>
      </c>
      <c r="AH299" s="26">
        <v>61.0</v>
      </c>
      <c r="AI299" s="26">
        <f t="shared" si="8"/>
        <v>2784</v>
      </c>
      <c r="AJ299" s="26">
        <f t="shared" si="9"/>
        <v>5172</v>
      </c>
      <c r="AK299" s="26">
        <f t="shared" si="10"/>
        <v>4774</v>
      </c>
      <c r="AL299" s="26">
        <f t="shared" si="11"/>
        <v>6094</v>
      </c>
      <c r="AM299" s="26">
        <f t="shared" ref="AM299:AN299" si="600">(AI299/AK299)*100</f>
        <v>58.31587767</v>
      </c>
      <c r="AN299" s="26">
        <f t="shared" si="600"/>
        <v>84.87036429</v>
      </c>
      <c r="AO299" s="26">
        <v>2912.0</v>
      </c>
      <c r="AP299" s="26">
        <v>922.0</v>
      </c>
      <c r="AQ299" s="26">
        <v>1990.0</v>
      </c>
      <c r="AR299" s="26">
        <v>420.0</v>
      </c>
      <c r="AS299" s="27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</row>
    <row r="300">
      <c r="A300" s="22">
        <v>9505.0</v>
      </c>
      <c r="B300" s="23" t="s">
        <v>25</v>
      </c>
      <c r="C300" s="29" t="s">
        <v>340</v>
      </c>
      <c r="D300" s="29" t="s">
        <v>390</v>
      </c>
      <c r="E300" s="29" t="s">
        <v>391</v>
      </c>
      <c r="F300" s="29" t="s">
        <v>391</v>
      </c>
      <c r="G300" s="26">
        <v>18788.0</v>
      </c>
      <c r="H300" s="26">
        <v>6815.0</v>
      </c>
      <c r="I300" s="26">
        <v>3497.0</v>
      </c>
      <c r="J300" s="26">
        <v>3318.0</v>
      </c>
      <c r="K300" s="26">
        <v>7689.0</v>
      </c>
      <c r="L300" s="26">
        <v>5215.0</v>
      </c>
      <c r="M300" s="26">
        <v>2434.0</v>
      </c>
      <c r="N300" s="26">
        <v>31.0</v>
      </c>
      <c r="O300" s="26">
        <v>9.0</v>
      </c>
      <c r="P300" s="26">
        <f t="shared" si="3"/>
        <v>2443</v>
      </c>
      <c r="Q300" s="26">
        <f t="shared" si="4"/>
        <v>5246</v>
      </c>
      <c r="R300" s="26">
        <f t="shared" si="5"/>
        <v>5415</v>
      </c>
      <c r="S300" s="26">
        <f t="shared" si="6"/>
        <v>6558</v>
      </c>
      <c r="T300" s="26">
        <f t="shared" ref="T300:U300" si="601">(P300/R300)*100</f>
        <v>45.11542013</v>
      </c>
      <c r="U300" s="26">
        <f t="shared" si="601"/>
        <v>79.99390058</v>
      </c>
      <c r="V300" s="26">
        <v>4284.0</v>
      </c>
      <c r="W300" s="26">
        <v>1312.0</v>
      </c>
      <c r="X300" s="26">
        <v>2972.0</v>
      </c>
      <c r="Y300" s="26">
        <v>0.0</v>
      </c>
      <c r="Z300" s="26">
        <v>29758.0</v>
      </c>
      <c r="AA300" s="26">
        <v>8956.0</v>
      </c>
      <c r="AB300" s="26">
        <v>4644.0</v>
      </c>
      <c r="AC300" s="26">
        <v>4312.0</v>
      </c>
      <c r="AD300" s="26">
        <v>14571.0</v>
      </c>
      <c r="AE300" s="26">
        <v>9348.0</v>
      </c>
      <c r="AF300" s="26">
        <v>4955.0</v>
      </c>
      <c r="AG300" s="26">
        <v>176.0</v>
      </c>
      <c r="AH300" s="26">
        <v>92.0</v>
      </c>
      <c r="AI300" s="26">
        <f t="shared" si="8"/>
        <v>5047</v>
      </c>
      <c r="AJ300" s="26">
        <f t="shared" si="9"/>
        <v>9524</v>
      </c>
      <c r="AK300" s="26">
        <f t="shared" si="10"/>
        <v>8677</v>
      </c>
      <c r="AL300" s="26">
        <f t="shared" si="11"/>
        <v>10935</v>
      </c>
      <c r="AM300" s="26">
        <f t="shared" ref="AM300:AN300" si="602">(AI300/AK300)*100</f>
        <v>58.16526449</v>
      </c>
      <c r="AN300" s="26">
        <f t="shared" si="602"/>
        <v>87.0964792</v>
      </c>
      <c r="AO300" s="26">
        <v>5041.0</v>
      </c>
      <c r="AP300" s="26">
        <v>1411.0</v>
      </c>
      <c r="AQ300" s="26">
        <v>3630.0</v>
      </c>
      <c r="AR300" s="26">
        <v>1190.0</v>
      </c>
      <c r="AS300" s="27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</row>
    <row r="301">
      <c r="A301" s="22">
        <v>9529.0</v>
      </c>
      <c r="B301" s="23" t="s">
        <v>25</v>
      </c>
      <c r="C301" s="29" t="s">
        <v>340</v>
      </c>
      <c r="D301" s="29" t="s">
        <v>390</v>
      </c>
      <c r="E301" s="29" t="s">
        <v>392</v>
      </c>
      <c r="F301" s="29" t="s">
        <v>392</v>
      </c>
      <c r="G301" s="26">
        <v>13617.0</v>
      </c>
      <c r="H301" s="26">
        <v>4894.0</v>
      </c>
      <c r="I301" s="26">
        <v>2496.0</v>
      </c>
      <c r="J301" s="26">
        <v>2398.0</v>
      </c>
      <c r="K301" s="26">
        <v>5906.0</v>
      </c>
      <c r="L301" s="26">
        <v>4015.0</v>
      </c>
      <c r="M301" s="26">
        <v>1866.0</v>
      </c>
      <c r="N301" s="26">
        <v>15.0</v>
      </c>
      <c r="O301" s="26">
        <v>10.0</v>
      </c>
      <c r="P301" s="26">
        <f t="shared" si="3"/>
        <v>1876</v>
      </c>
      <c r="Q301" s="26">
        <f t="shared" si="4"/>
        <v>4030</v>
      </c>
      <c r="R301" s="26">
        <f t="shared" si="5"/>
        <v>3973</v>
      </c>
      <c r="S301" s="26">
        <f t="shared" si="6"/>
        <v>4750</v>
      </c>
      <c r="T301" s="26">
        <f t="shared" ref="T301:U301" si="603">(P301/R301)*100</f>
        <v>47.2187264</v>
      </c>
      <c r="U301" s="26">
        <f t="shared" si="603"/>
        <v>84.84210526</v>
      </c>
      <c r="V301" s="26">
        <v>2817.0</v>
      </c>
      <c r="W301" s="26">
        <v>720.0</v>
      </c>
      <c r="X301" s="26">
        <v>2097.0</v>
      </c>
      <c r="Y301" s="26">
        <v>0.0</v>
      </c>
      <c r="Z301" s="26">
        <v>14403.0</v>
      </c>
      <c r="AA301" s="26">
        <v>4499.0</v>
      </c>
      <c r="AB301" s="26">
        <v>2276.0</v>
      </c>
      <c r="AC301" s="26">
        <v>2223.0</v>
      </c>
      <c r="AD301" s="26">
        <v>6488.0</v>
      </c>
      <c r="AE301" s="26">
        <v>3984.0</v>
      </c>
      <c r="AF301" s="26">
        <v>2374.0</v>
      </c>
      <c r="AG301" s="26">
        <v>81.0</v>
      </c>
      <c r="AH301" s="26">
        <v>49.0</v>
      </c>
      <c r="AI301" s="26">
        <f t="shared" si="8"/>
        <v>2423</v>
      </c>
      <c r="AJ301" s="26">
        <f t="shared" si="9"/>
        <v>4065</v>
      </c>
      <c r="AK301" s="26">
        <f t="shared" si="10"/>
        <v>4216</v>
      </c>
      <c r="AL301" s="26">
        <f t="shared" si="11"/>
        <v>4793</v>
      </c>
      <c r="AM301" s="26">
        <f t="shared" ref="AM301:AN301" si="604">(AI301/AK301)*100</f>
        <v>57.471537</v>
      </c>
      <c r="AN301" s="26">
        <f t="shared" si="604"/>
        <v>84.81118298</v>
      </c>
      <c r="AO301" s="26">
        <v>2521.0</v>
      </c>
      <c r="AP301" s="26">
        <v>728.0</v>
      </c>
      <c r="AQ301" s="26">
        <v>1793.0</v>
      </c>
      <c r="AR301" s="26">
        <v>895.0</v>
      </c>
      <c r="AS301" s="27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</row>
    <row r="302">
      <c r="A302" s="22">
        <v>9553.0</v>
      </c>
      <c r="B302" s="23" t="s">
        <v>25</v>
      </c>
      <c r="C302" s="29" t="s">
        <v>340</v>
      </c>
      <c r="D302" s="29" t="s">
        <v>390</v>
      </c>
      <c r="E302" s="29" t="s">
        <v>393</v>
      </c>
      <c r="F302" s="29" t="s">
        <v>393</v>
      </c>
      <c r="G302" s="26">
        <v>47376.0</v>
      </c>
      <c r="H302" s="26">
        <v>17079.0</v>
      </c>
      <c r="I302" s="26">
        <v>8629.0</v>
      </c>
      <c r="J302" s="26">
        <v>8450.0</v>
      </c>
      <c r="K302" s="26">
        <v>19277.0</v>
      </c>
      <c r="L302" s="26">
        <v>13213.0</v>
      </c>
      <c r="M302" s="26">
        <v>5944.0</v>
      </c>
      <c r="N302" s="26">
        <v>79.0</v>
      </c>
      <c r="O302" s="26">
        <v>41.0</v>
      </c>
      <c r="P302" s="26">
        <f t="shared" si="3"/>
        <v>5985</v>
      </c>
      <c r="Q302" s="26">
        <f t="shared" si="4"/>
        <v>13292</v>
      </c>
      <c r="R302" s="26">
        <f t="shared" si="5"/>
        <v>13980</v>
      </c>
      <c r="S302" s="26">
        <f t="shared" si="6"/>
        <v>16317</v>
      </c>
      <c r="T302" s="26">
        <f t="shared" ref="T302:U302" si="605">(P302/R302)*100</f>
        <v>42.8111588</v>
      </c>
      <c r="U302" s="26">
        <f t="shared" si="605"/>
        <v>81.46105289</v>
      </c>
      <c r="V302" s="26">
        <v>11020.0</v>
      </c>
      <c r="W302" s="26">
        <v>3025.0</v>
      </c>
      <c r="X302" s="26">
        <v>7995.0</v>
      </c>
      <c r="Y302" s="26">
        <v>0.0</v>
      </c>
      <c r="Z302" s="26">
        <v>44596.0</v>
      </c>
      <c r="AA302" s="26">
        <v>13432.0</v>
      </c>
      <c r="AB302" s="26">
        <v>6830.0</v>
      </c>
      <c r="AC302" s="26">
        <v>6602.0</v>
      </c>
      <c r="AD302" s="26">
        <v>21839.0</v>
      </c>
      <c r="AE302" s="26">
        <v>12768.0</v>
      </c>
      <c r="AF302" s="26">
        <v>8609.0</v>
      </c>
      <c r="AG302" s="26">
        <v>278.0</v>
      </c>
      <c r="AH302" s="26">
        <v>184.0</v>
      </c>
      <c r="AI302" s="26">
        <f t="shared" si="8"/>
        <v>8793</v>
      </c>
      <c r="AJ302" s="26">
        <f t="shared" si="9"/>
        <v>13046</v>
      </c>
      <c r="AK302" s="26">
        <f t="shared" si="10"/>
        <v>14639</v>
      </c>
      <c r="AL302" s="26">
        <f t="shared" si="11"/>
        <v>15370</v>
      </c>
      <c r="AM302" s="26">
        <f t="shared" ref="AM302:AN302" si="606">(AI302/AK302)*100</f>
        <v>60.06557825</v>
      </c>
      <c r="AN302" s="26">
        <f t="shared" si="606"/>
        <v>84.87963565</v>
      </c>
      <c r="AO302" s="26">
        <v>8170.0</v>
      </c>
      <c r="AP302" s="26">
        <v>2324.0</v>
      </c>
      <c r="AQ302" s="26">
        <v>5846.0</v>
      </c>
      <c r="AR302" s="26">
        <v>1155.0</v>
      </c>
      <c r="AS302" s="27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</row>
    <row r="303">
      <c r="A303" s="22">
        <v>9577.0</v>
      </c>
      <c r="B303" s="23" t="s">
        <v>25</v>
      </c>
      <c r="C303" s="29" t="s">
        <v>340</v>
      </c>
      <c r="D303" s="29" t="s">
        <v>390</v>
      </c>
      <c r="E303" s="29" t="s">
        <v>394</v>
      </c>
      <c r="F303" s="29" t="s">
        <v>394</v>
      </c>
      <c r="G303" s="26">
        <v>6480.0</v>
      </c>
      <c r="H303" s="26">
        <v>2315.0</v>
      </c>
      <c r="I303" s="26">
        <v>1171.0</v>
      </c>
      <c r="J303" s="26">
        <v>1144.0</v>
      </c>
      <c r="K303" s="26">
        <v>2657.0</v>
      </c>
      <c r="L303" s="26">
        <v>1728.0</v>
      </c>
      <c r="M303" s="26">
        <v>920.0</v>
      </c>
      <c r="N303" s="26">
        <v>4.0</v>
      </c>
      <c r="O303" s="26">
        <v>5.0</v>
      </c>
      <c r="P303" s="26">
        <f t="shared" si="3"/>
        <v>925</v>
      </c>
      <c r="Q303" s="26">
        <f t="shared" si="4"/>
        <v>1732</v>
      </c>
      <c r="R303" s="26">
        <f t="shared" si="5"/>
        <v>1913</v>
      </c>
      <c r="S303" s="26">
        <f t="shared" si="6"/>
        <v>2252</v>
      </c>
      <c r="T303" s="26">
        <f t="shared" ref="T303:U303" si="607">(P303/R303)*100</f>
        <v>48.35337167</v>
      </c>
      <c r="U303" s="26">
        <f t="shared" si="607"/>
        <v>76.90941385</v>
      </c>
      <c r="V303" s="26">
        <v>1508.0</v>
      </c>
      <c r="W303" s="26">
        <v>520.0</v>
      </c>
      <c r="X303" s="26">
        <v>988.0</v>
      </c>
      <c r="Y303" s="26">
        <v>0.0</v>
      </c>
      <c r="Z303" s="26">
        <v>6269.0</v>
      </c>
      <c r="AA303" s="26">
        <v>1986.0</v>
      </c>
      <c r="AB303" s="26">
        <v>987.0</v>
      </c>
      <c r="AC303" s="26">
        <v>999.0</v>
      </c>
      <c r="AD303" s="26">
        <v>2809.0</v>
      </c>
      <c r="AE303" s="26">
        <v>1638.0</v>
      </c>
      <c r="AF303" s="26">
        <v>1090.0</v>
      </c>
      <c r="AG303" s="26">
        <v>51.0</v>
      </c>
      <c r="AH303" s="26">
        <v>30.0</v>
      </c>
      <c r="AI303" s="26">
        <f t="shared" si="8"/>
        <v>1120</v>
      </c>
      <c r="AJ303" s="26">
        <f t="shared" si="9"/>
        <v>1689</v>
      </c>
      <c r="AK303" s="26">
        <f t="shared" si="10"/>
        <v>1854</v>
      </c>
      <c r="AL303" s="26">
        <f t="shared" si="11"/>
        <v>2082</v>
      </c>
      <c r="AM303" s="26">
        <f t="shared" ref="AM303:AN303" si="608">(AI303/AK303)*100</f>
        <v>60.40992449</v>
      </c>
      <c r="AN303" s="26">
        <f t="shared" si="608"/>
        <v>81.12391931</v>
      </c>
      <c r="AO303" s="26">
        <v>1127.0</v>
      </c>
      <c r="AP303" s="26">
        <v>393.0</v>
      </c>
      <c r="AQ303" s="26">
        <v>734.0</v>
      </c>
      <c r="AR303" s="26">
        <v>347.0</v>
      </c>
      <c r="AS303" s="27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</row>
    <row r="304">
      <c r="A304" s="22">
        <v>9601.0</v>
      </c>
      <c r="B304" s="23" t="s">
        <v>25</v>
      </c>
      <c r="C304" s="29" t="s">
        <v>340</v>
      </c>
      <c r="D304" s="29" t="s">
        <v>390</v>
      </c>
      <c r="E304" s="29" t="s">
        <v>395</v>
      </c>
      <c r="F304" s="29" t="s">
        <v>395</v>
      </c>
      <c r="G304" s="26">
        <v>7484.0</v>
      </c>
      <c r="H304" s="26">
        <v>2434.0</v>
      </c>
      <c r="I304" s="26">
        <v>1245.0</v>
      </c>
      <c r="J304" s="26">
        <v>1189.0</v>
      </c>
      <c r="K304" s="26">
        <v>3142.0</v>
      </c>
      <c r="L304" s="26">
        <v>2139.0</v>
      </c>
      <c r="M304" s="26">
        <v>987.0</v>
      </c>
      <c r="N304" s="26">
        <v>13.0</v>
      </c>
      <c r="O304" s="26">
        <v>3.0</v>
      </c>
      <c r="P304" s="26">
        <f t="shared" si="3"/>
        <v>990</v>
      </c>
      <c r="Q304" s="26">
        <f t="shared" si="4"/>
        <v>2152</v>
      </c>
      <c r="R304" s="26">
        <f t="shared" si="5"/>
        <v>2342</v>
      </c>
      <c r="S304" s="26">
        <f t="shared" si="6"/>
        <v>2708</v>
      </c>
      <c r="T304" s="26">
        <f t="shared" ref="T304:U304" si="609">(P304/R304)*100</f>
        <v>42.27156277</v>
      </c>
      <c r="U304" s="26">
        <f t="shared" si="609"/>
        <v>79.46824225</v>
      </c>
      <c r="V304" s="26">
        <v>1908.0</v>
      </c>
      <c r="W304" s="26">
        <v>556.0</v>
      </c>
      <c r="X304" s="26">
        <v>1352.0</v>
      </c>
      <c r="Y304" s="26">
        <v>0.0</v>
      </c>
      <c r="Z304" s="26">
        <v>8325.0</v>
      </c>
      <c r="AA304" s="26">
        <v>2449.0</v>
      </c>
      <c r="AB304" s="26">
        <v>1302.0</v>
      </c>
      <c r="AC304" s="26">
        <v>1147.0</v>
      </c>
      <c r="AD304" s="26">
        <v>3787.0</v>
      </c>
      <c r="AE304" s="26">
        <v>2367.0</v>
      </c>
      <c r="AF304" s="26">
        <v>1344.0</v>
      </c>
      <c r="AG304" s="26">
        <v>49.0</v>
      </c>
      <c r="AH304" s="26">
        <v>27.0</v>
      </c>
      <c r="AI304" s="26">
        <f t="shared" si="8"/>
        <v>1371</v>
      </c>
      <c r="AJ304" s="26">
        <f t="shared" si="9"/>
        <v>2416</v>
      </c>
      <c r="AK304" s="26">
        <f t="shared" si="10"/>
        <v>2536</v>
      </c>
      <c r="AL304" s="26">
        <f t="shared" si="11"/>
        <v>2881</v>
      </c>
      <c r="AM304" s="26">
        <f t="shared" ref="AM304:AN304" si="610">(AI304/AK304)*100</f>
        <v>54.0615142</v>
      </c>
      <c r="AN304" s="26">
        <f t="shared" si="610"/>
        <v>83.85977091</v>
      </c>
      <c r="AO304" s="26">
        <v>1630.0</v>
      </c>
      <c r="AP304" s="26">
        <v>465.0</v>
      </c>
      <c r="AQ304" s="26">
        <v>1165.0</v>
      </c>
      <c r="AR304" s="26">
        <v>459.0</v>
      </c>
      <c r="AS304" s="27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</row>
    <row r="305">
      <c r="A305" s="22">
        <v>9625.0</v>
      </c>
      <c r="B305" s="23" t="s">
        <v>25</v>
      </c>
      <c r="C305" s="29" t="s">
        <v>340</v>
      </c>
      <c r="D305" s="29" t="s">
        <v>390</v>
      </c>
      <c r="E305" s="29" t="s">
        <v>396</v>
      </c>
      <c r="F305" s="29" t="s">
        <v>396</v>
      </c>
      <c r="G305" s="26">
        <v>22822.0</v>
      </c>
      <c r="H305" s="26">
        <v>8103.0</v>
      </c>
      <c r="I305" s="26">
        <v>4134.0</v>
      </c>
      <c r="J305" s="26">
        <v>3969.0</v>
      </c>
      <c r="K305" s="26">
        <v>9364.0</v>
      </c>
      <c r="L305" s="26">
        <v>6604.0</v>
      </c>
      <c r="M305" s="26">
        <v>2698.0</v>
      </c>
      <c r="N305" s="26">
        <v>40.0</v>
      </c>
      <c r="O305" s="26">
        <v>22.0</v>
      </c>
      <c r="P305" s="26">
        <f t="shared" si="3"/>
        <v>2720</v>
      </c>
      <c r="Q305" s="26">
        <f t="shared" si="4"/>
        <v>6644</v>
      </c>
      <c r="R305" s="26">
        <f t="shared" si="5"/>
        <v>6888</v>
      </c>
      <c r="S305" s="26">
        <f t="shared" si="6"/>
        <v>7831</v>
      </c>
      <c r="T305" s="26">
        <f t="shared" ref="T305:U305" si="611">(P305/R305)*100</f>
        <v>39.48896632</v>
      </c>
      <c r="U305" s="26">
        <f t="shared" si="611"/>
        <v>84.84229345</v>
      </c>
      <c r="V305" s="26">
        <v>5355.0</v>
      </c>
      <c r="W305" s="26">
        <v>1187.0</v>
      </c>
      <c r="X305" s="26">
        <v>4168.0</v>
      </c>
      <c r="Y305" s="26">
        <v>0.0</v>
      </c>
      <c r="Z305" s="26">
        <v>25080.0</v>
      </c>
      <c r="AA305" s="26">
        <v>8158.0</v>
      </c>
      <c r="AB305" s="26">
        <v>4085.0</v>
      </c>
      <c r="AC305" s="26">
        <v>4073.0</v>
      </c>
      <c r="AD305" s="26">
        <v>11806.0</v>
      </c>
      <c r="AE305" s="26">
        <v>7456.0</v>
      </c>
      <c r="AF305" s="26">
        <v>4117.0</v>
      </c>
      <c r="AG305" s="26">
        <v>155.0</v>
      </c>
      <c r="AH305" s="26">
        <v>78.0</v>
      </c>
      <c r="AI305" s="26">
        <f t="shared" si="8"/>
        <v>4195</v>
      </c>
      <c r="AJ305" s="26">
        <f t="shared" si="9"/>
        <v>7611</v>
      </c>
      <c r="AK305" s="26">
        <f t="shared" si="10"/>
        <v>7745</v>
      </c>
      <c r="AL305" s="26">
        <f t="shared" si="11"/>
        <v>8606</v>
      </c>
      <c r="AM305" s="26">
        <f t="shared" ref="AM305:AN305" si="612">(AI305/AK305)*100</f>
        <v>54.16397676</v>
      </c>
      <c r="AN305" s="26">
        <f t="shared" si="612"/>
        <v>88.43829886</v>
      </c>
      <c r="AO305" s="26">
        <v>4545.0</v>
      </c>
      <c r="AP305" s="26">
        <v>995.0</v>
      </c>
      <c r="AQ305" s="26">
        <v>3550.0</v>
      </c>
      <c r="AR305" s="26">
        <v>571.0</v>
      </c>
      <c r="AS305" s="27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</row>
    <row r="306">
      <c r="A306" s="22">
        <v>9673.0</v>
      </c>
      <c r="B306" s="23" t="s">
        <v>25</v>
      </c>
      <c r="C306" s="29" t="s">
        <v>340</v>
      </c>
      <c r="D306" s="29" t="s">
        <v>397</v>
      </c>
      <c r="E306" s="29" t="s">
        <v>398</v>
      </c>
      <c r="F306" s="29" t="s">
        <v>398</v>
      </c>
      <c r="G306" s="26">
        <v>14432.0</v>
      </c>
      <c r="H306" s="26">
        <v>4912.0</v>
      </c>
      <c r="I306" s="26">
        <v>2501.0</v>
      </c>
      <c r="J306" s="26">
        <v>2411.0</v>
      </c>
      <c r="K306" s="26">
        <v>5641.0</v>
      </c>
      <c r="L306" s="26">
        <v>3881.0</v>
      </c>
      <c r="M306" s="26">
        <v>1725.0</v>
      </c>
      <c r="N306" s="26">
        <v>26.0</v>
      </c>
      <c r="O306" s="26">
        <v>9.0</v>
      </c>
      <c r="P306" s="26">
        <f t="shared" si="3"/>
        <v>1734</v>
      </c>
      <c r="Q306" s="26">
        <f t="shared" si="4"/>
        <v>3907</v>
      </c>
      <c r="R306" s="26">
        <f t="shared" si="5"/>
        <v>4469</v>
      </c>
      <c r="S306" s="26">
        <f t="shared" si="6"/>
        <v>5051</v>
      </c>
      <c r="T306" s="26">
        <f t="shared" ref="T306:U306" si="613">(P306/R306)*100</f>
        <v>38.80062654</v>
      </c>
      <c r="U306" s="26">
        <f t="shared" si="613"/>
        <v>77.3510196</v>
      </c>
      <c r="V306" s="26">
        <v>3879.0</v>
      </c>
      <c r="W306" s="26">
        <v>1144.0</v>
      </c>
      <c r="X306" s="26">
        <v>2735.0</v>
      </c>
      <c r="Y306" s="26">
        <v>0.0</v>
      </c>
      <c r="Z306" s="26">
        <v>15104.0</v>
      </c>
      <c r="AA306" s="26">
        <v>4668.0</v>
      </c>
      <c r="AB306" s="26">
        <v>2396.0</v>
      </c>
      <c r="AC306" s="26">
        <v>2272.0</v>
      </c>
      <c r="AD306" s="26">
        <v>6521.0</v>
      </c>
      <c r="AE306" s="26">
        <v>3955.0</v>
      </c>
      <c r="AF306" s="26">
        <v>2423.0</v>
      </c>
      <c r="AG306" s="26">
        <v>107.0</v>
      </c>
      <c r="AH306" s="26">
        <v>36.0</v>
      </c>
      <c r="AI306" s="26">
        <f t="shared" si="8"/>
        <v>2459</v>
      </c>
      <c r="AJ306" s="26">
        <f t="shared" si="9"/>
        <v>4062</v>
      </c>
      <c r="AK306" s="26">
        <f t="shared" si="10"/>
        <v>4461</v>
      </c>
      <c r="AL306" s="26">
        <f t="shared" si="11"/>
        <v>5106</v>
      </c>
      <c r="AM306" s="26">
        <f t="shared" ref="AM306:AN306" si="614">(AI306/AK306)*100</f>
        <v>55.12216992</v>
      </c>
      <c r="AN306" s="26">
        <f t="shared" si="614"/>
        <v>79.55346651</v>
      </c>
      <c r="AO306" s="26">
        <v>3046.0</v>
      </c>
      <c r="AP306" s="26">
        <v>1044.0</v>
      </c>
      <c r="AQ306" s="26">
        <v>2002.0</v>
      </c>
      <c r="AR306" s="26">
        <v>869.0</v>
      </c>
      <c r="AS306" s="27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</row>
    <row r="307">
      <c r="A307" s="22">
        <v>9721.0</v>
      </c>
      <c r="B307" s="23" t="s">
        <v>25</v>
      </c>
      <c r="C307" s="29" t="s">
        <v>340</v>
      </c>
      <c r="D307" s="29" t="s">
        <v>399</v>
      </c>
      <c r="E307" s="29" t="s">
        <v>400</v>
      </c>
      <c r="F307" s="29" t="s">
        <v>400</v>
      </c>
      <c r="G307" s="26">
        <v>15911.0</v>
      </c>
      <c r="H307" s="26">
        <v>5575.0</v>
      </c>
      <c r="I307" s="26">
        <v>2830.0</v>
      </c>
      <c r="J307" s="26">
        <v>2745.0</v>
      </c>
      <c r="K307" s="26">
        <v>7566.0</v>
      </c>
      <c r="L307" s="26">
        <v>4501.0</v>
      </c>
      <c r="M307" s="26">
        <v>3029.0</v>
      </c>
      <c r="N307" s="26">
        <v>18.0</v>
      </c>
      <c r="O307" s="26">
        <v>18.0</v>
      </c>
      <c r="P307" s="26">
        <f t="shared" si="3"/>
        <v>3047</v>
      </c>
      <c r="Q307" s="26">
        <f t="shared" si="4"/>
        <v>4519</v>
      </c>
      <c r="R307" s="26">
        <f t="shared" si="5"/>
        <v>5068</v>
      </c>
      <c r="S307" s="26">
        <f t="shared" si="6"/>
        <v>5268</v>
      </c>
      <c r="T307" s="26">
        <f t="shared" ref="T307:U307" si="615">(P307/R307)*100</f>
        <v>60.12233623</v>
      </c>
      <c r="U307" s="26">
        <f t="shared" si="615"/>
        <v>85.78208049</v>
      </c>
      <c r="V307" s="26">
        <v>2770.0</v>
      </c>
      <c r="W307" s="26">
        <v>749.0</v>
      </c>
      <c r="X307" s="26">
        <v>2021.0</v>
      </c>
      <c r="Y307" s="26">
        <v>0.0</v>
      </c>
      <c r="Z307" s="26">
        <v>17055.0</v>
      </c>
      <c r="AA307" s="26">
        <v>4890.0</v>
      </c>
      <c r="AB307" s="26">
        <v>2526.0</v>
      </c>
      <c r="AC307" s="26">
        <v>2364.0</v>
      </c>
      <c r="AD307" s="26">
        <v>9517.0</v>
      </c>
      <c r="AE307" s="26">
        <v>5266.0</v>
      </c>
      <c r="AF307" s="26">
        <v>4143.0</v>
      </c>
      <c r="AG307" s="26">
        <v>49.0</v>
      </c>
      <c r="AH307" s="26">
        <v>59.0</v>
      </c>
      <c r="AI307" s="26">
        <f t="shared" si="8"/>
        <v>4202</v>
      </c>
      <c r="AJ307" s="26">
        <f t="shared" si="9"/>
        <v>5315</v>
      </c>
      <c r="AK307" s="26">
        <f t="shared" si="10"/>
        <v>5769</v>
      </c>
      <c r="AL307" s="26">
        <f t="shared" si="11"/>
        <v>6075</v>
      </c>
      <c r="AM307" s="26">
        <f t="shared" ref="AM307:AN307" si="616">(AI307/AK307)*100</f>
        <v>72.83758017</v>
      </c>
      <c r="AN307" s="26">
        <f t="shared" si="616"/>
        <v>87.48971193</v>
      </c>
      <c r="AO307" s="26">
        <v>2327.0</v>
      </c>
      <c r="AP307" s="26">
        <v>760.0</v>
      </c>
      <c r="AQ307" s="26">
        <v>1567.0</v>
      </c>
      <c r="AR307" s="26">
        <v>321.0</v>
      </c>
      <c r="AS307" s="27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</row>
    <row r="308">
      <c r="A308" s="22">
        <v>9745.0</v>
      </c>
      <c r="B308" s="23" t="s">
        <v>25</v>
      </c>
      <c r="C308" s="29" t="s">
        <v>340</v>
      </c>
      <c r="D308" s="29" t="s">
        <v>399</v>
      </c>
      <c r="E308" s="29" t="s">
        <v>401</v>
      </c>
      <c r="F308" s="29" t="s">
        <v>401</v>
      </c>
      <c r="G308" s="26">
        <v>7386.0</v>
      </c>
      <c r="H308" s="26">
        <v>2616.0</v>
      </c>
      <c r="I308" s="26">
        <v>1359.0</v>
      </c>
      <c r="J308" s="26">
        <v>1257.0</v>
      </c>
      <c r="K308" s="26">
        <v>3377.0</v>
      </c>
      <c r="L308" s="26">
        <v>2153.0</v>
      </c>
      <c r="M308" s="26">
        <v>1206.0</v>
      </c>
      <c r="N308" s="26">
        <v>7.0</v>
      </c>
      <c r="O308" s="26">
        <v>11.0</v>
      </c>
      <c r="P308" s="26">
        <f t="shared" si="3"/>
        <v>1217</v>
      </c>
      <c r="Q308" s="26">
        <f t="shared" si="4"/>
        <v>2160</v>
      </c>
      <c r="R308" s="26">
        <f t="shared" si="5"/>
        <v>2222</v>
      </c>
      <c r="S308" s="26">
        <f t="shared" si="6"/>
        <v>2548</v>
      </c>
      <c r="T308" s="26">
        <f t="shared" ref="T308:U308" si="617">(P308/R308)*100</f>
        <v>54.77047705</v>
      </c>
      <c r="U308" s="26">
        <f t="shared" si="617"/>
        <v>84.77237049</v>
      </c>
      <c r="V308" s="26">
        <v>1393.0</v>
      </c>
      <c r="W308" s="26">
        <v>388.0</v>
      </c>
      <c r="X308" s="26">
        <v>1005.0</v>
      </c>
      <c r="Y308" s="26">
        <v>0.0</v>
      </c>
      <c r="Z308" s="26">
        <v>6001.0</v>
      </c>
      <c r="AA308" s="26">
        <v>1690.0</v>
      </c>
      <c r="AB308" s="26">
        <v>869.0</v>
      </c>
      <c r="AC308" s="26">
        <v>821.0</v>
      </c>
      <c r="AD308" s="26">
        <v>3302.0</v>
      </c>
      <c r="AE308" s="26">
        <v>1886.0</v>
      </c>
      <c r="AF308" s="26">
        <v>1362.0</v>
      </c>
      <c r="AG308" s="26">
        <v>37.0</v>
      </c>
      <c r="AH308" s="26">
        <v>17.0</v>
      </c>
      <c r="AI308" s="26">
        <f t="shared" si="8"/>
        <v>1379</v>
      </c>
      <c r="AJ308" s="26">
        <f t="shared" si="9"/>
        <v>1923</v>
      </c>
      <c r="AK308" s="26">
        <f t="shared" si="10"/>
        <v>2030</v>
      </c>
      <c r="AL308" s="26">
        <f t="shared" si="11"/>
        <v>2170</v>
      </c>
      <c r="AM308" s="26">
        <f t="shared" ref="AM308:AN308" si="618">(AI308/AK308)*100</f>
        <v>67.93103448</v>
      </c>
      <c r="AN308" s="26">
        <f t="shared" si="618"/>
        <v>88.61751152</v>
      </c>
      <c r="AO308" s="26">
        <v>898.0</v>
      </c>
      <c r="AP308" s="26">
        <v>247.0</v>
      </c>
      <c r="AQ308" s="26">
        <v>651.0</v>
      </c>
      <c r="AR308" s="26">
        <v>111.0</v>
      </c>
      <c r="AS308" s="27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</row>
    <row r="309">
      <c r="A309" s="22">
        <v>9793.0</v>
      </c>
      <c r="B309" s="23" t="s">
        <v>25</v>
      </c>
      <c r="C309" s="29" t="s">
        <v>340</v>
      </c>
      <c r="D309" s="29" t="s">
        <v>402</v>
      </c>
      <c r="E309" s="29" t="s">
        <v>403</v>
      </c>
      <c r="F309" s="29" t="s">
        <v>403</v>
      </c>
      <c r="G309" s="26">
        <v>19785.0</v>
      </c>
      <c r="H309" s="26">
        <v>5445.0</v>
      </c>
      <c r="I309" s="26">
        <v>2787.0</v>
      </c>
      <c r="J309" s="26">
        <v>2658.0</v>
      </c>
      <c r="K309" s="26">
        <v>8962.0</v>
      </c>
      <c r="L309" s="26">
        <v>5695.0</v>
      </c>
      <c r="M309" s="26">
        <v>3182.0</v>
      </c>
      <c r="N309" s="26">
        <v>54.0</v>
      </c>
      <c r="O309" s="26">
        <v>31.0</v>
      </c>
      <c r="P309" s="26">
        <f t="shared" si="3"/>
        <v>3213</v>
      </c>
      <c r="Q309" s="26">
        <f t="shared" si="4"/>
        <v>5749</v>
      </c>
      <c r="R309" s="26">
        <f t="shared" si="5"/>
        <v>6687</v>
      </c>
      <c r="S309" s="26">
        <f t="shared" si="6"/>
        <v>7653</v>
      </c>
      <c r="T309" s="26">
        <f t="shared" ref="T309:U309" si="619">(P309/R309)*100</f>
        <v>48.04845222</v>
      </c>
      <c r="U309" s="26">
        <f t="shared" si="619"/>
        <v>75.12086763</v>
      </c>
      <c r="V309" s="26">
        <v>5378.0</v>
      </c>
      <c r="W309" s="26">
        <v>1904.0</v>
      </c>
      <c r="X309" s="26">
        <v>3474.0</v>
      </c>
      <c r="Y309" s="26">
        <v>0.0</v>
      </c>
      <c r="Z309" s="26">
        <v>17172.0</v>
      </c>
      <c r="AA309" s="26">
        <v>4307.0</v>
      </c>
      <c r="AB309" s="26">
        <v>2262.0</v>
      </c>
      <c r="AC309" s="26">
        <v>2045.0</v>
      </c>
      <c r="AD309" s="26">
        <v>8502.0</v>
      </c>
      <c r="AE309" s="26">
        <v>5152.0</v>
      </c>
      <c r="AF309" s="26">
        <v>3114.0</v>
      </c>
      <c r="AG309" s="26">
        <v>171.0</v>
      </c>
      <c r="AH309" s="26">
        <v>65.0</v>
      </c>
      <c r="AI309" s="26">
        <f t="shared" si="8"/>
        <v>3179</v>
      </c>
      <c r="AJ309" s="26">
        <f t="shared" si="9"/>
        <v>5323</v>
      </c>
      <c r="AK309" s="26">
        <f t="shared" si="10"/>
        <v>5187</v>
      </c>
      <c r="AL309" s="26">
        <f t="shared" si="11"/>
        <v>6388</v>
      </c>
      <c r="AM309" s="26">
        <f t="shared" ref="AM309:AN309" si="620">(AI309/AK309)*100</f>
        <v>61.28783497</v>
      </c>
      <c r="AN309" s="26">
        <f t="shared" si="620"/>
        <v>83.32811522</v>
      </c>
      <c r="AO309" s="26">
        <v>3073.0</v>
      </c>
      <c r="AP309" s="26">
        <v>1065.0</v>
      </c>
      <c r="AQ309" s="26">
        <v>2008.0</v>
      </c>
      <c r="AR309" s="26">
        <v>1290.0</v>
      </c>
      <c r="AS309" s="27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</row>
    <row r="310">
      <c r="A310" s="22">
        <v>9817.0</v>
      </c>
      <c r="B310" s="23" t="s">
        <v>25</v>
      </c>
      <c r="C310" s="29" t="s">
        <v>340</v>
      </c>
      <c r="D310" s="29" t="s">
        <v>402</v>
      </c>
      <c r="E310" s="29" t="s">
        <v>404</v>
      </c>
      <c r="F310" s="29" t="s">
        <v>404</v>
      </c>
      <c r="G310" s="26">
        <v>16519.0</v>
      </c>
      <c r="H310" s="26">
        <v>4930.0</v>
      </c>
      <c r="I310" s="26">
        <v>2514.0</v>
      </c>
      <c r="J310" s="26">
        <v>2416.0</v>
      </c>
      <c r="K310" s="26">
        <v>7948.0</v>
      </c>
      <c r="L310" s="26">
        <v>4737.0</v>
      </c>
      <c r="M310" s="26">
        <v>3143.0</v>
      </c>
      <c r="N310" s="26">
        <v>46.0</v>
      </c>
      <c r="O310" s="26">
        <v>22.0</v>
      </c>
      <c r="P310" s="26">
        <f t="shared" si="3"/>
        <v>3165</v>
      </c>
      <c r="Q310" s="26">
        <f t="shared" si="4"/>
        <v>4783</v>
      </c>
      <c r="R310" s="26">
        <f t="shared" si="5"/>
        <v>5636</v>
      </c>
      <c r="S310" s="26">
        <f t="shared" si="6"/>
        <v>5953</v>
      </c>
      <c r="T310" s="26">
        <f t="shared" ref="T310:U310" si="621">(P310/R310)*100</f>
        <v>56.15684883</v>
      </c>
      <c r="U310" s="26">
        <f t="shared" si="621"/>
        <v>80.34604401</v>
      </c>
      <c r="V310" s="26">
        <v>3641.0</v>
      </c>
      <c r="W310" s="26">
        <v>1170.0</v>
      </c>
      <c r="X310" s="26">
        <v>2471.0</v>
      </c>
      <c r="Y310" s="26">
        <v>0.0</v>
      </c>
      <c r="Z310" s="26">
        <v>17144.0</v>
      </c>
      <c r="AA310" s="26">
        <v>4417.0</v>
      </c>
      <c r="AB310" s="26">
        <v>2247.0</v>
      </c>
      <c r="AC310" s="26">
        <v>2170.0</v>
      </c>
      <c r="AD310" s="26">
        <v>8613.0</v>
      </c>
      <c r="AE310" s="26">
        <v>5006.0</v>
      </c>
      <c r="AF310" s="26">
        <v>3380.0</v>
      </c>
      <c r="AG310" s="26">
        <v>145.0</v>
      </c>
      <c r="AH310" s="26">
        <v>82.0</v>
      </c>
      <c r="AI310" s="26">
        <f t="shared" si="8"/>
        <v>3462</v>
      </c>
      <c r="AJ310" s="26">
        <f t="shared" si="9"/>
        <v>5151</v>
      </c>
      <c r="AK310" s="26">
        <f t="shared" si="10"/>
        <v>5407</v>
      </c>
      <c r="AL310" s="26">
        <f t="shared" si="11"/>
        <v>6153</v>
      </c>
      <c r="AM310" s="26">
        <f t="shared" ref="AM310:AN310" si="622">(AI310/AK310)*100</f>
        <v>64.02811171</v>
      </c>
      <c r="AN310" s="26">
        <f t="shared" si="622"/>
        <v>83.71526085</v>
      </c>
      <c r="AO310" s="26">
        <v>2947.0</v>
      </c>
      <c r="AP310" s="26">
        <v>1002.0</v>
      </c>
      <c r="AQ310" s="26">
        <v>1945.0</v>
      </c>
      <c r="AR310" s="26">
        <v>1167.0</v>
      </c>
      <c r="AS310" s="27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</row>
    <row r="311">
      <c r="A311" s="22">
        <v>9841.0</v>
      </c>
      <c r="B311" s="23" t="s">
        <v>25</v>
      </c>
      <c r="C311" s="29" t="s">
        <v>340</v>
      </c>
      <c r="D311" s="29" t="s">
        <v>402</v>
      </c>
      <c r="E311" s="29" t="s">
        <v>405</v>
      </c>
      <c r="F311" s="29" t="s">
        <v>405</v>
      </c>
      <c r="G311" s="26">
        <v>6326.0</v>
      </c>
      <c r="H311" s="26">
        <v>2148.0</v>
      </c>
      <c r="I311" s="26">
        <v>1092.0</v>
      </c>
      <c r="J311" s="26">
        <v>1056.0</v>
      </c>
      <c r="K311" s="26">
        <v>2639.0</v>
      </c>
      <c r="L311" s="26">
        <v>1886.0</v>
      </c>
      <c r="M311" s="26">
        <v>737.0</v>
      </c>
      <c r="N311" s="26">
        <v>15.0</v>
      </c>
      <c r="O311" s="26">
        <v>1.0</v>
      </c>
      <c r="P311" s="26">
        <f t="shared" si="3"/>
        <v>738</v>
      </c>
      <c r="Q311" s="26">
        <f t="shared" si="4"/>
        <v>1901</v>
      </c>
      <c r="R311" s="26">
        <f t="shared" si="5"/>
        <v>1850</v>
      </c>
      <c r="S311" s="26">
        <f t="shared" si="6"/>
        <v>2328</v>
      </c>
      <c r="T311" s="26">
        <f t="shared" ref="T311:U311" si="623">(P311/R311)*100</f>
        <v>39.89189189</v>
      </c>
      <c r="U311" s="26">
        <f t="shared" si="623"/>
        <v>81.6580756</v>
      </c>
      <c r="V311" s="26">
        <v>1539.0</v>
      </c>
      <c r="W311" s="26">
        <v>427.0</v>
      </c>
      <c r="X311" s="26">
        <v>1112.0</v>
      </c>
      <c r="Y311" s="26">
        <v>0.0</v>
      </c>
      <c r="Z311" s="26">
        <v>8736.0</v>
      </c>
      <c r="AA311" s="26">
        <v>2864.0</v>
      </c>
      <c r="AB311" s="26">
        <v>1433.0</v>
      </c>
      <c r="AC311" s="26">
        <v>1431.0</v>
      </c>
      <c r="AD311" s="26">
        <v>4180.0</v>
      </c>
      <c r="AE311" s="26">
        <v>2648.0</v>
      </c>
      <c r="AF311" s="26">
        <v>1490.0</v>
      </c>
      <c r="AG311" s="26">
        <v>24.0</v>
      </c>
      <c r="AH311" s="26">
        <v>18.0</v>
      </c>
      <c r="AI311" s="26">
        <f t="shared" si="8"/>
        <v>1508</v>
      </c>
      <c r="AJ311" s="26">
        <f t="shared" si="9"/>
        <v>2672</v>
      </c>
      <c r="AK311" s="26">
        <f t="shared" si="10"/>
        <v>2475</v>
      </c>
      <c r="AL311" s="26">
        <f t="shared" si="11"/>
        <v>3064</v>
      </c>
      <c r="AM311" s="26">
        <f t="shared" ref="AM311:AN311" si="624">(AI311/AK311)*100</f>
        <v>60.92929293</v>
      </c>
      <c r="AN311" s="26">
        <f t="shared" si="624"/>
        <v>87.20626632</v>
      </c>
      <c r="AO311" s="26">
        <v>1359.0</v>
      </c>
      <c r="AP311" s="26">
        <v>392.0</v>
      </c>
      <c r="AQ311" s="26">
        <v>967.0</v>
      </c>
      <c r="AR311" s="26">
        <v>333.0</v>
      </c>
      <c r="AS311" s="27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</row>
    <row r="312">
      <c r="A312" s="22">
        <v>9889.0</v>
      </c>
      <c r="B312" s="23" t="s">
        <v>25</v>
      </c>
      <c r="C312" s="29" t="s">
        <v>340</v>
      </c>
      <c r="D312" s="29" t="s">
        <v>406</v>
      </c>
      <c r="E312" s="29" t="s">
        <v>407</v>
      </c>
      <c r="F312" s="29" t="s">
        <v>407</v>
      </c>
      <c r="G312" s="26">
        <v>27049.0</v>
      </c>
      <c r="H312" s="26">
        <v>10020.0</v>
      </c>
      <c r="I312" s="26">
        <v>5108.0</v>
      </c>
      <c r="J312" s="26">
        <v>4912.0</v>
      </c>
      <c r="K312" s="26">
        <v>10922.0</v>
      </c>
      <c r="L312" s="26">
        <v>7122.0</v>
      </c>
      <c r="M312" s="26">
        <v>3727.0</v>
      </c>
      <c r="N312" s="26">
        <v>51.0</v>
      </c>
      <c r="O312" s="26">
        <v>22.0</v>
      </c>
      <c r="P312" s="26">
        <f t="shared" si="3"/>
        <v>3749</v>
      </c>
      <c r="Q312" s="26">
        <f t="shared" si="4"/>
        <v>7173</v>
      </c>
      <c r="R312" s="26">
        <f t="shared" si="5"/>
        <v>8120</v>
      </c>
      <c r="S312" s="26">
        <f t="shared" si="6"/>
        <v>8909</v>
      </c>
      <c r="T312" s="26">
        <f t="shared" ref="T312:U312" si="625">(P312/R312)*100</f>
        <v>46.16995074</v>
      </c>
      <c r="U312" s="26">
        <f t="shared" si="625"/>
        <v>80.51408688</v>
      </c>
      <c r="V312" s="26">
        <v>6107.0</v>
      </c>
      <c r="W312" s="26">
        <v>1736.0</v>
      </c>
      <c r="X312" s="26">
        <v>4371.0</v>
      </c>
      <c r="Y312" s="26">
        <v>0.0</v>
      </c>
      <c r="Z312" s="26">
        <v>33600.0</v>
      </c>
      <c r="AA312" s="26">
        <v>10068.0</v>
      </c>
      <c r="AB312" s="26">
        <v>5165.0</v>
      </c>
      <c r="AC312" s="26">
        <v>4903.0</v>
      </c>
      <c r="AD312" s="26">
        <v>16537.0</v>
      </c>
      <c r="AE312" s="26">
        <v>10297.0</v>
      </c>
      <c r="AF312" s="26">
        <v>5868.0</v>
      </c>
      <c r="AG312" s="26">
        <v>216.0</v>
      </c>
      <c r="AH312" s="26">
        <v>156.0</v>
      </c>
      <c r="AI312" s="26">
        <f t="shared" si="8"/>
        <v>6024</v>
      </c>
      <c r="AJ312" s="26">
        <f t="shared" si="9"/>
        <v>10513</v>
      </c>
      <c r="AK312" s="26">
        <f t="shared" si="10"/>
        <v>9933</v>
      </c>
      <c r="AL312" s="26">
        <f t="shared" si="11"/>
        <v>12090</v>
      </c>
      <c r="AM312" s="26">
        <f t="shared" ref="AM312:AN312" si="626">(AI312/AK312)*100</f>
        <v>60.64633041</v>
      </c>
      <c r="AN312" s="26">
        <f t="shared" si="626"/>
        <v>86.95616212</v>
      </c>
      <c r="AO312" s="26">
        <v>5486.0</v>
      </c>
      <c r="AP312" s="26">
        <v>1577.0</v>
      </c>
      <c r="AQ312" s="26">
        <v>3909.0</v>
      </c>
      <c r="AR312" s="26">
        <v>1509.0</v>
      </c>
      <c r="AS312" s="27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</row>
    <row r="313">
      <c r="A313" s="22">
        <v>9913.0</v>
      </c>
      <c r="B313" s="23" t="s">
        <v>25</v>
      </c>
      <c r="C313" s="29" t="s">
        <v>340</v>
      </c>
      <c r="D313" s="29" t="s">
        <v>406</v>
      </c>
      <c r="E313" s="29" t="s">
        <v>408</v>
      </c>
      <c r="F313" s="29" t="s">
        <v>408</v>
      </c>
      <c r="G313" s="26">
        <v>7024.0</v>
      </c>
      <c r="H313" s="26">
        <v>2714.0</v>
      </c>
      <c r="I313" s="26">
        <v>1373.0</v>
      </c>
      <c r="J313" s="26">
        <v>1341.0</v>
      </c>
      <c r="K313" s="26">
        <v>2553.0</v>
      </c>
      <c r="L313" s="26">
        <v>1624.0</v>
      </c>
      <c r="M313" s="26">
        <v>910.0</v>
      </c>
      <c r="N313" s="26">
        <v>15.0</v>
      </c>
      <c r="O313" s="26">
        <v>4.0</v>
      </c>
      <c r="P313" s="26">
        <f t="shared" si="3"/>
        <v>914</v>
      </c>
      <c r="Q313" s="26">
        <f t="shared" si="4"/>
        <v>1639</v>
      </c>
      <c r="R313" s="26">
        <f t="shared" si="5"/>
        <v>2081</v>
      </c>
      <c r="S313" s="26">
        <f t="shared" si="6"/>
        <v>2229</v>
      </c>
      <c r="T313" s="26">
        <f t="shared" ref="T313:U313" si="627">(P313/R313)*100</f>
        <v>43.92119173</v>
      </c>
      <c r="U313" s="26">
        <f t="shared" si="627"/>
        <v>73.53073127</v>
      </c>
      <c r="V313" s="26">
        <v>1757.0</v>
      </c>
      <c r="W313" s="26">
        <v>590.0</v>
      </c>
      <c r="X313" s="26">
        <v>1167.0</v>
      </c>
      <c r="Y313" s="26">
        <v>0.0</v>
      </c>
      <c r="Z313" s="26">
        <v>6464.0</v>
      </c>
      <c r="AA313" s="26">
        <v>1932.0</v>
      </c>
      <c r="AB313" s="26">
        <v>971.0</v>
      </c>
      <c r="AC313" s="26">
        <v>961.0</v>
      </c>
      <c r="AD313" s="26">
        <v>2730.0</v>
      </c>
      <c r="AE313" s="26">
        <v>1653.0</v>
      </c>
      <c r="AF313" s="26">
        <v>1021.0</v>
      </c>
      <c r="AG313" s="26">
        <v>39.0</v>
      </c>
      <c r="AH313" s="26">
        <v>17.0</v>
      </c>
      <c r="AI313" s="26">
        <f t="shared" si="8"/>
        <v>1038</v>
      </c>
      <c r="AJ313" s="26">
        <f t="shared" si="9"/>
        <v>1692</v>
      </c>
      <c r="AK313" s="26">
        <f t="shared" si="10"/>
        <v>1991</v>
      </c>
      <c r="AL313" s="26">
        <f t="shared" si="11"/>
        <v>2168</v>
      </c>
      <c r="AM313" s="26">
        <f t="shared" ref="AM313:AN313" si="628">(AI313/AK313)*100</f>
        <v>52.13460573</v>
      </c>
      <c r="AN313" s="26">
        <f t="shared" si="628"/>
        <v>78.04428044</v>
      </c>
      <c r="AO313" s="26">
        <v>1429.0</v>
      </c>
      <c r="AP313" s="26">
        <v>476.0</v>
      </c>
      <c r="AQ313" s="26">
        <v>953.0</v>
      </c>
      <c r="AR313" s="26">
        <v>373.0</v>
      </c>
      <c r="AS313" s="27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</row>
    <row r="314">
      <c r="A314" s="22">
        <v>9937.0</v>
      </c>
      <c r="B314" s="23" t="s">
        <v>25</v>
      </c>
      <c r="C314" s="29" t="s">
        <v>340</v>
      </c>
      <c r="D314" s="29" t="s">
        <v>406</v>
      </c>
      <c r="E314" s="29" t="s">
        <v>338</v>
      </c>
      <c r="F314" s="29" t="s">
        <v>338</v>
      </c>
      <c r="G314" s="26">
        <v>14201.0</v>
      </c>
      <c r="H314" s="26">
        <v>4841.0</v>
      </c>
      <c r="I314" s="26">
        <v>2490.0</v>
      </c>
      <c r="J314" s="26">
        <v>2351.0</v>
      </c>
      <c r="K314" s="26">
        <v>6418.0</v>
      </c>
      <c r="L314" s="26">
        <v>4766.0</v>
      </c>
      <c r="M314" s="26">
        <v>1608.0</v>
      </c>
      <c r="N314" s="26">
        <v>36.0</v>
      </c>
      <c r="O314" s="26">
        <v>8.0</v>
      </c>
      <c r="P314" s="26">
        <f t="shared" si="3"/>
        <v>1616</v>
      </c>
      <c r="Q314" s="26">
        <f t="shared" si="4"/>
        <v>4802</v>
      </c>
      <c r="R314" s="26">
        <f t="shared" si="5"/>
        <v>3862</v>
      </c>
      <c r="S314" s="26">
        <f t="shared" si="6"/>
        <v>5498</v>
      </c>
      <c r="T314" s="26">
        <f t="shared" ref="T314:U314" si="629">(P314/R314)*100</f>
        <v>41.84360435</v>
      </c>
      <c r="U314" s="26">
        <f t="shared" si="629"/>
        <v>87.34085122</v>
      </c>
      <c r="V314" s="26">
        <v>2942.0</v>
      </c>
      <c r="W314" s="26">
        <v>696.0</v>
      </c>
      <c r="X314" s="26">
        <v>2246.0</v>
      </c>
      <c r="Y314" s="26">
        <v>0.0</v>
      </c>
      <c r="Z314" s="26">
        <v>17135.0</v>
      </c>
      <c r="AA314" s="26">
        <v>4467.0</v>
      </c>
      <c r="AB314" s="26">
        <v>2295.0</v>
      </c>
      <c r="AC314" s="26">
        <v>2172.0</v>
      </c>
      <c r="AD314" s="26">
        <v>9623.0</v>
      </c>
      <c r="AE314" s="26">
        <v>6330.0</v>
      </c>
      <c r="AF314" s="26">
        <v>3136.0</v>
      </c>
      <c r="AG314" s="26">
        <v>110.0</v>
      </c>
      <c r="AH314" s="26">
        <v>47.0</v>
      </c>
      <c r="AI314" s="26">
        <f t="shared" si="8"/>
        <v>3183</v>
      </c>
      <c r="AJ314" s="26">
        <f t="shared" si="9"/>
        <v>6440</v>
      </c>
      <c r="AK314" s="26">
        <f t="shared" si="10"/>
        <v>5053</v>
      </c>
      <c r="AL314" s="26">
        <f t="shared" si="11"/>
        <v>7264</v>
      </c>
      <c r="AM314" s="26">
        <f t="shared" ref="AM314:AN314" si="630">(AI314/AK314)*100</f>
        <v>62.99228181</v>
      </c>
      <c r="AN314" s="26">
        <f t="shared" si="630"/>
        <v>88.65638767</v>
      </c>
      <c r="AO314" s="26">
        <v>2694.0</v>
      </c>
      <c r="AP314" s="26">
        <v>824.0</v>
      </c>
      <c r="AQ314" s="26">
        <v>1870.0</v>
      </c>
      <c r="AR314" s="26">
        <v>351.0</v>
      </c>
      <c r="AS314" s="27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</row>
    <row r="315">
      <c r="A315" s="22">
        <v>10009.0</v>
      </c>
      <c r="B315" s="23" t="s">
        <v>25</v>
      </c>
      <c r="C315" s="29" t="s">
        <v>409</v>
      </c>
      <c r="D315" s="29" t="s">
        <v>169</v>
      </c>
      <c r="E315" s="29" t="s">
        <v>410</v>
      </c>
      <c r="F315" s="29" t="s">
        <v>410</v>
      </c>
      <c r="G315" s="26">
        <v>106477.0</v>
      </c>
      <c r="H315" s="26">
        <v>31896.0</v>
      </c>
      <c r="I315" s="26">
        <v>16333.0</v>
      </c>
      <c r="J315" s="26">
        <v>15563.0</v>
      </c>
      <c r="K315" s="26">
        <v>47279.0</v>
      </c>
      <c r="L315" s="26">
        <v>27139.0</v>
      </c>
      <c r="M315" s="26">
        <v>19652.0</v>
      </c>
      <c r="N315" s="26">
        <v>276.0</v>
      </c>
      <c r="O315" s="26">
        <v>212.0</v>
      </c>
      <c r="P315" s="26">
        <f t="shared" si="3"/>
        <v>19864</v>
      </c>
      <c r="Q315" s="26">
        <f t="shared" si="4"/>
        <v>27415</v>
      </c>
      <c r="R315" s="26">
        <f t="shared" si="5"/>
        <v>37927</v>
      </c>
      <c r="S315" s="26">
        <f t="shared" si="6"/>
        <v>36654</v>
      </c>
      <c r="T315" s="26">
        <f t="shared" ref="T315:U315" si="631">(P315/R315)*100</f>
        <v>52.37429799</v>
      </c>
      <c r="U315" s="26">
        <f t="shared" si="631"/>
        <v>74.79401975</v>
      </c>
      <c r="V315" s="26">
        <v>27302.0</v>
      </c>
      <c r="W315" s="26">
        <v>9239.0</v>
      </c>
      <c r="X315" s="26">
        <v>18063.0</v>
      </c>
      <c r="Y315" s="26">
        <v>0.0</v>
      </c>
      <c r="Z315" s="26">
        <v>126978.0</v>
      </c>
      <c r="AA315" s="26">
        <v>34428.0</v>
      </c>
      <c r="AB315" s="26">
        <v>17634.0</v>
      </c>
      <c r="AC315" s="26">
        <v>16794.0</v>
      </c>
      <c r="AD315" s="26">
        <v>59987.0</v>
      </c>
      <c r="AE315" s="26">
        <v>32470.0</v>
      </c>
      <c r="AF315" s="26">
        <v>25507.0</v>
      </c>
      <c r="AG315" s="26">
        <v>1195.0</v>
      </c>
      <c r="AH315" s="26">
        <v>815.0</v>
      </c>
      <c r="AI315" s="26">
        <f t="shared" si="8"/>
        <v>26322</v>
      </c>
      <c r="AJ315" s="26">
        <f t="shared" si="9"/>
        <v>33665</v>
      </c>
      <c r="AK315" s="26">
        <f t="shared" si="10"/>
        <v>42902</v>
      </c>
      <c r="AL315" s="26">
        <f t="shared" si="11"/>
        <v>43520</v>
      </c>
      <c r="AM315" s="26">
        <f t="shared" ref="AM315:AN315" si="632">(AI315/AK315)*100</f>
        <v>61.35378304</v>
      </c>
      <c r="AN315" s="26">
        <f t="shared" si="632"/>
        <v>77.35523897</v>
      </c>
      <c r="AO315" s="26">
        <v>26435.0</v>
      </c>
      <c r="AP315" s="26">
        <v>9855.0</v>
      </c>
      <c r="AQ315" s="26">
        <v>16580.0</v>
      </c>
      <c r="AR315" s="26">
        <v>6128.0</v>
      </c>
      <c r="AS315" s="27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</row>
    <row r="316">
      <c r="A316" s="22">
        <v>10033.0</v>
      </c>
      <c r="B316" s="23" t="s">
        <v>25</v>
      </c>
      <c r="C316" s="29" t="s">
        <v>409</v>
      </c>
      <c r="D316" s="29" t="s">
        <v>169</v>
      </c>
      <c r="E316" s="29" t="s">
        <v>392</v>
      </c>
      <c r="F316" s="29" t="s">
        <v>392</v>
      </c>
      <c r="G316" s="26">
        <v>5275.0</v>
      </c>
      <c r="H316" s="26">
        <v>1813.0</v>
      </c>
      <c r="I316" s="26">
        <v>956.0</v>
      </c>
      <c r="J316" s="26">
        <v>857.0</v>
      </c>
      <c r="K316" s="26">
        <v>2521.0</v>
      </c>
      <c r="L316" s="26">
        <v>1811.0</v>
      </c>
      <c r="M316" s="26">
        <v>704.0</v>
      </c>
      <c r="N316" s="26">
        <v>4.0</v>
      </c>
      <c r="O316" s="26">
        <v>2.0</v>
      </c>
      <c r="P316" s="26">
        <f t="shared" si="3"/>
        <v>706</v>
      </c>
      <c r="Q316" s="26">
        <f t="shared" si="4"/>
        <v>1815</v>
      </c>
      <c r="R316" s="26">
        <f t="shared" si="5"/>
        <v>1397</v>
      </c>
      <c r="S316" s="26">
        <f t="shared" si="6"/>
        <v>2065</v>
      </c>
      <c r="T316" s="26">
        <f t="shared" ref="T316:U316" si="633">(P316/R316)*100</f>
        <v>50.53686471</v>
      </c>
      <c r="U316" s="26">
        <f t="shared" si="633"/>
        <v>87.89346247</v>
      </c>
      <c r="V316" s="26">
        <v>941.0</v>
      </c>
      <c r="W316" s="26">
        <v>250.0</v>
      </c>
      <c r="X316" s="26">
        <v>691.0</v>
      </c>
      <c r="Y316" s="26">
        <v>0.0</v>
      </c>
      <c r="Z316" s="26">
        <v>7764.0</v>
      </c>
      <c r="AA316" s="26">
        <v>2436.0</v>
      </c>
      <c r="AB316" s="26">
        <v>1278.0</v>
      </c>
      <c r="AC316" s="26">
        <v>1158.0</v>
      </c>
      <c r="AD316" s="26">
        <v>3824.0</v>
      </c>
      <c r="AE316" s="26">
        <v>2498.0</v>
      </c>
      <c r="AF316" s="26">
        <v>1258.0</v>
      </c>
      <c r="AG316" s="26">
        <v>49.0</v>
      </c>
      <c r="AH316" s="26">
        <v>19.0</v>
      </c>
      <c r="AI316" s="26">
        <f t="shared" si="8"/>
        <v>1277</v>
      </c>
      <c r="AJ316" s="26">
        <f t="shared" si="9"/>
        <v>2547</v>
      </c>
      <c r="AK316" s="26">
        <f t="shared" si="10"/>
        <v>1927</v>
      </c>
      <c r="AL316" s="26">
        <f t="shared" si="11"/>
        <v>2847</v>
      </c>
      <c r="AM316" s="26">
        <f t="shared" ref="AM316:AN316" si="634">(AI316/AK316)*100</f>
        <v>66.26881162</v>
      </c>
      <c r="AN316" s="26">
        <f t="shared" si="634"/>
        <v>89.4625922</v>
      </c>
      <c r="AO316" s="26">
        <v>950.0</v>
      </c>
      <c r="AP316" s="26">
        <v>300.0</v>
      </c>
      <c r="AQ316" s="26">
        <v>650.0</v>
      </c>
      <c r="AR316" s="26">
        <v>554.0</v>
      </c>
      <c r="AS316" s="27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</row>
    <row r="317">
      <c r="A317" s="22">
        <v>10081.0</v>
      </c>
      <c r="B317" s="23" t="s">
        <v>25</v>
      </c>
      <c r="C317" s="29" t="s">
        <v>409</v>
      </c>
      <c r="D317" s="29" t="s">
        <v>411</v>
      </c>
      <c r="E317" s="29" t="s">
        <v>412</v>
      </c>
      <c r="F317" s="29" t="s">
        <v>412</v>
      </c>
      <c r="G317" s="26">
        <v>88947.0</v>
      </c>
      <c r="H317" s="26">
        <v>30988.0</v>
      </c>
      <c r="I317" s="26">
        <v>15808.0</v>
      </c>
      <c r="J317" s="26">
        <v>15180.0</v>
      </c>
      <c r="K317" s="26">
        <v>36342.0</v>
      </c>
      <c r="L317" s="26">
        <v>22254.0</v>
      </c>
      <c r="M317" s="26">
        <v>13824.0</v>
      </c>
      <c r="N317" s="26">
        <v>163.0</v>
      </c>
      <c r="O317" s="26">
        <v>101.0</v>
      </c>
      <c r="P317" s="26">
        <f t="shared" si="3"/>
        <v>13925</v>
      </c>
      <c r="Q317" s="26">
        <f t="shared" si="4"/>
        <v>22417</v>
      </c>
      <c r="R317" s="26">
        <f t="shared" si="5"/>
        <v>28522</v>
      </c>
      <c r="S317" s="26">
        <f t="shared" si="6"/>
        <v>29437</v>
      </c>
      <c r="T317" s="26">
        <f t="shared" ref="T317:U317" si="635">(P317/R317)*100</f>
        <v>48.82196199</v>
      </c>
      <c r="U317" s="26">
        <f t="shared" si="635"/>
        <v>76.15246119</v>
      </c>
      <c r="V317" s="26">
        <v>21617.0</v>
      </c>
      <c r="W317" s="26">
        <v>7020.0</v>
      </c>
      <c r="X317" s="26">
        <v>14597.0</v>
      </c>
      <c r="Y317" s="26">
        <v>0.0</v>
      </c>
      <c r="Z317" s="26">
        <v>108380.0</v>
      </c>
      <c r="AA317" s="26">
        <v>35122.0</v>
      </c>
      <c r="AB317" s="26">
        <v>17776.0</v>
      </c>
      <c r="AC317" s="26">
        <v>17346.0</v>
      </c>
      <c r="AD317" s="26">
        <v>47623.0</v>
      </c>
      <c r="AE317" s="26">
        <v>26064.0</v>
      </c>
      <c r="AF317" s="26">
        <v>20154.0</v>
      </c>
      <c r="AG317" s="26">
        <v>847.0</v>
      </c>
      <c r="AH317" s="26">
        <v>558.0</v>
      </c>
      <c r="AI317" s="26">
        <f t="shared" si="8"/>
        <v>20712</v>
      </c>
      <c r="AJ317" s="26">
        <f t="shared" si="9"/>
        <v>26911</v>
      </c>
      <c r="AK317" s="26">
        <f t="shared" si="10"/>
        <v>33471</v>
      </c>
      <c r="AL317" s="26">
        <f t="shared" si="11"/>
        <v>34486</v>
      </c>
      <c r="AM317" s="26">
        <f t="shared" ref="AM317:AN317" si="636">(AI317/AK317)*100</f>
        <v>61.88043381</v>
      </c>
      <c r="AN317" s="26">
        <f t="shared" si="636"/>
        <v>78.03456475</v>
      </c>
      <c r="AO317" s="26">
        <v>20334.0</v>
      </c>
      <c r="AP317" s="26">
        <v>7575.0</v>
      </c>
      <c r="AQ317" s="26">
        <v>12759.0</v>
      </c>
      <c r="AR317" s="26">
        <v>5301.0</v>
      </c>
      <c r="AS317" s="27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</row>
    <row r="318">
      <c r="A318" s="22">
        <v>10105.0</v>
      </c>
      <c r="B318" s="23" t="s">
        <v>25</v>
      </c>
      <c r="C318" s="29" t="s">
        <v>409</v>
      </c>
      <c r="D318" s="29" t="s">
        <v>411</v>
      </c>
      <c r="E318" s="29" t="s">
        <v>413</v>
      </c>
      <c r="F318" s="29" t="s">
        <v>413</v>
      </c>
      <c r="G318" s="26">
        <v>41684.0</v>
      </c>
      <c r="H318" s="26">
        <v>13361.0</v>
      </c>
      <c r="I318" s="26">
        <v>6890.0</v>
      </c>
      <c r="J318" s="26">
        <v>6471.0</v>
      </c>
      <c r="K318" s="26">
        <v>18010.0</v>
      </c>
      <c r="L318" s="26">
        <v>11086.0</v>
      </c>
      <c r="M318" s="26">
        <v>6779.0</v>
      </c>
      <c r="N318" s="26">
        <v>103.0</v>
      </c>
      <c r="O318" s="26">
        <v>42.0</v>
      </c>
      <c r="P318" s="26">
        <f t="shared" si="3"/>
        <v>6821</v>
      </c>
      <c r="Q318" s="26">
        <f t="shared" si="4"/>
        <v>11189</v>
      </c>
      <c r="R318" s="26">
        <f t="shared" si="5"/>
        <v>13806</v>
      </c>
      <c r="S318" s="26">
        <f t="shared" si="6"/>
        <v>14517</v>
      </c>
      <c r="T318" s="26">
        <f t="shared" ref="T318:U318" si="637">(P318/R318)*100</f>
        <v>49.40605534</v>
      </c>
      <c r="U318" s="26">
        <f t="shared" si="637"/>
        <v>77.07515327</v>
      </c>
      <c r="V318" s="26">
        <v>10313.0</v>
      </c>
      <c r="W318" s="26">
        <v>3328.0</v>
      </c>
      <c r="X318" s="26">
        <v>6985.0</v>
      </c>
      <c r="Y318" s="26">
        <v>0.0</v>
      </c>
      <c r="Z318" s="26">
        <v>40984.0</v>
      </c>
      <c r="AA318" s="26">
        <v>12052.0</v>
      </c>
      <c r="AB318" s="26">
        <v>6117.0</v>
      </c>
      <c r="AC318" s="26">
        <v>5935.0</v>
      </c>
      <c r="AD318" s="26">
        <v>18273.0</v>
      </c>
      <c r="AE318" s="26">
        <v>10462.0</v>
      </c>
      <c r="AF318" s="26">
        <v>7324.0</v>
      </c>
      <c r="AG318" s="26">
        <v>270.0</v>
      </c>
      <c r="AH318" s="26">
        <v>217.0</v>
      </c>
      <c r="AI318" s="26">
        <f t="shared" si="8"/>
        <v>7541</v>
      </c>
      <c r="AJ318" s="26">
        <f t="shared" si="9"/>
        <v>10732</v>
      </c>
      <c r="AK318" s="26">
        <f t="shared" si="10"/>
        <v>12552</v>
      </c>
      <c r="AL318" s="26">
        <f t="shared" si="11"/>
        <v>13609</v>
      </c>
      <c r="AM318" s="26">
        <f t="shared" ref="AM318:AN318" si="638">(AI318/AK318)*100</f>
        <v>60.07807521</v>
      </c>
      <c r="AN318" s="26">
        <f t="shared" si="638"/>
        <v>78.85957822</v>
      </c>
      <c r="AO318" s="26">
        <v>7888.0</v>
      </c>
      <c r="AP318" s="26">
        <v>2877.0</v>
      </c>
      <c r="AQ318" s="26">
        <v>5011.0</v>
      </c>
      <c r="AR318" s="26">
        <v>2771.0</v>
      </c>
      <c r="AS318" s="27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</row>
    <row r="319">
      <c r="A319" s="22">
        <v>10153.0</v>
      </c>
      <c r="B319" s="23" t="s">
        <v>25</v>
      </c>
      <c r="C319" s="29" t="s">
        <v>409</v>
      </c>
      <c r="D319" s="29" t="s">
        <v>414</v>
      </c>
      <c r="E319" s="29" t="s">
        <v>415</v>
      </c>
      <c r="F319" s="29" t="s">
        <v>415</v>
      </c>
      <c r="G319" s="26">
        <v>13234.0</v>
      </c>
      <c r="H319" s="26">
        <v>4625.0</v>
      </c>
      <c r="I319" s="26">
        <v>2316.0</v>
      </c>
      <c r="J319" s="26">
        <v>2309.0</v>
      </c>
      <c r="K319" s="26">
        <v>5475.0</v>
      </c>
      <c r="L319" s="26">
        <v>3579.0</v>
      </c>
      <c r="M319" s="26">
        <v>1865.0</v>
      </c>
      <c r="N319" s="26">
        <v>20.0</v>
      </c>
      <c r="O319" s="26">
        <v>11.0</v>
      </c>
      <c r="P319" s="26">
        <f t="shared" si="3"/>
        <v>1876</v>
      </c>
      <c r="Q319" s="26">
        <f t="shared" si="4"/>
        <v>3599</v>
      </c>
      <c r="R319" s="26">
        <f t="shared" si="5"/>
        <v>4040</v>
      </c>
      <c r="S319" s="26">
        <f t="shared" si="6"/>
        <v>4569</v>
      </c>
      <c r="T319" s="26">
        <f t="shared" ref="T319:U319" si="639">(P319/R319)*100</f>
        <v>46.43564356</v>
      </c>
      <c r="U319" s="26">
        <f t="shared" si="639"/>
        <v>78.76997155</v>
      </c>
      <c r="V319" s="26">
        <v>3134.0</v>
      </c>
      <c r="W319" s="26">
        <v>970.0</v>
      </c>
      <c r="X319" s="26">
        <v>2164.0</v>
      </c>
      <c r="Y319" s="26">
        <v>0.0</v>
      </c>
      <c r="Z319" s="26">
        <v>11380.0</v>
      </c>
      <c r="AA319" s="26">
        <v>3752.0</v>
      </c>
      <c r="AB319" s="26">
        <v>1935.0</v>
      </c>
      <c r="AC319" s="26">
        <v>1817.0</v>
      </c>
      <c r="AD319" s="26">
        <v>5036.0</v>
      </c>
      <c r="AE319" s="26">
        <v>3000.0</v>
      </c>
      <c r="AF319" s="26">
        <v>1920.0</v>
      </c>
      <c r="AG319" s="26">
        <v>75.0</v>
      </c>
      <c r="AH319" s="26">
        <v>41.0</v>
      </c>
      <c r="AI319" s="26">
        <f t="shared" si="8"/>
        <v>1961</v>
      </c>
      <c r="AJ319" s="26">
        <f t="shared" si="9"/>
        <v>3075</v>
      </c>
      <c r="AK319" s="26">
        <f t="shared" si="10"/>
        <v>3354</v>
      </c>
      <c r="AL319" s="26">
        <f t="shared" si="11"/>
        <v>3788</v>
      </c>
      <c r="AM319" s="26">
        <f t="shared" ref="AM319:AN319" si="640">(AI319/AK319)*100</f>
        <v>58.46750149</v>
      </c>
      <c r="AN319" s="26">
        <f t="shared" si="640"/>
        <v>81.17740232</v>
      </c>
      <c r="AO319" s="26">
        <v>2106.0</v>
      </c>
      <c r="AP319" s="26">
        <v>713.0</v>
      </c>
      <c r="AQ319" s="26">
        <v>1393.0</v>
      </c>
      <c r="AR319" s="26">
        <v>486.0</v>
      </c>
      <c r="AS319" s="27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</row>
    <row r="320">
      <c r="A320" s="22">
        <v>10177.0</v>
      </c>
      <c r="B320" s="23" t="s">
        <v>25</v>
      </c>
      <c r="C320" s="29" t="s">
        <v>409</v>
      </c>
      <c r="D320" s="29" t="s">
        <v>414</v>
      </c>
      <c r="E320" s="29" t="s">
        <v>416</v>
      </c>
      <c r="F320" s="29" t="s">
        <v>416</v>
      </c>
      <c r="G320" s="26">
        <v>40829.0</v>
      </c>
      <c r="H320" s="26">
        <v>15406.0</v>
      </c>
      <c r="I320" s="26">
        <v>7863.0</v>
      </c>
      <c r="J320" s="26">
        <v>7543.0</v>
      </c>
      <c r="K320" s="26">
        <v>17188.0</v>
      </c>
      <c r="L320" s="26">
        <v>10582.0</v>
      </c>
      <c r="M320" s="26">
        <v>6478.0</v>
      </c>
      <c r="N320" s="26">
        <v>77.0</v>
      </c>
      <c r="O320" s="26">
        <v>51.0</v>
      </c>
      <c r="P320" s="26">
        <f t="shared" si="3"/>
        <v>6529</v>
      </c>
      <c r="Q320" s="26">
        <f t="shared" si="4"/>
        <v>10659</v>
      </c>
      <c r="R320" s="26">
        <f t="shared" si="5"/>
        <v>12230</v>
      </c>
      <c r="S320" s="26">
        <f t="shared" si="6"/>
        <v>13193</v>
      </c>
      <c r="T320" s="26">
        <f t="shared" ref="T320:U320" si="641">(P320/R320)*100</f>
        <v>53.38511856</v>
      </c>
      <c r="U320" s="26">
        <f t="shared" si="641"/>
        <v>80.79284469</v>
      </c>
      <c r="V320" s="26">
        <v>8235.0</v>
      </c>
      <c r="W320" s="26">
        <v>2534.0</v>
      </c>
      <c r="X320" s="26">
        <v>5701.0</v>
      </c>
      <c r="Y320" s="26">
        <v>0.0</v>
      </c>
      <c r="Z320" s="26">
        <v>45050.0</v>
      </c>
      <c r="AA320" s="26">
        <v>16107.0</v>
      </c>
      <c r="AB320" s="26">
        <v>8178.0</v>
      </c>
      <c r="AC320" s="26">
        <v>7929.0</v>
      </c>
      <c r="AD320" s="26">
        <v>20715.0</v>
      </c>
      <c r="AE320" s="26">
        <v>11958.0</v>
      </c>
      <c r="AF320" s="26">
        <v>8370.0</v>
      </c>
      <c r="AG320" s="26">
        <v>256.0</v>
      </c>
      <c r="AH320" s="26">
        <v>131.0</v>
      </c>
      <c r="AI320" s="26">
        <f t="shared" si="8"/>
        <v>8501</v>
      </c>
      <c r="AJ320" s="26">
        <f t="shared" si="9"/>
        <v>12214</v>
      </c>
      <c r="AK320" s="26">
        <f t="shared" si="10"/>
        <v>13153</v>
      </c>
      <c r="AL320" s="26">
        <f t="shared" si="11"/>
        <v>14241</v>
      </c>
      <c r="AM320" s="26">
        <f t="shared" ref="AM320:AN320" si="642">(AI320/AK320)*100</f>
        <v>64.63164297</v>
      </c>
      <c r="AN320" s="26">
        <f t="shared" si="642"/>
        <v>85.76644899</v>
      </c>
      <c r="AO320" s="26">
        <v>6679.0</v>
      </c>
      <c r="AP320" s="26">
        <v>2027.0</v>
      </c>
      <c r="AQ320" s="26">
        <v>4652.0</v>
      </c>
      <c r="AR320" s="26">
        <v>1549.0</v>
      </c>
      <c r="AS320" s="27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</row>
    <row r="321">
      <c r="A321" s="22">
        <v>10201.0</v>
      </c>
      <c r="B321" s="23" t="s">
        <v>25</v>
      </c>
      <c r="C321" s="29" t="s">
        <v>409</v>
      </c>
      <c r="D321" s="29" t="s">
        <v>414</v>
      </c>
      <c r="E321" s="29" t="s">
        <v>364</v>
      </c>
      <c r="F321" s="29" t="s">
        <v>364</v>
      </c>
      <c r="G321" s="26">
        <v>9473.0</v>
      </c>
      <c r="H321" s="26">
        <v>3401.0</v>
      </c>
      <c r="I321" s="26">
        <v>1675.0</v>
      </c>
      <c r="J321" s="26">
        <v>1726.0</v>
      </c>
      <c r="K321" s="26">
        <v>3737.0</v>
      </c>
      <c r="L321" s="26">
        <v>2530.0</v>
      </c>
      <c r="M321" s="26">
        <v>1180.0</v>
      </c>
      <c r="N321" s="26">
        <v>18.0</v>
      </c>
      <c r="O321" s="26">
        <v>9.0</v>
      </c>
      <c r="P321" s="26">
        <f t="shared" si="3"/>
        <v>1189</v>
      </c>
      <c r="Q321" s="26">
        <f t="shared" si="4"/>
        <v>2548</v>
      </c>
      <c r="R321" s="26">
        <f t="shared" si="5"/>
        <v>2856</v>
      </c>
      <c r="S321" s="26">
        <f t="shared" si="6"/>
        <v>3216</v>
      </c>
      <c r="T321" s="26">
        <f t="shared" ref="T321:U321" si="643">(P321/R321)*100</f>
        <v>41.63165266</v>
      </c>
      <c r="U321" s="26">
        <f t="shared" si="643"/>
        <v>79.22885572</v>
      </c>
      <c r="V321" s="26">
        <v>2335.0</v>
      </c>
      <c r="W321" s="26">
        <v>668.0</v>
      </c>
      <c r="X321" s="26">
        <v>1667.0</v>
      </c>
      <c r="Y321" s="26">
        <v>0.0</v>
      </c>
      <c r="Z321" s="26">
        <v>10896.0</v>
      </c>
      <c r="AA321" s="26">
        <v>3877.0</v>
      </c>
      <c r="AB321" s="26">
        <v>1988.0</v>
      </c>
      <c r="AC321" s="26">
        <v>1889.0</v>
      </c>
      <c r="AD321" s="26">
        <v>4505.0</v>
      </c>
      <c r="AE321" s="26">
        <v>2754.0</v>
      </c>
      <c r="AF321" s="26">
        <v>1636.0</v>
      </c>
      <c r="AG321" s="26">
        <v>83.0</v>
      </c>
      <c r="AH321" s="26">
        <v>32.0</v>
      </c>
      <c r="AI321" s="26">
        <f t="shared" si="8"/>
        <v>1668</v>
      </c>
      <c r="AJ321" s="26">
        <f t="shared" si="9"/>
        <v>2837</v>
      </c>
      <c r="AK321" s="26">
        <f t="shared" si="10"/>
        <v>2943</v>
      </c>
      <c r="AL321" s="26">
        <f t="shared" si="11"/>
        <v>3440</v>
      </c>
      <c r="AM321" s="26">
        <f t="shared" ref="AM321:AN321" si="644">(AI321/AK321)*100</f>
        <v>56.67686035</v>
      </c>
      <c r="AN321" s="26">
        <f t="shared" si="644"/>
        <v>82.47093023</v>
      </c>
      <c r="AO321" s="26">
        <v>1878.0</v>
      </c>
      <c r="AP321" s="26">
        <v>603.0</v>
      </c>
      <c r="AQ321" s="26">
        <v>1275.0</v>
      </c>
      <c r="AR321" s="26">
        <v>636.0</v>
      </c>
      <c r="AS321" s="27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</row>
    <row r="322">
      <c r="A322" s="22">
        <v>10225.0</v>
      </c>
      <c r="B322" s="23" t="s">
        <v>25</v>
      </c>
      <c r="C322" s="29" t="s">
        <v>409</v>
      </c>
      <c r="D322" s="29" t="s">
        <v>414</v>
      </c>
      <c r="E322" s="29" t="s">
        <v>417</v>
      </c>
      <c r="F322" s="29" t="s">
        <v>417</v>
      </c>
      <c r="G322" s="26">
        <v>19063.0</v>
      </c>
      <c r="H322" s="26">
        <v>6394.0</v>
      </c>
      <c r="I322" s="26">
        <v>3289.0</v>
      </c>
      <c r="J322" s="26">
        <v>3105.0</v>
      </c>
      <c r="K322" s="26">
        <v>8415.0</v>
      </c>
      <c r="L322" s="26">
        <v>5258.0</v>
      </c>
      <c r="M322" s="26">
        <v>3074.0</v>
      </c>
      <c r="N322" s="26">
        <v>52.0</v>
      </c>
      <c r="O322" s="26">
        <v>31.0</v>
      </c>
      <c r="P322" s="26">
        <f t="shared" si="3"/>
        <v>3105</v>
      </c>
      <c r="Q322" s="26">
        <f t="shared" si="4"/>
        <v>5310</v>
      </c>
      <c r="R322" s="26">
        <f t="shared" si="5"/>
        <v>5891</v>
      </c>
      <c r="S322" s="26">
        <f t="shared" si="6"/>
        <v>6778</v>
      </c>
      <c r="T322" s="26">
        <f t="shared" ref="T322:U322" si="645">(P322/R322)*100</f>
        <v>52.70751995</v>
      </c>
      <c r="U322" s="26">
        <f t="shared" si="645"/>
        <v>78.34169371</v>
      </c>
      <c r="V322" s="26">
        <v>4254.0</v>
      </c>
      <c r="W322" s="26">
        <v>1468.0</v>
      </c>
      <c r="X322" s="26">
        <v>2786.0</v>
      </c>
      <c r="Y322" s="26">
        <v>0.0</v>
      </c>
      <c r="Z322" s="26">
        <v>21015.0</v>
      </c>
      <c r="AA322" s="26">
        <v>6591.0</v>
      </c>
      <c r="AB322" s="26">
        <v>3332.0</v>
      </c>
      <c r="AC322" s="26">
        <v>3259.0</v>
      </c>
      <c r="AD322" s="26">
        <v>10568.0</v>
      </c>
      <c r="AE322" s="26">
        <v>5974.0</v>
      </c>
      <c r="AF322" s="26">
        <v>4404.0</v>
      </c>
      <c r="AG322" s="26">
        <v>100.0</v>
      </c>
      <c r="AH322" s="26">
        <v>90.0</v>
      </c>
      <c r="AI322" s="26">
        <f t="shared" si="8"/>
        <v>4494</v>
      </c>
      <c r="AJ322" s="26">
        <f t="shared" si="9"/>
        <v>6074</v>
      </c>
      <c r="AK322" s="26">
        <f t="shared" si="10"/>
        <v>6393</v>
      </c>
      <c r="AL322" s="26">
        <f t="shared" si="11"/>
        <v>7077</v>
      </c>
      <c r="AM322" s="26">
        <f t="shared" ref="AM322:AN322" si="646">(AI322/AK322)*100</f>
        <v>70.29563585</v>
      </c>
      <c r="AN322" s="26">
        <f t="shared" si="646"/>
        <v>85.82732796</v>
      </c>
      <c r="AO322" s="26">
        <v>2902.0</v>
      </c>
      <c r="AP322" s="26">
        <v>1003.0</v>
      </c>
      <c r="AQ322" s="26">
        <v>1899.0</v>
      </c>
      <c r="AR322" s="26">
        <v>954.0</v>
      </c>
      <c r="AS322" s="27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</row>
    <row r="323">
      <c r="A323" s="22">
        <v>10273.0</v>
      </c>
      <c r="B323" s="23" t="s">
        <v>25</v>
      </c>
      <c r="C323" s="29" t="s">
        <v>409</v>
      </c>
      <c r="D323" s="29" t="s">
        <v>418</v>
      </c>
      <c r="E323" s="29" t="s">
        <v>419</v>
      </c>
      <c r="F323" s="29" t="s">
        <v>419</v>
      </c>
      <c r="G323" s="26">
        <v>17065.0</v>
      </c>
      <c r="H323" s="26">
        <v>5906.0</v>
      </c>
      <c r="I323" s="26">
        <v>3012.0</v>
      </c>
      <c r="J323" s="26">
        <v>2894.0</v>
      </c>
      <c r="K323" s="26">
        <v>7378.0</v>
      </c>
      <c r="L323" s="26">
        <v>4432.0</v>
      </c>
      <c r="M323" s="26">
        <v>2888.0</v>
      </c>
      <c r="N323" s="26">
        <v>34.0</v>
      </c>
      <c r="O323" s="26">
        <v>24.0</v>
      </c>
      <c r="P323" s="26">
        <f t="shared" si="3"/>
        <v>2912</v>
      </c>
      <c r="Q323" s="26">
        <f t="shared" si="4"/>
        <v>4466</v>
      </c>
      <c r="R323" s="26">
        <f t="shared" si="5"/>
        <v>5520</v>
      </c>
      <c r="S323" s="26">
        <f t="shared" si="6"/>
        <v>5639</v>
      </c>
      <c r="T323" s="26">
        <f t="shared" ref="T323:U323" si="647">(P323/R323)*100</f>
        <v>52.75362319</v>
      </c>
      <c r="U323" s="26">
        <f t="shared" si="647"/>
        <v>79.19843944</v>
      </c>
      <c r="V323" s="26">
        <v>3781.0</v>
      </c>
      <c r="W323" s="26">
        <v>1173.0</v>
      </c>
      <c r="X323" s="26">
        <v>2608.0</v>
      </c>
      <c r="Y323" s="26">
        <v>0.0</v>
      </c>
      <c r="Z323" s="26">
        <v>17772.0</v>
      </c>
      <c r="AA323" s="26">
        <v>6022.0</v>
      </c>
      <c r="AB323" s="26">
        <v>3112.0</v>
      </c>
      <c r="AC323" s="26">
        <v>2910.0</v>
      </c>
      <c r="AD323" s="26">
        <v>7816.0</v>
      </c>
      <c r="AE323" s="26">
        <v>4527.0</v>
      </c>
      <c r="AF323" s="26">
        <v>3093.0</v>
      </c>
      <c r="AG323" s="26">
        <v>131.0</v>
      </c>
      <c r="AH323" s="26">
        <v>65.0</v>
      </c>
      <c r="AI323" s="26">
        <f t="shared" si="8"/>
        <v>3158</v>
      </c>
      <c r="AJ323" s="26">
        <f t="shared" si="9"/>
        <v>4658</v>
      </c>
      <c r="AK323" s="26">
        <f t="shared" si="10"/>
        <v>5272</v>
      </c>
      <c r="AL323" s="26">
        <f t="shared" si="11"/>
        <v>5755</v>
      </c>
      <c r="AM323" s="26">
        <f t="shared" ref="AM323:AN323" si="648">(AI323/AK323)*100</f>
        <v>59.90136571</v>
      </c>
      <c r="AN323" s="26">
        <f t="shared" si="648"/>
        <v>80.93831451</v>
      </c>
      <c r="AO323" s="26">
        <v>3211.0</v>
      </c>
      <c r="AP323" s="26">
        <v>1097.0</v>
      </c>
      <c r="AQ323" s="26">
        <v>2114.0</v>
      </c>
      <c r="AR323" s="26">
        <v>723.0</v>
      </c>
      <c r="AS323" s="27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</row>
    <row r="324">
      <c r="A324" s="22">
        <v>10297.0</v>
      </c>
      <c r="B324" s="23" t="s">
        <v>25</v>
      </c>
      <c r="C324" s="29" t="s">
        <v>409</v>
      </c>
      <c r="D324" s="29" t="s">
        <v>418</v>
      </c>
      <c r="E324" s="29" t="s">
        <v>420</v>
      </c>
      <c r="F324" s="29" t="s">
        <v>420</v>
      </c>
      <c r="G324" s="26">
        <v>6361.0</v>
      </c>
      <c r="H324" s="26">
        <v>2199.0</v>
      </c>
      <c r="I324" s="26">
        <v>1099.0</v>
      </c>
      <c r="J324" s="26">
        <v>1100.0</v>
      </c>
      <c r="K324" s="26">
        <v>2719.0</v>
      </c>
      <c r="L324" s="26">
        <v>1939.0</v>
      </c>
      <c r="M324" s="26">
        <v>768.0</v>
      </c>
      <c r="N324" s="26">
        <v>7.0</v>
      </c>
      <c r="O324" s="26">
        <v>5.0</v>
      </c>
      <c r="P324" s="26">
        <f t="shared" si="3"/>
        <v>773</v>
      </c>
      <c r="Q324" s="26">
        <f t="shared" si="4"/>
        <v>1946</v>
      </c>
      <c r="R324" s="26">
        <f t="shared" si="5"/>
        <v>1869</v>
      </c>
      <c r="S324" s="26">
        <f t="shared" si="6"/>
        <v>2293</v>
      </c>
      <c r="T324" s="26">
        <f t="shared" ref="T324:U324" si="649">(P324/R324)*100</f>
        <v>41.35901552</v>
      </c>
      <c r="U324" s="26">
        <f t="shared" si="649"/>
        <v>84.86698648</v>
      </c>
      <c r="V324" s="26">
        <v>1443.0</v>
      </c>
      <c r="W324" s="26">
        <v>347.0</v>
      </c>
      <c r="X324" s="26">
        <v>1096.0</v>
      </c>
      <c r="Y324" s="26">
        <v>0.0</v>
      </c>
      <c r="Z324" s="26">
        <v>7872.0</v>
      </c>
      <c r="AA324" s="26">
        <v>2293.0</v>
      </c>
      <c r="AB324" s="26">
        <v>1186.0</v>
      </c>
      <c r="AC324" s="26">
        <v>1107.0</v>
      </c>
      <c r="AD324" s="26">
        <v>3900.0</v>
      </c>
      <c r="AE324" s="26">
        <v>2551.0</v>
      </c>
      <c r="AF324" s="26">
        <v>1262.0</v>
      </c>
      <c r="AG324" s="26">
        <v>59.0</v>
      </c>
      <c r="AH324" s="26">
        <v>28.0</v>
      </c>
      <c r="AI324" s="26">
        <f t="shared" si="8"/>
        <v>1290</v>
      </c>
      <c r="AJ324" s="26">
        <f t="shared" si="9"/>
        <v>2610</v>
      </c>
      <c r="AK324" s="26">
        <f t="shared" si="10"/>
        <v>2322</v>
      </c>
      <c r="AL324" s="26">
        <f t="shared" si="11"/>
        <v>3029</v>
      </c>
      <c r="AM324" s="26">
        <f t="shared" ref="AM324:AN324" si="650">(AI324/AK324)*100</f>
        <v>55.55555556</v>
      </c>
      <c r="AN324" s="26">
        <f t="shared" si="650"/>
        <v>86.16705183</v>
      </c>
      <c r="AO324" s="26">
        <v>1451.0</v>
      </c>
      <c r="AP324" s="26">
        <v>419.0</v>
      </c>
      <c r="AQ324" s="26">
        <v>1032.0</v>
      </c>
      <c r="AR324" s="26">
        <v>228.0</v>
      </c>
      <c r="AS324" s="27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</row>
    <row r="325">
      <c r="A325" s="22">
        <v>10345.0</v>
      </c>
      <c r="B325" s="23" t="s">
        <v>25</v>
      </c>
      <c r="C325" s="29" t="s">
        <v>409</v>
      </c>
      <c r="D325" s="29" t="s">
        <v>421</v>
      </c>
      <c r="E325" s="29" t="s">
        <v>350</v>
      </c>
      <c r="F325" s="29" t="s">
        <v>350</v>
      </c>
      <c r="G325" s="26">
        <v>19249.0</v>
      </c>
      <c r="H325" s="26">
        <v>7113.0</v>
      </c>
      <c r="I325" s="26">
        <v>3684.0</v>
      </c>
      <c r="J325" s="26">
        <v>3429.0</v>
      </c>
      <c r="K325" s="26">
        <v>7963.0</v>
      </c>
      <c r="L325" s="26">
        <v>5129.0</v>
      </c>
      <c r="M325" s="26">
        <v>2798.0</v>
      </c>
      <c r="N325" s="26">
        <v>21.0</v>
      </c>
      <c r="O325" s="26">
        <v>15.0</v>
      </c>
      <c r="P325" s="26">
        <f t="shared" si="3"/>
        <v>2813</v>
      </c>
      <c r="Q325" s="26">
        <f t="shared" si="4"/>
        <v>5150</v>
      </c>
      <c r="R325" s="26">
        <f t="shared" si="5"/>
        <v>5656</v>
      </c>
      <c r="S325" s="26">
        <f t="shared" si="6"/>
        <v>6480</v>
      </c>
      <c r="T325" s="26">
        <f t="shared" ref="T325:U325" si="651">(P325/R325)*100</f>
        <v>49.73479491</v>
      </c>
      <c r="U325" s="26">
        <f t="shared" si="651"/>
        <v>79.47530864</v>
      </c>
      <c r="V325" s="26">
        <v>4173.0</v>
      </c>
      <c r="W325" s="26">
        <v>1330.0</v>
      </c>
      <c r="X325" s="26">
        <v>2843.0</v>
      </c>
      <c r="Y325" s="26">
        <v>0.0</v>
      </c>
      <c r="Z325" s="26">
        <v>21378.0</v>
      </c>
      <c r="AA325" s="26">
        <v>7581.0</v>
      </c>
      <c r="AB325" s="26">
        <v>3975.0</v>
      </c>
      <c r="AC325" s="26">
        <v>3606.0</v>
      </c>
      <c r="AD325" s="26">
        <v>8888.0</v>
      </c>
      <c r="AE325" s="26">
        <v>5327.0</v>
      </c>
      <c r="AF325" s="26">
        <v>3314.0</v>
      </c>
      <c r="AG325" s="26">
        <v>176.0</v>
      </c>
      <c r="AH325" s="26">
        <v>71.0</v>
      </c>
      <c r="AI325" s="26">
        <f t="shared" si="8"/>
        <v>3385</v>
      </c>
      <c r="AJ325" s="26">
        <f t="shared" si="9"/>
        <v>5503</v>
      </c>
      <c r="AK325" s="26">
        <f t="shared" si="10"/>
        <v>6191</v>
      </c>
      <c r="AL325" s="26">
        <f t="shared" si="11"/>
        <v>6900</v>
      </c>
      <c r="AM325" s="26">
        <f t="shared" ref="AM325:AN325" si="652">(AI325/AK325)*100</f>
        <v>54.67614279</v>
      </c>
      <c r="AN325" s="26">
        <f t="shared" si="652"/>
        <v>79.75362319</v>
      </c>
      <c r="AO325" s="26">
        <v>4203.0</v>
      </c>
      <c r="AP325" s="26">
        <v>1397.0</v>
      </c>
      <c r="AQ325" s="26">
        <v>2806.0</v>
      </c>
      <c r="AR325" s="26">
        <v>706.0</v>
      </c>
      <c r="AS325" s="27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</row>
    <row r="326">
      <c r="A326" s="22">
        <v>10393.0</v>
      </c>
      <c r="B326" s="23" t="s">
        <v>25</v>
      </c>
      <c r="C326" s="29" t="s">
        <v>409</v>
      </c>
      <c r="D326" s="29" t="s">
        <v>422</v>
      </c>
      <c r="E326" s="29" t="s">
        <v>423</v>
      </c>
      <c r="F326" s="29" t="s">
        <v>423</v>
      </c>
      <c r="G326" s="26">
        <v>3828.0</v>
      </c>
      <c r="H326" s="26">
        <v>1493.0</v>
      </c>
      <c r="I326" s="26">
        <v>747.0</v>
      </c>
      <c r="J326" s="26">
        <v>746.0</v>
      </c>
      <c r="K326" s="26">
        <v>1579.0</v>
      </c>
      <c r="L326" s="26">
        <v>1099.0</v>
      </c>
      <c r="M326" s="26">
        <v>472.0</v>
      </c>
      <c r="N326" s="26">
        <v>7.0</v>
      </c>
      <c r="O326" s="26">
        <v>1.0</v>
      </c>
      <c r="P326" s="26">
        <f t="shared" si="3"/>
        <v>473</v>
      </c>
      <c r="Q326" s="26">
        <f t="shared" si="4"/>
        <v>1106</v>
      </c>
      <c r="R326" s="26">
        <f t="shared" si="5"/>
        <v>1024</v>
      </c>
      <c r="S326" s="26">
        <f t="shared" si="6"/>
        <v>1311</v>
      </c>
      <c r="T326" s="26">
        <f t="shared" ref="T326:U326" si="653">(P326/R326)*100</f>
        <v>46.19140625</v>
      </c>
      <c r="U326" s="26">
        <f t="shared" si="653"/>
        <v>84.36308162</v>
      </c>
      <c r="V326" s="26">
        <v>756.0</v>
      </c>
      <c r="W326" s="26">
        <v>205.0</v>
      </c>
      <c r="X326" s="26">
        <v>551.0</v>
      </c>
      <c r="Y326" s="26">
        <v>0.0</v>
      </c>
      <c r="Z326" s="26">
        <v>4228.0</v>
      </c>
      <c r="AA326" s="26">
        <v>1522.0</v>
      </c>
      <c r="AB326" s="26">
        <v>787.0</v>
      </c>
      <c r="AC326" s="26">
        <v>735.0</v>
      </c>
      <c r="AD326" s="26">
        <v>1791.0</v>
      </c>
      <c r="AE326" s="26">
        <v>1092.0</v>
      </c>
      <c r="AF326" s="26">
        <v>657.0</v>
      </c>
      <c r="AG326" s="26">
        <v>33.0</v>
      </c>
      <c r="AH326" s="26">
        <v>9.0</v>
      </c>
      <c r="AI326" s="26">
        <f t="shared" si="8"/>
        <v>666</v>
      </c>
      <c r="AJ326" s="26">
        <f t="shared" si="9"/>
        <v>1125</v>
      </c>
      <c r="AK326" s="26">
        <f t="shared" si="10"/>
        <v>1168</v>
      </c>
      <c r="AL326" s="26">
        <f t="shared" si="11"/>
        <v>1360</v>
      </c>
      <c r="AM326" s="26">
        <f t="shared" ref="AM326:AN326" si="654">(AI326/AK326)*100</f>
        <v>57.02054795</v>
      </c>
      <c r="AN326" s="26">
        <f t="shared" si="654"/>
        <v>82.72058824</v>
      </c>
      <c r="AO326" s="26">
        <v>737.0</v>
      </c>
      <c r="AP326" s="26">
        <v>235.0</v>
      </c>
      <c r="AQ326" s="26">
        <v>502.0</v>
      </c>
      <c r="AR326" s="26">
        <v>178.0</v>
      </c>
      <c r="AS326" s="27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</row>
    <row r="327">
      <c r="A327" s="22">
        <v>10417.0</v>
      </c>
      <c r="B327" s="23" t="s">
        <v>25</v>
      </c>
      <c r="C327" s="29" t="s">
        <v>409</v>
      </c>
      <c r="D327" s="29" t="s">
        <v>422</v>
      </c>
      <c r="E327" s="29" t="s">
        <v>424</v>
      </c>
      <c r="F327" s="29" t="s">
        <v>424</v>
      </c>
      <c r="G327" s="26">
        <v>12501.0</v>
      </c>
      <c r="H327" s="26">
        <v>4236.0</v>
      </c>
      <c r="I327" s="26">
        <v>2165.0</v>
      </c>
      <c r="J327" s="26">
        <v>2071.0</v>
      </c>
      <c r="K327" s="26">
        <v>5700.0</v>
      </c>
      <c r="L327" s="26">
        <v>4016.0</v>
      </c>
      <c r="M327" s="26">
        <v>1662.0</v>
      </c>
      <c r="N327" s="26">
        <v>17.0</v>
      </c>
      <c r="O327" s="26">
        <v>5.0</v>
      </c>
      <c r="P327" s="26">
        <f t="shared" si="3"/>
        <v>1667</v>
      </c>
      <c r="Q327" s="26">
        <f t="shared" si="4"/>
        <v>4033</v>
      </c>
      <c r="R327" s="26">
        <f t="shared" si="5"/>
        <v>3585</v>
      </c>
      <c r="S327" s="26">
        <f t="shared" si="6"/>
        <v>4680</v>
      </c>
      <c r="T327" s="26">
        <f t="shared" ref="T327:U327" si="655">(P327/R327)*100</f>
        <v>46.49930265</v>
      </c>
      <c r="U327" s="26">
        <f t="shared" si="655"/>
        <v>86.17521368</v>
      </c>
      <c r="V327" s="26">
        <v>2565.0</v>
      </c>
      <c r="W327" s="26">
        <v>647.0</v>
      </c>
      <c r="X327" s="26">
        <v>1918.0</v>
      </c>
      <c r="Y327" s="26">
        <v>0.0</v>
      </c>
      <c r="Z327" s="26">
        <v>15196.0</v>
      </c>
      <c r="AA327" s="26">
        <v>4184.0</v>
      </c>
      <c r="AB327" s="26">
        <v>2167.0</v>
      </c>
      <c r="AC327" s="26">
        <v>2017.0</v>
      </c>
      <c r="AD327" s="26">
        <v>7983.0</v>
      </c>
      <c r="AE327" s="26">
        <v>5229.0</v>
      </c>
      <c r="AF327" s="26">
        <v>2621.0</v>
      </c>
      <c r="AG327" s="26">
        <v>96.0</v>
      </c>
      <c r="AH327" s="26">
        <v>37.0</v>
      </c>
      <c r="AI327" s="26">
        <f t="shared" si="8"/>
        <v>2658</v>
      </c>
      <c r="AJ327" s="26">
        <f t="shared" si="9"/>
        <v>5325</v>
      </c>
      <c r="AK327" s="26">
        <f t="shared" si="10"/>
        <v>4154</v>
      </c>
      <c r="AL327" s="26">
        <f t="shared" si="11"/>
        <v>5879</v>
      </c>
      <c r="AM327" s="26">
        <f t="shared" ref="AM327:AN327" si="656">(AI327/AK327)*100</f>
        <v>63.98651902</v>
      </c>
      <c r="AN327" s="26">
        <f t="shared" si="656"/>
        <v>90.57662868</v>
      </c>
      <c r="AO327" s="26">
        <v>2050.0</v>
      </c>
      <c r="AP327" s="26">
        <v>554.0</v>
      </c>
      <c r="AQ327" s="26">
        <v>1496.0</v>
      </c>
      <c r="AR327" s="26">
        <v>979.0</v>
      </c>
      <c r="AS327" s="27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</row>
    <row r="328">
      <c r="A328" s="22">
        <v>10465.0</v>
      </c>
      <c r="B328" s="23" t="s">
        <v>25</v>
      </c>
      <c r="C328" s="29" t="s">
        <v>409</v>
      </c>
      <c r="D328" s="29" t="s">
        <v>425</v>
      </c>
      <c r="E328" s="29" t="s">
        <v>426</v>
      </c>
      <c r="F328" s="29" t="s">
        <v>426</v>
      </c>
      <c r="G328" s="26">
        <v>6911.0</v>
      </c>
      <c r="H328" s="26">
        <v>2188.0</v>
      </c>
      <c r="I328" s="26">
        <v>1110.0</v>
      </c>
      <c r="J328" s="26">
        <v>1078.0</v>
      </c>
      <c r="K328" s="26">
        <v>3031.0</v>
      </c>
      <c r="L328" s="26">
        <v>2120.0</v>
      </c>
      <c r="M328" s="26">
        <v>893.0</v>
      </c>
      <c r="N328" s="26">
        <v>13.0</v>
      </c>
      <c r="O328" s="26">
        <v>5.0</v>
      </c>
      <c r="P328" s="26">
        <f t="shared" si="3"/>
        <v>898</v>
      </c>
      <c r="Q328" s="26">
        <f t="shared" si="4"/>
        <v>2133</v>
      </c>
      <c r="R328" s="26">
        <f t="shared" si="5"/>
        <v>2002</v>
      </c>
      <c r="S328" s="26">
        <f t="shared" si="6"/>
        <v>2721</v>
      </c>
      <c r="T328" s="26">
        <f t="shared" ref="T328:U328" si="657">(P328/R328)*100</f>
        <v>44.85514486</v>
      </c>
      <c r="U328" s="26">
        <f t="shared" si="657"/>
        <v>78.39029768</v>
      </c>
      <c r="V328" s="26">
        <v>1692.0</v>
      </c>
      <c r="W328" s="26">
        <v>588.0</v>
      </c>
      <c r="X328" s="26">
        <v>1104.0</v>
      </c>
      <c r="Y328" s="26">
        <v>0.0</v>
      </c>
      <c r="Z328" s="26">
        <v>6610.0</v>
      </c>
      <c r="AA328" s="26">
        <v>2040.0</v>
      </c>
      <c r="AB328" s="26">
        <v>1062.0</v>
      </c>
      <c r="AC328" s="26">
        <v>978.0</v>
      </c>
      <c r="AD328" s="26">
        <v>3026.0</v>
      </c>
      <c r="AE328" s="26">
        <v>1869.0</v>
      </c>
      <c r="AF328" s="26">
        <v>1102.0</v>
      </c>
      <c r="AG328" s="26">
        <v>29.0</v>
      </c>
      <c r="AH328" s="26">
        <v>26.0</v>
      </c>
      <c r="AI328" s="26">
        <f t="shared" si="8"/>
        <v>1128</v>
      </c>
      <c r="AJ328" s="26">
        <f t="shared" si="9"/>
        <v>1898</v>
      </c>
      <c r="AK328" s="26">
        <f t="shared" si="10"/>
        <v>1863</v>
      </c>
      <c r="AL328" s="26">
        <f t="shared" si="11"/>
        <v>2273</v>
      </c>
      <c r="AM328" s="26">
        <f t="shared" ref="AM328:AN328" si="658">(AI328/AK328)*100</f>
        <v>60.54750403</v>
      </c>
      <c r="AN328" s="26">
        <f t="shared" si="658"/>
        <v>83.50197976</v>
      </c>
      <c r="AO328" s="26">
        <v>1110.0</v>
      </c>
      <c r="AP328" s="26">
        <v>375.0</v>
      </c>
      <c r="AQ328" s="26">
        <v>735.0</v>
      </c>
      <c r="AR328" s="26">
        <v>434.0</v>
      </c>
      <c r="AS328" s="27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</row>
    <row r="329">
      <c r="A329" s="22">
        <v>10489.0</v>
      </c>
      <c r="B329" s="23" t="s">
        <v>25</v>
      </c>
      <c r="C329" s="29" t="s">
        <v>409</v>
      </c>
      <c r="D329" s="29" t="s">
        <v>425</v>
      </c>
      <c r="E329" s="29" t="s">
        <v>395</v>
      </c>
      <c r="F329" s="29" t="s">
        <v>395</v>
      </c>
      <c r="G329" s="26">
        <v>4950.0</v>
      </c>
      <c r="H329" s="26">
        <v>1732.0</v>
      </c>
      <c r="I329" s="26">
        <v>910.0</v>
      </c>
      <c r="J329" s="26">
        <v>822.0</v>
      </c>
      <c r="K329" s="26">
        <v>2149.0</v>
      </c>
      <c r="L329" s="26">
        <v>1430.0</v>
      </c>
      <c r="M329" s="26">
        <v>698.0</v>
      </c>
      <c r="N329" s="26">
        <v>18.0</v>
      </c>
      <c r="O329" s="26">
        <v>3.0</v>
      </c>
      <c r="P329" s="26">
        <f t="shared" si="3"/>
        <v>701</v>
      </c>
      <c r="Q329" s="26">
        <f t="shared" si="4"/>
        <v>1448</v>
      </c>
      <c r="R329" s="26">
        <f t="shared" si="5"/>
        <v>1453</v>
      </c>
      <c r="S329" s="26">
        <f t="shared" si="6"/>
        <v>1765</v>
      </c>
      <c r="T329" s="26">
        <f t="shared" ref="T329:U329" si="659">(P329/R329)*100</f>
        <v>48.24501032</v>
      </c>
      <c r="U329" s="26">
        <f t="shared" si="659"/>
        <v>82.03966006</v>
      </c>
      <c r="V329" s="26">
        <v>1069.0</v>
      </c>
      <c r="W329" s="26">
        <v>317.0</v>
      </c>
      <c r="X329" s="26">
        <v>752.0</v>
      </c>
      <c r="Y329" s="26">
        <v>0.0</v>
      </c>
      <c r="Z329" s="26">
        <v>5294.0</v>
      </c>
      <c r="AA329" s="26">
        <v>1597.0</v>
      </c>
      <c r="AB329" s="26">
        <v>826.0</v>
      </c>
      <c r="AC329" s="26">
        <v>771.0</v>
      </c>
      <c r="AD329" s="26">
        <v>2498.0</v>
      </c>
      <c r="AE329" s="26">
        <v>1533.0</v>
      </c>
      <c r="AF329" s="26">
        <v>915.0</v>
      </c>
      <c r="AG329" s="26">
        <v>37.0</v>
      </c>
      <c r="AH329" s="26">
        <v>13.0</v>
      </c>
      <c r="AI329" s="26">
        <f t="shared" si="8"/>
        <v>928</v>
      </c>
      <c r="AJ329" s="26">
        <f t="shared" si="9"/>
        <v>1570</v>
      </c>
      <c r="AK329" s="26">
        <f t="shared" si="10"/>
        <v>1555</v>
      </c>
      <c r="AL329" s="26">
        <f t="shared" si="11"/>
        <v>1892</v>
      </c>
      <c r="AM329" s="26">
        <f t="shared" ref="AM329:AN329" si="660">(AI329/AK329)*100</f>
        <v>59.67845659</v>
      </c>
      <c r="AN329" s="26">
        <f t="shared" si="660"/>
        <v>82.98097252</v>
      </c>
      <c r="AO329" s="26">
        <v>949.0</v>
      </c>
      <c r="AP329" s="26">
        <v>322.0</v>
      </c>
      <c r="AQ329" s="26">
        <v>627.0</v>
      </c>
      <c r="AR329" s="26">
        <v>250.0</v>
      </c>
      <c r="AS329" s="27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</row>
    <row r="330">
      <c r="A330" s="22">
        <v>10513.0</v>
      </c>
      <c r="B330" s="23" t="s">
        <v>25</v>
      </c>
      <c r="C330" s="29" t="s">
        <v>409</v>
      </c>
      <c r="D330" s="29" t="s">
        <v>425</v>
      </c>
      <c r="E330" s="29" t="s">
        <v>427</v>
      </c>
      <c r="F330" s="29" t="s">
        <v>427</v>
      </c>
      <c r="G330" s="26">
        <v>942.0</v>
      </c>
      <c r="H330" s="26">
        <v>340.0</v>
      </c>
      <c r="I330" s="26">
        <v>166.0</v>
      </c>
      <c r="J330" s="26">
        <v>174.0</v>
      </c>
      <c r="K330" s="26">
        <v>408.0</v>
      </c>
      <c r="L330" s="26">
        <v>315.0</v>
      </c>
      <c r="M330" s="26">
        <v>92.0</v>
      </c>
      <c r="N330" s="26">
        <v>0.0</v>
      </c>
      <c r="O330" s="26">
        <v>1.0</v>
      </c>
      <c r="P330" s="26">
        <f t="shared" si="3"/>
        <v>93</v>
      </c>
      <c r="Q330" s="26">
        <f t="shared" si="4"/>
        <v>315</v>
      </c>
      <c r="R330" s="26">
        <f t="shared" si="5"/>
        <v>232</v>
      </c>
      <c r="S330" s="26">
        <f t="shared" si="6"/>
        <v>370</v>
      </c>
      <c r="T330" s="26">
        <f t="shared" ref="T330:U330" si="661">(P330/R330)*100</f>
        <v>40.0862069</v>
      </c>
      <c r="U330" s="26">
        <f t="shared" si="661"/>
        <v>85.13513514</v>
      </c>
      <c r="V330" s="26">
        <v>194.0</v>
      </c>
      <c r="W330" s="26">
        <v>55.0</v>
      </c>
      <c r="X330" s="26">
        <v>139.0</v>
      </c>
      <c r="Y330" s="26">
        <v>0.0</v>
      </c>
      <c r="Z330" s="26">
        <v>1073.0</v>
      </c>
      <c r="AA330" s="26">
        <v>351.0</v>
      </c>
      <c r="AB330" s="26">
        <v>186.0</v>
      </c>
      <c r="AC330" s="26">
        <v>165.0</v>
      </c>
      <c r="AD330" s="26">
        <v>493.0</v>
      </c>
      <c r="AE330" s="26">
        <v>313.0</v>
      </c>
      <c r="AF330" s="26">
        <v>170.0</v>
      </c>
      <c r="AG330" s="26">
        <v>6.0</v>
      </c>
      <c r="AH330" s="26">
        <v>4.0</v>
      </c>
      <c r="AI330" s="26">
        <f t="shared" si="8"/>
        <v>174</v>
      </c>
      <c r="AJ330" s="26">
        <f t="shared" si="9"/>
        <v>319</v>
      </c>
      <c r="AK330" s="26">
        <f t="shared" si="10"/>
        <v>293</v>
      </c>
      <c r="AL330" s="26">
        <f t="shared" si="11"/>
        <v>380</v>
      </c>
      <c r="AM330" s="26">
        <f t="shared" ref="AM330:AN330" si="662">(AI330/AK330)*100</f>
        <v>59.38566553</v>
      </c>
      <c r="AN330" s="26">
        <f t="shared" si="662"/>
        <v>83.94736842</v>
      </c>
      <c r="AO330" s="26">
        <v>180.0</v>
      </c>
      <c r="AP330" s="26">
        <v>61.0</v>
      </c>
      <c r="AQ330" s="26">
        <v>119.0</v>
      </c>
      <c r="AR330" s="26">
        <v>49.0</v>
      </c>
      <c r="AS330" s="27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</row>
    <row r="331">
      <c r="A331" s="22">
        <v>10561.0</v>
      </c>
      <c r="B331" s="23" t="s">
        <v>25</v>
      </c>
      <c r="C331" s="29" t="s">
        <v>409</v>
      </c>
      <c r="D331" s="29" t="s">
        <v>428</v>
      </c>
      <c r="E331" s="29" t="s">
        <v>429</v>
      </c>
      <c r="F331" s="29" t="s">
        <v>429</v>
      </c>
      <c r="G331" s="26">
        <v>11302.0</v>
      </c>
      <c r="H331" s="26">
        <v>3832.0</v>
      </c>
      <c r="I331" s="26">
        <v>2027.0</v>
      </c>
      <c r="J331" s="26">
        <v>1805.0</v>
      </c>
      <c r="K331" s="26">
        <v>4649.0</v>
      </c>
      <c r="L331" s="26">
        <v>3113.0</v>
      </c>
      <c r="M331" s="26">
        <v>1502.0</v>
      </c>
      <c r="N331" s="26">
        <v>25.0</v>
      </c>
      <c r="O331" s="26">
        <v>9.0</v>
      </c>
      <c r="P331" s="26">
        <f t="shared" si="3"/>
        <v>1511</v>
      </c>
      <c r="Q331" s="26">
        <f t="shared" si="4"/>
        <v>3138</v>
      </c>
      <c r="R331" s="26">
        <f t="shared" si="5"/>
        <v>3482</v>
      </c>
      <c r="S331" s="26">
        <f t="shared" si="6"/>
        <v>3988</v>
      </c>
      <c r="T331" s="26">
        <f t="shared" ref="T331:U331" si="663">(P331/R331)*100</f>
        <v>43.3946008</v>
      </c>
      <c r="U331" s="26">
        <f t="shared" si="663"/>
        <v>78.68605817</v>
      </c>
      <c r="V331" s="26">
        <v>2821.0</v>
      </c>
      <c r="W331" s="26">
        <v>850.0</v>
      </c>
      <c r="X331" s="26">
        <v>1971.0</v>
      </c>
      <c r="Y331" s="26">
        <v>0.0</v>
      </c>
      <c r="Z331" s="26">
        <v>12447.0</v>
      </c>
      <c r="AA331" s="26">
        <v>4081.0</v>
      </c>
      <c r="AB331" s="26">
        <v>2116.0</v>
      </c>
      <c r="AC331" s="26">
        <v>1965.0</v>
      </c>
      <c r="AD331" s="26">
        <v>5004.0</v>
      </c>
      <c r="AE331" s="26">
        <v>3028.0</v>
      </c>
      <c r="AF331" s="26">
        <v>1849.0</v>
      </c>
      <c r="AG331" s="26">
        <v>75.0</v>
      </c>
      <c r="AH331" s="26">
        <v>52.0</v>
      </c>
      <c r="AI331" s="26">
        <f t="shared" si="8"/>
        <v>1901</v>
      </c>
      <c r="AJ331" s="26">
        <f t="shared" si="9"/>
        <v>3103</v>
      </c>
      <c r="AK331" s="26">
        <f t="shared" si="10"/>
        <v>3325</v>
      </c>
      <c r="AL331" s="26">
        <f t="shared" si="11"/>
        <v>3830</v>
      </c>
      <c r="AM331" s="26">
        <f t="shared" ref="AM331:AN331" si="664">(AI331/AK331)*100</f>
        <v>57.17293233</v>
      </c>
      <c r="AN331" s="26">
        <f t="shared" si="664"/>
        <v>81.01827676</v>
      </c>
      <c r="AO331" s="26">
        <v>2151.0</v>
      </c>
      <c r="AP331" s="26">
        <v>727.0</v>
      </c>
      <c r="AQ331" s="26">
        <v>1424.0</v>
      </c>
      <c r="AR331" s="26">
        <v>1211.0</v>
      </c>
      <c r="AS331" s="27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</row>
    <row r="332">
      <c r="A332" s="22">
        <v>10585.0</v>
      </c>
      <c r="B332" s="23" t="s">
        <v>25</v>
      </c>
      <c r="C332" s="29" t="s">
        <v>409</v>
      </c>
      <c r="D332" s="29" t="s">
        <v>428</v>
      </c>
      <c r="E332" s="29" t="s">
        <v>430</v>
      </c>
      <c r="F332" s="29" t="s">
        <v>430</v>
      </c>
      <c r="G332" s="26">
        <v>5958.0</v>
      </c>
      <c r="H332" s="26">
        <v>1731.0</v>
      </c>
      <c r="I332" s="26">
        <v>893.0</v>
      </c>
      <c r="J332" s="26">
        <v>838.0</v>
      </c>
      <c r="K332" s="26">
        <v>2803.0</v>
      </c>
      <c r="L332" s="26">
        <v>2049.0</v>
      </c>
      <c r="M332" s="26">
        <v>727.0</v>
      </c>
      <c r="N332" s="26">
        <v>25.0</v>
      </c>
      <c r="O332" s="26">
        <v>2.0</v>
      </c>
      <c r="P332" s="26">
        <f t="shared" si="3"/>
        <v>729</v>
      </c>
      <c r="Q332" s="26">
        <f t="shared" si="4"/>
        <v>2074</v>
      </c>
      <c r="R332" s="26">
        <f t="shared" si="5"/>
        <v>1663</v>
      </c>
      <c r="S332" s="26">
        <f t="shared" si="6"/>
        <v>2564</v>
      </c>
      <c r="T332" s="26">
        <f t="shared" ref="T332:U332" si="665">(P332/R332)*100</f>
        <v>43.83644017</v>
      </c>
      <c r="U332" s="26">
        <f t="shared" si="665"/>
        <v>80.88923557</v>
      </c>
      <c r="V332" s="26">
        <v>1424.0</v>
      </c>
      <c r="W332" s="26">
        <v>490.0</v>
      </c>
      <c r="X332" s="26">
        <v>934.0</v>
      </c>
      <c r="Y332" s="26">
        <v>0.0</v>
      </c>
      <c r="Z332" s="26">
        <v>7346.0</v>
      </c>
      <c r="AA332" s="26">
        <v>1796.0</v>
      </c>
      <c r="AB332" s="26">
        <v>967.0</v>
      </c>
      <c r="AC332" s="26">
        <v>829.0</v>
      </c>
      <c r="AD332" s="26">
        <v>3962.0</v>
      </c>
      <c r="AE332" s="26">
        <v>2591.0</v>
      </c>
      <c r="AF332" s="26">
        <v>1279.0</v>
      </c>
      <c r="AG332" s="26">
        <v>56.0</v>
      </c>
      <c r="AH332" s="26">
        <v>36.0</v>
      </c>
      <c r="AI332" s="26">
        <f t="shared" si="8"/>
        <v>1315</v>
      </c>
      <c r="AJ332" s="26">
        <f t="shared" si="9"/>
        <v>2647</v>
      </c>
      <c r="AK332" s="26">
        <f t="shared" si="10"/>
        <v>2155</v>
      </c>
      <c r="AL332" s="26">
        <f t="shared" si="11"/>
        <v>3129</v>
      </c>
      <c r="AM332" s="26">
        <f t="shared" ref="AM332:AN332" si="666">(AI332/AK332)*100</f>
        <v>61.02088167</v>
      </c>
      <c r="AN332" s="26">
        <f t="shared" si="666"/>
        <v>84.59571748</v>
      </c>
      <c r="AO332" s="26">
        <v>1322.0</v>
      </c>
      <c r="AP332" s="26">
        <v>482.0</v>
      </c>
      <c r="AQ332" s="26">
        <v>840.0</v>
      </c>
      <c r="AR332" s="26">
        <v>266.0</v>
      </c>
      <c r="AS332" s="27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</row>
    <row r="333">
      <c r="A333" s="22">
        <v>10609.0</v>
      </c>
      <c r="B333" s="23" t="s">
        <v>25</v>
      </c>
      <c r="C333" s="29" t="s">
        <v>409</v>
      </c>
      <c r="D333" s="29" t="s">
        <v>428</v>
      </c>
      <c r="E333" s="29" t="s">
        <v>431</v>
      </c>
      <c r="F333" s="29" t="s">
        <v>431</v>
      </c>
      <c r="G333" s="26">
        <v>4109.0</v>
      </c>
      <c r="H333" s="26">
        <v>1304.0</v>
      </c>
      <c r="I333" s="26">
        <v>688.0</v>
      </c>
      <c r="J333" s="26">
        <v>616.0</v>
      </c>
      <c r="K333" s="26">
        <v>1785.0</v>
      </c>
      <c r="L333" s="26">
        <v>1345.0</v>
      </c>
      <c r="M333" s="26">
        <v>433.0</v>
      </c>
      <c r="N333" s="26">
        <v>5.0</v>
      </c>
      <c r="O333" s="26">
        <v>2.0</v>
      </c>
      <c r="P333" s="26">
        <f t="shared" si="3"/>
        <v>435</v>
      </c>
      <c r="Q333" s="26">
        <f t="shared" si="4"/>
        <v>1350</v>
      </c>
      <c r="R333" s="26">
        <f t="shared" si="5"/>
        <v>1194</v>
      </c>
      <c r="S333" s="26">
        <f t="shared" si="6"/>
        <v>1611</v>
      </c>
      <c r="T333" s="26">
        <f t="shared" ref="T333:U333" si="667">(P333/R333)*100</f>
        <v>36.4321608</v>
      </c>
      <c r="U333" s="26">
        <f t="shared" si="667"/>
        <v>83.79888268</v>
      </c>
      <c r="V333" s="26">
        <v>1020.0</v>
      </c>
      <c r="W333" s="26">
        <v>261.0</v>
      </c>
      <c r="X333" s="26">
        <v>759.0</v>
      </c>
      <c r="Y333" s="26">
        <v>0.0</v>
      </c>
      <c r="Z333" s="26">
        <v>4502.0</v>
      </c>
      <c r="AA333" s="26">
        <v>1210.0</v>
      </c>
      <c r="AB333" s="26">
        <v>610.0</v>
      </c>
      <c r="AC333" s="26">
        <v>600.0</v>
      </c>
      <c r="AD333" s="26">
        <v>2184.0</v>
      </c>
      <c r="AE333" s="26">
        <v>1359.0</v>
      </c>
      <c r="AF333" s="26">
        <v>711.0</v>
      </c>
      <c r="AG333" s="26">
        <v>76.0</v>
      </c>
      <c r="AH333" s="26">
        <v>38.0</v>
      </c>
      <c r="AI333" s="26">
        <f t="shared" si="8"/>
        <v>749</v>
      </c>
      <c r="AJ333" s="26">
        <f t="shared" si="9"/>
        <v>1435</v>
      </c>
      <c r="AK333" s="26">
        <f t="shared" si="10"/>
        <v>1382</v>
      </c>
      <c r="AL333" s="26">
        <f t="shared" si="11"/>
        <v>1775</v>
      </c>
      <c r="AM333" s="26">
        <f t="shared" ref="AM333:AN333" si="668">(AI333/AK333)*100</f>
        <v>54.19681621</v>
      </c>
      <c r="AN333" s="26">
        <f t="shared" si="668"/>
        <v>80.84507042</v>
      </c>
      <c r="AO333" s="26">
        <v>973.0</v>
      </c>
      <c r="AP333" s="26">
        <v>340.0</v>
      </c>
      <c r="AQ333" s="26">
        <v>633.0</v>
      </c>
      <c r="AR333" s="26">
        <v>135.0</v>
      </c>
      <c r="AS333" s="27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</row>
    <row r="334">
      <c r="A334" s="22">
        <v>10657.0</v>
      </c>
      <c r="B334" s="23" t="s">
        <v>25</v>
      </c>
      <c r="C334" s="29" t="s">
        <v>409</v>
      </c>
      <c r="D334" s="29" t="s">
        <v>432</v>
      </c>
      <c r="E334" s="29" t="s">
        <v>433</v>
      </c>
      <c r="F334" s="29" t="s">
        <v>433</v>
      </c>
      <c r="G334" s="26">
        <v>3232.0</v>
      </c>
      <c r="H334" s="26">
        <v>1378.0</v>
      </c>
      <c r="I334" s="26">
        <v>696.0</v>
      </c>
      <c r="J334" s="26">
        <v>682.0</v>
      </c>
      <c r="K334" s="26">
        <v>1234.0</v>
      </c>
      <c r="L334" s="26">
        <v>863.0</v>
      </c>
      <c r="M334" s="26">
        <v>365.0</v>
      </c>
      <c r="N334" s="26">
        <v>5.0</v>
      </c>
      <c r="O334" s="26">
        <v>1.0</v>
      </c>
      <c r="P334" s="26">
        <f t="shared" si="3"/>
        <v>366</v>
      </c>
      <c r="Q334" s="26">
        <f t="shared" si="4"/>
        <v>868</v>
      </c>
      <c r="R334" s="26">
        <f t="shared" si="5"/>
        <v>827</v>
      </c>
      <c r="S334" s="26">
        <f t="shared" si="6"/>
        <v>1027</v>
      </c>
      <c r="T334" s="26">
        <f t="shared" ref="T334:U334" si="669">(P334/R334)*100</f>
        <v>44.25634825</v>
      </c>
      <c r="U334" s="26">
        <f t="shared" si="669"/>
        <v>84.51801363</v>
      </c>
      <c r="V334" s="26">
        <v>620.0</v>
      </c>
      <c r="W334" s="26">
        <v>159.0</v>
      </c>
      <c r="X334" s="26">
        <v>461.0</v>
      </c>
      <c r="Y334" s="26">
        <v>0.0</v>
      </c>
      <c r="Z334" s="26">
        <v>3927.0</v>
      </c>
      <c r="AA334" s="26">
        <v>1549.0</v>
      </c>
      <c r="AB334" s="26">
        <v>816.0</v>
      </c>
      <c r="AC334" s="26">
        <v>733.0</v>
      </c>
      <c r="AD334" s="26">
        <v>1528.0</v>
      </c>
      <c r="AE334" s="26">
        <v>943.0</v>
      </c>
      <c r="AF334" s="26">
        <v>561.0</v>
      </c>
      <c r="AG334" s="26">
        <v>19.0</v>
      </c>
      <c r="AH334" s="26">
        <v>5.0</v>
      </c>
      <c r="AI334" s="26">
        <f t="shared" si="8"/>
        <v>566</v>
      </c>
      <c r="AJ334" s="26">
        <f t="shared" si="9"/>
        <v>962</v>
      </c>
      <c r="AK334" s="26">
        <f t="shared" si="10"/>
        <v>1013</v>
      </c>
      <c r="AL334" s="26">
        <f t="shared" si="11"/>
        <v>1196</v>
      </c>
      <c r="AM334" s="26">
        <f t="shared" ref="AM334:AN334" si="670">(AI334/AK334)*100</f>
        <v>55.87364265</v>
      </c>
      <c r="AN334" s="26">
        <f t="shared" si="670"/>
        <v>80.43478261</v>
      </c>
      <c r="AO334" s="26">
        <v>681.0</v>
      </c>
      <c r="AP334" s="26">
        <v>234.0</v>
      </c>
      <c r="AQ334" s="26">
        <v>447.0</v>
      </c>
      <c r="AR334" s="26">
        <v>169.0</v>
      </c>
      <c r="AS334" s="27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</row>
    <row r="335">
      <c r="A335" s="22">
        <v>10729.0</v>
      </c>
      <c r="B335" s="23" t="s">
        <v>25</v>
      </c>
      <c r="C335" s="29" t="s">
        <v>434</v>
      </c>
      <c r="D335" s="29" t="s">
        <v>435</v>
      </c>
      <c r="E335" s="29" t="s">
        <v>436</v>
      </c>
      <c r="F335" s="29" t="s">
        <v>436</v>
      </c>
      <c r="G335" s="26">
        <v>46211.0</v>
      </c>
      <c r="H335" s="26">
        <v>14438.0</v>
      </c>
      <c r="I335" s="26">
        <v>7443.0</v>
      </c>
      <c r="J335" s="26">
        <v>6995.0</v>
      </c>
      <c r="K335" s="26">
        <v>21150.0</v>
      </c>
      <c r="L335" s="26">
        <v>12595.0</v>
      </c>
      <c r="M335" s="26">
        <v>8334.0</v>
      </c>
      <c r="N335" s="26">
        <v>123.0</v>
      </c>
      <c r="O335" s="26">
        <v>98.0</v>
      </c>
      <c r="P335" s="26">
        <f t="shared" si="3"/>
        <v>8432</v>
      </c>
      <c r="Q335" s="26">
        <f t="shared" si="4"/>
        <v>12718</v>
      </c>
      <c r="R335" s="26">
        <f t="shared" si="5"/>
        <v>15267</v>
      </c>
      <c r="S335" s="26">
        <f t="shared" si="6"/>
        <v>16506</v>
      </c>
      <c r="T335" s="26">
        <f t="shared" ref="T335:U335" si="671">(P335/R335)*100</f>
        <v>55.23023515</v>
      </c>
      <c r="U335" s="26">
        <f t="shared" si="671"/>
        <v>77.05076942</v>
      </c>
      <c r="V335" s="26">
        <v>10623.0</v>
      </c>
      <c r="W335" s="26">
        <v>3788.0</v>
      </c>
      <c r="X335" s="26">
        <v>6835.0</v>
      </c>
      <c r="Y335" s="26">
        <v>0.0</v>
      </c>
      <c r="Z335" s="26">
        <v>54631.0</v>
      </c>
      <c r="AA335" s="26">
        <v>14724.0</v>
      </c>
      <c r="AB335" s="26">
        <v>7490.0</v>
      </c>
      <c r="AC335" s="26">
        <v>7234.0</v>
      </c>
      <c r="AD335" s="26">
        <v>26839.0</v>
      </c>
      <c r="AE335" s="26">
        <v>14599.0</v>
      </c>
      <c r="AF335" s="26">
        <v>11149.0</v>
      </c>
      <c r="AG335" s="26">
        <v>533.0</v>
      </c>
      <c r="AH335" s="26">
        <v>558.0</v>
      </c>
      <c r="AI335" s="26">
        <f t="shared" si="8"/>
        <v>11707</v>
      </c>
      <c r="AJ335" s="26">
        <f t="shared" si="9"/>
        <v>15132</v>
      </c>
      <c r="AK335" s="26">
        <f t="shared" si="10"/>
        <v>18552</v>
      </c>
      <c r="AL335" s="26">
        <f t="shared" si="11"/>
        <v>19372</v>
      </c>
      <c r="AM335" s="26">
        <f t="shared" ref="AM335:AN335" si="672">(AI335/AK335)*100</f>
        <v>63.1037085</v>
      </c>
      <c r="AN335" s="26">
        <f t="shared" si="672"/>
        <v>78.11274004</v>
      </c>
      <c r="AO335" s="26">
        <v>11085.0</v>
      </c>
      <c r="AP335" s="26">
        <v>4240.0</v>
      </c>
      <c r="AQ335" s="26">
        <v>6845.0</v>
      </c>
      <c r="AR335" s="26">
        <v>1983.0</v>
      </c>
      <c r="AS335" s="27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</row>
    <row r="336">
      <c r="A336" s="22">
        <v>10753.0</v>
      </c>
      <c r="B336" s="23" t="s">
        <v>25</v>
      </c>
      <c r="C336" s="29" t="s">
        <v>434</v>
      </c>
      <c r="D336" s="29" t="s">
        <v>435</v>
      </c>
      <c r="E336" s="29" t="s">
        <v>437</v>
      </c>
      <c r="F336" s="29" t="s">
        <v>437</v>
      </c>
      <c r="G336" s="26">
        <v>7947.0</v>
      </c>
      <c r="H336" s="26">
        <v>2545.0</v>
      </c>
      <c r="I336" s="26">
        <v>1289.0</v>
      </c>
      <c r="J336" s="26">
        <v>1256.0</v>
      </c>
      <c r="K336" s="26">
        <v>3378.0</v>
      </c>
      <c r="L336" s="26">
        <v>2291.0</v>
      </c>
      <c r="M336" s="26">
        <v>940.0</v>
      </c>
      <c r="N336" s="26">
        <v>100.0</v>
      </c>
      <c r="O336" s="26">
        <v>47.0</v>
      </c>
      <c r="P336" s="26">
        <f t="shared" si="3"/>
        <v>987</v>
      </c>
      <c r="Q336" s="26">
        <f t="shared" si="4"/>
        <v>2391</v>
      </c>
      <c r="R336" s="26">
        <f t="shared" si="5"/>
        <v>2337</v>
      </c>
      <c r="S336" s="26">
        <f t="shared" si="6"/>
        <v>3065</v>
      </c>
      <c r="T336" s="26">
        <f t="shared" ref="T336:U336" si="673">(P336/R336)*100</f>
        <v>42.23363286</v>
      </c>
      <c r="U336" s="26">
        <f t="shared" si="673"/>
        <v>78.00978793</v>
      </c>
      <c r="V336" s="26">
        <v>2024.0</v>
      </c>
      <c r="W336" s="26">
        <v>674.0</v>
      </c>
      <c r="X336" s="26">
        <v>1350.0</v>
      </c>
      <c r="Y336" s="26">
        <v>0.0</v>
      </c>
      <c r="Z336" s="26">
        <v>9094.0</v>
      </c>
      <c r="AA336" s="26">
        <v>2712.0</v>
      </c>
      <c r="AB336" s="26">
        <v>1294.0</v>
      </c>
      <c r="AC336" s="26">
        <v>1418.0</v>
      </c>
      <c r="AD336" s="26">
        <v>4089.0</v>
      </c>
      <c r="AE336" s="26">
        <v>2275.0</v>
      </c>
      <c r="AF336" s="26">
        <v>1677.0</v>
      </c>
      <c r="AG336" s="26">
        <v>70.0</v>
      </c>
      <c r="AH336" s="26">
        <v>67.0</v>
      </c>
      <c r="AI336" s="26">
        <f t="shared" si="8"/>
        <v>1744</v>
      </c>
      <c r="AJ336" s="26">
        <f t="shared" si="9"/>
        <v>2345</v>
      </c>
      <c r="AK336" s="26">
        <f t="shared" si="10"/>
        <v>2830</v>
      </c>
      <c r="AL336" s="26">
        <f t="shared" si="11"/>
        <v>2947</v>
      </c>
      <c r="AM336" s="26">
        <f t="shared" ref="AM336:AN336" si="674">(AI336/AK336)*100</f>
        <v>61.6254417</v>
      </c>
      <c r="AN336" s="26">
        <f t="shared" si="674"/>
        <v>79.57244656</v>
      </c>
      <c r="AO336" s="26">
        <v>1688.0</v>
      </c>
      <c r="AP336" s="26">
        <v>602.0</v>
      </c>
      <c r="AQ336" s="26">
        <v>1086.0</v>
      </c>
      <c r="AR336" s="26">
        <v>605.0</v>
      </c>
      <c r="AS336" s="27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</row>
    <row r="337">
      <c r="A337" s="22">
        <v>10777.0</v>
      </c>
      <c r="B337" s="23" t="s">
        <v>25</v>
      </c>
      <c r="C337" s="29" t="s">
        <v>434</v>
      </c>
      <c r="D337" s="29" t="s">
        <v>435</v>
      </c>
      <c r="E337" s="29" t="s">
        <v>438</v>
      </c>
      <c r="F337" s="29" t="s">
        <v>438</v>
      </c>
      <c r="G337" s="26">
        <v>2168.0</v>
      </c>
      <c r="H337" s="26">
        <v>722.0</v>
      </c>
      <c r="I337" s="26">
        <v>375.0</v>
      </c>
      <c r="J337" s="26">
        <v>347.0</v>
      </c>
      <c r="K337" s="26">
        <v>1019.0</v>
      </c>
      <c r="L337" s="26">
        <v>773.0</v>
      </c>
      <c r="M337" s="26">
        <v>233.0</v>
      </c>
      <c r="N337" s="26">
        <v>13.0</v>
      </c>
      <c r="O337" s="26">
        <v>0.0</v>
      </c>
      <c r="P337" s="26">
        <f t="shared" si="3"/>
        <v>233</v>
      </c>
      <c r="Q337" s="26">
        <f t="shared" si="4"/>
        <v>786</v>
      </c>
      <c r="R337" s="26">
        <f t="shared" si="5"/>
        <v>575</v>
      </c>
      <c r="S337" s="26">
        <f t="shared" si="6"/>
        <v>871</v>
      </c>
      <c r="T337" s="26">
        <f t="shared" ref="T337:U337" si="675">(P337/R337)*100</f>
        <v>40.52173913</v>
      </c>
      <c r="U337" s="26">
        <f t="shared" si="675"/>
        <v>90.24110218</v>
      </c>
      <c r="V337" s="26">
        <v>427.0</v>
      </c>
      <c r="W337" s="26">
        <v>85.0</v>
      </c>
      <c r="X337" s="26">
        <v>342.0</v>
      </c>
      <c r="Y337" s="26">
        <v>0.0</v>
      </c>
      <c r="Z337" s="26">
        <v>2399.0</v>
      </c>
      <c r="AA337" s="26">
        <v>677.0</v>
      </c>
      <c r="AB337" s="26">
        <v>335.0</v>
      </c>
      <c r="AC337" s="26">
        <v>342.0</v>
      </c>
      <c r="AD337" s="26">
        <v>1379.0</v>
      </c>
      <c r="AE337" s="26">
        <v>893.0</v>
      </c>
      <c r="AF337" s="26">
        <v>467.0</v>
      </c>
      <c r="AG337" s="26">
        <v>12.0</v>
      </c>
      <c r="AH337" s="26">
        <v>7.0</v>
      </c>
      <c r="AI337" s="26">
        <f t="shared" si="8"/>
        <v>474</v>
      </c>
      <c r="AJ337" s="26">
        <f t="shared" si="9"/>
        <v>905</v>
      </c>
      <c r="AK337" s="26">
        <f t="shared" si="10"/>
        <v>651</v>
      </c>
      <c r="AL337" s="26">
        <f t="shared" si="11"/>
        <v>1006</v>
      </c>
      <c r="AM337" s="26">
        <f t="shared" ref="AM337:AN337" si="676">(AI337/AK337)*100</f>
        <v>72.81105991</v>
      </c>
      <c r="AN337" s="26">
        <f t="shared" si="676"/>
        <v>89.96023857</v>
      </c>
      <c r="AO337" s="26">
        <v>278.0</v>
      </c>
      <c r="AP337" s="26">
        <v>101.0</v>
      </c>
      <c r="AQ337" s="26">
        <v>177.0</v>
      </c>
      <c r="AR337" s="26">
        <v>65.0</v>
      </c>
      <c r="AS337" s="27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</row>
    <row r="338">
      <c r="A338" s="22">
        <v>10801.0</v>
      </c>
      <c r="B338" s="23" t="s">
        <v>25</v>
      </c>
      <c r="C338" s="29" t="s">
        <v>434</v>
      </c>
      <c r="D338" s="29" t="s">
        <v>435</v>
      </c>
      <c r="E338" s="29" t="s">
        <v>439</v>
      </c>
      <c r="F338" s="29" t="s">
        <v>439</v>
      </c>
      <c r="G338" s="26">
        <v>3899.0</v>
      </c>
      <c r="H338" s="26">
        <v>1165.0</v>
      </c>
      <c r="I338" s="26">
        <v>588.0</v>
      </c>
      <c r="J338" s="26">
        <v>577.0</v>
      </c>
      <c r="K338" s="26">
        <v>2036.0</v>
      </c>
      <c r="L338" s="26">
        <v>1443.0</v>
      </c>
      <c r="M338" s="26">
        <v>584.0</v>
      </c>
      <c r="N338" s="26">
        <v>6.0</v>
      </c>
      <c r="O338" s="26">
        <v>3.0</v>
      </c>
      <c r="P338" s="26">
        <f t="shared" si="3"/>
        <v>587</v>
      </c>
      <c r="Q338" s="26">
        <f t="shared" si="4"/>
        <v>1449</v>
      </c>
      <c r="R338" s="26">
        <f t="shared" si="5"/>
        <v>1081</v>
      </c>
      <c r="S338" s="26">
        <f t="shared" si="6"/>
        <v>1653</v>
      </c>
      <c r="T338" s="26">
        <f t="shared" ref="T338:U338" si="677">(P338/R338)*100</f>
        <v>54.30157262</v>
      </c>
      <c r="U338" s="26">
        <f t="shared" si="677"/>
        <v>87.65880218</v>
      </c>
      <c r="V338" s="26">
        <v>698.0</v>
      </c>
      <c r="W338" s="26">
        <v>204.0</v>
      </c>
      <c r="X338" s="26">
        <v>494.0</v>
      </c>
      <c r="Y338" s="26">
        <v>0.0</v>
      </c>
      <c r="Z338" s="26">
        <v>3560.0</v>
      </c>
      <c r="AA338" s="26">
        <v>968.0</v>
      </c>
      <c r="AB338" s="26">
        <v>517.0</v>
      </c>
      <c r="AC338" s="26">
        <v>451.0</v>
      </c>
      <c r="AD338" s="26">
        <v>2021.0</v>
      </c>
      <c r="AE338" s="26">
        <v>1307.0</v>
      </c>
      <c r="AF338" s="26">
        <v>678.0</v>
      </c>
      <c r="AG338" s="26">
        <v>25.0</v>
      </c>
      <c r="AH338" s="26">
        <v>11.0</v>
      </c>
      <c r="AI338" s="26">
        <f t="shared" si="8"/>
        <v>689</v>
      </c>
      <c r="AJ338" s="26">
        <f t="shared" si="9"/>
        <v>1332</v>
      </c>
      <c r="AK338" s="26">
        <f t="shared" si="10"/>
        <v>987</v>
      </c>
      <c r="AL338" s="26">
        <f t="shared" si="11"/>
        <v>1502</v>
      </c>
      <c r="AM338" s="26">
        <f t="shared" ref="AM338:AN338" si="678">(AI338/AK338)*100</f>
        <v>69.80749747</v>
      </c>
      <c r="AN338" s="26">
        <f t="shared" si="678"/>
        <v>88.68175766</v>
      </c>
      <c r="AO338" s="26">
        <v>468.0</v>
      </c>
      <c r="AP338" s="26">
        <v>170.0</v>
      </c>
      <c r="AQ338" s="26">
        <v>298.0</v>
      </c>
      <c r="AR338" s="26">
        <v>103.0</v>
      </c>
      <c r="AS338" s="27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</row>
    <row r="339">
      <c r="A339" s="22">
        <v>10849.0</v>
      </c>
      <c r="B339" s="23" t="s">
        <v>25</v>
      </c>
      <c r="C339" s="29" t="s">
        <v>434</v>
      </c>
      <c r="D339" s="29" t="s">
        <v>440</v>
      </c>
      <c r="E339" s="29" t="s">
        <v>441</v>
      </c>
      <c r="F339" s="29" t="s">
        <v>441</v>
      </c>
      <c r="G339" s="26">
        <v>6234.0</v>
      </c>
      <c r="H339" s="26">
        <v>2347.0</v>
      </c>
      <c r="I339" s="26">
        <v>1201.0</v>
      </c>
      <c r="J339" s="26">
        <v>1146.0</v>
      </c>
      <c r="K339" s="26">
        <v>2111.0</v>
      </c>
      <c r="L339" s="26">
        <v>1461.0</v>
      </c>
      <c r="M339" s="26">
        <v>619.0</v>
      </c>
      <c r="N339" s="26">
        <v>24.0</v>
      </c>
      <c r="O339" s="26">
        <v>7.0</v>
      </c>
      <c r="P339" s="26">
        <f t="shared" si="3"/>
        <v>626</v>
      </c>
      <c r="Q339" s="26">
        <f t="shared" si="4"/>
        <v>1485</v>
      </c>
      <c r="R339" s="26">
        <f t="shared" si="5"/>
        <v>1596</v>
      </c>
      <c r="S339" s="26">
        <f t="shared" si="6"/>
        <v>2291</v>
      </c>
      <c r="T339" s="26">
        <f t="shared" ref="T339:U339" si="679">(P339/R339)*100</f>
        <v>39.22305764</v>
      </c>
      <c r="U339" s="26">
        <f t="shared" si="679"/>
        <v>64.81885639</v>
      </c>
      <c r="V339" s="26">
        <v>1776.0</v>
      </c>
      <c r="W339" s="26">
        <v>806.0</v>
      </c>
      <c r="X339" s="26">
        <v>970.0</v>
      </c>
      <c r="Y339" s="26">
        <v>0.0</v>
      </c>
      <c r="Z339" s="26">
        <v>7292.0</v>
      </c>
      <c r="AA339" s="26">
        <v>2199.0</v>
      </c>
      <c r="AB339" s="26">
        <v>1147.0</v>
      </c>
      <c r="AC339" s="26">
        <v>1052.0</v>
      </c>
      <c r="AD339" s="26">
        <v>3285.0</v>
      </c>
      <c r="AE339" s="26">
        <v>2084.0</v>
      </c>
      <c r="AF339" s="26">
        <v>1127.0</v>
      </c>
      <c r="AG339" s="26">
        <v>49.0</v>
      </c>
      <c r="AH339" s="26">
        <v>25.0</v>
      </c>
      <c r="AI339" s="26">
        <f t="shared" si="8"/>
        <v>1152</v>
      </c>
      <c r="AJ339" s="26">
        <f t="shared" si="9"/>
        <v>2133</v>
      </c>
      <c r="AK339" s="26">
        <f t="shared" si="10"/>
        <v>2048</v>
      </c>
      <c r="AL339" s="26">
        <f t="shared" si="11"/>
        <v>2804</v>
      </c>
      <c r="AM339" s="26">
        <f t="shared" ref="AM339:AN339" si="680">(AI339/AK339)*100</f>
        <v>56.25</v>
      </c>
      <c r="AN339" s="26">
        <f t="shared" si="680"/>
        <v>76.06990014</v>
      </c>
      <c r="AO339" s="26">
        <v>1567.0</v>
      </c>
      <c r="AP339" s="26">
        <v>671.0</v>
      </c>
      <c r="AQ339" s="26">
        <v>896.0</v>
      </c>
      <c r="AR339" s="26">
        <v>241.0</v>
      </c>
      <c r="AS339" s="27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</row>
    <row r="340">
      <c r="A340" s="22">
        <v>10873.0</v>
      </c>
      <c r="B340" s="23" t="s">
        <v>25</v>
      </c>
      <c r="C340" s="29" t="s">
        <v>434</v>
      </c>
      <c r="D340" s="29" t="s">
        <v>440</v>
      </c>
      <c r="E340" s="29" t="s">
        <v>288</v>
      </c>
      <c r="F340" s="29" t="s">
        <v>288</v>
      </c>
      <c r="G340" s="26">
        <v>2991.0</v>
      </c>
      <c r="H340" s="26">
        <v>1036.0</v>
      </c>
      <c r="I340" s="26">
        <v>552.0</v>
      </c>
      <c r="J340" s="26">
        <v>484.0</v>
      </c>
      <c r="K340" s="26">
        <v>1055.0</v>
      </c>
      <c r="L340" s="26">
        <v>787.0</v>
      </c>
      <c r="M340" s="26">
        <v>250.0</v>
      </c>
      <c r="N340" s="26">
        <v>16.0</v>
      </c>
      <c r="O340" s="26">
        <v>2.0</v>
      </c>
      <c r="P340" s="26">
        <f t="shared" si="3"/>
        <v>252</v>
      </c>
      <c r="Q340" s="26">
        <f t="shared" si="4"/>
        <v>803</v>
      </c>
      <c r="R340" s="26">
        <f t="shared" si="5"/>
        <v>868</v>
      </c>
      <c r="S340" s="26">
        <f t="shared" si="6"/>
        <v>1087</v>
      </c>
      <c r="T340" s="26">
        <f t="shared" ref="T340:U340" si="681">(P340/R340)*100</f>
        <v>29.03225806</v>
      </c>
      <c r="U340" s="26">
        <f t="shared" si="681"/>
        <v>73.87304508</v>
      </c>
      <c r="V340" s="26">
        <v>900.0</v>
      </c>
      <c r="W340" s="26">
        <v>284.0</v>
      </c>
      <c r="X340" s="26">
        <v>616.0</v>
      </c>
      <c r="Y340" s="26">
        <v>0.0</v>
      </c>
      <c r="Z340" s="26">
        <v>3263.0</v>
      </c>
      <c r="AA340" s="26">
        <v>1157.0</v>
      </c>
      <c r="AB340" s="26">
        <v>521.0</v>
      </c>
      <c r="AC340" s="26">
        <v>636.0</v>
      </c>
      <c r="AD340" s="26">
        <v>1569.0</v>
      </c>
      <c r="AE340" s="26">
        <v>984.0</v>
      </c>
      <c r="AF340" s="26">
        <v>571.0</v>
      </c>
      <c r="AG340" s="26">
        <v>11.0</v>
      </c>
      <c r="AH340" s="26">
        <v>3.0</v>
      </c>
      <c r="AI340" s="26">
        <f t="shared" si="8"/>
        <v>574</v>
      </c>
      <c r="AJ340" s="26">
        <f t="shared" si="9"/>
        <v>995</v>
      </c>
      <c r="AK340" s="26">
        <f t="shared" si="10"/>
        <v>902</v>
      </c>
      <c r="AL340" s="26">
        <f t="shared" si="11"/>
        <v>1137</v>
      </c>
      <c r="AM340" s="26">
        <f t="shared" ref="AM340:AN340" si="682">(AI340/AK340)*100</f>
        <v>63.63636364</v>
      </c>
      <c r="AN340" s="26">
        <f t="shared" si="682"/>
        <v>87.51099384</v>
      </c>
      <c r="AO340" s="26">
        <v>470.0</v>
      </c>
      <c r="AP340" s="26">
        <v>142.0</v>
      </c>
      <c r="AQ340" s="26">
        <v>328.0</v>
      </c>
      <c r="AR340" s="26">
        <v>67.0</v>
      </c>
      <c r="AS340" s="27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</row>
    <row r="341">
      <c r="A341" s="22">
        <v>10897.0</v>
      </c>
      <c r="B341" s="23" t="s">
        <v>25</v>
      </c>
      <c r="C341" s="29" t="s">
        <v>434</v>
      </c>
      <c r="D341" s="29" t="s">
        <v>440</v>
      </c>
      <c r="E341" s="29" t="s">
        <v>442</v>
      </c>
      <c r="F341" s="29" t="s">
        <v>442</v>
      </c>
      <c r="G341" s="26">
        <v>5736.0</v>
      </c>
      <c r="H341" s="26">
        <v>2080.0</v>
      </c>
      <c r="I341" s="26">
        <v>1085.0</v>
      </c>
      <c r="J341" s="26">
        <v>995.0</v>
      </c>
      <c r="K341" s="26">
        <v>2422.0</v>
      </c>
      <c r="L341" s="26">
        <v>1864.0</v>
      </c>
      <c r="M341" s="26">
        <v>545.0</v>
      </c>
      <c r="N341" s="26">
        <v>11.0</v>
      </c>
      <c r="O341" s="26">
        <v>2.0</v>
      </c>
      <c r="P341" s="26">
        <f t="shared" si="3"/>
        <v>547</v>
      </c>
      <c r="Q341" s="26">
        <f t="shared" si="4"/>
        <v>1875</v>
      </c>
      <c r="R341" s="26">
        <f t="shared" si="5"/>
        <v>1441</v>
      </c>
      <c r="S341" s="26">
        <f t="shared" si="6"/>
        <v>2215</v>
      </c>
      <c r="T341" s="26">
        <f t="shared" ref="T341:U341" si="683">(P341/R341)*100</f>
        <v>37.95975017</v>
      </c>
      <c r="U341" s="26">
        <f t="shared" si="683"/>
        <v>84.65011287</v>
      </c>
      <c r="V341" s="26">
        <v>1234.0</v>
      </c>
      <c r="W341" s="26">
        <v>340.0</v>
      </c>
      <c r="X341" s="26">
        <v>894.0</v>
      </c>
      <c r="Y341" s="26">
        <v>0.0</v>
      </c>
      <c r="Z341" s="26">
        <v>7956.0</v>
      </c>
      <c r="AA341" s="26">
        <v>2449.0</v>
      </c>
      <c r="AB341" s="26">
        <v>1287.0</v>
      </c>
      <c r="AC341" s="26">
        <v>1162.0</v>
      </c>
      <c r="AD341" s="26">
        <v>3910.0</v>
      </c>
      <c r="AE341" s="26">
        <v>2570.0</v>
      </c>
      <c r="AF341" s="26">
        <v>1264.0</v>
      </c>
      <c r="AG341" s="26">
        <v>49.0</v>
      </c>
      <c r="AH341" s="26">
        <v>27.0</v>
      </c>
      <c r="AI341" s="26">
        <f t="shared" si="8"/>
        <v>1291</v>
      </c>
      <c r="AJ341" s="26">
        <f t="shared" si="9"/>
        <v>2619</v>
      </c>
      <c r="AK341" s="26">
        <f t="shared" si="10"/>
        <v>2257</v>
      </c>
      <c r="AL341" s="26">
        <f t="shared" si="11"/>
        <v>3074</v>
      </c>
      <c r="AM341" s="26">
        <f t="shared" ref="AM341:AN341" si="684">(AI341/AK341)*100</f>
        <v>57.19982277</v>
      </c>
      <c r="AN341" s="26">
        <f t="shared" si="684"/>
        <v>85.19843852</v>
      </c>
      <c r="AO341" s="26">
        <v>1421.0</v>
      </c>
      <c r="AP341" s="26">
        <v>455.0</v>
      </c>
      <c r="AQ341" s="26">
        <v>966.0</v>
      </c>
      <c r="AR341" s="26">
        <v>176.0</v>
      </c>
      <c r="AS341" s="27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</row>
    <row r="342">
      <c r="A342" s="22">
        <v>10945.0</v>
      </c>
      <c r="B342" s="23" t="s">
        <v>25</v>
      </c>
      <c r="C342" s="29" t="s">
        <v>434</v>
      </c>
      <c r="D342" s="29" t="s">
        <v>443</v>
      </c>
      <c r="E342" s="29" t="s">
        <v>444</v>
      </c>
      <c r="F342" s="29" t="s">
        <v>444</v>
      </c>
      <c r="G342" s="26">
        <v>8160.0</v>
      </c>
      <c r="H342" s="26">
        <v>3237.0</v>
      </c>
      <c r="I342" s="26">
        <v>1676.0</v>
      </c>
      <c r="J342" s="26">
        <v>1561.0</v>
      </c>
      <c r="K342" s="26">
        <v>3083.0</v>
      </c>
      <c r="L342" s="26">
        <v>2013.0</v>
      </c>
      <c r="M342" s="26">
        <v>1033.0</v>
      </c>
      <c r="N342" s="26">
        <v>30.0</v>
      </c>
      <c r="O342" s="26">
        <v>7.0</v>
      </c>
      <c r="P342" s="26">
        <f t="shared" si="3"/>
        <v>1040</v>
      </c>
      <c r="Q342" s="26">
        <f t="shared" si="4"/>
        <v>2043</v>
      </c>
      <c r="R342" s="26">
        <f t="shared" si="5"/>
        <v>2184</v>
      </c>
      <c r="S342" s="26">
        <f t="shared" si="6"/>
        <v>2739</v>
      </c>
      <c r="T342" s="26">
        <f t="shared" ref="T342:U342" si="685">(P342/R342)*100</f>
        <v>47.61904762</v>
      </c>
      <c r="U342" s="26">
        <f t="shared" si="685"/>
        <v>74.58926616</v>
      </c>
      <c r="V342" s="26">
        <v>1840.0</v>
      </c>
      <c r="W342" s="26">
        <v>696.0</v>
      </c>
      <c r="X342" s="26">
        <v>1144.0</v>
      </c>
      <c r="Y342" s="26">
        <v>0.0</v>
      </c>
      <c r="Z342" s="26">
        <v>12103.0</v>
      </c>
      <c r="AA342" s="26">
        <v>3828.0</v>
      </c>
      <c r="AB342" s="26">
        <v>1984.0</v>
      </c>
      <c r="AC342" s="26">
        <v>1844.0</v>
      </c>
      <c r="AD342" s="26">
        <v>5342.0</v>
      </c>
      <c r="AE342" s="26">
        <v>3077.0</v>
      </c>
      <c r="AF342" s="26">
        <v>1976.0</v>
      </c>
      <c r="AG342" s="26">
        <v>168.0</v>
      </c>
      <c r="AH342" s="26">
        <v>121.0</v>
      </c>
      <c r="AI342" s="26">
        <f t="shared" si="8"/>
        <v>2097</v>
      </c>
      <c r="AJ342" s="26">
        <f t="shared" si="9"/>
        <v>3245</v>
      </c>
      <c r="AK342" s="26">
        <f t="shared" si="10"/>
        <v>3541</v>
      </c>
      <c r="AL342" s="26">
        <f t="shared" si="11"/>
        <v>4113</v>
      </c>
      <c r="AM342" s="26">
        <f t="shared" ref="AM342:AN342" si="686">(AI342/AK342)*100</f>
        <v>59.22055916</v>
      </c>
      <c r="AN342" s="26">
        <f t="shared" si="686"/>
        <v>78.89618283</v>
      </c>
      <c r="AO342" s="26">
        <v>2312.0</v>
      </c>
      <c r="AP342" s="26">
        <v>868.0</v>
      </c>
      <c r="AQ342" s="26">
        <v>1444.0</v>
      </c>
      <c r="AR342" s="26">
        <v>621.0</v>
      </c>
      <c r="AS342" s="27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</row>
    <row r="343">
      <c r="A343" s="22">
        <v>10969.0</v>
      </c>
      <c r="B343" s="23" t="s">
        <v>25</v>
      </c>
      <c r="C343" s="29" t="s">
        <v>434</v>
      </c>
      <c r="D343" s="29" t="s">
        <v>443</v>
      </c>
      <c r="E343" s="29" t="s">
        <v>337</v>
      </c>
      <c r="F343" s="29" t="s">
        <v>337</v>
      </c>
      <c r="G343" s="26">
        <v>7652.0</v>
      </c>
      <c r="H343" s="26">
        <v>3065.0</v>
      </c>
      <c r="I343" s="26">
        <v>1573.0</v>
      </c>
      <c r="J343" s="26">
        <v>1492.0</v>
      </c>
      <c r="K343" s="26">
        <v>2901.0</v>
      </c>
      <c r="L343" s="26">
        <v>2004.0</v>
      </c>
      <c r="M343" s="26">
        <v>874.0</v>
      </c>
      <c r="N343" s="26">
        <v>19.0</v>
      </c>
      <c r="O343" s="26">
        <v>4.0</v>
      </c>
      <c r="P343" s="26">
        <f t="shared" si="3"/>
        <v>878</v>
      </c>
      <c r="Q343" s="26">
        <f t="shared" si="4"/>
        <v>2023</v>
      </c>
      <c r="R343" s="26">
        <f t="shared" si="5"/>
        <v>2039</v>
      </c>
      <c r="S343" s="26">
        <f t="shared" si="6"/>
        <v>2548</v>
      </c>
      <c r="T343" s="26">
        <f t="shared" ref="T343:U343" si="687">(P343/R343)*100</f>
        <v>43.06032369</v>
      </c>
      <c r="U343" s="26">
        <f t="shared" si="687"/>
        <v>79.3956044</v>
      </c>
      <c r="V343" s="26">
        <v>1686.0</v>
      </c>
      <c r="W343" s="26">
        <v>525.0</v>
      </c>
      <c r="X343" s="26">
        <v>1161.0</v>
      </c>
      <c r="Y343" s="26">
        <v>0.0</v>
      </c>
      <c r="Z343" s="26">
        <v>9720.0</v>
      </c>
      <c r="AA343" s="26">
        <v>3535.0</v>
      </c>
      <c r="AB343" s="26">
        <v>1794.0</v>
      </c>
      <c r="AC343" s="26">
        <v>1741.0</v>
      </c>
      <c r="AD343" s="26">
        <v>4487.0</v>
      </c>
      <c r="AE343" s="26">
        <v>2695.0</v>
      </c>
      <c r="AF343" s="26">
        <v>1669.0</v>
      </c>
      <c r="AG343" s="26">
        <v>85.0</v>
      </c>
      <c r="AH343" s="26">
        <v>38.0</v>
      </c>
      <c r="AI343" s="26">
        <f t="shared" si="8"/>
        <v>1707</v>
      </c>
      <c r="AJ343" s="26">
        <f t="shared" si="9"/>
        <v>2780</v>
      </c>
      <c r="AK343" s="26">
        <f t="shared" si="10"/>
        <v>2668</v>
      </c>
      <c r="AL343" s="26">
        <f t="shared" si="11"/>
        <v>3270</v>
      </c>
      <c r="AM343" s="26">
        <f t="shared" ref="AM343:AN343" si="688">(AI343/AK343)*100</f>
        <v>63.98050975</v>
      </c>
      <c r="AN343" s="26">
        <f t="shared" si="688"/>
        <v>85.01529052</v>
      </c>
      <c r="AO343" s="26">
        <v>1451.0</v>
      </c>
      <c r="AP343" s="26">
        <v>490.0</v>
      </c>
      <c r="AQ343" s="26">
        <v>961.0</v>
      </c>
      <c r="AR343" s="26">
        <v>247.0</v>
      </c>
      <c r="AS343" s="27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</row>
    <row r="344">
      <c r="A344" s="22">
        <v>10993.0</v>
      </c>
      <c r="B344" s="23" t="s">
        <v>25</v>
      </c>
      <c r="C344" s="29" t="s">
        <v>434</v>
      </c>
      <c r="D344" s="29" t="s">
        <v>443</v>
      </c>
      <c r="E344" s="29" t="s">
        <v>445</v>
      </c>
      <c r="F344" s="29" t="s">
        <v>445</v>
      </c>
      <c r="G344" s="26">
        <v>8257.0</v>
      </c>
      <c r="H344" s="26">
        <v>3307.0</v>
      </c>
      <c r="I344" s="26">
        <v>1645.0</v>
      </c>
      <c r="J344" s="26">
        <v>1662.0</v>
      </c>
      <c r="K344" s="26">
        <v>3082.0</v>
      </c>
      <c r="L344" s="26">
        <v>2246.0</v>
      </c>
      <c r="M344" s="26">
        <v>811.0</v>
      </c>
      <c r="N344" s="26">
        <v>19.0</v>
      </c>
      <c r="O344" s="26">
        <v>6.0</v>
      </c>
      <c r="P344" s="26">
        <f t="shared" si="3"/>
        <v>817</v>
      </c>
      <c r="Q344" s="26">
        <f t="shared" si="4"/>
        <v>2265</v>
      </c>
      <c r="R344" s="26">
        <f t="shared" si="5"/>
        <v>2141</v>
      </c>
      <c r="S344" s="26">
        <f t="shared" si="6"/>
        <v>2809</v>
      </c>
      <c r="T344" s="26">
        <f t="shared" ref="T344:U344" si="689">(P344/R344)*100</f>
        <v>38.15973844</v>
      </c>
      <c r="U344" s="26">
        <f t="shared" si="689"/>
        <v>80.63367747</v>
      </c>
      <c r="V344" s="26">
        <v>1868.0</v>
      </c>
      <c r="W344" s="26">
        <v>544.0</v>
      </c>
      <c r="X344" s="26">
        <v>1324.0</v>
      </c>
      <c r="Y344" s="26">
        <v>0.0</v>
      </c>
      <c r="Z344" s="26">
        <v>10289.0</v>
      </c>
      <c r="AA344" s="26">
        <v>3676.0</v>
      </c>
      <c r="AB344" s="26">
        <v>1868.0</v>
      </c>
      <c r="AC344" s="26">
        <v>1808.0</v>
      </c>
      <c r="AD344" s="26">
        <v>4766.0</v>
      </c>
      <c r="AE344" s="26">
        <v>3032.0</v>
      </c>
      <c r="AF344" s="26">
        <v>1635.0</v>
      </c>
      <c r="AG344" s="26">
        <v>67.0</v>
      </c>
      <c r="AH344" s="26">
        <v>32.0</v>
      </c>
      <c r="AI344" s="26">
        <f t="shared" si="8"/>
        <v>1667</v>
      </c>
      <c r="AJ344" s="26">
        <f t="shared" si="9"/>
        <v>3099</v>
      </c>
      <c r="AK344" s="26">
        <f t="shared" si="10"/>
        <v>2733</v>
      </c>
      <c r="AL344" s="26">
        <f t="shared" si="11"/>
        <v>3508</v>
      </c>
      <c r="AM344" s="26">
        <f t="shared" ref="AM344:AN344" si="690">(AI344/AK344)*100</f>
        <v>60.99524332</v>
      </c>
      <c r="AN344" s="26">
        <f t="shared" si="690"/>
        <v>88.34093501</v>
      </c>
      <c r="AO344" s="26">
        <v>1475.0</v>
      </c>
      <c r="AP344" s="26">
        <v>409.0</v>
      </c>
      <c r="AQ344" s="26">
        <v>1066.0</v>
      </c>
      <c r="AR344" s="26">
        <v>372.0</v>
      </c>
      <c r="AS344" s="27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</row>
    <row r="345">
      <c r="A345" s="22">
        <v>11041.0</v>
      </c>
      <c r="B345" s="23" t="s">
        <v>25</v>
      </c>
      <c r="C345" s="29" t="s">
        <v>434</v>
      </c>
      <c r="D345" s="29" t="s">
        <v>446</v>
      </c>
      <c r="E345" s="29" t="s">
        <v>364</v>
      </c>
      <c r="F345" s="29" t="s">
        <v>364</v>
      </c>
      <c r="G345" s="26">
        <v>2376.0</v>
      </c>
      <c r="H345" s="26">
        <v>813.0</v>
      </c>
      <c r="I345" s="26">
        <v>437.0</v>
      </c>
      <c r="J345" s="26">
        <v>376.0</v>
      </c>
      <c r="K345" s="26">
        <v>1074.0</v>
      </c>
      <c r="L345" s="26">
        <v>825.0</v>
      </c>
      <c r="M345" s="26">
        <v>239.0</v>
      </c>
      <c r="N345" s="26">
        <v>8.0</v>
      </c>
      <c r="O345" s="26">
        <v>2.0</v>
      </c>
      <c r="P345" s="26">
        <f t="shared" si="3"/>
        <v>241</v>
      </c>
      <c r="Q345" s="26">
        <f t="shared" si="4"/>
        <v>833</v>
      </c>
      <c r="R345" s="26">
        <f t="shared" si="5"/>
        <v>573</v>
      </c>
      <c r="S345" s="26">
        <f t="shared" si="6"/>
        <v>990</v>
      </c>
      <c r="T345" s="26">
        <f t="shared" ref="T345:U345" si="691">(P345/R345)*100</f>
        <v>42.05933682</v>
      </c>
      <c r="U345" s="26">
        <f t="shared" si="691"/>
        <v>84.14141414</v>
      </c>
      <c r="V345" s="26">
        <v>489.0</v>
      </c>
      <c r="W345" s="26">
        <v>157.0</v>
      </c>
      <c r="X345" s="26">
        <v>332.0</v>
      </c>
      <c r="Y345" s="26">
        <v>0.0</v>
      </c>
      <c r="Z345" s="26">
        <v>2835.0</v>
      </c>
      <c r="AA345" s="26">
        <v>929.0</v>
      </c>
      <c r="AB345" s="26">
        <v>496.0</v>
      </c>
      <c r="AC345" s="26">
        <v>433.0</v>
      </c>
      <c r="AD345" s="26">
        <v>1371.0</v>
      </c>
      <c r="AE345" s="26">
        <v>940.0</v>
      </c>
      <c r="AF345" s="26">
        <v>409.0</v>
      </c>
      <c r="AG345" s="26">
        <v>13.0</v>
      </c>
      <c r="AH345" s="26">
        <v>9.0</v>
      </c>
      <c r="AI345" s="26">
        <f t="shared" si="8"/>
        <v>418</v>
      </c>
      <c r="AJ345" s="26">
        <f t="shared" si="9"/>
        <v>953</v>
      </c>
      <c r="AK345" s="26">
        <f t="shared" si="10"/>
        <v>753</v>
      </c>
      <c r="AL345" s="26">
        <f t="shared" si="11"/>
        <v>1076</v>
      </c>
      <c r="AM345" s="26">
        <f t="shared" ref="AM345:AN345" si="692">(AI345/AK345)*100</f>
        <v>55.51128818</v>
      </c>
      <c r="AN345" s="26">
        <f t="shared" si="692"/>
        <v>88.56877323</v>
      </c>
      <c r="AO345" s="26">
        <v>458.0</v>
      </c>
      <c r="AP345" s="26">
        <v>123.0</v>
      </c>
      <c r="AQ345" s="26">
        <v>335.0</v>
      </c>
      <c r="AR345" s="26">
        <v>77.0</v>
      </c>
      <c r="AS345" s="27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</row>
    <row r="346">
      <c r="A346" s="22">
        <v>11065.0</v>
      </c>
      <c r="B346" s="23" t="s">
        <v>25</v>
      </c>
      <c r="C346" s="29" t="s">
        <v>434</v>
      </c>
      <c r="D346" s="29" t="s">
        <v>446</v>
      </c>
      <c r="E346" s="29" t="s">
        <v>107</v>
      </c>
      <c r="F346" s="29" t="s">
        <v>107</v>
      </c>
      <c r="G346" s="26">
        <v>1653.0</v>
      </c>
      <c r="H346" s="26">
        <v>661.0</v>
      </c>
      <c r="I346" s="26">
        <v>338.0</v>
      </c>
      <c r="J346" s="26">
        <v>323.0</v>
      </c>
      <c r="K346" s="26">
        <v>642.0</v>
      </c>
      <c r="L346" s="26">
        <v>500.0</v>
      </c>
      <c r="M346" s="26">
        <v>132.0</v>
      </c>
      <c r="N346" s="26">
        <v>9.0</v>
      </c>
      <c r="O346" s="26">
        <v>1.0</v>
      </c>
      <c r="P346" s="26">
        <f t="shared" si="3"/>
        <v>133</v>
      </c>
      <c r="Q346" s="26">
        <f t="shared" si="4"/>
        <v>509</v>
      </c>
      <c r="R346" s="26">
        <f t="shared" si="5"/>
        <v>378</v>
      </c>
      <c r="S346" s="26">
        <f t="shared" si="6"/>
        <v>614</v>
      </c>
      <c r="T346" s="26">
        <f t="shared" ref="T346:U346" si="693">(P346/R346)*100</f>
        <v>35.18518519</v>
      </c>
      <c r="U346" s="26">
        <f t="shared" si="693"/>
        <v>82.8990228</v>
      </c>
      <c r="V346" s="26">
        <v>350.0</v>
      </c>
      <c r="W346" s="26">
        <v>105.0</v>
      </c>
      <c r="X346" s="26">
        <v>245.0</v>
      </c>
      <c r="Y346" s="26">
        <v>0.0</v>
      </c>
      <c r="Z346" s="26">
        <v>2579.0</v>
      </c>
      <c r="AA346" s="26">
        <v>859.0</v>
      </c>
      <c r="AB346" s="26">
        <v>445.0</v>
      </c>
      <c r="AC346" s="26">
        <v>414.0</v>
      </c>
      <c r="AD346" s="26">
        <v>1284.0</v>
      </c>
      <c r="AE346" s="26">
        <v>890.0</v>
      </c>
      <c r="AF346" s="26">
        <v>372.0</v>
      </c>
      <c r="AG346" s="26">
        <v>15.0</v>
      </c>
      <c r="AH346" s="26">
        <v>7.0</v>
      </c>
      <c r="AI346" s="26">
        <f t="shared" si="8"/>
        <v>379</v>
      </c>
      <c r="AJ346" s="26">
        <f t="shared" si="9"/>
        <v>905</v>
      </c>
      <c r="AK346" s="26">
        <f t="shared" si="10"/>
        <v>647</v>
      </c>
      <c r="AL346" s="26">
        <f t="shared" si="11"/>
        <v>1007</v>
      </c>
      <c r="AM346" s="26">
        <f t="shared" ref="AM346:AN346" si="694">(AI346/AK346)*100</f>
        <v>58.57805255</v>
      </c>
      <c r="AN346" s="26">
        <f t="shared" si="694"/>
        <v>89.87090367</v>
      </c>
      <c r="AO346" s="26">
        <v>370.0</v>
      </c>
      <c r="AP346" s="26">
        <v>102.0</v>
      </c>
      <c r="AQ346" s="26">
        <v>268.0</v>
      </c>
      <c r="AR346" s="26">
        <v>66.0</v>
      </c>
      <c r="AS346" s="27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</row>
    <row r="347">
      <c r="A347" s="22">
        <v>11113.0</v>
      </c>
      <c r="B347" s="23" t="s">
        <v>25</v>
      </c>
      <c r="C347" s="29" t="s">
        <v>434</v>
      </c>
      <c r="D347" s="29" t="s">
        <v>447</v>
      </c>
      <c r="E347" s="29" t="s">
        <v>448</v>
      </c>
      <c r="F347" s="29" t="s">
        <v>448</v>
      </c>
      <c r="G347" s="26">
        <v>2065.0</v>
      </c>
      <c r="H347" s="26">
        <v>595.0</v>
      </c>
      <c r="I347" s="26">
        <v>303.0</v>
      </c>
      <c r="J347" s="26">
        <v>292.0</v>
      </c>
      <c r="K347" s="26">
        <v>1089.0</v>
      </c>
      <c r="L347" s="26">
        <v>846.0</v>
      </c>
      <c r="M347" s="26">
        <v>237.0</v>
      </c>
      <c r="N347" s="26">
        <v>4.0</v>
      </c>
      <c r="O347" s="26">
        <v>2.0</v>
      </c>
      <c r="P347" s="26">
        <f t="shared" si="3"/>
        <v>239</v>
      </c>
      <c r="Q347" s="26">
        <f t="shared" si="4"/>
        <v>850</v>
      </c>
      <c r="R347" s="26">
        <f t="shared" si="5"/>
        <v>494</v>
      </c>
      <c r="S347" s="26">
        <f t="shared" si="6"/>
        <v>976</v>
      </c>
      <c r="T347" s="26">
        <f t="shared" ref="T347:U347" si="695">(P347/R347)*100</f>
        <v>48.3805668</v>
      </c>
      <c r="U347" s="26">
        <f t="shared" si="695"/>
        <v>87.09016393</v>
      </c>
      <c r="V347" s="26">
        <v>381.0</v>
      </c>
      <c r="W347" s="26">
        <v>126.0</v>
      </c>
      <c r="X347" s="26">
        <v>255.0</v>
      </c>
      <c r="Y347" s="26">
        <v>0.0</v>
      </c>
      <c r="Z347" s="26">
        <v>1573.0</v>
      </c>
      <c r="AA347" s="26">
        <v>525.0</v>
      </c>
      <c r="AB347" s="26">
        <v>273.0</v>
      </c>
      <c r="AC347" s="26">
        <v>252.0</v>
      </c>
      <c r="AD347" s="26">
        <v>712.0</v>
      </c>
      <c r="AE347" s="26">
        <v>463.0</v>
      </c>
      <c r="AF347" s="26">
        <v>239.0</v>
      </c>
      <c r="AG347" s="26">
        <v>7.0</v>
      </c>
      <c r="AH347" s="26">
        <v>3.0</v>
      </c>
      <c r="AI347" s="26">
        <f t="shared" si="8"/>
        <v>242</v>
      </c>
      <c r="AJ347" s="26">
        <f t="shared" si="9"/>
        <v>470</v>
      </c>
      <c r="AK347" s="26">
        <f t="shared" si="10"/>
        <v>406</v>
      </c>
      <c r="AL347" s="26">
        <f t="shared" si="11"/>
        <v>540</v>
      </c>
      <c r="AM347" s="26">
        <f t="shared" ref="AM347:AN347" si="696">(AI347/AK347)*100</f>
        <v>59.60591133</v>
      </c>
      <c r="AN347" s="26">
        <f t="shared" si="696"/>
        <v>87.03703704</v>
      </c>
      <c r="AO347" s="26">
        <v>234.0</v>
      </c>
      <c r="AP347" s="26">
        <v>70.0</v>
      </c>
      <c r="AQ347" s="26">
        <v>164.0</v>
      </c>
      <c r="AR347" s="26">
        <v>102.0</v>
      </c>
      <c r="AS347" s="27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</row>
    <row r="348">
      <c r="A348" s="22">
        <v>11137.0</v>
      </c>
      <c r="B348" s="23" t="s">
        <v>25</v>
      </c>
      <c r="C348" s="29" t="s">
        <v>434</v>
      </c>
      <c r="D348" s="29" t="s">
        <v>447</v>
      </c>
      <c r="E348" s="29" t="s">
        <v>449</v>
      </c>
      <c r="F348" s="29" t="s">
        <v>449</v>
      </c>
      <c r="G348" s="26">
        <v>2801.0</v>
      </c>
      <c r="H348" s="26">
        <v>1162.0</v>
      </c>
      <c r="I348" s="26">
        <v>573.0</v>
      </c>
      <c r="J348" s="26">
        <v>589.0</v>
      </c>
      <c r="K348" s="26">
        <v>1022.0</v>
      </c>
      <c r="L348" s="26">
        <v>749.0</v>
      </c>
      <c r="M348" s="26">
        <v>260.0</v>
      </c>
      <c r="N348" s="26">
        <v>10.0</v>
      </c>
      <c r="O348" s="26">
        <v>3.0</v>
      </c>
      <c r="P348" s="26">
        <f t="shared" si="3"/>
        <v>263</v>
      </c>
      <c r="Q348" s="26">
        <f t="shared" si="4"/>
        <v>759</v>
      </c>
      <c r="R348" s="26">
        <f t="shared" si="5"/>
        <v>700</v>
      </c>
      <c r="S348" s="26">
        <f t="shared" si="6"/>
        <v>939</v>
      </c>
      <c r="T348" s="26">
        <f t="shared" ref="T348:U348" si="697">(P348/R348)*100</f>
        <v>37.57142857</v>
      </c>
      <c r="U348" s="26">
        <f t="shared" si="697"/>
        <v>80.83067093</v>
      </c>
      <c r="V348" s="26">
        <v>617.0</v>
      </c>
      <c r="W348" s="26">
        <v>180.0</v>
      </c>
      <c r="X348" s="26">
        <v>437.0</v>
      </c>
      <c r="Y348" s="26">
        <v>0.0</v>
      </c>
      <c r="Z348" s="26">
        <v>2478.0</v>
      </c>
      <c r="AA348" s="26">
        <v>857.0</v>
      </c>
      <c r="AB348" s="26">
        <v>446.0</v>
      </c>
      <c r="AC348" s="26">
        <v>411.0</v>
      </c>
      <c r="AD348" s="26">
        <v>1148.0</v>
      </c>
      <c r="AE348" s="26">
        <v>704.0</v>
      </c>
      <c r="AF348" s="26">
        <v>392.0</v>
      </c>
      <c r="AG348" s="26">
        <v>31.0</v>
      </c>
      <c r="AH348" s="26">
        <v>21.0</v>
      </c>
      <c r="AI348" s="26">
        <f t="shared" si="8"/>
        <v>413</v>
      </c>
      <c r="AJ348" s="26">
        <f t="shared" si="9"/>
        <v>735</v>
      </c>
      <c r="AK348" s="26">
        <f t="shared" si="10"/>
        <v>659</v>
      </c>
      <c r="AL348" s="26">
        <f t="shared" si="11"/>
        <v>831</v>
      </c>
      <c r="AM348" s="26">
        <f t="shared" ref="AM348:AN348" si="698">(AI348/AK348)*100</f>
        <v>62.6707132</v>
      </c>
      <c r="AN348" s="26">
        <f t="shared" si="698"/>
        <v>88.44765343</v>
      </c>
      <c r="AO348" s="26">
        <v>342.0</v>
      </c>
      <c r="AP348" s="26">
        <v>96.0</v>
      </c>
      <c r="AQ348" s="26">
        <v>246.0</v>
      </c>
      <c r="AR348" s="26">
        <v>131.0</v>
      </c>
      <c r="AS348" s="27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</row>
    <row r="349">
      <c r="A349" s="22">
        <v>11161.0</v>
      </c>
      <c r="B349" s="23" t="s">
        <v>25</v>
      </c>
      <c r="C349" s="29" t="s">
        <v>434</v>
      </c>
      <c r="D349" s="29" t="s">
        <v>447</v>
      </c>
      <c r="E349" s="29" t="s">
        <v>450</v>
      </c>
      <c r="F349" s="29" t="s">
        <v>450</v>
      </c>
      <c r="G349" s="26">
        <v>2165.0</v>
      </c>
      <c r="H349" s="26">
        <v>760.0</v>
      </c>
      <c r="I349" s="26">
        <v>380.0</v>
      </c>
      <c r="J349" s="26">
        <v>380.0</v>
      </c>
      <c r="K349" s="26">
        <v>1005.0</v>
      </c>
      <c r="L349" s="26">
        <v>829.0</v>
      </c>
      <c r="M349" s="26">
        <v>174.0</v>
      </c>
      <c r="N349" s="26">
        <v>1.0</v>
      </c>
      <c r="O349" s="26">
        <v>1.0</v>
      </c>
      <c r="P349" s="26">
        <f t="shared" si="3"/>
        <v>175</v>
      </c>
      <c r="Q349" s="26">
        <f t="shared" si="4"/>
        <v>830</v>
      </c>
      <c r="R349" s="26">
        <f t="shared" si="5"/>
        <v>485</v>
      </c>
      <c r="S349" s="26">
        <f t="shared" si="6"/>
        <v>920</v>
      </c>
      <c r="T349" s="26">
        <f t="shared" ref="T349:U349" si="699">(P349/R349)*100</f>
        <v>36.08247423</v>
      </c>
      <c r="U349" s="26">
        <f t="shared" si="699"/>
        <v>90.2173913</v>
      </c>
      <c r="V349" s="26">
        <v>400.0</v>
      </c>
      <c r="W349" s="26">
        <v>90.0</v>
      </c>
      <c r="X349" s="26">
        <v>310.0</v>
      </c>
      <c r="Y349" s="26">
        <v>0.0</v>
      </c>
      <c r="Z349" s="26">
        <v>2308.0</v>
      </c>
      <c r="AA349" s="26">
        <v>665.0</v>
      </c>
      <c r="AB349" s="26">
        <v>316.0</v>
      </c>
      <c r="AC349" s="26">
        <v>349.0</v>
      </c>
      <c r="AD349" s="26">
        <v>1055.0</v>
      </c>
      <c r="AE349" s="26">
        <v>726.0</v>
      </c>
      <c r="AF349" s="26">
        <v>314.0</v>
      </c>
      <c r="AG349" s="26">
        <v>13.0</v>
      </c>
      <c r="AH349" s="26">
        <v>2.0</v>
      </c>
      <c r="AI349" s="26">
        <f t="shared" si="8"/>
        <v>316</v>
      </c>
      <c r="AJ349" s="26">
        <f t="shared" si="9"/>
        <v>739</v>
      </c>
      <c r="AK349" s="26">
        <f t="shared" si="10"/>
        <v>542</v>
      </c>
      <c r="AL349" s="26">
        <f t="shared" si="11"/>
        <v>818</v>
      </c>
      <c r="AM349" s="26">
        <f t="shared" ref="AM349:AN349" si="700">(AI349/AK349)*100</f>
        <v>58.30258303</v>
      </c>
      <c r="AN349" s="26">
        <f t="shared" si="700"/>
        <v>90.34229829</v>
      </c>
      <c r="AO349" s="26">
        <v>305.0</v>
      </c>
      <c r="AP349" s="26">
        <v>79.0</v>
      </c>
      <c r="AQ349" s="26">
        <v>226.0</v>
      </c>
      <c r="AR349" s="26">
        <v>283.0</v>
      </c>
      <c r="AS349" s="27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</row>
    <row r="350">
      <c r="A350" s="5"/>
      <c r="B350" s="5"/>
      <c r="C350" s="5"/>
      <c r="D350" s="5"/>
      <c r="E350" s="5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</row>
  </sheetData>
  <mergeCells count="38">
    <mergeCell ref="F1:F5"/>
    <mergeCell ref="G2:G5"/>
    <mergeCell ref="Z2:Z5"/>
    <mergeCell ref="AA2:AC3"/>
    <mergeCell ref="H2:J3"/>
    <mergeCell ref="K3:O3"/>
    <mergeCell ref="V3:X3"/>
    <mergeCell ref="Y3:Y5"/>
    <mergeCell ref="AD3:AH3"/>
    <mergeCell ref="AO3:AQ3"/>
    <mergeCell ref="AQ4:AQ5"/>
    <mergeCell ref="E1:E5"/>
    <mergeCell ref="H4:H5"/>
    <mergeCell ref="I4:I5"/>
    <mergeCell ref="J4:J5"/>
    <mergeCell ref="G1:Y1"/>
    <mergeCell ref="K2:Y2"/>
    <mergeCell ref="A1:A5"/>
    <mergeCell ref="B1:B5"/>
    <mergeCell ref="C1:C5"/>
    <mergeCell ref="D1:D5"/>
    <mergeCell ref="Z1:AR1"/>
    <mergeCell ref="AD2:AR2"/>
    <mergeCell ref="AR3:AR5"/>
    <mergeCell ref="K4:K5"/>
    <mergeCell ref="L4:M4"/>
    <mergeCell ref="N4:O4"/>
    <mergeCell ref="V4:V5"/>
    <mergeCell ref="W4:W5"/>
    <mergeCell ref="X4:X5"/>
    <mergeCell ref="AA4:AA5"/>
    <mergeCell ref="AB4:AB5"/>
    <mergeCell ref="AC4:AC5"/>
    <mergeCell ref="AD4:AD5"/>
    <mergeCell ref="AE4:AF4"/>
    <mergeCell ref="AG4:AH4"/>
    <mergeCell ref="AO4:AO5"/>
    <mergeCell ref="AP4:AP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63"/>
    <col customWidth="1" min="6" max="7" width="12.63"/>
  </cols>
  <sheetData>
    <row r="1" ht="15.75" customHeight="1">
      <c r="A1" s="37" t="s">
        <v>451</v>
      </c>
      <c r="B1" s="38" t="s">
        <v>452</v>
      </c>
      <c r="C1" s="38" t="s">
        <v>453</v>
      </c>
      <c r="D1" s="39" t="s">
        <v>454</v>
      </c>
      <c r="E1" s="40" t="s">
        <v>455</v>
      </c>
      <c r="F1" s="39" t="s">
        <v>456</v>
      </c>
      <c r="G1" s="39" t="s">
        <v>457</v>
      </c>
      <c r="I1" s="41" t="s">
        <v>458</v>
      </c>
      <c r="J1" s="42"/>
      <c r="K1" s="43" t="s">
        <v>459</v>
      </c>
      <c r="L1" s="43" t="s">
        <v>460</v>
      </c>
    </row>
    <row r="2" ht="15.75" customHeight="1">
      <c r="A2" s="44">
        <v>10101.0</v>
      </c>
      <c r="B2" s="38" t="s">
        <v>26</v>
      </c>
      <c r="C2" s="38" t="s">
        <v>28</v>
      </c>
      <c r="D2" s="45">
        <v>47.54760068508929</v>
      </c>
      <c r="E2" s="45">
        <v>52369.0</v>
      </c>
      <c r="F2" s="45">
        <v>61.22907797780856</v>
      </c>
      <c r="G2" s="45">
        <v>45355.0</v>
      </c>
      <c r="I2" s="46">
        <f t="shared" ref="I2:I344" si="1">((F2-D2)/D2)*100</f>
        <v>28.77427482</v>
      </c>
      <c r="J2" s="47"/>
      <c r="K2" s="48">
        <f>MAX(I:I)</f>
        <v>164.1578909</v>
      </c>
      <c r="L2" s="48">
        <f>MIN(I:I)</f>
        <v>-4.33016864</v>
      </c>
      <c r="P2" s="49"/>
      <c r="Q2" s="50" t="s">
        <v>461</v>
      </c>
      <c r="R2" s="50" t="s">
        <v>462</v>
      </c>
    </row>
    <row r="3" ht="15.75" customHeight="1">
      <c r="A3" s="44">
        <v>10102.0</v>
      </c>
      <c r="B3" s="38" t="s">
        <v>26</v>
      </c>
      <c r="C3" s="38" t="s">
        <v>29</v>
      </c>
      <c r="D3" s="45">
        <v>47.266313932980594</v>
      </c>
      <c r="E3" s="45">
        <v>1794.0</v>
      </c>
      <c r="F3" s="45">
        <v>71.29418472063854</v>
      </c>
      <c r="G3" s="45">
        <v>1007.0</v>
      </c>
      <c r="I3" s="46">
        <f t="shared" si="1"/>
        <v>50.83508484</v>
      </c>
      <c r="J3" s="51"/>
      <c r="K3" s="52" t="s">
        <v>463</v>
      </c>
      <c r="L3" s="52" t="s">
        <v>464</v>
      </c>
      <c r="P3" s="50" t="s">
        <v>465</v>
      </c>
      <c r="Q3" s="53">
        <f>COUNTIF(D:D, "&lt;=43,7")</f>
        <v>55</v>
      </c>
      <c r="R3" s="53">
        <f>COUNTIF(F:F, "&lt;=43,7")</f>
        <v>0</v>
      </c>
    </row>
    <row r="4" ht="15.75" customHeight="1">
      <c r="A4" s="44">
        <v>10103.0</v>
      </c>
      <c r="B4" s="38" t="s">
        <v>26</v>
      </c>
      <c r="C4" s="38" t="s">
        <v>30</v>
      </c>
      <c r="D4" s="45">
        <v>48.20255121762659</v>
      </c>
      <c r="E4" s="45">
        <v>2680.0</v>
      </c>
      <c r="F4" s="45">
        <v>76.08836907082521</v>
      </c>
      <c r="G4" s="45">
        <v>1104.0</v>
      </c>
      <c r="I4" s="46">
        <f t="shared" si="1"/>
        <v>57.85133183</v>
      </c>
      <c r="J4" s="51"/>
      <c r="K4" s="52" t="s">
        <v>268</v>
      </c>
      <c r="L4" s="52" t="s">
        <v>268</v>
      </c>
      <c r="P4" s="50" t="s">
        <v>466</v>
      </c>
      <c r="Q4" s="53">
        <f>COUNTIFS(D:D,"&gt;43,7",D:D,"&lt;=55,1")</f>
        <v>125</v>
      </c>
      <c r="R4" s="53">
        <f>COUNTIFS(F:F,"&gt;43,7",F:F,"&lt;=55,1")</f>
        <v>19</v>
      </c>
    </row>
    <row r="5" ht="15.75" customHeight="1">
      <c r="A5" s="44">
        <v>10201.0</v>
      </c>
      <c r="B5" s="38" t="s">
        <v>26</v>
      </c>
      <c r="C5" s="38" t="s">
        <v>467</v>
      </c>
      <c r="D5" s="45">
        <v>34.27518427518427</v>
      </c>
      <c r="E5" s="45">
        <v>2140.0</v>
      </c>
      <c r="F5" s="45">
        <v>74.0333586050038</v>
      </c>
      <c r="G5" s="45">
        <v>685.0</v>
      </c>
      <c r="I5" s="46">
        <f t="shared" si="1"/>
        <v>115.9969674</v>
      </c>
      <c r="J5" s="51"/>
      <c r="K5" s="52" t="s">
        <v>468</v>
      </c>
      <c r="L5" s="52" t="s">
        <v>318</v>
      </c>
      <c r="P5" s="50" t="s">
        <v>469</v>
      </c>
      <c r="Q5" s="54">
        <f>COUNTIFS(D:D,"&gt;55,1",D:D,"&lt;66,5")</f>
        <v>102</v>
      </c>
      <c r="R5" s="54">
        <f>COUNTIFS(F:F,"&gt;55,1",F:F,"&lt;66,5")</f>
        <v>115</v>
      </c>
    </row>
    <row r="6" ht="15.75" customHeight="1">
      <c r="A6" s="44">
        <v>10202.0</v>
      </c>
      <c r="B6" s="38" t="s">
        <v>26</v>
      </c>
      <c r="C6" s="38" t="s">
        <v>32</v>
      </c>
      <c r="D6" s="45">
        <v>50.1820664542558</v>
      </c>
      <c r="E6" s="45">
        <v>2189.0</v>
      </c>
      <c r="F6" s="45">
        <v>68.34915875395635</v>
      </c>
      <c r="G6" s="45">
        <v>1900.0</v>
      </c>
      <c r="I6" s="46">
        <f t="shared" si="1"/>
        <v>36.20235989</v>
      </c>
      <c r="J6" s="51"/>
      <c r="K6" s="52" t="s">
        <v>304</v>
      </c>
      <c r="L6" s="52" t="s">
        <v>319</v>
      </c>
      <c r="P6" s="50" t="s">
        <v>470</v>
      </c>
      <c r="Q6" s="54">
        <f>COUNTIF(D:D,"&gt;=66,5")</f>
        <v>61</v>
      </c>
      <c r="R6" s="54">
        <f>COUNTIF(F:F,"&gt;=66,5")</f>
        <v>209</v>
      </c>
    </row>
    <row r="7" ht="15.75" customHeight="1">
      <c r="A7" s="44">
        <v>10301.0</v>
      </c>
      <c r="B7" s="38" t="s">
        <v>26</v>
      </c>
      <c r="C7" s="38" t="s">
        <v>471</v>
      </c>
      <c r="D7" s="45">
        <v>42.111832251622566</v>
      </c>
      <c r="E7" s="45">
        <v>2319.0</v>
      </c>
      <c r="F7" s="45">
        <v>66.85105511165744</v>
      </c>
      <c r="G7" s="45">
        <v>1618.0</v>
      </c>
      <c r="I7" s="46">
        <f t="shared" si="1"/>
        <v>58.7464889</v>
      </c>
      <c r="J7" s="55"/>
      <c r="P7" s="49"/>
      <c r="Q7" s="49"/>
      <c r="R7" s="49"/>
    </row>
    <row r="8" ht="15.75" customHeight="1">
      <c r="A8" s="44">
        <v>10302.0</v>
      </c>
      <c r="B8" s="38" t="s">
        <v>26</v>
      </c>
      <c r="C8" s="38" t="s">
        <v>34</v>
      </c>
      <c r="D8" s="45">
        <v>42.703232125367286</v>
      </c>
      <c r="E8" s="45">
        <v>2340.0</v>
      </c>
      <c r="F8" s="45">
        <v>69.18164616840113</v>
      </c>
      <c r="G8" s="45">
        <v>1303.0</v>
      </c>
      <c r="I8" s="46">
        <f t="shared" si="1"/>
        <v>62.00564389</v>
      </c>
      <c r="J8" s="42"/>
      <c r="K8" s="56" t="s">
        <v>472</v>
      </c>
      <c r="L8" s="4"/>
      <c r="M8" s="57"/>
      <c r="N8" s="57"/>
      <c r="P8" s="50" t="s">
        <v>473</v>
      </c>
      <c r="Q8" s="58">
        <v>343.0</v>
      </c>
      <c r="R8" s="58">
        <v>343.0</v>
      </c>
    </row>
    <row r="9" ht="15.75" customHeight="1">
      <c r="A9" s="44">
        <v>10303.0</v>
      </c>
      <c r="B9" s="38" t="s">
        <v>26</v>
      </c>
      <c r="C9" s="38" t="s">
        <v>474</v>
      </c>
      <c r="D9" s="45">
        <v>46.87039764359352</v>
      </c>
      <c r="E9" s="45">
        <v>1443.0</v>
      </c>
      <c r="F9" s="45">
        <v>69.54145156392347</v>
      </c>
      <c r="G9" s="45">
        <v>1003.0</v>
      </c>
      <c r="I9" s="46">
        <f t="shared" si="1"/>
        <v>48.36966414</v>
      </c>
      <c r="J9" s="42"/>
      <c r="K9" s="59" t="s">
        <v>475</v>
      </c>
      <c r="L9" s="60">
        <f>AVERAGE(D:D)</f>
        <v>55.10502317</v>
      </c>
      <c r="M9" s="57"/>
      <c r="N9" s="57"/>
    </row>
    <row r="10" ht="15.75" customHeight="1">
      <c r="A10" s="44">
        <v>10304.0</v>
      </c>
      <c r="B10" s="38" t="s">
        <v>26</v>
      </c>
      <c r="C10" s="38" t="s">
        <v>36</v>
      </c>
      <c r="D10" s="45">
        <v>39.9604743083004</v>
      </c>
      <c r="E10" s="45">
        <v>1519.0</v>
      </c>
      <c r="F10" s="45">
        <v>68.78923766816143</v>
      </c>
      <c r="G10" s="45">
        <v>1044.0</v>
      </c>
      <c r="I10" s="46">
        <f t="shared" si="1"/>
        <v>72.14319614</v>
      </c>
      <c r="J10" s="42"/>
      <c r="K10" s="59" t="s">
        <v>476</v>
      </c>
      <c r="L10" s="60">
        <f>STDEV(D:D)</f>
        <v>11.43650034</v>
      </c>
      <c r="M10" s="57"/>
      <c r="N10" s="57"/>
    </row>
    <row r="11" ht="15.75" customHeight="1">
      <c r="A11" s="44">
        <v>10401.0</v>
      </c>
      <c r="B11" s="38" t="s">
        <v>26</v>
      </c>
      <c r="C11" s="38" t="s">
        <v>38</v>
      </c>
      <c r="D11" s="45">
        <v>53.201692524682656</v>
      </c>
      <c r="E11" s="45">
        <v>1659.0</v>
      </c>
      <c r="F11" s="45">
        <v>68.6094674556213</v>
      </c>
      <c r="G11" s="45">
        <v>1061.0</v>
      </c>
      <c r="I11" s="46">
        <f t="shared" si="1"/>
        <v>28.96106157</v>
      </c>
      <c r="J11" s="42"/>
      <c r="K11" s="57"/>
      <c r="L11" s="57"/>
      <c r="M11" s="57"/>
      <c r="N11" s="57"/>
    </row>
    <row r="12" ht="15.75" customHeight="1">
      <c r="A12" s="44">
        <v>10402.0</v>
      </c>
      <c r="B12" s="38" t="s">
        <v>26</v>
      </c>
      <c r="C12" s="38" t="s">
        <v>37</v>
      </c>
      <c r="D12" s="45">
        <v>43.070362473347544</v>
      </c>
      <c r="E12" s="45">
        <v>1602.0</v>
      </c>
      <c r="F12" s="45">
        <v>72.8923476005188</v>
      </c>
      <c r="G12" s="45">
        <v>836.0</v>
      </c>
      <c r="I12" s="46">
        <f t="shared" si="1"/>
        <v>69.24015359</v>
      </c>
      <c r="J12" s="42"/>
      <c r="K12" s="59" t="s">
        <v>477</v>
      </c>
      <c r="L12" s="59" t="s">
        <v>478</v>
      </c>
      <c r="M12" s="59" t="s">
        <v>479</v>
      </c>
      <c r="N12" s="59" t="s">
        <v>480</v>
      </c>
    </row>
    <row r="13" ht="15.75" customHeight="1">
      <c r="A13" s="44">
        <v>10403.0</v>
      </c>
      <c r="B13" s="38" t="s">
        <v>26</v>
      </c>
      <c r="C13" s="38" t="s">
        <v>39</v>
      </c>
      <c r="D13" s="45">
        <v>36.5721434528774</v>
      </c>
      <c r="E13" s="45">
        <v>1521.0</v>
      </c>
      <c r="F13" s="45">
        <v>70.0</v>
      </c>
      <c r="G13" s="45">
        <v>768.0</v>
      </c>
      <c r="I13" s="46">
        <f t="shared" si="1"/>
        <v>91.40250855</v>
      </c>
      <c r="J13" s="61"/>
      <c r="K13" s="60">
        <f>L9-L10</f>
        <v>43.66852283</v>
      </c>
      <c r="L13" s="60">
        <f>L9</f>
        <v>55.10502317</v>
      </c>
      <c r="M13" s="60">
        <f>L9+L10</f>
        <v>66.54152351</v>
      </c>
      <c r="N13" s="59"/>
    </row>
    <row r="14" ht="15.75" customHeight="1">
      <c r="A14" s="44">
        <v>10404.0</v>
      </c>
      <c r="B14" s="38" t="s">
        <v>26</v>
      </c>
      <c r="C14" s="38" t="s">
        <v>481</v>
      </c>
      <c r="D14" s="45">
        <v>46.462931522354275</v>
      </c>
      <c r="E14" s="45">
        <v>946.0</v>
      </c>
      <c r="F14" s="45">
        <v>64.86101211689237</v>
      </c>
      <c r="G14" s="45">
        <v>493.0</v>
      </c>
      <c r="I14" s="46">
        <f t="shared" si="1"/>
        <v>39.59733059</v>
      </c>
      <c r="J14" s="55"/>
    </row>
    <row r="15" ht="15.75" customHeight="1">
      <c r="A15" s="44">
        <v>10405.0</v>
      </c>
      <c r="B15" s="38" t="s">
        <v>26</v>
      </c>
      <c r="C15" s="38" t="s">
        <v>41</v>
      </c>
      <c r="D15" s="45">
        <v>51.581027667984195</v>
      </c>
      <c r="E15" s="45">
        <v>735.0</v>
      </c>
      <c r="F15" s="45">
        <v>64.6720919100048</v>
      </c>
      <c r="G15" s="45">
        <v>738.0</v>
      </c>
      <c r="I15" s="46">
        <f t="shared" si="1"/>
        <v>25.37961114</v>
      </c>
      <c r="J15" s="62"/>
      <c r="K15" s="63" t="s">
        <v>482</v>
      </c>
      <c r="L15" s="64"/>
    </row>
    <row r="16" ht="15.75" customHeight="1">
      <c r="A16" s="44">
        <v>10501.0</v>
      </c>
      <c r="B16" s="38" t="s">
        <v>26</v>
      </c>
      <c r="C16" s="38" t="s">
        <v>43</v>
      </c>
      <c r="D16" s="45">
        <v>48.6659422914403</v>
      </c>
      <c r="E16" s="45">
        <v>4252.0</v>
      </c>
      <c r="F16" s="45">
        <v>67.93821670957173</v>
      </c>
      <c r="G16" s="45">
        <v>2740.0</v>
      </c>
      <c r="I16" s="46">
        <f t="shared" si="1"/>
        <v>39.60115331</v>
      </c>
      <c r="J16" s="65"/>
      <c r="K16" s="66" t="s">
        <v>483</v>
      </c>
      <c r="L16" s="53">
        <f>COUNTIF(F:F, "&lt;=43,7")</f>
        <v>0</v>
      </c>
    </row>
    <row r="17" ht="15.75" customHeight="1">
      <c r="A17" s="44">
        <v>10502.0</v>
      </c>
      <c r="B17" s="38" t="s">
        <v>26</v>
      </c>
      <c r="C17" s="38" t="s">
        <v>484</v>
      </c>
      <c r="D17" s="45">
        <v>46.65127020785219</v>
      </c>
      <c r="E17" s="45">
        <v>1386.0</v>
      </c>
      <c r="F17" s="45">
        <v>61.92739844425238</v>
      </c>
      <c r="G17" s="45">
        <v>881.0</v>
      </c>
      <c r="I17" s="46">
        <f t="shared" si="1"/>
        <v>32.74536399</v>
      </c>
      <c r="J17" s="65"/>
      <c r="K17" s="66" t="s">
        <v>485</v>
      </c>
      <c r="L17" s="53">
        <f>COUNTIFS(F:F,"&gt;43,7",F:F,"&lt;=55,1")</f>
        <v>19</v>
      </c>
    </row>
    <row r="18" ht="15.75" customHeight="1">
      <c r="A18" s="44">
        <v>10601.0</v>
      </c>
      <c r="B18" s="38" t="s">
        <v>26</v>
      </c>
      <c r="C18" s="38" t="s">
        <v>46</v>
      </c>
      <c r="D18" s="45">
        <v>44.92318559067632</v>
      </c>
      <c r="E18" s="45">
        <v>3119.0</v>
      </c>
      <c r="F18" s="45">
        <v>73.09141384096768</v>
      </c>
      <c r="G18" s="45">
        <v>1357.0</v>
      </c>
      <c r="I18" s="46">
        <f t="shared" si="1"/>
        <v>62.70309614</v>
      </c>
      <c r="J18" s="62"/>
      <c r="K18" s="67" t="s">
        <v>486</v>
      </c>
      <c r="L18" s="54">
        <f>COUNTIFS(F:F,"&gt;55,1",F:F,"&lt;66,5")</f>
        <v>115</v>
      </c>
    </row>
    <row r="19" ht="15.75" customHeight="1">
      <c r="A19" s="44">
        <v>10602.0</v>
      </c>
      <c r="B19" s="38" t="s">
        <v>26</v>
      </c>
      <c r="C19" s="38" t="s">
        <v>45</v>
      </c>
      <c r="D19" s="45">
        <v>41.07142857142857</v>
      </c>
      <c r="E19" s="45">
        <v>2112.0</v>
      </c>
      <c r="F19" s="45">
        <v>73.47130761994356</v>
      </c>
      <c r="G19" s="45">
        <v>846.0</v>
      </c>
      <c r="I19" s="46">
        <f t="shared" si="1"/>
        <v>78.88666203</v>
      </c>
      <c r="J19" s="62"/>
      <c r="K19" s="67" t="s">
        <v>487</v>
      </c>
      <c r="L19" s="54">
        <f>COUNTIF(F:F,"&gt;=66,5")</f>
        <v>209</v>
      </c>
    </row>
    <row r="20" ht="15.75" customHeight="1">
      <c r="A20" s="44">
        <v>10701.0</v>
      </c>
      <c r="B20" s="38" t="s">
        <v>26</v>
      </c>
      <c r="C20" s="38" t="s">
        <v>48</v>
      </c>
      <c r="D20" s="45">
        <v>48.346573064843895</v>
      </c>
      <c r="E20" s="45">
        <v>2796.0</v>
      </c>
      <c r="F20" s="45">
        <v>72.49273255813954</v>
      </c>
      <c r="G20" s="45">
        <v>1514.0</v>
      </c>
      <c r="I20" s="46">
        <f t="shared" si="1"/>
        <v>49.94389046</v>
      </c>
      <c r="J20" s="42"/>
      <c r="K20" s="57"/>
      <c r="L20" s="57"/>
    </row>
    <row r="21" ht="15.75" customHeight="1">
      <c r="A21" s="44">
        <v>10702.0</v>
      </c>
      <c r="B21" s="38" t="s">
        <v>26</v>
      </c>
      <c r="C21" s="38" t="s">
        <v>49</v>
      </c>
      <c r="D21" s="45">
        <v>53.38302752293578</v>
      </c>
      <c r="E21" s="45">
        <v>4878.0</v>
      </c>
      <c r="F21" s="45">
        <v>74.17490014715156</v>
      </c>
      <c r="G21" s="45">
        <v>2457.0</v>
      </c>
      <c r="I21" s="46">
        <f t="shared" si="1"/>
        <v>38.94847031</v>
      </c>
      <c r="J21" s="62"/>
      <c r="K21" s="68" t="s">
        <v>14</v>
      </c>
      <c r="L21" s="69">
        <f>SUM(L16:L19)</f>
        <v>343</v>
      </c>
    </row>
    <row r="22" ht="15.75" customHeight="1">
      <c r="A22" s="44">
        <v>10703.0</v>
      </c>
      <c r="B22" s="38" t="s">
        <v>26</v>
      </c>
      <c r="C22" s="38" t="s">
        <v>50</v>
      </c>
      <c r="D22" s="45">
        <v>48.40971700475833</v>
      </c>
      <c r="E22" s="45">
        <v>2060.0</v>
      </c>
      <c r="F22" s="45">
        <v>73.31692740376164</v>
      </c>
      <c r="G22" s="45">
        <v>1518.0</v>
      </c>
      <c r="I22" s="46">
        <f t="shared" si="1"/>
        <v>51.450849</v>
      </c>
      <c r="J22" s="42"/>
      <c r="K22" s="57"/>
      <c r="L22" s="57"/>
    </row>
    <row r="23" ht="15.75" customHeight="1">
      <c r="A23" s="44">
        <v>10704.0</v>
      </c>
      <c r="B23" s="38" t="s">
        <v>26</v>
      </c>
      <c r="C23" s="38" t="s">
        <v>51</v>
      </c>
      <c r="D23" s="45">
        <v>47.251461988304094</v>
      </c>
      <c r="E23" s="45">
        <v>2706.0</v>
      </c>
      <c r="F23" s="45">
        <v>72.83225680172245</v>
      </c>
      <c r="G23" s="45">
        <v>1388.0</v>
      </c>
      <c r="I23" s="46">
        <f t="shared" si="1"/>
        <v>54.13757318</v>
      </c>
      <c r="J23" s="42"/>
      <c r="K23" s="57"/>
      <c r="L23" s="57"/>
    </row>
    <row r="24" ht="15.75" customHeight="1">
      <c r="A24" s="44">
        <v>10801.0</v>
      </c>
      <c r="B24" s="38" t="s">
        <v>26</v>
      </c>
      <c r="C24" s="38" t="s">
        <v>53</v>
      </c>
      <c r="D24" s="45">
        <v>44.88085886357685</v>
      </c>
      <c r="E24" s="45">
        <v>2105.0</v>
      </c>
      <c r="F24" s="45">
        <v>64.36849925705795</v>
      </c>
      <c r="G24" s="45">
        <v>1199.0</v>
      </c>
      <c r="I24" s="46">
        <f t="shared" si="1"/>
        <v>43.42082769</v>
      </c>
      <c r="J24" s="62"/>
      <c r="K24" s="63" t="s">
        <v>488</v>
      </c>
      <c r="L24" s="64"/>
    </row>
    <row r="25" ht="15.75" customHeight="1">
      <c r="A25" s="44">
        <v>10901.0</v>
      </c>
      <c r="B25" s="38" t="s">
        <v>26</v>
      </c>
      <c r="C25" s="38" t="s">
        <v>55</v>
      </c>
      <c r="D25" s="45">
        <v>48.54838709677419</v>
      </c>
      <c r="E25" s="45">
        <v>638.0</v>
      </c>
      <c r="F25" s="45">
        <v>66.45414418832762</v>
      </c>
      <c r="G25" s="45">
        <v>684.0</v>
      </c>
      <c r="I25" s="46">
        <f t="shared" si="1"/>
        <v>36.88229035</v>
      </c>
      <c r="J25" s="65"/>
      <c r="K25" s="66" t="s">
        <v>483</v>
      </c>
      <c r="L25" s="53">
        <f>COUNTIFS(D:D,"&lt;=43,7",D:D,"&lt;&gt;0")</f>
        <v>55</v>
      </c>
    </row>
    <row r="26" ht="15.75" customHeight="1">
      <c r="A26" s="44">
        <v>10902.0</v>
      </c>
      <c r="B26" s="38" t="s">
        <v>26</v>
      </c>
      <c r="C26" s="38" t="s">
        <v>56</v>
      </c>
      <c r="D26" s="45">
        <v>53.901661352575935</v>
      </c>
      <c r="E26" s="45">
        <v>2747.0</v>
      </c>
      <c r="F26" s="45">
        <v>76.49888971132495</v>
      </c>
      <c r="G26" s="45">
        <v>1270.0</v>
      </c>
      <c r="I26" s="46">
        <f t="shared" si="1"/>
        <v>41.92306469</v>
      </c>
      <c r="J26" s="65"/>
      <c r="K26" s="66" t="s">
        <v>485</v>
      </c>
      <c r="L26" s="53">
        <f>COUNTIFS(D:D,"&gt;43,7",D:D,"&lt;=55,1")</f>
        <v>125</v>
      </c>
    </row>
    <row r="27" ht="15.75" customHeight="1">
      <c r="A27" s="44">
        <v>10903.0</v>
      </c>
      <c r="B27" s="38" t="s">
        <v>26</v>
      </c>
      <c r="C27" s="38" t="s">
        <v>57</v>
      </c>
      <c r="D27" s="45">
        <v>56.9262577532736</v>
      </c>
      <c r="E27" s="45">
        <v>625.0</v>
      </c>
      <c r="F27" s="45">
        <v>63.21297749869178</v>
      </c>
      <c r="G27" s="45">
        <v>703.0</v>
      </c>
      <c r="I27" s="46">
        <f t="shared" si="1"/>
        <v>11.04362028</v>
      </c>
      <c r="J27" s="62"/>
      <c r="K27" s="67" t="s">
        <v>486</v>
      </c>
      <c r="L27" s="54">
        <f>COUNTIFS(D:D,"&gt;55,1",D:D,"&lt;66,5")</f>
        <v>102</v>
      </c>
    </row>
    <row r="28" ht="15.75" customHeight="1">
      <c r="A28" s="44">
        <v>11001.0</v>
      </c>
      <c r="B28" s="38" t="s">
        <v>26</v>
      </c>
      <c r="C28" s="38" t="s">
        <v>489</v>
      </c>
      <c r="D28" s="45">
        <v>41.46103896103896</v>
      </c>
      <c r="E28" s="45">
        <v>1803.0</v>
      </c>
      <c r="F28" s="45">
        <v>61.99519230769231</v>
      </c>
      <c r="G28" s="45">
        <v>1581.0</v>
      </c>
      <c r="I28" s="46">
        <f t="shared" si="1"/>
        <v>49.52638395</v>
      </c>
      <c r="J28" s="62"/>
      <c r="K28" s="67" t="s">
        <v>487</v>
      </c>
      <c r="L28" s="54">
        <f>COUNTIF(D:D,"&gt;=66,5")</f>
        <v>61</v>
      </c>
    </row>
    <row r="29" ht="15.75" customHeight="1">
      <c r="A29" s="44">
        <v>11002.0</v>
      </c>
      <c r="B29" s="38" t="s">
        <v>26</v>
      </c>
      <c r="C29" s="38" t="s">
        <v>490</v>
      </c>
      <c r="D29" s="45">
        <v>41.426611796982165</v>
      </c>
      <c r="E29" s="45">
        <v>427.0</v>
      </c>
      <c r="F29" s="45">
        <v>65.97671410090557</v>
      </c>
      <c r="G29" s="45">
        <v>263.0</v>
      </c>
      <c r="I29" s="46">
        <f t="shared" si="1"/>
        <v>59.26167079</v>
      </c>
      <c r="J29" s="42"/>
      <c r="K29" s="57"/>
      <c r="L29" s="57"/>
    </row>
    <row r="30" ht="15.75" customHeight="1">
      <c r="A30" s="44">
        <v>11003.0</v>
      </c>
      <c r="B30" s="38" t="s">
        <v>26</v>
      </c>
      <c r="C30" s="38" t="s">
        <v>61</v>
      </c>
      <c r="D30" s="45">
        <v>44.27083333333333</v>
      </c>
      <c r="E30" s="45">
        <v>1284.0</v>
      </c>
      <c r="F30" s="45">
        <v>59.585720581754074</v>
      </c>
      <c r="G30" s="45">
        <v>917.0</v>
      </c>
      <c r="I30" s="46">
        <f t="shared" si="1"/>
        <v>34.59362767</v>
      </c>
      <c r="J30" s="62"/>
      <c r="K30" s="68" t="s">
        <v>14</v>
      </c>
      <c r="L30" s="69">
        <f>SUM(L25:L28)</f>
        <v>343</v>
      </c>
    </row>
    <row r="31" ht="15.75" customHeight="1">
      <c r="A31" s="44">
        <v>20101.0</v>
      </c>
      <c r="B31" s="38" t="s">
        <v>62</v>
      </c>
      <c r="C31" s="38" t="s">
        <v>64</v>
      </c>
      <c r="D31" s="45">
        <v>56.91410911440921</v>
      </c>
      <c r="E31" s="45">
        <v>134674.0</v>
      </c>
      <c r="F31" s="45">
        <v>65.44411732912818</v>
      </c>
      <c r="G31" s="45">
        <v>108690.0</v>
      </c>
      <c r="I31" s="46">
        <f t="shared" si="1"/>
        <v>14.98751074</v>
      </c>
      <c r="J31" s="55"/>
    </row>
    <row r="32" ht="15.75" customHeight="1">
      <c r="A32" s="44">
        <v>20102.0</v>
      </c>
      <c r="B32" s="38" t="s">
        <v>62</v>
      </c>
      <c r="C32" s="38" t="s">
        <v>65</v>
      </c>
      <c r="D32" s="45">
        <v>74.64985994397759</v>
      </c>
      <c r="E32" s="45">
        <v>1448.0</v>
      </c>
      <c r="F32" s="45">
        <v>81.62627052384676</v>
      </c>
      <c r="G32" s="45">
        <v>1410.0</v>
      </c>
      <c r="I32" s="46">
        <f t="shared" si="1"/>
        <v>9.345510608</v>
      </c>
      <c r="J32" s="55"/>
    </row>
    <row r="33" ht="15.75" customHeight="1">
      <c r="A33" s="44">
        <v>20103.0</v>
      </c>
      <c r="B33" s="38" t="s">
        <v>62</v>
      </c>
      <c r="C33" s="38" t="s">
        <v>66</v>
      </c>
      <c r="D33" s="45">
        <v>74.2123287671233</v>
      </c>
      <c r="E33" s="45">
        <v>1506.0</v>
      </c>
      <c r="F33" s="45">
        <v>79.60594989561586</v>
      </c>
      <c r="G33" s="45">
        <v>1563.0</v>
      </c>
      <c r="I33" s="46">
        <f t="shared" si="1"/>
        <v>7.267823579</v>
      </c>
      <c r="J33" s="55"/>
      <c r="K33" s="70" t="s">
        <v>491</v>
      </c>
      <c r="L33" s="71">
        <f>MAX(D:D)</f>
        <v>84.56180139</v>
      </c>
    </row>
    <row r="34" ht="15.75" customHeight="1">
      <c r="A34" s="44">
        <v>20104.0</v>
      </c>
      <c r="B34" s="38" t="s">
        <v>62</v>
      </c>
      <c r="C34" s="38" t="s">
        <v>67</v>
      </c>
      <c r="D34" s="45">
        <v>62.23249027237354</v>
      </c>
      <c r="E34" s="45">
        <v>3106.0</v>
      </c>
      <c r="F34" s="45">
        <v>72.87976539589442</v>
      </c>
      <c r="G34" s="45">
        <v>4624.0</v>
      </c>
      <c r="I34" s="46">
        <f t="shared" si="1"/>
        <v>17.10886882</v>
      </c>
      <c r="J34" s="55"/>
      <c r="K34" s="70" t="s">
        <v>492</v>
      </c>
      <c r="L34" s="71">
        <f>MIN(D:D)</f>
        <v>26.30331754</v>
      </c>
    </row>
    <row r="35" ht="15.75" customHeight="1">
      <c r="A35" s="44">
        <v>20105.0</v>
      </c>
      <c r="B35" s="38" t="s">
        <v>62</v>
      </c>
      <c r="C35" s="38" t="s">
        <v>68</v>
      </c>
      <c r="D35" s="45">
        <v>55.26436987475534</v>
      </c>
      <c r="E35" s="45">
        <v>139874.0</v>
      </c>
      <c r="F35" s="45">
        <v>66.56650693671833</v>
      </c>
      <c r="G35" s="45">
        <v>114494.0</v>
      </c>
      <c r="I35" s="46">
        <f t="shared" si="1"/>
        <v>20.4510376</v>
      </c>
      <c r="J35" s="55"/>
    </row>
    <row r="36" ht="15.75" customHeight="1">
      <c r="A36" s="44">
        <v>20201.0</v>
      </c>
      <c r="B36" s="38" t="s">
        <v>62</v>
      </c>
      <c r="C36" s="38" t="s">
        <v>70</v>
      </c>
      <c r="D36" s="45">
        <v>66.57656135608492</v>
      </c>
      <c r="E36" s="45">
        <v>5935.0</v>
      </c>
      <c r="F36" s="45">
        <v>79.8248494800219</v>
      </c>
      <c r="G36" s="45">
        <v>3686.0</v>
      </c>
      <c r="I36" s="46">
        <f t="shared" si="1"/>
        <v>19.89932771</v>
      </c>
      <c r="J36" s="55"/>
    </row>
    <row r="37" ht="15.75" customHeight="1">
      <c r="A37" s="44">
        <v>20202.0</v>
      </c>
      <c r="B37" s="38" t="s">
        <v>62</v>
      </c>
      <c r="C37" s="38" t="s">
        <v>493</v>
      </c>
      <c r="D37" s="45">
        <v>74.84960217349116</v>
      </c>
      <c r="E37" s="45">
        <v>1296.0</v>
      </c>
      <c r="F37" s="45">
        <v>80.82408874801902</v>
      </c>
      <c r="G37" s="45">
        <v>1210.0</v>
      </c>
      <c r="I37" s="46">
        <f t="shared" si="1"/>
        <v>7.981988415</v>
      </c>
      <c r="J37" s="55"/>
    </row>
    <row r="38" ht="15.75" customHeight="1">
      <c r="A38" s="44">
        <v>20203.0</v>
      </c>
      <c r="B38" s="38" t="s">
        <v>62</v>
      </c>
      <c r="C38" s="38" t="s">
        <v>75</v>
      </c>
      <c r="D38" s="45">
        <v>62.49369005552751</v>
      </c>
      <c r="E38" s="45">
        <v>743.0</v>
      </c>
      <c r="F38" s="45">
        <v>75.18987341772151</v>
      </c>
      <c r="G38" s="45">
        <v>686.0</v>
      </c>
      <c r="I38" s="46">
        <f t="shared" si="1"/>
        <v>20.31594446</v>
      </c>
      <c r="J38" s="55"/>
    </row>
    <row r="39" ht="15.75" customHeight="1">
      <c r="A39" s="44">
        <v>20204.0</v>
      </c>
      <c r="B39" s="38" t="s">
        <v>62</v>
      </c>
      <c r="C39" s="38" t="s">
        <v>72</v>
      </c>
      <c r="D39" s="45">
        <v>72.21392291604421</v>
      </c>
      <c r="E39" s="45">
        <v>930.0</v>
      </c>
      <c r="F39" s="45">
        <v>80.50139275766016</v>
      </c>
      <c r="G39" s="45">
        <v>700.0</v>
      </c>
      <c r="I39" s="46">
        <f t="shared" si="1"/>
        <v>11.47627702</v>
      </c>
      <c r="J39" s="55"/>
    </row>
    <row r="40" ht="15.75" customHeight="1">
      <c r="A40" s="44">
        <v>20205.0</v>
      </c>
      <c r="B40" s="38" t="s">
        <v>62</v>
      </c>
      <c r="C40" s="38" t="s">
        <v>73</v>
      </c>
      <c r="D40" s="45">
        <v>62.92932160090832</v>
      </c>
      <c r="E40" s="45">
        <v>1306.0</v>
      </c>
      <c r="F40" s="45">
        <v>77.87465940054496</v>
      </c>
      <c r="G40" s="45">
        <v>812.0</v>
      </c>
      <c r="I40" s="46">
        <f t="shared" si="1"/>
        <v>23.74940238</v>
      </c>
      <c r="J40" s="55"/>
    </row>
    <row r="41" ht="15.75" customHeight="1">
      <c r="A41" s="44">
        <v>20206.0</v>
      </c>
      <c r="B41" s="38" t="s">
        <v>62</v>
      </c>
      <c r="C41" s="38" t="s">
        <v>74</v>
      </c>
      <c r="D41" s="45">
        <v>57.13387806411062</v>
      </c>
      <c r="E41" s="45">
        <v>682.0</v>
      </c>
      <c r="F41" s="45">
        <v>73.02798982188295</v>
      </c>
      <c r="G41" s="45">
        <v>530.0</v>
      </c>
      <c r="I41" s="46">
        <f t="shared" si="1"/>
        <v>27.81906689</v>
      </c>
      <c r="J41" s="55"/>
    </row>
    <row r="42" ht="15.75" customHeight="1">
      <c r="A42" s="44">
        <v>20301.0</v>
      </c>
      <c r="B42" s="38" t="s">
        <v>62</v>
      </c>
      <c r="C42" s="38" t="s">
        <v>494</v>
      </c>
      <c r="D42" s="45">
        <v>69.28345626975764</v>
      </c>
      <c r="E42" s="45">
        <v>1166.0</v>
      </c>
      <c r="F42" s="45">
        <v>81.85584092792047</v>
      </c>
      <c r="G42" s="45">
        <v>876.0</v>
      </c>
      <c r="I42" s="46">
        <f t="shared" si="1"/>
        <v>18.1463012</v>
      </c>
      <c r="J42" s="55"/>
    </row>
    <row r="43" ht="15.75" customHeight="1">
      <c r="A43" s="44">
        <v>20302.0</v>
      </c>
      <c r="B43" s="38" t="s">
        <v>62</v>
      </c>
      <c r="C43" s="38" t="s">
        <v>78</v>
      </c>
      <c r="D43" s="45">
        <v>71.9440353460972</v>
      </c>
      <c r="E43" s="45">
        <v>1524.0</v>
      </c>
      <c r="F43" s="45">
        <v>81.91186922530206</v>
      </c>
      <c r="G43" s="45">
        <v>1018.0</v>
      </c>
      <c r="I43" s="46">
        <f t="shared" si="1"/>
        <v>13.85498302</v>
      </c>
      <c r="J43" s="55"/>
    </row>
    <row r="44" ht="15.75" customHeight="1">
      <c r="A44" s="44">
        <v>20303.0</v>
      </c>
      <c r="B44" s="38" t="s">
        <v>62</v>
      </c>
      <c r="C44" s="38" t="s">
        <v>79</v>
      </c>
      <c r="D44" s="45">
        <v>69.83069664168748</v>
      </c>
      <c r="E44" s="45">
        <v>1087.0</v>
      </c>
      <c r="F44" s="45">
        <v>79.6756996890271</v>
      </c>
      <c r="G44" s="45">
        <v>915.0</v>
      </c>
      <c r="I44" s="46">
        <f t="shared" si="1"/>
        <v>14.0983887</v>
      </c>
      <c r="J44" s="55"/>
    </row>
    <row r="45" ht="15.75" customHeight="1">
      <c r="A45" s="44">
        <v>20304.0</v>
      </c>
      <c r="B45" s="38" t="s">
        <v>62</v>
      </c>
      <c r="C45" s="38" t="s">
        <v>80</v>
      </c>
      <c r="D45" s="45">
        <v>63.949402670414614</v>
      </c>
      <c r="E45" s="45">
        <v>513.0</v>
      </c>
      <c r="F45" s="45">
        <v>84.9624060150376</v>
      </c>
      <c r="G45" s="45">
        <v>300.0</v>
      </c>
      <c r="I45" s="46">
        <f t="shared" si="1"/>
        <v>32.85879534</v>
      </c>
      <c r="J45" s="55"/>
    </row>
    <row r="46" ht="15.75" customHeight="1">
      <c r="A46" s="44">
        <v>20305.0</v>
      </c>
      <c r="B46" s="38" t="s">
        <v>62</v>
      </c>
      <c r="C46" s="38" t="s">
        <v>81</v>
      </c>
      <c r="D46" s="45">
        <v>57.67284991568297</v>
      </c>
      <c r="E46" s="45">
        <v>502.0</v>
      </c>
      <c r="F46" s="45">
        <v>76.40218878248974</v>
      </c>
      <c r="G46" s="45">
        <v>345.0</v>
      </c>
      <c r="I46" s="46">
        <f t="shared" si="1"/>
        <v>32.4751402</v>
      </c>
      <c r="J46" s="55"/>
    </row>
    <row r="47" ht="15.75" customHeight="1">
      <c r="A47" s="44">
        <v>20306.0</v>
      </c>
      <c r="B47" s="38" t="s">
        <v>62</v>
      </c>
      <c r="C47" s="38" t="s">
        <v>495</v>
      </c>
      <c r="D47" s="45">
        <v>60.96224116930572</v>
      </c>
      <c r="E47" s="45">
        <v>641.0</v>
      </c>
      <c r="F47" s="45">
        <v>81.58896289248335</v>
      </c>
      <c r="G47" s="45">
        <v>387.0</v>
      </c>
      <c r="I47" s="46">
        <f t="shared" si="1"/>
        <v>33.83524183</v>
      </c>
      <c r="J47" s="55"/>
    </row>
    <row r="48" ht="15.75" customHeight="1">
      <c r="A48" s="44">
        <v>20307.0</v>
      </c>
      <c r="B48" s="38" t="s">
        <v>62</v>
      </c>
      <c r="C48" s="38" t="s">
        <v>83</v>
      </c>
      <c r="D48" s="45">
        <v>61.502347417840376</v>
      </c>
      <c r="E48" s="45">
        <v>82.0</v>
      </c>
      <c r="F48" s="45">
        <v>82.2174226061915</v>
      </c>
      <c r="G48" s="45">
        <v>247.0</v>
      </c>
      <c r="I48" s="46">
        <f t="shared" si="1"/>
        <v>33.68176347</v>
      </c>
      <c r="J48" s="55"/>
    </row>
    <row r="49" ht="15.75" customHeight="1">
      <c r="A49" s="44">
        <v>20308.0</v>
      </c>
      <c r="B49" s="38" t="s">
        <v>62</v>
      </c>
      <c r="C49" s="38" t="s">
        <v>84</v>
      </c>
      <c r="D49" s="45">
        <v>70.92702169625247</v>
      </c>
      <c r="E49" s="45">
        <v>737.0</v>
      </c>
      <c r="F49" s="45">
        <v>84.94736842105263</v>
      </c>
      <c r="G49" s="45">
        <v>429.0</v>
      </c>
      <c r="I49" s="46">
        <f t="shared" si="1"/>
        <v>19.76728529</v>
      </c>
      <c r="J49" s="55"/>
    </row>
    <row r="50" ht="15.75" customHeight="1">
      <c r="A50" s="44">
        <v>20401.0</v>
      </c>
      <c r="B50" s="38" t="s">
        <v>62</v>
      </c>
      <c r="C50" s="38" t="s">
        <v>86</v>
      </c>
      <c r="D50" s="45">
        <v>77.05802968960865</v>
      </c>
      <c r="E50" s="45">
        <v>1020.0</v>
      </c>
      <c r="F50" s="45">
        <v>81.3247470101196</v>
      </c>
      <c r="G50" s="45">
        <v>1015.0</v>
      </c>
      <c r="I50" s="46">
        <f t="shared" si="1"/>
        <v>5.537018449</v>
      </c>
      <c r="J50" s="55"/>
    </row>
    <row r="51" ht="15.75" customHeight="1">
      <c r="A51" s="44">
        <v>20402.0</v>
      </c>
      <c r="B51" s="38" t="s">
        <v>62</v>
      </c>
      <c r="C51" s="38" t="s">
        <v>87</v>
      </c>
      <c r="D51" s="45">
        <v>77.23840345199568</v>
      </c>
      <c r="E51" s="45">
        <v>1266.0</v>
      </c>
      <c r="F51" s="45">
        <v>83.52601156069365</v>
      </c>
      <c r="G51" s="45">
        <v>1026.0</v>
      </c>
      <c r="I51" s="46">
        <f t="shared" si="1"/>
        <v>8.140520554</v>
      </c>
      <c r="J51" s="55"/>
    </row>
    <row r="52" ht="15.75" customHeight="1">
      <c r="A52" s="44">
        <v>20403.0</v>
      </c>
      <c r="B52" s="38" t="s">
        <v>62</v>
      </c>
      <c r="C52" s="38" t="s">
        <v>88</v>
      </c>
      <c r="D52" s="45">
        <v>72.0045428733674</v>
      </c>
      <c r="E52" s="45">
        <v>1479.0</v>
      </c>
      <c r="F52" s="45">
        <v>79.50023873945568</v>
      </c>
      <c r="G52" s="45">
        <v>1288.0</v>
      </c>
      <c r="I52" s="46">
        <f t="shared" si="1"/>
        <v>10.41003188</v>
      </c>
      <c r="J52" s="55"/>
    </row>
    <row r="53" ht="15.75" customHeight="1">
      <c r="A53" s="44">
        <v>20404.0</v>
      </c>
      <c r="B53" s="38" t="s">
        <v>62</v>
      </c>
      <c r="C53" s="38" t="s">
        <v>89</v>
      </c>
      <c r="D53" s="45">
        <v>76.90380761523046</v>
      </c>
      <c r="E53" s="45">
        <v>461.0</v>
      </c>
      <c r="F53" s="45">
        <v>89.69667790081849</v>
      </c>
      <c r="G53" s="45">
        <v>214.0</v>
      </c>
      <c r="I53" s="46">
        <f t="shared" si="1"/>
        <v>16.63489843</v>
      </c>
      <c r="J53" s="55"/>
    </row>
    <row r="54" ht="15.75" customHeight="1">
      <c r="A54" s="44">
        <v>20405.0</v>
      </c>
      <c r="B54" s="38" t="s">
        <v>62</v>
      </c>
      <c r="C54" s="38" t="s">
        <v>90</v>
      </c>
      <c r="D54" s="45">
        <v>72.36525918297289</v>
      </c>
      <c r="E54" s="45">
        <v>805.0</v>
      </c>
      <c r="F54" s="45">
        <v>80.58338243959929</v>
      </c>
      <c r="G54" s="45">
        <v>659.0</v>
      </c>
      <c r="I54" s="46">
        <f t="shared" si="1"/>
        <v>11.35644831</v>
      </c>
      <c r="J54" s="55"/>
    </row>
    <row r="55" ht="15.75" customHeight="1">
      <c r="A55" s="44">
        <v>20501.0</v>
      </c>
      <c r="B55" s="38" t="s">
        <v>62</v>
      </c>
      <c r="C55" s="38" t="s">
        <v>92</v>
      </c>
      <c r="D55" s="45">
        <v>73.85556915544676</v>
      </c>
      <c r="E55" s="45">
        <v>1068.0</v>
      </c>
      <c r="F55" s="45">
        <v>82.43024010382868</v>
      </c>
      <c r="G55" s="45">
        <v>1083.0</v>
      </c>
      <c r="I55" s="46">
        <f t="shared" si="1"/>
        <v>11.61005331</v>
      </c>
      <c r="J55" s="55"/>
    </row>
    <row r="56" ht="15.75" customHeight="1">
      <c r="A56" s="44">
        <v>20502.0</v>
      </c>
      <c r="B56" s="38" t="s">
        <v>62</v>
      </c>
      <c r="C56" s="38" t="s">
        <v>93</v>
      </c>
      <c r="D56" s="45">
        <v>74.49567723342939</v>
      </c>
      <c r="E56" s="45">
        <v>708.0</v>
      </c>
      <c r="F56" s="45">
        <v>80.3921568627451</v>
      </c>
      <c r="G56" s="45">
        <v>590.0</v>
      </c>
      <c r="I56" s="46">
        <f t="shared" si="1"/>
        <v>7.915197027</v>
      </c>
      <c r="J56" s="55"/>
    </row>
    <row r="57" ht="15.75" customHeight="1">
      <c r="A57" s="44">
        <v>20503.0</v>
      </c>
      <c r="B57" s="38" t="s">
        <v>62</v>
      </c>
      <c r="C57" s="38" t="s">
        <v>94</v>
      </c>
      <c r="D57" s="45">
        <v>62.10892236384704</v>
      </c>
      <c r="E57" s="45">
        <v>654.0</v>
      </c>
      <c r="F57" s="45">
        <v>77.78850796716561</v>
      </c>
      <c r="G57" s="45">
        <v>460.0</v>
      </c>
      <c r="I57" s="46">
        <f t="shared" si="1"/>
        <v>25.24530294</v>
      </c>
      <c r="J57" s="55"/>
    </row>
    <row r="58" ht="15.75" customHeight="1">
      <c r="A58" s="44">
        <v>20601.0</v>
      </c>
      <c r="B58" s="38" t="s">
        <v>62</v>
      </c>
      <c r="C58" s="38" t="s">
        <v>96</v>
      </c>
      <c r="D58" s="45">
        <v>64.54898157129001</v>
      </c>
      <c r="E58" s="45">
        <v>2924.0</v>
      </c>
      <c r="F58" s="45">
        <v>73.96269508945565</v>
      </c>
      <c r="G58" s="45">
        <v>2736.0</v>
      </c>
      <c r="I58" s="46">
        <f t="shared" si="1"/>
        <v>14.58382966</v>
      </c>
      <c r="J58" s="55"/>
    </row>
    <row r="59" ht="15.75" customHeight="1">
      <c r="A59" s="44">
        <v>20602.0</v>
      </c>
      <c r="B59" s="38" t="s">
        <v>62</v>
      </c>
      <c r="C59" s="38" t="s">
        <v>97</v>
      </c>
      <c r="D59" s="45">
        <v>59.06701708278581</v>
      </c>
      <c r="E59" s="45">
        <v>1869.0</v>
      </c>
      <c r="F59" s="45">
        <v>69.01327178303521</v>
      </c>
      <c r="G59" s="45">
        <v>1611.0</v>
      </c>
      <c r="I59" s="46">
        <f t="shared" si="1"/>
        <v>16.83893176</v>
      </c>
      <c r="J59" s="55"/>
    </row>
    <row r="60" ht="15.75" customHeight="1">
      <c r="A60" s="44">
        <v>20603.0</v>
      </c>
      <c r="B60" s="38" t="s">
        <v>62</v>
      </c>
      <c r="C60" s="38" t="s">
        <v>98</v>
      </c>
      <c r="D60" s="45">
        <v>62.931696085955494</v>
      </c>
      <c r="E60" s="45">
        <v>966.0</v>
      </c>
      <c r="F60" s="45">
        <v>70.21806853582554</v>
      </c>
      <c r="G60" s="45">
        <v>956.0</v>
      </c>
      <c r="I60" s="46">
        <f t="shared" si="1"/>
        <v>11.57822354</v>
      </c>
      <c r="J60" s="55"/>
    </row>
    <row r="61" ht="15.75" customHeight="1">
      <c r="A61" s="44">
        <v>20604.0</v>
      </c>
      <c r="B61" s="38" t="s">
        <v>62</v>
      </c>
      <c r="C61" s="38" t="s">
        <v>99</v>
      </c>
      <c r="D61" s="45">
        <v>78.54821235102925</v>
      </c>
      <c r="E61" s="45">
        <v>198.0</v>
      </c>
      <c r="F61" s="45">
        <v>75.96017069701281</v>
      </c>
      <c r="G61" s="45">
        <v>338.0</v>
      </c>
      <c r="I61" s="46">
        <f t="shared" si="1"/>
        <v>-3.294844754</v>
      </c>
      <c r="J61" s="55"/>
    </row>
    <row r="62" ht="15.75" customHeight="1">
      <c r="A62" s="44">
        <v>20605.0</v>
      </c>
      <c r="B62" s="38" t="s">
        <v>62</v>
      </c>
      <c r="C62" s="38" t="s">
        <v>100</v>
      </c>
      <c r="D62" s="45">
        <v>75.03457814661134</v>
      </c>
      <c r="E62" s="45">
        <v>361.0</v>
      </c>
      <c r="F62" s="45">
        <v>81.4756671899529</v>
      </c>
      <c r="G62" s="45">
        <v>236.0</v>
      </c>
      <c r="I62" s="46">
        <f t="shared" si="1"/>
        <v>8.584161066</v>
      </c>
      <c r="J62" s="55"/>
    </row>
    <row r="63" ht="15.75" customHeight="1">
      <c r="A63" s="44">
        <v>20606.0</v>
      </c>
      <c r="B63" s="38" t="s">
        <v>62</v>
      </c>
      <c r="C63" s="38" t="s">
        <v>101</v>
      </c>
      <c r="D63" s="45">
        <v>54.5227698066126</v>
      </c>
      <c r="E63" s="45">
        <v>1458.0</v>
      </c>
      <c r="F63" s="45">
        <v>64.05256464603646</v>
      </c>
      <c r="G63" s="45">
        <v>848.0</v>
      </c>
      <c r="I63" s="46">
        <f t="shared" si="1"/>
        <v>17.47855964</v>
      </c>
      <c r="J63" s="55"/>
    </row>
    <row r="64" ht="15.75" customHeight="1">
      <c r="A64" s="44">
        <v>20607.0</v>
      </c>
      <c r="B64" s="38" t="s">
        <v>62</v>
      </c>
      <c r="C64" s="38" t="s">
        <v>102</v>
      </c>
      <c r="D64" s="45">
        <v>51.881524641903376</v>
      </c>
      <c r="E64" s="45">
        <v>1982.0</v>
      </c>
      <c r="F64" s="45">
        <v>65.38054168558027</v>
      </c>
      <c r="G64" s="45">
        <v>2288.0</v>
      </c>
      <c r="I64" s="46">
        <f t="shared" si="1"/>
        <v>26.01892897</v>
      </c>
      <c r="J64" s="55"/>
    </row>
    <row r="65" ht="15.75" customHeight="1">
      <c r="A65" s="44">
        <v>20608.0</v>
      </c>
      <c r="B65" s="38" t="s">
        <v>62</v>
      </c>
      <c r="C65" s="38" t="s">
        <v>103</v>
      </c>
      <c r="D65" s="45">
        <v>69.08573461401637</v>
      </c>
      <c r="E65" s="45">
        <v>869.0</v>
      </c>
      <c r="F65" s="45">
        <v>74.8315688161694</v>
      </c>
      <c r="G65" s="45">
        <v>1046.0</v>
      </c>
      <c r="I65" s="46">
        <f t="shared" si="1"/>
        <v>8.316961865</v>
      </c>
      <c r="J65" s="55"/>
    </row>
    <row r="66" ht="15.75" customHeight="1">
      <c r="A66" s="44">
        <v>20701.0</v>
      </c>
      <c r="B66" s="38" t="s">
        <v>62</v>
      </c>
      <c r="C66" s="38" t="s">
        <v>105</v>
      </c>
      <c r="D66" s="45">
        <v>59.10303434478159</v>
      </c>
      <c r="E66" s="45">
        <v>2453.0</v>
      </c>
      <c r="F66" s="45">
        <v>72.1609798775153</v>
      </c>
      <c r="G66" s="45">
        <v>1591.0</v>
      </c>
      <c r="I66" s="46">
        <f t="shared" si="1"/>
        <v>22.09352815</v>
      </c>
      <c r="J66" s="55"/>
    </row>
    <row r="67" ht="15.75" customHeight="1">
      <c r="A67" s="44">
        <v>20702.0</v>
      </c>
      <c r="B67" s="38" t="s">
        <v>62</v>
      </c>
      <c r="C67" s="38" t="s">
        <v>106</v>
      </c>
      <c r="D67" s="45">
        <v>59.02217741935484</v>
      </c>
      <c r="E67" s="45">
        <v>813.0</v>
      </c>
      <c r="F67" s="45">
        <v>75.64604541895066</v>
      </c>
      <c r="G67" s="45">
        <v>622.0</v>
      </c>
      <c r="I67" s="46">
        <f t="shared" si="1"/>
        <v>28.16546039</v>
      </c>
      <c r="J67" s="55"/>
    </row>
    <row r="68" ht="15.75" customHeight="1">
      <c r="A68" s="44">
        <v>20801.0</v>
      </c>
      <c r="B68" s="38" t="s">
        <v>62</v>
      </c>
      <c r="C68" s="38" t="s">
        <v>108</v>
      </c>
      <c r="D68" s="45">
        <v>56.33288680509042</v>
      </c>
      <c r="E68" s="45">
        <v>13039.0</v>
      </c>
      <c r="F68" s="45">
        <v>68.74058127018299</v>
      </c>
      <c r="G68" s="45">
        <v>13068.0</v>
      </c>
      <c r="I68" s="46">
        <f t="shared" si="1"/>
        <v>22.02566772</v>
      </c>
      <c r="J68" s="55"/>
    </row>
    <row r="69" ht="15.75" customHeight="1">
      <c r="A69" s="44">
        <v>20802.0</v>
      </c>
      <c r="B69" s="38" t="s">
        <v>62</v>
      </c>
      <c r="C69" s="38" t="s">
        <v>496</v>
      </c>
      <c r="D69" s="45">
        <v>61.8212478920742</v>
      </c>
      <c r="E69" s="45">
        <v>1132.0</v>
      </c>
      <c r="F69" s="45">
        <v>80.58823529411765</v>
      </c>
      <c r="G69" s="45">
        <v>660.0</v>
      </c>
      <c r="I69" s="46">
        <f t="shared" si="1"/>
        <v>30.35685633</v>
      </c>
      <c r="J69" s="55"/>
    </row>
    <row r="70" ht="15.75" customHeight="1">
      <c r="A70" s="44">
        <v>20803.0</v>
      </c>
      <c r="B70" s="38" t="s">
        <v>62</v>
      </c>
      <c r="C70" s="38" t="s">
        <v>110</v>
      </c>
      <c r="D70" s="45">
        <v>57.666666666666664</v>
      </c>
      <c r="E70" s="45">
        <v>2032.0</v>
      </c>
      <c r="F70" s="45">
        <v>84.22825070159027</v>
      </c>
      <c r="G70" s="45">
        <v>843.0</v>
      </c>
      <c r="I70" s="46">
        <f t="shared" si="1"/>
        <v>46.06055035</v>
      </c>
      <c r="J70" s="55"/>
    </row>
    <row r="71" ht="15.75" customHeight="1">
      <c r="A71" s="44">
        <v>20804.0</v>
      </c>
      <c r="B71" s="38" t="s">
        <v>62</v>
      </c>
      <c r="C71" s="38" t="s">
        <v>111</v>
      </c>
      <c r="D71" s="45">
        <v>68.74068554396423</v>
      </c>
      <c r="E71" s="45">
        <v>839.0</v>
      </c>
      <c r="F71" s="45">
        <v>71.15191986644408</v>
      </c>
      <c r="G71" s="45">
        <v>864.0</v>
      </c>
      <c r="I71" s="46">
        <f t="shared" si="1"/>
        <v>3.507725161</v>
      </c>
      <c r="J71" s="55"/>
    </row>
    <row r="72" ht="15.75" customHeight="1">
      <c r="A72" s="44">
        <v>20805.0</v>
      </c>
      <c r="B72" s="38" t="s">
        <v>62</v>
      </c>
      <c r="C72" s="38" t="s">
        <v>497</v>
      </c>
      <c r="D72" s="45">
        <v>69.8744769874477</v>
      </c>
      <c r="E72" s="45">
        <v>720.0</v>
      </c>
      <c r="F72" s="45">
        <v>85.99592114208022</v>
      </c>
      <c r="G72" s="45">
        <v>412.0</v>
      </c>
      <c r="I72" s="46">
        <f t="shared" si="1"/>
        <v>23.0720069</v>
      </c>
      <c r="J72" s="55"/>
    </row>
    <row r="73" ht="15.75" customHeight="1">
      <c r="A73" s="44">
        <v>20806.0</v>
      </c>
      <c r="B73" s="38" t="s">
        <v>62</v>
      </c>
      <c r="C73" s="38" t="s">
        <v>498</v>
      </c>
      <c r="D73" s="45">
        <v>68.50800206504904</v>
      </c>
      <c r="E73" s="45">
        <v>1830.0</v>
      </c>
      <c r="F73" s="45">
        <v>81.81084570690768</v>
      </c>
      <c r="G73" s="45">
        <v>1127.0</v>
      </c>
      <c r="I73" s="46">
        <f t="shared" si="1"/>
        <v>19.41794132</v>
      </c>
      <c r="J73" s="55"/>
    </row>
    <row r="74" ht="15.75" customHeight="1">
      <c r="A74" s="44">
        <v>20807.0</v>
      </c>
      <c r="B74" s="38" t="s">
        <v>62</v>
      </c>
      <c r="C74" s="38" t="s">
        <v>114</v>
      </c>
      <c r="D74" s="45">
        <v>72.46431254695717</v>
      </c>
      <c r="E74" s="45">
        <v>733.0</v>
      </c>
      <c r="F74" s="45">
        <v>81.8659658344284</v>
      </c>
      <c r="G74" s="45">
        <v>552.0</v>
      </c>
      <c r="I74" s="46">
        <f t="shared" si="1"/>
        <v>12.97418406</v>
      </c>
      <c r="J74" s="55"/>
    </row>
    <row r="75" ht="15.75" customHeight="1">
      <c r="A75" s="44">
        <v>20901.0</v>
      </c>
      <c r="B75" s="38" t="s">
        <v>62</v>
      </c>
      <c r="C75" s="38" t="s">
        <v>116</v>
      </c>
      <c r="D75" s="45">
        <v>73.44810863239573</v>
      </c>
      <c r="E75" s="45">
        <v>1095.0</v>
      </c>
      <c r="F75" s="45">
        <v>81.45678379071558</v>
      </c>
      <c r="G75" s="45">
        <v>723.0</v>
      </c>
      <c r="I75" s="46">
        <f t="shared" si="1"/>
        <v>10.90385485</v>
      </c>
      <c r="J75" s="55"/>
    </row>
    <row r="76" ht="15.75" customHeight="1">
      <c r="A76" s="44">
        <v>20902.0</v>
      </c>
      <c r="B76" s="38" t="s">
        <v>62</v>
      </c>
      <c r="C76" s="38" t="s">
        <v>117</v>
      </c>
      <c r="D76" s="45">
        <v>77.03494682005643</v>
      </c>
      <c r="E76" s="45">
        <v>1058.0</v>
      </c>
      <c r="F76" s="45">
        <v>83.80213385063045</v>
      </c>
      <c r="G76" s="45">
        <v>1002.0</v>
      </c>
      <c r="I76" s="46">
        <f t="shared" si="1"/>
        <v>8.784567667</v>
      </c>
      <c r="J76" s="55"/>
    </row>
    <row r="77" ht="15.75" customHeight="1">
      <c r="A77" s="44">
        <v>20903.0</v>
      </c>
      <c r="B77" s="38" t="s">
        <v>62</v>
      </c>
      <c r="C77" s="38" t="s">
        <v>118</v>
      </c>
      <c r="D77" s="45">
        <v>69.26849203105844</v>
      </c>
      <c r="E77" s="45">
        <v>752.0</v>
      </c>
      <c r="F77" s="45">
        <v>77.67180239667401</v>
      </c>
      <c r="G77" s="45">
        <v>913.0</v>
      </c>
      <c r="I77" s="46">
        <f t="shared" si="1"/>
        <v>12.1315047</v>
      </c>
      <c r="J77" s="55"/>
    </row>
    <row r="78" ht="15.75" customHeight="1">
      <c r="A78" s="44">
        <v>20904.0</v>
      </c>
      <c r="B78" s="38" t="s">
        <v>62</v>
      </c>
      <c r="C78" s="38" t="s">
        <v>119</v>
      </c>
      <c r="D78" s="45">
        <v>58.78684807256236</v>
      </c>
      <c r="E78" s="45">
        <v>727.0</v>
      </c>
      <c r="F78" s="45">
        <v>75.89442815249267</v>
      </c>
      <c r="G78" s="45">
        <v>411.0</v>
      </c>
      <c r="I78" s="46">
        <f t="shared" si="1"/>
        <v>29.10103304</v>
      </c>
      <c r="J78" s="55"/>
    </row>
    <row r="79" ht="15.75" customHeight="1">
      <c r="A79" s="44">
        <v>20905.0</v>
      </c>
      <c r="B79" s="38" t="s">
        <v>62</v>
      </c>
      <c r="C79" s="38" t="s">
        <v>120</v>
      </c>
      <c r="D79" s="45">
        <v>70.72844134975898</v>
      </c>
      <c r="E79" s="45">
        <v>1093.0</v>
      </c>
      <c r="F79" s="45">
        <v>79.02460077686663</v>
      </c>
      <c r="G79" s="45">
        <v>972.0</v>
      </c>
      <c r="I79" s="46">
        <f t="shared" si="1"/>
        <v>11.72959459</v>
      </c>
      <c r="J79" s="55"/>
    </row>
    <row r="80" ht="15.75" customHeight="1">
      <c r="A80" s="44">
        <v>21001.0</v>
      </c>
      <c r="B80" s="38" t="s">
        <v>62</v>
      </c>
      <c r="C80" s="38" t="s">
        <v>121</v>
      </c>
      <c r="D80" s="45">
        <v>64.49447932452912</v>
      </c>
      <c r="E80" s="45">
        <v>1640.0</v>
      </c>
      <c r="F80" s="45">
        <v>77.65676567656766</v>
      </c>
      <c r="G80" s="45">
        <v>1354.0</v>
      </c>
      <c r="I80" s="46">
        <f t="shared" si="1"/>
        <v>20.4083923</v>
      </c>
      <c r="J80" s="55"/>
    </row>
    <row r="81" ht="15.75" customHeight="1">
      <c r="A81" s="44">
        <v>21002.0</v>
      </c>
      <c r="B81" s="38" t="s">
        <v>62</v>
      </c>
      <c r="C81" s="38" t="s">
        <v>122</v>
      </c>
      <c r="D81" s="45">
        <v>51.18829981718464</v>
      </c>
      <c r="E81" s="45">
        <v>1335.0</v>
      </c>
      <c r="F81" s="45">
        <v>65.5061439438268</v>
      </c>
      <c r="G81" s="45">
        <v>1179.0</v>
      </c>
      <c r="I81" s="46">
        <f t="shared" si="1"/>
        <v>27.9709312</v>
      </c>
      <c r="J81" s="55"/>
    </row>
    <row r="82" ht="15.75" customHeight="1">
      <c r="A82" s="44">
        <v>21003.0</v>
      </c>
      <c r="B82" s="38" t="s">
        <v>62</v>
      </c>
      <c r="C82" s="38" t="s">
        <v>123</v>
      </c>
      <c r="D82" s="45">
        <v>74.5958429561201</v>
      </c>
      <c r="E82" s="45">
        <v>880.0</v>
      </c>
      <c r="F82" s="45">
        <v>78.8855193328279</v>
      </c>
      <c r="G82" s="45">
        <v>1114.0</v>
      </c>
      <c r="I82" s="46">
        <f t="shared" si="1"/>
        <v>5.750556877</v>
      </c>
      <c r="J82" s="55"/>
    </row>
    <row r="83" ht="15.75" customHeight="1">
      <c r="A83" s="44">
        <v>21004.0</v>
      </c>
      <c r="B83" s="38" t="s">
        <v>62</v>
      </c>
      <c r="C83" s="38" t="s">
        <v>124</v>
      </c>
      <c r="D83" s="45">
        <v>49.25521350546177</v>
      </c>
      <c r="E83" s="45">
        <v>3066.0</v>
      </c>
      <c r="F83" s="45">
        <v>63.547784303256805</v>
      </c>
      <c r="G83" s="45">
        <v>2731.0</v>
      </c>
      <c r="I83" s="46">
        <f t="shared" si="1"/>
        <v>29.0173766</v>
      </c>
      <c r="J83" s="55"/>
    </row>
    <row r="84" ht="15.75" customHeight="1">
      <c r="A84" s="44">
        <v>21005.0</v>
      </c>
      <c r="B84" s="38" t="s">
        <v>62</v>
      </c>
      <c r="C84" s="38" t="s">
        <v>125</v>
      </c>
      <c r="D84" s="45">
        <v>65.70979158474243</v>
      </c>
      <c r="E84" s="45">
        <v>872.0</v>
      </c>
      <c r="F84" s="45">
        <v>76.41629535327816</v>
      </c>
      <c r="G84" s="45">
        <v>741.0</v>
      </c>
      <c r="I84" s="46">
        <f t="shared" si="1"/>
        <v>16.29362004</v>
      </c>
      <c r="J84" s="55"/>
    </row>
    <row r="85" ht="15.75" customHeight="1">
      <c r="A85" s="44">
        <v>21006.0</v>
      </c>
      <c r="B85" s="38" t="s">
        <v>62</v>
      </c>
      <c r="C85" s="38" t="s">
        <v>126</v>
      </c>
      <c r="D85" s="45">
        <v>61.8572141787319</v>
      </c>
      <c r="E85" s="45">
        <v>764.0</v>
      </c>
      <c r="F85" s="45">
        <v>73.57512953367875</v>
      </c>
      <c r="G85" s="45">
        <v>714.0</v>
      </c>
      <c r="I85" s="46">
        <f t="shared" si="1"/>
        <v>18.94349028</v>
      </c>
      <c r="J85" s="55"/>
    </row>
    <row r="86" ht="15.75" customHeight="1">
      <c r="A86" s="44">
        <v>21101.0</v>
      </c>
      <c r="B86" s="38" t="s">
        <v>62</v>
      </c>
      <c r="C86" s="38" t="s">
        <v>128</v>
      </c>
      <c r="D86" s="45">
        <v>80.41411042944785</v>
      </c>
      <c r="E86" s="45">
        <v>1277.0</v>
      </c>
      <c r="F86" s="45">
        <v>84.37271797867679</v>
      </c>
      <c r="G86" s="45">
        <v>1070.0</v>
      </c>
      <c r="I86" s="46">
        <f t="shared" si="1"/>
        <v>4.922777269</v>
      </c>
      <c r="J86" s="55"/>
    </row>
    <row r="87" ht="15.75" customHeight="1">
      <c r="A87" s="44">
        <v>21102.0</v>
      </c>
      <c r="B87" s="38" t="s">
        <v>62</v>
      </c>
      <c r="C87" s="38" t="s">
        <v>129</v>
      </c>
      <c r="D87" s="45">
        <v>75.14959521295319</v>
      </c>
      <c r="E87" s="45">
        <v>1412.0</v>
      </c>
      <c r="F87" s="45">
        <v>79.9973258457013</v>
      </c>
      <c r="G87" s="45">
        <v>1496.0</v>
      </c>
      <c r="I87" s="46">
        <f t="shared" si="1"/>
        <v>6.450774111</v>
      </c>
      <c r="J87" s="55"/>
    </row>
    <row r="88" ht="15.75" customHeight="1">
      <c r="A88" s="44">
        <v>21103.0</v>
      </c>
      <c r="B88" s="38" t="s">
        <v>62</v>
      </c>
      <c r="C88" s="38" t="s">
        <v>130</v>
      </c>
      <c r="D88" s="45">
        <v>61.38059701492538</v>
      </c>
      <c r="E88" s="45">
        <v>828.0</v>
      </c>
      <c r="F88" s="45">
        <v>68.60805860805861</v>
      </c>
      <c r="G88" s="45">
        <v>857.0</v>
      </c>
      <c r="I88" s="46">
        <f t="shared" si="1"/>
        <v>11.77483105</v>
      </c>
      <c r="J88" s="55"/>
    </row>
    <row r="89" ht="15.75" customHeight="1">
      <c r="A89" s="44">
        <v>21104.0</v>
      </c>
      <c r="B89" s="38" t="s">
        <v>62</v>
      </c>
      <c r="C89" s="38" t="s">
        <v>131</v>
      </c>
      <c r="D89" s="45">
        <v>70.36637931034483</v>
      </c>
      <c r="E89" s="45">
        <v>2200.0</v>
      </c>
      <c r="F89" s="45">
        <v>79.56733491901687</v>
      </c>
      <c r="G89" s="45">
        <v>1804.0</v>
      </c>
      <c r="I89" s="46">
        <f t="shared" si="1"/>
        <v>13.07578377</v>
      </c>
      <c r="J89" s="55"/>
    </row>
    <row r="90" ht="15.75" customHeight="1">
      <c r="A90" s="44">
        <v>21105.0</v>
      </c>
      <c r="B90" s="38" t="s">
        <v>62</v>
      </c>
      <c r="C90" s="38" t="s">
        <v>132</v>
      </c>
      <c r="D90" s="45">
        <v>84.56180139316378</v>
      </c>
      <c r="E90" s="45">
        <v>1906.0</v>
      </c>
      <c r="F90" s="45">
        <v>86.02886874790198</v>
      </c>
      <c r="G90" s="45">
        <v>2081.0</v>
      </c>
      <c r="I90" s="46">
        <f t="shared" si="1"/>
        <v>1.734905514</v>
      </c>
      <c r="J90" s="55"/>
    </row>
    <row r="91" ht="15.75" customHeight="1">
      <c r="A91" s="44">
        <v>21201.0</v>
      </c>
      <c r="B91" s="38" t="s">
        <v>62</v>
      </c>
      <c r="C91" s="38" t="s">
        <v>134</v>
      </c>
      <c r="D91" s="45">
        <v>63.00813008130082</v>
      </c>
      <c r="E91" s="45">
        <v>4277.0</v>
      </c>
      <c r="F91" s="45">
        <v>78.29008467631795</v>
      </c>
      <c r="G91" s="45">
        <v>3974.0</v>
      </c>
      <c r="I91" s="46">
        <f t="shared" si="1"/>
        <v>24.25394084</v>
      </c>
      <c r="J91" s="55"/>
    </row>
    <row r="92" ht="15.75" customHeight="1">
      <c r="A92" s="44">
        <v>21202.0</v>
      </c>
      <c r="B92" s="38" t="s">
        <v>62</v>
      </c>
      <c r="C92" s="38" t="s">
        <v>135</v>
      </c>
      <c r="D92" s="45">
        <v>63.464431549537935</v>
      </c>
      <c r="E92" s="45">
        <v>3400.0</v>
      </c>
      <c r="F92" s="45">
        <v>77.2509545296772</v>
      </c>
      <c r="G92" s="45">
        <v>3277.0</v>
      </c>
      <c r="I92" s="46">
        <f t="shared" si="1"/>
        <v>21.72322771</v>
      </c>
      <c r="J92" s="55"/>
    </row>
    <row r="93" ht="15.75" customHeight="1">
      <c r="A93" s="44">
        <v>21203.0</v>
      </c>
      <c r="B93" s="38" t="s">
        <v>62</v>
      </c>
      <c r="C93" s="38" t="s">
        <v>136</v>
      </c>
      <c r="D93" s="45">
        <v>64.95964783565664</v>
      </c>
      <c r="E93" s="45">
        <v>2388.0</v>
      </c>
      <c r="F93" s="45">
        <v>82.37423542628886</v>
      </c>
      <c r="G93" s="45">
        <v>1412.0</v>
      </c>
      <c r="I93" s="46">
        <f t="shared" si="1"/>
        <v>26.80831589</v>
      </c>
      <c r="J93" s="55"/>
    </row>
    <row r="94" ht="15.75" customHeight="1">
      <c r="A94" s="44">
        <v>21204.0</v>
      </c>
      <c r="B94" s="38" t="s">
        <v>62</v>
      </c>
      <c r="C94" s="38" t="s">
        <v>137</v>
      </c>
      <c r="D94" s="45">
        <v>61.128903122498</v>
      </c>
      <c r="E94" s="45">
        <v>971.0</v>
      </c>
      <c r="F94" s="45">
        <v>76.81254082299151</v>
      </c>
      <c r="G94" s="45">
        <v>710.0</v>
      </c>
      <c r="I94" s="46">
        <f t="shared" si="1"/>
        <v>25.65666469</v>
      </c>
      <c r="J94" s="55"/>
    </row>
    <row r="95" ht="15.75" customHeight="1">
      <c r="A95" s="44">
        <v>21301.0</v>
      </c>
      <c r="B95" s="38" t="s">
        <v>62</v>
      </c>
      <c r="C95" s="38" t="s">
        <v>499</v>
      </c>
      <c r="D95" s="45">
        <v>63.83490653340736</v>
      </c>
      <c r="E95" s="45">
        <v>3908.0</v>
      </c>
      <c r="F95" s="45">
        <v>78.01818487960936</v>
      </c>
      <c r="G95" s="45">
        <v>2611.0</v>
      </c>
      <c r="I95" s="46">
        <f t="shared" si="1"/>
        <v>22.21868742</v>
      </c>
      <c r="J95" s="55"/>
    </row>
    <row r="96" ht="15.75" customHeight="1">
      <c r="A96" s="44">
        <v>21302.0</v>
      </c>
      <c r="B96" s="38" t="s">
        <v>62</v>
      </c>
      <c r="C96" s="38" t="s">
        <v>140</v>
      </c>
      <c r="D96" s="45">
        <v>80.3193122505373</v>
      </c>
      <c r="E96" s="45">
        <v>641.0</v>
      </c>
      <c r="F96" s="45">
        <v>84.59426479560707</v>
      </c>
      <c r="G96" s="45">
        <v>505.0</v>
      </c>
      <c r="I96" s="46">
        <f t="shared" si="1"/>
        <v>5.322446651</v>
      </c>
      <c r="J96" s="55"/>
    </row>
    <row r="97" ht="15.75" customHeight="1">
      <c r="A97" s="44">
        <v>21303.0</v>
      </c>
      <c r="B97" s="38" t="s">
        <v>62</v>
      </c>
      <c r="C97" s="38" t="s">
        <v>141</v>
      </c>
      <c r="D97" s="45">
        <v>77.93581327498177</v>
      </c>
      <c r="E97" s="45">
        <v>605.0</v>
      </c>
      <c r="F97" s="45">
        <v>82.39506172839506</v>
      </c>
      <c r="G97" s="45">
        <v>713.0</v>
      </c>
      <c r="I97" s="46">
        <f t="shared" si="1"/>
        <v>5.721693617</v>
      </c>
      <c r="J97" s="55"/>
    </row>
    <row r="98" ht="15.75" customHeight="1">
      <c r="A98" s="44">
        <v>21304.0</v>
      </c>
      <c r="B98" s="38" t="s">
        <v>62</v>
      </c>
      <c r="C98" s="38" t="s">
        <v>142</v>
      </c>
      <c r="D98" s="45">
        <v>60.41572525982829</v>
      </c>
      <c r="E98" s="45">
        <v>1752.0</v>
      </c>
      <c r="F98" s="45">
        <v>78.43934911242604</v>
      </c>
      <c r="G98" s="45">
        <v>1166.0</v>
      </c>
      <c r="I98" s="46">
        <f t="shared" si="1"/>
        <v>29.83266985</v>
      </c>
      <c r="J98" s="55"/>
    </row>
    <row r="99" ht="15.75" customHeight="1">
      <c r="A99" s="44">
        <v>21305.0</v>
      </c>
      <c r="B99" s="38" t="s">
        <v>62</v>
      </c>
      <c r="C99" s="38" t="s">
        <v>143</v>
      </c>
      <c r="D99" s="45">
        <v>65.33300198807157</v>
      </c>
      <c r="E99" s="45">
        <v>2790.0</v>
      </c>
      <c r="F99" s="45">
        <v>76.68382188409039</v>
      </c>
      <c r="G99" s="45">
        <v>2084.0</v>
      </c>
      <c r="I99" s="46">
        <f t="shared" si="1"/>
        <v>17.37379204</v>
      </c>
      <c r="J99" s="55"/>
    </row>
    <row r="100" ht="15.75" customHeight="1">
      <c r="A100" s="44">
        <v>21306.0</v>
      </c>
      <c r="B100" s="38" t="s">
        <v>62</v>
      </c>
      <c r="C100" s="38" t="s">
        <v>144</v>
      </c>
      <c r="D100" s="45">
        <v>60.82152974504249</v>
      </c>
      <c r="E100" s="45">
        <v>1383.0</v>
      </c>
      <c r="F100" s="45">
        <v>75.52594670406732</v>
      </c>
      <c r="G100" s="45">
        <v>1047.0</v>
      </c>
      <c r="I100" s="46">
        <f t="shared" si="1"/>
        <v>24.17633529</v>
      </c>
      <c r="J100" s="55"/>
    </row>
    <row r="101" ht="15.75" customHeight="1">
      <c r="A101" s="44">
        <v>21307.0</v>
      </c>
      <c r="B101" s="38" t="s">
        <v>62</v>
      </c>
      <c r="C101" s="38" t="s">
        <v>145</v>
      </c>
      <c r="D101" s="45">
        <v>61.78776790381599</v>
      </c>
      <c r="E101" s="45">
        <v>731.0</v>
      </c>
      <c r="F101" s="45">
        <v>71.0691823899371</v>
      </c>
      <c r="G101" s="45">
        <v>598.0</v>
      </c>
      <c r="I101" s="46">
        <f t="shared" si="1"/>
        <v>15.02144324</v>
      </c>
      <c r="J101" s="55"/>
    </row>
    <row r="102" ht="15.75" customHeight="1">
      <c r="A102" s="44">
        <v>21401.0</v>
      </c>
      <c r="B102" s="38" t="s">
        <v>62</v>
      </c>
      <c r="C102" s="38" t="s">
        <v>147</v>
      </c>
      <c r="D102" s="45">
        <v>77.06827901489456</v>
      </c>
      <c r="E102" s="45">
        <v>1555.0</v>
      </c>
      <c r="F102" s="45">
        <v>78.95528373771806</v>
      </c>
      <c r="G102" s="45">
        <v>2099.0</v>
      </c>
      <c r="I102" s="46">
        <f t="shared" si="1"/>
        <v>2.448484314</v>
      </c>
      <c r="J102" s="55"/>
    </row>
    <row r="103" ht="15.75" customHeight="1">
      <c r="A103" s="44">
        <v>21402.0</v>
      </c>
      <c r="B103" s="38" t="s">
        <v>62</v>
      </c>
      <c r="C103" s="38" t="s">
        <v>148</v>
      </c>
      <c r="D103" s="45">
        <v>83.28296484809925</v>
      </c>
      <c r="E103" s="45">
        <v>1051.0</v>
      </c>
      <c r="F103" s="45">
        <v>85.50486689339745</v>
      </c>
      <c r="G103" s="45">
        <v>1236.0</v>
      </c>
      <c r="I103" s="46">
        <f t="shared" si="1"/>
        <v>2.667894988</v>
      </c>
      <c r="J103" s="55"/>
    </row>
    <row r="104" ht="15.75" customHeight="1">
      <c r="A104" s="44">
        <v>21501.0</v>
      </c>
      <c r="B104" s="38" t="s">
        <v>62</v>
      </c>
      <c r="C104" s="38" t="s">
        <v>150</v>
      </c>
      <c r="D104" s="45">
        <v>48.57253086419753</v>
      </c>
      <c r="E104" s="45">
        <v>1333.0</v>
      </c>
      <c r="F104" s="45">
        <v>69.12650602409639</v>
      </c>
      <c r="G104" s="45">
        <v>1025.0</v>
      </c>
      <c r="I104" s="46">
        <f t="shared" si="1"/>
        <v>42.31604735</v>
      </c>
      <c r="J104" s="55"/>
    </row>
    <row r="105" ht="15.75" customHeight="1">
      <c r="A105" s="44">
        <v>21502.0</v>
      </c>
      <c r="B105" s="38" t="s">
        <v>62</v>
      </c>
      <c r="C105" s="38" t="s">
        <v>151</v>
      </c>
      <c r="D105" s="45">
        <v>48.5357282311597</v>
      </c>
      <c r="E105" s="45">
        <v>1318.0</v>
      </c>
      <c r="F105" s="45">
        <v>65.70789389581336</v>
      </c>
      <c r="G105" s="45">
        <v>1073.0</v>
      </c>
      <c r="I105" s="46">
        <f t="shared" si="1"/>
        <v>35.38046361</v>
      </c>
      <c r="J105" s="55"/>
    </row>
    <row r="106" ht="15.75" customHeight="1">
      <c r="A106" s="44">
        <v>21601.0</v>
      </c>
      <c r="B106" s="38" t="s">
        <v>62</v>
      </c>
      <c r="C106" s="38" t="s">
        <v>500</v>
      </c>
      <c r="D106" s="45">
        <v>67.97819388480683</v>
      </c>
      <c r="E106" s="45">
        <v>1351.0</v>
      </c>
      <c r="F106" s="45">
        <v>78.62832718088207</v>
      </c>
      <c r="G106" s="45">
        <v>1100.0</v>
      </c>
      <c r="I106" s="46">
        <f t="shared" si="1"/>
        <v>15.66698479</v>
      </c>
      <c r="J106" s="55"/>
    </row>
    <row r="107" ht="15.75" customHeight="1">
      <c r="A107" s="44">
        <v>21602.0</v>
      </c>
      <c r="B107" s="38" t="s">
        <v>62</v>
      </c>
      <c r="C107" s="38" t="s">
        <v>154</v>
      </c>
      <c r="D107" s="45">
        <v>66.54960491659351</v>
      </c>
      <c r="E107" s="45">
        <v>381.0</v>
      </c>
      <c r="F107" s="45">
        <v>71.9616742309632</v>
      </c>
      <c r="G107" s="45">
        <v>556.0</v>
      </c>
      <c r="I107" s="46">
        <f t="shared" si="1"/>
        <v>8.132383838</v>
      </c>
      <c r="J107" s="55"/>
    </row>
    <row r="108" ht="15.75" customHeight="1">
      <c r="A108" s="44">
        <v>21701.0</v>
      </c>
      <c r="B108" s="38" t="s">
        <v>62</v>
      </c>
      <c r="C108" s="38" t="s">
        <v>156</v>
      </c>
      <c r="D108" s="45">
        <v>71.07223280789884</v>
      </c>
      <c r="E108" s="45">
        <v>1670.0</v>
      </c>
      <c r="F108" s="45">
        <v>77.28969279356876</v>
      </c>
      <c r="G108" s="45">
        <v>1582.0</v>
      </c>
      <c r="I108" s="46">
        <f t="shared" si="1"/>
        <v>8.748085912</v>
      </c>
      <c r="J108" s="55"/>
    </row>
    <row r="109" ht="15.75" customHeight="1">
      <c r="A109" s="44">
        <v>21702.0</v>
      </c>
      <c r="B109" s="38" t="s">
        <v>62</v>
      </c>
      <c r="C109" s="38" t="s">
        <v>157</v>
      </c>
      <c r="D109" s="45">
        <v>64.04358353510897</v>
      </c>
      <c r="E109" s="45">
        <v>891.0</v>
      </c>
      <c r="F109" s="45">
        <v>78.34965034965035</v>
      </c>
      <c r="G109" s="45">
        <v>774.0</v>
      </c>
      <c r="I109" s="46">
        <f t="shared" si="1"/>
        <v>22.33801737</v>
      </c>
      <c r="J109" s="55"/>
    </row>
    <row r="110" ht="15.75" customHeight="1">
      <c r="A110" s="44">
        <v>21703.0</v>
      </c>
      <c r="B110" s="38" t="s">
        <v>62</v>
      </c>
      <c r="C110" s="38" t="s">
        <v>158</v>
      </c>
      <c r="D110" s="45">
        <v>64.76602438065278</v>
      </c>
      <c r="E110" s="45">
        <v>896.0</v>
      </c>
      <c r="F110" s="45">
        <v>74.91432488005483</v>
      </c>
      <c r="G110" s="45">
        <v>732.0</v>
      </c>
      <c r="I110" s="46">
        <f t="shared" si="1"/>
        <v>15.66917315</v>
      </c>
      <c r="J110" s="55"/>
    </row>
    <row r="111" ht="15.75" customHeight="1">
      <c r="A111" s="44">
        <v>21801.0</v>
      </c>
      <c r="B111" s="38" t="s">
        <v>62</v>
      </c>
      <c r="C111" s="38" t="s">
        <v>160</v>
      </c>
      <c r="D111" s="45">
        <v>74.96136012364761</v>
      </c>
      <c r="E111" s="45">
        <v>810.0</v>
      </c>
      <c r="F111" s="45">
        <v>85.72309589885909</v>
      </c>
      <c r="G111" s="45">
        <v>463.0</v>
      </c>
      <c r="I111" s="46">
        <f t="shared" si="1"/>
        <v>14.35637742</v>
      </c>
      <c r="J111" s="55"/>
    </row>
    <row r="112" ht="15.75" customHeight="1">
      <c r="A112" s="44">
        <v>21802.0</v>
      </c>
      <c r="B112" s="38" t="s">
        <v>62</v>
      </c>
      <c r="C112" s="38" t="s">
        <v>161</v>
      </c>
      <c r="D112" s="45">
        <v>70.28897028897029</v>
      </c>
      <c r="E112" s="45">
        <v>730.0</v>
      </c>
      <c r="F112" s="45">
        <v>82.17317487266553</v>
      </c>
      <c r="G112" s="45">
        <v>420.0</v>
      </c>
      <c r="I112" s="46">
        <f t="shared" si="1"/>
        <v>16.90763791</v>
      </c>
      <c r="J112" s="55"/>
    </row>
    <row r="113" ht="15.75" customHeight="1">
      <c r="A113" s="44">
        <v>21803.0</v>
      </c>
      <c r="B113" s="38" t="s">
        <v>62</v>
      </c>
      <c r="C113" s="38" t="s">
        <v>162</v>
      </c>
      <c r="D113" s="45">
        <v>75.87253414264038</v>
      </c>
      <c r="E113" s="45">
        <v>159.0</v>
      </c>
      <c r="F113" s="45">
        <v>80.62330623306234</v>
      </c>
      <c r="G113" s="45">
        <v>143.0</v>
      </c>
      <c r="I113" s="46">
        <f t="shared" si="1"/>
        <v>6.261517615</v>
      </c>
      <c r="J113" s="55"/>
    </row>
    <row r="114" ht="15.75" customHeight="1">
      <c r="A114" s="44">
        <v>21901.0</v>
      </c>
      <c r="B114" s="38" t="s">
        <v>62</v>
      </c>
      <c r="C114" s="38" t="s">
        <v>164</v>
      </c>
      <c r="D114" s="45">
        <v>67.81674208144797</v>
      </c>
      <c r="E114" s="45">
        <v>569.0</v>
      </c>
      <c r="F114" s="45">
        <v>84.58917076864823</v>
      </c>
      <c r="G114" s="45">
        <v>407.0</v>
      </c>
      <c r="I114" s="46">
        <f t="shared" si="1"/>
        <v>24.73198826</v>
      </c>
      <c r="J114" s="55"/>
    </row>
    <row r="115" ht="15.75" customHeight="1">
      <c r="A115" s="44">
        <v>21902.0</v>
      </c>
      <c r="B115" s="38" t="s">
        <v>62</v>
      </c>
      <c r="C115" s="38" t="s">
        <v>165</v>
      </c>
      <c r="D115" s="45">
        <v>69.3293885601578</v>
      </c>
      <c r="E115" s="45">
        <v>311.0</v>
      </c>
      <c r="F115" s="45">
        <v>81.11289459604066</v>
      </c>
      <c r="G115" s="45">
        <v>353.0</v>
      </c>
      <c r="I115" s="46">
        <f t="shared" si="1"/>
        <v>16.99640842</v>
      </c>
      <c r="J115" s="55"/>
    </row>
    <row r="116" ht="15.75" customHeight="1">
      <c r="A116" s="44">
        <v>22001.0</v>
      </c>
      <c r="B116" s="38" t="s">
        <v>62</v>
      </c>
      <c r="C116" s="38" t="s">
        <v>166</v>
      </c>
      <c r="D116" s="45">
        <v>76.51723086306801</v>
      </c>
      <c r="E116" s="45">
        <v>3850.0</v>
      </c>
      <c r="F116" s="45">
        <v>79.13013665083018</v>
      </c>
      <c r="G116" s="45">
        <v>4261.0</v>
      </c>
      <c r="I116" s="46">
        <f t="shared" si="1"/>
        <v>3.414793973</v>
      </c>
      <c r="J116" s="55"/>
    </row>
    <row r="117" ht="15.75" customHeight="1">
      <c r="A117" s="44">
        <v>22002.0</v>
      </c>
      <c r="B117" s="38" t="s">
        <v>62</v>
      </c>
      <c r="C117" s="38" t="s">
        <v>167</v>
      </c>
      <c r="D117" s="45">
        <v>76.21052631578948</v>
      </c>
      <c r="E117" s="45">
        <v>791.0</v>
      </c>
      <c r="F117" s="45">
        <v>79.34750946693853</v>
      </c>
      <c r="G117" s="45">
        <v>709.0</v>
      </c>
      <c r="I117" s="46">
        <f t="shared" si="1"/>
        <v>4.116207173</v>
      </c>
      <c r="J117" s="55"/>
    </row>
    <row r="118" ht="15.75" customHeight="1">
      <c r="A118" s="44">
        <v>30101.0</v>
      </c>
      <c r="B118" s="38" t="s">
        <v>168</v>
      </c>
      <c r="C118" s="38" t="s">
        <v>168</v>
      </c>
      <c r="D118" s="45">
        <v>51.921596251822486</v>
      </c>
      <c r="E118" s="45">
        <v>117394.0</v>
      </c>
      <c r="F118" s="45">
        <v>62.08497272771516</v>
      </c>
      <c r="G118" s="45">
        <v>101279.0</v>
      </c>
      <c r="I118" s="46">
        <f t="shared" si="1"/>
        <v>19.57446845</v>
      </c>
      <c r="J118" s="55"/>
    </row>
    <row r="119" ht="15.75" customHeight="1">
      <c r="A119" s="44">
        <v>30201.0</v>
      </c>
      <c r="B119" s="38" t="s">
        <v>168</v>
      </c>
      <c r="C119" s="38" t="s">
        <v>171</v>
      </c>
      <c r="D119" s="45">
        <v>42.70391949152542</v>
      </c>
      <c r="E119" s="45">
        <v>4327.0</v>
      </c>
      <c r="F119" s="45">
        <v>69.85611510791368</v>
      </c>
      <c r="G119" s="45">
        <v>2514.0</v>
      </c>
      <c r="I119" s="46">
        <f t="shared" si="1"/>
        <v>63.58244381</v>
      </c>
      <c r="J119" s="55"/>
    </row>
    <row r="120" ht="15.75" customHeight="1">
      <c r="A120" s="44">
        <v>30202.0</v>
      </c>
      <c r="B120" s="38" t="s">
        <v>168</v>
      </c>
      <c r="C120" s="38" t="s">
        <v>172</v>
      </c>
      <c r="D120" s="45">
        <v>45.65493853327681</v>
      </c>
      <c r="E120" s="45">
        <v>1282.0</v>
      </c>
      <c r="F120" s="45">
        <v>67.48898678414096</v>
      </c>
      <c r="G120" s="45">
        <v>738.0</v>
      </c>
      <c r="I120" s="46">
        <f t="shared" si="1"/>
        <v>47.82406669</v>
      </c>
      <c r="J120" s="55"/>
    </row>
    <row r="121" ht="15.75" customHeight="1">
      <c r="A121" s="44">
        <v>30203.0</v>
      </c>
      <c r="B121" s="38" t="s">
        <v>168</v>
      </c>
      <c r="C121" s="38" t="s">
        <v>173</v>
      </c>
      <c r="D121" s="45">
        <v>58.54748603351956</v>
      </c>
      <c r="E121" s="45">
        <v>742.0</v>
      </c>
      <c r="F121" s="45">
        <v>72.60504201680672</v>
      </c>
      <c r="G121" s="45">
        <v>652.0</v>
      </c>
      <c r="I121" s="46">
        <f t="shared" si="1"/>
        <v>24.01052024</v>
      </c>
      <c r="J121" s="55"/>
    </row>
    <row r="122" ht="15.75" customHeight="1">
      <c r="A122" s="44">
        <v>30301.0</v>
      </c>
      <c r="B122" s="38" t="s">
        <v>168</v>
      </c>
      <c r="C122" s="38" t="s">
        <v>501</v>
      </c>
      <c r="D122" s="45">
        <v>55.8355091383812</v>
      </c>
      <c r="E122" s="45">
        <v>3383.0</v>
      </c>
      <c r="F122" s="45">
        <v>70.98678661793646</v>
      </c>
      <c r="G122" s="45">
        <v>2064.0</v>
      </c>
      <c r="I122" s="46">
        <f t="shared" si="1"/>
        <v>27.13555892</v>
      </c>
      <c r="J122" s="55"/>
    </row>
    <row r="123" ht="15.75" customHeight="1">
      <c r="A123" s="44">
        <v>30302.0</v>
      </c>
      <c r="B123" s="38" t="s">
        <v>168</v>
      </c>
      <c r="C123" s="38" t="s">
        <v>175</v>
      </c>
      <c r="D123" s="45">
        <v>58.965437253537466</v>
      </c>
      <c r="E123" s="45">
        <v>1769.0</v>
      </c>
      <c r="F123" s="45">
        <v>72.3130167275524</v>
      </c>
      <c r="G123" s="45">
        <v>1440.0</v>
      </c>
      <c r="I123" s="46">
        <f t="shared" si="1"/>
        <v>22.6362766</v>
      </c>
      <c r="J123" s="55"/>
    </row>
    <row r="124" ht="15.75" customHeight="1">
      <c r="A124" s="44">
        <v>30303.0</v>
      </c>
      <c r="B124" s="38" t="s">
        <v>168</v>
      </c>
      <c r="C124" s="38" t="s">
        <v>176</v>
      </c>
      <c r="D124" s="45">
        <v>62.21596244131455</v>
      </c>
      <c r="E124" s="45">
        <v>2012.0</v>
      </c>
      <c r="F124" s="45">
        <v>76.82366944397211</v>
      </c>
      <c r="G124" s="45">
        <v>1363.0</v>
      </c>
      <c r="I124" s="46">
        <f t="shared" si="1"/>
        <v>23.47903404</v>
      </c>
      <c r="J124" s="55"/>
    </row>
    <row r="125" ht="15.75" customHeight="1">
      <c r="A125" s="44">
        <v>30401.0</v>
      </c>
      <c r="B125" s="38" t="s">
        <v>168</v>
      </c>
      <c r="C125" s="38" t="s">
        <v>178</v>
      </c>
      <c r="D125" s="45">
        <v>46.837146702557206</v>
      </c>
      <c r="E125" s="45">
        <v>1580.0</v>
      </c>
      <c r="F125" s="45">
        <v>66.01618277010948</v>
      </c>
      <c r="G125" s="45">
        <v>1428.0</v>
      </c>
      <c r="I125" s="46">
        <f t="shared" si="1"/>
        <v>40.94834425</v>
      </c>
      <c r="J125" s="55"/>
    </row>
    <row r="126" ht="15.75" customHeight="1">
      <c r="A126" s="44">
        <v>30402.0</v>
      </c>
      <c r="B126" s="38" t="s">
        <v>168</v>
      </c>
      <c r="C126" s="38" t="s">
        <v>179</v>
      </c>
      <c r="D126" s="45">
        <v>53.17872850859656</v>
      </c>
      <c r="E126" s="45">
        <v>1171.0</v>
      </c>
      <c r="F126" s="45">
        <v>75.53035844915874</v>
      </c>
      <c r="G126" s="45">
        <v>669.0</v>
      </c>
      <c r="I126" s="46">
        <f t="shared" si="1"/>
        <v>42.03114773</v>
      </c>
      <c r="J126" s="55"/>
    </row>
    <row r="127" ht="15.75" customHeight="1">
      <c r="A127" s="44">
        <v>30403.0</v>
      </c>
      <c r="B127" s="38" t="s">
        <v>168</v>
      </c>
      <c r="C127" s="38" t="s">
        <v>180</v>
      </c>
      <c r="D127" s="45">
        <v>45.96523898199876</v>
      </c>
      <c r="E127" s="45">
        <v>3482.0</v>
      </c>
      <c r="F127" s="45">
        <v>64.54536959162695</v>
      </c>
      <c r="G127" s="45">
        <v>3794.0</v>
      </c>
      <c r="I127" s="46">
        <f t="shared" si="1"/>
        <v>40.42213425</v>
      </c>
      <c r="J127" s="55"/>
    </row>
    <row r="128" ht="15.75" customHeight="1">
      <c r="A128" s="44">
        <v>30404.0</v>
      </c>
      <c r="B128" s="38" t="s">
        <v>168</v>
      </c>
      <c r="C128" s="38" t="s">
        <v>181</v>
      </c>
      <c r="D128" s="45">
        <v>60.35805626598465</v>
      </c>
      <c r="E128" s="45">
        <v>620.0</v>
      </c>
      <c r="F128" s="45">
        <v>80.05434782608695</v>
      </c>
      <c r="G128" s="45">
        <v>367.0</v>
      </c>
      <c r="I128" s="46">
        <f t="shared" si="1"/>
        <v>32.63241525</v>
      </c>
      <c r="J128" s="55"/>
    </row>
    <row r="129" ht="15.75" customHeight="1">
      <c r="A129" s="44">
        <v>30501.0</v>
      </c>
      <c r="B129" s="38" t="s">
        <v>168</v>
      </c>
      <c r="C129" s="38" t="s">
        <v>182</v>
      </c>
      <c r="D129" s="45">
        <v>56.144067796610166</v>
      </c>
      <c r="E129" s="45">
        <v>1656.0</v>
      </c>
      <c r="F129" s="45">
        <v>73.8837783262284</v>
      </c>
      <c r="G129" s="45">
        <v>1164.0</v>
      </c>
      <c r="I129" s="46">
        <f t="shared" si="1"/>
        <v>31.59676743</v>
      </c>
      <c r="J129" s="55"/>
    </row>
    <row r="130" ht="15.75" customHeight="1">
      <c r="A130" s="44">
        <v>30502.0</v>
      </c>
      <c r="B130" s="38" t="s">
        <v>168</v>
      </c>
      <c r="C130" s="38" t="s">
        <v>183</v>
      </c>
      <c r="D130" s="45">
        <v>66.279407493465</v>
      </c>
      <c r="E130" s="45">
        <v>1161.0</v>
      </c>
      <c r="F130" s="45">
        <v>82.27163461538461</v>
      </c>
      <c r="G130" s="45">
        <v>590.0</v>
      </c>
      <c r="I130" s="46">
        <f t="shared" si="1"/>
        <v>24.12850043</v>
      </c>
      <c r="J130" s="55"/>
    </row>
    <row r="131" ht="15.75" customHeight="1">
      <c r="A131" s="44">
        <v>30601.0</v>
      </c>
      <c r="B131" s="38" t="s">
        <v>168</v>
      </c>
      <c r="C131" s="38" t="s">
        <v>184</v>
      </c>
      <c r="D131" s="45">
        <v>63.59138533178113</v>
      </c>
      <c r="E131" s="45">
        <v>1251.0</v>
      </c>
      <c r="F131" s="45">
        <v>76.04039167686658</v>
      </c>
      <c r="G131" s="45">
        <v>783.0</v>
      </c>
      <c r="I131" s="46">
        <f t="shared" si="1"/>
        <v>19.57656101</v>
      </c>
      <c r="J131" s="55"/>
    </row>
    <row r="132" ht="15.75" customHeight="1">
      <c r="A132" s="44">
        <v>30602.0</v>
      </c>
      <c r="B132" s="38" t="s">
        <v>168</v>
      </c>
      <c r="C132" s="38" t="s">
        <v>185</v>
      </c>
      <c r="D132" s="45">
        <v>71.75443537031822</v>
      </c>
      <c r="E132" s="45">
        <v>1003.0</v>
      </c>
      <c r="F132" s="45">
        <v>77.3819866782508</v>
      </c>
      <c r="G132" s="45">
        <v>781.0</v>
      </c>
      <c r="I132" s="46">
        <f t="shared" si="1"/>
        <v>7.842792266</v>
      </c>
      <c r="J132" s="55"/>
    </row>
    <row r="133" ht="15.75" customHeight="1">
      <c r="A133" s="44">
        <v>30701.0</v>
      </c>
      <c r="B133" s="38" t="s">
        <v>168</v>
      </c>
      <c r="C133" s="38" t="s">
        <v>186</v>
      </c>
      <c r="D133" s="45">
        <v>56.27524523946913</v>
      </c>
      <c r="E133" s="45">
        <v>3031.0</v>
      </c>
      <c r="F133" s="45">
        <v>66.14184008762322</v>
      </c>
      <c r="G133" s="45">
        <v>2473.0</v>
      </c>
      <c r="I133" s="46">
        <f t="shared" si="1"/>
        <v>17.53274429</v>
      </c>
      <c r="J133" s="55"/>
    </row>
    <row r="134" ht="15.75" customHeight="1">
      <c r="A134" s="44">
        <v>30702.0</v>
      </c>
      <c r="B134" s="38" t="s">
        <v>168</v>
      </c>
      <c r="C134" s="38" t="s">
        <v>502</v>
      </c>
      <c r="D134" s="45">
        <v>44.50485436893204</v>
      </c>
      <c r="E134" s="45">
        <v>1429.0</v>
      </c>
      <c r="F134" s="45">
        <v>66.57663740715732</v>
      </c>
      <c r="G134" s="45">
        <v>990.0</v>
      </c>
      <c r="I134" s="46">
        <f t="shared" si="1"/>
        <v>49.59410238</v>
      </c>
      <c r="J134" s="55"/>
    </row>
    <row r="135" ht="15.75" customHeight="1">
      <c r="A135" s="44">
        <v>30703.0</v>
      </c>
      <c r="B135" s="38" t="s">
        <v>168</v>
      </c>
      <c r="C135" s="38" t="s">
        <v>188</v>
      </c>
      <c r="D135" s="45">
        <v>51.763740771123864</v>
      </c>
      <c r="E135" s="45">
        <v>588.0</v>
      </c>
      <c r="F135" s="45">
        <v>69.73094170403587</v>
      </c>
      <c r="G135" s="45">
        <v>405.0</v>
      </c>
      <c r="I135" s="46">
        <f t="shared" si="1"/>
        <v>34.71001258</v>
      </c>
      <c r="J135" s="55"/>
    </row>
    <row r="136" ht="15.75" customHeight="1">
      <c r="A136" s="44">
        <v>30801.0</v>
      </c>
      <c r="B136" s="38" t="s">
        <v>168</v>
      </c>
      <c r="C136" s="38" t="s">
        <v>190</v>
      </c>
      <c r="D136" s="45">
        <v>49.822021831988614</v>
      </c>
      <c r="E136" s="45">
        <v>4229.0</v>
      </c>
      <c r="F136" s="45">
        <v>69.17079207920793</v>
      </c>
      <c r="G136" s="45">
        <v>2491.0</v>
      </c>
      <c r="I136" s="46">
        <f t="shared" si="1"/>
        <v>38.83577891</v>
      </c>
      <c r="J136" s="55"/>
    </row>
    <row r="137" ht="15.75" customHeight="1">
      <c r="A137" s="44">
        <v>30802.0</v>
      </c>
      <c r="B137" s="38" t="s">
        <v>168</v>
      </c>
      <c r="C137" s="38" t="s">
        <v>191</v>
      </c>
      <c r="D137" s="45">
        <v>52.52808988764045</v>
      </c>
      <c r="E137" s="45">
        <v>1352.0</v>
      </c>
      <c r="F137" s="45">
        <v>70.26439695762406</v>
      </c>
      <c r="G137" s="45">
        <v>821.0</v>
      </c>
      <c r="I137" s="46">
        <f t="shared" si="1"/>
        <v>33.76537603</v>
      </c>
      <c r="J137" s="55"/>
    </row>
    <row r="138" ht="15.75" customHeight="1">
      <c r="A138" s="44">
        <v>30803.0</v>
      </c>
      <c r="B138" s="38" t="s">
        <v>168</v>
      </c>
      <c r="C138" s="38" t="s">
        <v>192</v>
      </c>
      <c r="D138" s="45">
        <v>41.363862618218015</v>
      </c>
      <c r="E138" s="45">
        <v>1178.0</v>
      </c>
      <c r="F138" s="45">
        <v>67.02059202059202</v>
      </c>
      <c r="G138" s="45">
        <v>1025.0</v>
      </c>
      <c r="I138" s="46">
        <f t="shared" si="1"/>
        <v>62.02691862</v>
      </c>
      <c r="J138" s="55"/>
    </row>
    <row r="139" ht="15.75" customHeight="1">
      <c r="A139" s="44">
        <v>30901.0</v>
      </c>
      <c r="B139" s="38" t="s">
        <v>168</v>
      </c>
      <c r="C139" s="38" t="s">
        <v>193</v>
      </c>
      <c r="D139" s="45">
        <v>50.483460559796434</v>
      </c>
      <c r="E139" s="45">
        <v>25298.0</v>
      </c>
      <c r="F139" s="45">
        <v>61.66291087108555</v>
      </c>
      <c r="G139" s="45">
        <v>24668.0</v>
      </c>
      <c r="I139" s="46">
        <f t="shared" si="1"/>
        <v>22.14477809</v>
      </c>
      <c r="J139" s="55"/>
    </row>
    <row r="140" ht="15.75" customHeight="1">
      <c r="A140" s="44">
        <v>30902.0</v>
      </c>
      <c r="B140" s="38" t="s">
        <v>168</v>
      </c>
      <c r="C140" s="38" t="s">
        <v>503</v>
      </c>
      <c r="D140" s="45">
        <v>51.063396072569134</v>
      </c>
      <c r="E140" s="45">
        <v>7202.0</v>
      </c>
      <c r="F140" s="45">
        <v>62.705076240108085</v>
      </c>
      <c r="G140" s="45">
        <v>7729.0</v>
      </c>
      <c r="I140" s="46">
        <f t="shared" si="1"/>
        <v>22.79848397</v>
      </c>
      <c r="J140" s="55"/>
    </row>
    <row r="141" ht="15.75" customHeight="1">
      <c r="A141" s="44">
        <v>30903.0</v>
      </c>
      <c r="B141" s="38" t="s">
        <v>168</v>
      </c>
      <c r="C141" s="38" t="s">
        <v>195</v>
      </c>
      <c r="D141" s="45">
        <v>52.865185483060216</v>
      </c>
      <c r="E141" s="45">
        <v>9377.0</v>
      </c>
      <c r="F141" s="45">
        <v>64.07452073023661</v>
      </c>
      <c r="G141" s="45">
        <v>8639.0</v>
      </c>
      <c r="I141" s="46">
        <f t="shared" si="1"/>
        <v>21.20362417</v>
      </c>
      <c r="J141" s="55"/>
    </row>
    <row r="142" ht="15.75" customHeight="1">
      <c r="A142" s="44">
        <v>30904.0</v>
      </c>
      <c r="B142" s="38" t="s">
        <v>168</v>
      </c>
      <c r="C142" s="38" t="s">
        <v>196</v>
      </c>
      <c r="D142" s="45">
        <v>49.157587031623706</v>
      </c>
      <c r="E142" s="45">
        <v>9566.0</v>
      </c>
      <c r="F142" s="45">
        <v>61.89291914973488</v>
      </c>
      <c r="G142" s="45">
        <v>8121.0</v>
      </c>
      <c r="I142" s="46">
        <f t="shared" si="1"/>
        <v>25.9071547</v>
      </c>
      <c r="J142" s="55"/>
    </row>
    <row r="143" ht="15.75" customHeight="1">
      <c r="A143" s="44">
        <v>30905.0</v>
      </c>
      <c r="B143" s="38" t="s">
        <v>168</v>
      </c>
      <c r="C143" s="38" t="s">
        <v>197</v>
      </c>
      <c r="D143" s="45">
        <v>49.19095477386934</v>
      </c>
      <c r="E143" s="45">
        <v>10111.0</v>
      </c>
      <c r="F143" s="45">
        <v>61.22340223059648</v>
      </c>
      <c r="G143" s="45">
        <v>10187.0</v>
      </c>
      <c r="I143" s="46">
        <f t="shared" si="1"/>
        <v>24.46069102</v>
      </c>
      <c r="J143" s="55"/>
    </row>
    <row r="144" ht="15.75" customHeight="1">
      <c r="A144" s="44">
        <v>31001.0</v>
      </c>
      <c r="B144" s="38" t="s">
        <v>168</v>
      </c>
      <c r="C144" s="38" t="s">
        <v>199</v>
      </c>
      <c r="D144" s="45">
        <v>48.70737160311113</v>
      </c>
      <c r="E144" s="45">
        <v>32578.0</v>
      </c>
      <c r="F144" s="45">
        <v>61.20207644226808</v>
      </c>
      <c r="G144" s="45">
        <v>32960.0</v>
      </c>
      <c r="I144" s="46">
        <f t="shared" si="1"/>
        <v>25.65259514</v>
      </c>
      <c r="J144" s="55"/>
    </row>
    <row r="145" ht="15.75" customHeight="1">
      <c r="A145" s="44">
        <v>31002.0</v>
      </c>
      <c r="B145" s="38" t="s">
        <v>168</v>
      </c>
      <c r="C145" s="38" t="s">
        <v>200</v>
      </c>
      <c r="D145" s="45">
        <v>62.3708956374287</v>
      </c>
      <c r="E145" s="45">
        <v>2441.0</v>
      </c>
      <c r="F145" s="45">
        <v>78.32112970711297</v>
      </c>
      <c r="G145" s="45">
        <v>1658.0</v>
      </c>
      <c r="I145" s="46">
        <f t="shared" si="1"/>
        <v>25.5732003</v>
      </c>
      <c r="J145" s="55"/>
    </row>
    <row r="146" ht="15.75" customHeight="1">
      <c r="A146" s="44">
        <v>31003.0</v>
      </c>
      <c r="B146" s="38" t="s">
        <v>168</v>
      </c>
      <c r="C146" s="38" t="s">
        <v>201</v>
      </c>
      <c r="D146" s="45">
        <v>61.87575537829345</v>
      </c>
      <c r="E146" s="45">
        <v>7886.0</v>
      </c>
      <c r="F146" s="45">
        <v>74.50808329677005</v>
      </c>
      <c r="G146" s="45">
        <v>7553.0</v>
      </c>
      <c r="I146" s="46">
        <f t="shared" si="1"/>
        <v>20.41563427</v>
      </c>
      <c r="J146" s="55"/>
    </row>
    <row r="147" ht="15.75" customHeight="1">
      <c r="A147" s="44">
        <v>31101.0</v>
      </c>
      <c r="B147" s="38" t="s">
        <v>168</v>
      </c>
      <c r="C147" s="38" t="s">
        <v>202</v>
      </c>
      <c r="D147" s="45">
        <v>64.69375379017586</v>
      </c>
      <c r="E147" s="45">
        <v>2911.0</v>
      </c>
      <c r="F147" s="45">
        <v>76.00405422526289</v>
      </c>
      <c r="G147" s="45">
        <v>1894.0</v>
      </c>
      <c r="I147" s="46">
        <f t="shared" si="1"/>
        <v>17.48283222</v>
      </c>
      <c r="J147" s="55"/>
    </row>
    <row r="148" ht="15.75" customHeight="1">
      <c r="A148" s="44">
        <v>31201.0</v>
      </c>
      <c r="B148" s="38" t="s">
        <v>168</v>
      </c>
      <c r="C148" s="38" t="s">
        <v>204</v>
      </c>
      <c r="D148" s="45">
        <v>63.64628820960698</v>
      </c>
      <c r="E148" s="45">
        <v>1665.0</v>
      </c>
      <c r="F148" s="45">
        <v>81.5281276238455</v>
      </c>
      <c r="G148" s="45">
        <v>880.0</v>
      </c>
      <c r="I148" s="46">
        <f t="shared" si="1"/>
        <v>28.09565164</v>
      </c>
      <c r="J148" s="55"/>
    </row>
    <row r="149" ht="15.75" customHeight="1">
      <c r="A149" s="44">
        <v>31202.0</v>
      </c>
      <c r="B149" s="38" t="s">
        <v>168</v>
      </c>
      <c r="C149" s="38" t="s">
        <v>205</v>
      </c>
      <c r="D149" s="45">
        <v>65.18638573743922</v>
      </c>
      <c r="E149" s="45">
        <v>1074.0</v>
      </c>
      <c r="F149" s="45">
        <v>78.61979166666667</v>
      </c>
      <c r="G149" s="45">
        <v>821.0</v>
      </c>
      <c r="I149" s="46">
        <f t="shared" si="1"/>
        <v>20.60768637</v>
      </c>
      <c r="J149" s="55"/>
    </row>
    <row r="150" ht="15.75" customHeight="1">
      <c r="A150" s="44">
        <v>31203.0</v>
      </c>
      <c r="B150" s="38" t="s">
        <v>168</v>
      </c>
      <c r="C150" s="38" t="s">
        <v>206</v>
      </c>
      <c r="D150" s="45">
        <v>68.188894654904</v>
      </c>
      <c r="E150" s="45">
        <v>1226.0</v>
      </c>
      <c r="F150" s="45">
        <v>76.66068222621185</v>
      </c>
      <c r="G150" s="45">
        <v>1040.0</v>
      </c>
      <c r="I150" s="46">
        <f t="shared" si="1"/>
        <v>12.42399897</v>
      </c>
      <c r="J150" s="55"/>
    </row>
    <row r="151" ht="15.75" customHeight="1">
      <c r="A151" s="44">
        <v>31204.0</v>
      </c>
      <c r="B151" s="38" t="s">
        <v>168</v>
      </c>
      <c r="C151" s="38" t="s">
        <v>207</v>
      </c>
      <c r="D151" s="45">
        <v>60.37996016546653</v>
      </c>
      <c r="E151" s="45">
        <v>2586.0</v>
      </c>
      <c r="F151" s="45">
        <v>71.96695337256678</v>
      </c>
      <c r="G151" s="45">
        <v>2477.0</v>
      </c>
      <c r="I151" s="46">
        <f t="shared" si="1"/>
        <v>19.19013059</v>
      </c>
      <c r="J151" s="55"/>
    </row>
    <row r="152" ht="15.75" customHeight="1">
      <c r="A152" s="44">
        <v>31205.0</v>
      </c>
      <c r="B152" s="38" t="s">
        <v>168</v>
      </c>
      <c r="C152" s="38" t="s">
        <v>208</v>
      </c>
      <c r="D152" s="45">
        <v>60.07493755203996</v>
      </c>
      <c r="E152" s="45">
        <v>5754.0</v>
      </c>
      <c r="F152" s="45">
        <v>73.11532002239224</v>
      </c>
      <c r="G152" s="45">
        <v>5763.0</v>
      </c>
      <c r="I152" s="46">
        <f t="shared" si="1"/>
        <v>21.7068598</v>
      </c>
      <c r="J152" s="55"/>
    </row>
    <row r="153" ht="15.75" customHeight="1">
      <c r="A153" s="44">
        <v>31206.0</v>
      </c>
      <c r="B153" s="38" t="s">
        <v>168</v>
      </c>
      <c r="C153" s="38" t="s">
        <v>209</v>
      </c>
      <c r="D153" s="45">
        <v>55.70771589167093</v>
      </c>
      <c r="E153" s="45">
        <v>4334.0</v>
      </c>
      <c r="F153" s="45">
        <v>69.0228141896347</v>
      </c>
      <c r="G153" s="45">
        <v>4698.0</v>
      </c>
      <c r="I153" s="46">
        <f t="shared" si="1"/>
        <v>23.90171287</v>
      </c>
      <c r="J153" s="55"/>
    </row>
    <row r="154" ht="15.75" customHeight="1">
      <c r="A154" s="44">
        <v>31301.0</v>
      </c>
      <c r="B154" s="38" t="s">
        <v>168</v>
      </c>
      <c r="C154" s="38" t="s">
        <v>210</v>
      </c>
      <c r="D154" s="45">
        <v>54.37129390299529</v>
      </c>
      <c r="E154" s="45">
        <v>3001.0</v>
      </c>
      <c r="F154" s="45">
        <v>73.52386479036704</v>
      </c>
      <c r="G154" s="45">
        <v>1825.0</v>
      </c>
      <c r="I154" s="46">
        <f t="shared" si="1"/>
        <v>35.22551978</v>
      </c>
      <c r="J154" s="55"/>
    </row>
    <row r="155" ht="15.75" customHeight="1">
      <c r="A155" s="44">
        <v>31302.0</v>
      </c>
      <c r="B155" s="38" t="s">
        <v>168</v>
      </c>
      <c r="C155" s="38" t="s">
        <v>211</v>
      </c>
      <c r="D155" s="45">
        <v>59.0778097982709</v>
      </c>
      <c r="E155" s="45">
        <v>710.0</v>
      </c>
      <c r="F155" s="45">
        <v>67.98780487804879</v>
      </c>
      <c r="G155" s="45">
        <v>525.0</v>
      </c>
      <c r="I155" s="46">
        <f t="shared" si="1"/>
        <v>15.08179655</v>
      </c>
      <c r="J155" s="55"/>
    </row>
    <row r="156" ht="15.75" customHeight="1">
      <c r="A156" s="44">
        <v>31303.0</v>
      </c>
      <c r="B156" s="38" t="s">
        <v>168</v>
      </c>
      <c r="C156" s="38" t="s">
        <v>212</v>
      </c>
      <c r="D156" s="45">
        <v>54.04040404040404</v>
      </c>
      <c r="E156" s="45">
        <v>546.0</v>
      </c>
      <c r="F156" s="45">
        <v>74.15078707539354</v>
      </c>
      <c r="G156" s="45">
        <v>312.0</v>
      </c>
      <c r="I156" s="46">
        <f t="shared" si="1"/>
        <v>37.21360599</v>
      </c>
      <c r="J156" s="55"/>
    </row>
    <row r="157" ht="15.75" customHeight="1">
      <c r="A157" s="44">
        <v>31304.0</v>
      </c>
      <c r="B157" s="38" t="s">
        <v>168</v>
      </c>
      <c r="C157" s="38" t="s">
        <v>213</v>
      </c>
      <c r="D157" s="45">
        <v>68.52941176470588</v>
      </c>
      <c r="E157" s="45">
        <v>749.0</v>
      </c>
      <c r="F157" s="45">
        <v>74.1849886277483</v>
      </c>
      <c r="G157" s="45">
        <v>681.0</v>
      </c>
      <c r="I157" s="46">
        <f t="shared" si="1"/>
        <v>8.252773105</v>
      </c>
      <c r="J157" s="55"/>
    </row>
    <row r="158" ht="15.75" customHeight="1">
      <c r="A158" s="44">
        <v>31401.0</v>
      </c>
      <c r="B158" s="38" t="s">
        <v>168</v>
      </c>
      <c r="C158" s="38" t="s">
        <v>214</v>
      </c>
      <c r="D158" s="45">
        <v>54.045696615701765</v>
      </c>
      <c r="E158" s="45">
        <v>5350.0</v>
      </c>
      <c r="F158" s="45">
        <v>69.41446772958295</v>
      </c>
      <c r="G158" s="45">
        <v>4393.0</v>
      </c>
      <c r="I158" s="46">
        <f t="shared" si="1"/>
        <v>28.43662322</v>
      </c>
      <c r="J158" s="55"/>
    </row>
    <row r="159" ht="15.75" customHeight="1">
      <c r="A159" s="44">
        <v>31402.0</v>
      </c>
      <c r="B159" s="38" t="s">
        <v>168</v>
      </c>
      <c r="C159" s="38" t="s">
        <v>215</v>
      </c>
      <c r="D159" s="45">
        <v>49.07934382323401</v>
      </c>
      <c r="E159" s="45">
        <v>1521.0</v>
      </c>
      <c r="F159" s="45">
        <v>72.9897547345545</v>
      </c>
      <c r="G159" s="45">
        <v>870.0</v>
      </c>
      <c r="I159" s="46">
        <f t="shared" si="1"/>
        <v>48.71786998</v>
      </c>
      <c r="J159" s="55"/>
    </row>
    <row r="160" ht="15.75" customHeight="1">
      <c r="A160" s="44">
        <v>31403.0</v>
      </c>
      <c r="B160" s="38" t="s">
        <v>168</v>
      </c>
      <c r="C160" s="38" t="s">
        <v>216</v>
      </c>
      <c r="D160" s="45">
        <v>50.06627532664268</v>
      </c>
      <c r="E160" s="45">
        <v>2637.0</v>
      </c>
      <c r="F160" s="45">
        <v>70.51181102362204</v>
      </c>
      <c r="G160" s="45">
        <v>1498.0</v>
      </c>
      <c r="I160" s="46">
        <f t="shared" si="1"/>
        <v>40.83694176</v>
      </c>
      <c r="J160" s="55"/>
    </row>
    <row r="161" ht="15.75" customHeight="1">
      <c r="A161" s="44">
        <v>31404.0</v>
      </c>
      <c r="B161" s="38" t="s">
        <v>168</v>
      </c>
      <c r="C161" s="38" t="s">
        <v>217</v>
      </c>
      <c r="D161" s="45">
        <v>44.701348747591524</v>
      </c>
      <c r="E161" s="45">
        <v>287.0</v>
      </c>
      <c r="F161" s="45">
        <v>73.02231237322515</v>
      </c>
      <c r="G161" s="45">
        <v>133.0</v>
      </c>
      <c r="I161" s="46">
        <f t="shared" si="1"/>
        <v>63.3559488</v>
      </c>
      <c r="J161" s="55"/>
    </row>
    <row r="162" ht="15.75" customHeight="1">
      <c r="A162" s="44">
        <v>31405.0</v>
      </c>
      <c r="B162" s="38" t="s">
        <v>168</v>
      </c>
      <c r="C162" s="38" t="s">
        <v>504</v>
      </c>
      <c r="D162" s="45">
        <v>56.018957345971565</v>
      </c>
      <c r="E162" s="45">
        <v>464.0</v>
      </c>
      <c r="F162" s="45">
        <v>69.49965729952022</v>
      </c>
      <c r="G162" s="45">
        <v>445.0</v>
      </c>
      <c r="I162" s="46">
        <f t="shared" si="1"/>
        <v>24.06453207</v>
      </c>
      <c r="J162" s="55"/>
    </row>
    <row r="163" ht="15.75" customHeight="1">
      <c r="A163" s="44">
        <v>31501.0</v>
      </c>
      <c r="B163" s="38" t="s">
        <v>168</v>
      </c>
      <c r="C163" s="38" t="s">
        <v>505</v>
      </c>
      <c r="D163" s="45">
        <v>76.26633986928104</v>
      </c>
      <c r="E163" s="45">
        <v>581.0</v>
      </c>
      <c r="F163" s="45">
        <v>74.31041580897488</v>
      </c>
      <c r="G163" s="45">
        <v>624.0</v>
      </c>
      <c r="I163" s="46">
        <f t="shared" si="1"/>
        <v>-2.564596733</v>
      </c>
      <c r="J163" s="55"/>
    </row>
    <row r="164" ht="15.75" customHeight="1">
      <c r="A164" s="44">
        <v>31601.0</v>
      </c>
      <c r="B164" s="38" t="s">
        <v>168</v>
      </c>
      <c r="C164" s="38" t="s">
        <v>220</v>
      </c>
      <c r="D164" s="45">
        <v>60.475279978148045</v>
      </c>
      <c r="E164" s="45">
        <v>2894.0</v>
      </c>
      <c r="F164" s="45">
        <v>79.45124649653341</v>
      </c>
      <c r="G164" s="45">
        <v>1393.0</v>
      </c>
      <c r="I164" s="46">
        <f t="shared" si="1"/>
        <v>31.37805484</v>
      </c>
      <c r="J164" s="55"/>
    </row>
    <row r="165" ht="15.75" customHeight="1">
      <c r="A165" s="44">
        <v>31602.0</v>
      </c>
      <c r="B165" s="38" t="s">
        <v>168</v>
      </c>
      <c r="C165" s="38" t="s">
        <v>221</v>
      </c>
      <c r="D165" s="45">
        <v>59.65076395385095</v>
      </c>
      <c r="E165" s="45">
        <v>2588.0</v>
      </c>
      <c r="F165" s="45">
        <v>72.87234042553192</v>
      </c>
      <c r="G165" s="45">
        <v>2448.0</v>
      </c>
      <c r="I165" s="46">
        <f t="shared" si="1"/>
        <v>22.16497425</v>
      </c>
      <c r="J165" s="55"/>
    </row>
    <row r="166" ht="15.75" customHeight="1">
      <c r="A166" s="44">
        <v>40101.0</v>
      </c>
      <c r="B166" s="38" t="s">
        <v>222</v>
      </c>
      <c r="C166" s="38" t="s">
        <v>222</v>
      </c>
      <c r="D166" s="45">
        <v>49.12625796004331</v>
      </c>
      <c r="E166" s="45">
        <v>51209.0</v>
      </c>
      <c r="F166" s="45">
        <v>59.92183624950827</v>
      </c>
      <c r="G166" s="45">
        <v>46865.0</v>
      </c>
      <c r="I166" s="46">
        <f t="shared" si="1"/>
        <v>21.97516916</v>
      </c>
      <c r="J166" s="55"/>
    </row>
    <row r="167" ht="15.75" customHeight="1">
      <c r="A167" s="44">
        <v>40102.0</v>
      </c>
      <c r="B167" s="38" t="s">
        <v>222</v>
      </c>
      <c r="C167" s="38" t="s">
        <v>223</v>
      </c>
      <c r="D167" s="45">
        <v>57.203647416413375</v>
      </c>
      <c r="E167" s="45">
        <v>3520.0</v>
      </c>
      <c r="F167" s="45">
        <v>70.18173122907699</v>
      </c>
      <c r="G167" s="45">
        <v>2494.0</v>
      </c>
      <c r="I167" s="46">
        <f t="shared" si="1"/>
        <v>22.68751102</v>
      </c>
      <c r="J167" s="55"/>
    </row>
    <row r="168" ht="15.75" customHeight="1">
      <c r="A168" s="44">
        <v>40103.0</v>
      </c>
      <c r="B168" s="38" t="s">
        <v>222</v>
      </c>
      <c r="C168" s="38" t="s">
        <v>224</v>
      </c>
      <c r="D168" s="45">
        <v>74.68581687612208</v>
      </c>
      <c r="E168" s="45">
        <v>846.0</v>
      </c>
      <c r="F168" s="45">
        <v>79.55253469272161</v>
      </c>
      <c r="G168" s="45">
        <v>722.0</v>
      </c>
      <c r="I168" s="46">
        <f t="shared" si="1"/>
        <v>6.516254384</v>
      </c>
      <c r="J168" s="55"/>
    </row>
    <row r="169" ht="15.75" customHeight="1">
      <c r="A169" s="44">
        <v>40104.0</v>
      </c>
      <c r="B169" s="38" t="s">
        <v>222</v>
      </c>
      <c r="C169" s="38" t="s">
        <v>506</v>
      </c>
      <c r="D169" s="45">
        <v>66.09938733832539</v>
      </c>
      <c r="E169" s="45">
        <v>1494.0</v>
      </c>
      <c r="F169" s="45">
        <v>77.41066618782546</v>
      </c>
      <c r="G169" s="45">
        <v>1258.0</v>
      </c>
      <c r="I169" s="46">
        <f t="shared" si="1"/>
        <v>17.11253206</v>
      </c>
      <c r="J169" s="55"/>
    </row>
    <row r="170" ht="15.75" customHeight="1">
      <c r="A170" s="44">
        <v>40201.0</v>
      </c>
      <c r="B170" s="38" t="s">
        <v>222</v>
      </c>
      <c r="C170" s="38" t="s">
        <v>227</v>
      </c>
      <c r="D170" s="45">
        <v>62.05757919719327</v>
      </c>
      <c r="E170" s="45">
        <v>3677.0</v>
      </c>
      <c r="F170" s="45">
        <v>71.79900008473858</v>
      </c>
      <c r="G170" s="45">
        <v>3328.0</v>
      </c>
      <c r="I170" s="46">
        <f t="shared" si="1"/>
        <v>15.69739106</v>
      </c>
      <c r="J170" s="55"/>
    </row>
    <row r="171" ht="15.75" customHeight="1">
      <c r="A171" s="44">
        <v>40202.0</v>
      </c>
      <c r="B171" s="38" t="s">
        <v>222</v>
      </c>
      <c r="C171" s="38" t="s">
        <v>228</v>
      </c>
      <c r="D171" s="45">
        <v>72.4837074583635</v>
      </c>
      <c r="E171" s="45">
        <v>380.0</v>
      </c>
      <c r="F171" s="45">
        <v>74.29956896551724</v>
      </c>
      <c r="G171" s="45">
        <v>477.0</v>
      </c>
      <c r="I171" s="46">
        <f t="shared" si="1"/>
        <v>2.505199542</v>
      </c>
      <c r="J171" s="55"/>
    </row>
    <row r="172" ht="15.75" customHeight="1">
      <c r="A172" s="44">
        <v>40301.0</v>
      </c>
      <c r="B172" s="38" t="s">
        <v>222</v>
      </c>
      <c r="C172" s="38" t="s">
        <v>230</v>
      </c>
      <c r="D172" s="45">
        <v>56.0239068889588</v>
      </c>
      <c r="E172" s="45">
        <v>1398.0</v>
      </c>
      <c r="F172" s="45">
        <v>71.1345555171221</v>
      </c>
      <c r="G172" s="45">
        <v>1669.0</v>
      </c>
      <c r="I172" s="46">
        <f t="shared" si="1"/>
        <v>26.97178663</v>
      </c>
      <c r="J172" s="55"/>
    </row>
    <row r="173" ht="15.75" customHeight="1">
      <c r="A173" s="44">
        <v>40302.0</v>
      </c>
      <c r="B173" s="38" t="s">
        <v>222</v>
      </c>
      <c r="C173" s="38" t="s">
        <v>231</v>
      </c>
      <c r="D173" s="45">
        <v>65.76168929110105</v>
      </c>
      <c r="E173" s="45">
        <v>227.0</v>
      </c>
      <c r="F173" s="45">
        <v>76.19047619047619</v>
      </c>
      <c r="G173" s="45">
        <v>210.0</v>
      </c>
      <c r="I173" s="46">
        <f t="shared" si="1"/>
        <v>15.85845347</v>
      </c>
      <c r="J173" s="55"/>
    </row>
    <row r="174" ht="15.75" customHeight="1">
      <c r="A174" s="44">
        <v>40401.0</v>
      </c>
      <c r="B174" s="38" t="s">
        <v>222</v>
      </c>
      <c r="C174" s="38" t="s">
        <v>233</v>
      </c>
      <c r="D174" s="45">
        <v>59.5352016404648</v>
      </c>
      <c r="E174" s="45">
        <v>592.0</v>
      </c>
      <c r="F174" s="45">
        <v>79.23608289313287</v>
      </c>
      <c r="G174" s="45">
        <v>511.0</v>
      </c>
      <c r="I174" s="46">
        <f t="shared" si="1"/>
        <v>33.09114727</v>
      </c>
      <c r="J174" s="55"/>
    </row>
    <row r="175" ht="15.75" customHeight="1">
      <c r="A175" s="44">
        <v>40402.0</v>
      </c>
      <c r="B175" s="38" t="s">
        <v>222</v>
      </c>
      <c r="C175" s="38" t="s">
        <v>234</v>
      </c>
      <c r="D175" s="45">
        <v>67.5194660734149</v>
      </c>
      <c r="E175" s="45">
        <v>584.0</v>
      </c>
      <c r="F175" s="45">
        <v>78.23809523809524</v>
      </c>
      <c r="G175" s="45">
        <v>457.0</v>
      </c>
      <c r="I175" s="46">
        <f t="shared" si="1"/>
        <v>15.87487252</v>
      </c>
      <c r="J175" s="55"/>
    </row>
    <row r="176" ht="15.75" customHeight="1">
      <c r="A176" s="44">
        <v>40501.0</v>
      </c>
      <c r="B176" s="38" t="s">
        <v>222</v>
      </c>
      <c r="C176" s="38" t="s">
        <v>236</v>
      </c>
      <c r="D176" s="45">
        <v>54.330708661417326</v>
      </c>
      <c r="E176" s="45">
        <v>116.0</v>
      </c>
      <c r="F176" s="45">
        <v>68.391994478951</v>
      </c>
      <c r="G176" s="45">
        <v>458.0</v>
      </c>
      <c r="I176" s="46">
        <f t="shared" si="1"/>
        <v>25.88091737</v>
      </c>
      <c r="J176" s="55"/>
    </row>
    <row r="177" ht="15.75" customHeight="1">
      <c r="A177" s="44">
        <v>40502.0</v>
      </c>
      <c r="B177" s="38" t="s">
        <v>222</v>
      </c>
      <c r="C177" s="38" t="s">
        <v>237</v>
      </c>
      <c r="D177" s="45">
        <v>57.30843528654218</v>
      </c>
      <c r="E177" s="45">
        <v>663.0</v>
      </c>
      <c r="F177" s="45">
        <v>67.65899864682002</v>
      </c>
      <c r="G177" s="45">
        <v>478.0</v>
      </c>
      <c r="I177" s="46">
        <f t="shared" si="1"/>
        <v>18.06115157</v>
      </c>
      <c r="J177" s="55"/>
    </row>
    <row r="178" ht="15.75" customHeight="1">
      <c r="A178" s="44">
        <v>40503.0</v>
      </c>
      <c r="B178" s="38" t="s">
        <v>222</v>
      </c>
      <c r="C178" s="38" t="s">
        <v>238</v>
      </c>
      <c r="D178" s="45">
        <v>42.816901408450704</v>
      </c>
      <c r="E178" s="45">
        <v>406.0</v>
      </c>
      <c r="F178" s="45">
        <v>78.82352941176471</v>
      </c>
      <c r="G178" s="45">
        <v>108.0</v>
      </c>
      <c r="I178" s="46">
        <f t="shared" si="1"/>
        <v>84.09442724</v>
      </c>
      <c r="J178" s="55"/>
    </row>
    <row r="179" ht="15.75" customHeight="1">
      <c r="A179" s="44">
        <v>40504.0</v>
      </c>
      <c r="B179" s="38" t="s">
        <v>222</v>
      </c>
      <c r="C179" s="38" t="s">
        <v>239</v>
      </c>
      <c r="D179" s="45">
        <v>57.738095238095234</v>
      </c>
      <c r="E179" s="45">
        <v>71.0</v>
      </c>
      <c r="F179" s="45">
        <v>67.3469387755102</v>
      </c>
      <c r="G179" s="45">
        <v>96.0</v>
      </c>
      <c r="I179" s="46">
        <f t="shared" si="1"/>
        <v>16.64212077</v>
      </c>
      <c r="J179" s="55"/>
    </row>
    <row r="180" ht="15.75" customHeight="1">
      <c r="A180" s="44">
        <v>40505.0</v>
      </c>
      <c r="B180" s="38" t="s">
        <v>222</v>
      </c>
      <c r="C180" s="38" t="s">
        <v>240</v>
      </c>
      <c r="D180" s="45">
        <v>47.63406940063091</v>
      </c>
      <c r="E180" s="45">
        <v>498.0</v>
      </c>
      <c r="F180" s="45">
        <v>69.5345557122708</v>
      </c>
      <c r="G180" s="45">
        <v>432.0</v>
      </c>
      <c r="I180" s="46">
        <f t="shared" si="1"/>
        <v>45.97651762</v>
      </c>
      <c r="J180" s="55"/>
    </row>
    <row r="181" ht="15.75" customHeight="1">
      <c r="A181" s="44">
        <v>40601.0</v>
      </c>
      <c r="B181" s="38" t="s">
        <v>222</v>
      </c>
      <c r="C181" s="38" t="s">
        <v>241</v>
      </c>
      <c r="D181" s="45">
        <v>52.69546590503391</v>
      </c>
      <c r="E181" s="45">
        <v>1325.0</v>
      </c>
      <c r="F181" s="45">
        <v>60.95804633688166</v>
      </c>
      <c r="G181" s="45">
        <v>1247.0</v>
      </c>
      <c r="I181" s="46">
        <f t="shared" si="1"/>
        <v>15.67986978</v>
      </c>
      <c r="J181" s="55"/>
    </row>
    <row r="182" ht="15.75" customHeight="1">
      <c r="A182" s="44">
        <v>40602.0</v>
      </c>
      <c r="B182" s="38" t="s">
        <v>222</v>
      </c>
      <c r="C182" s="38" t="s">
        <v>242</v>
      </c>
      <c r="D182" s="45">
        <v>60.10314111579934</v>
      </c>
      <c r="E182" s="45">
        <v>851.0</v>
      </c>
      <c r="F182" s="45">
        <v>70.85828343313374</v>
      </c>
      <c r="G182" s="45">
        <v>438.0</v>
      </c>
      <c r="I182" s="46">
        <f t="shared" si="1"/>
        <v>17.89447626</v>
      </c>
      <c r="J182" s="55"/>
    </row>
    <row r="183" ht="15.75" customHeight="1">
      <c r="A183" s="44">
        <v>40603.0</v>
      </c>
      <c r="B183" s="38" t="s">
        <v>222</v>
      </c>
      <c r="C183" s="38" t="s">
        <v>243</v>
      </c>
      <c r="D183" s="45">
        <v>50.04739336492891</v>
      </c>
      <c r="E183" s="45">
        <v>527.0</v>
      </c>
      <c r="F183" s="45">
        <v>58.14497272018706</v>
      </c>
      <c r="G183" s="45">
        <v>537.0</v>
      </c>
      <c r="I183" s="46">
        <f t="shared" si="1"/>
        <v>16.17982239</v>
      </c>
      <c r="J183" s="55"/>
    </row>
    <row r="184" ht="15.75" customHeight="1">
      <c r="A184" s="44">
        <v>40701.0</v>
      </c>
      <c r="B184" s="38" t="s">
        <v>222</v>
      </c>
      <c r="C184" s="38" t="s">
        <v>245</v>
      </c>
      <c r="D184" s="45">
        <v>39.204690288044866</v>
      </c>
      <c r="E184" s="45">
        <v>4770.0</v>
      </c>
      <c r="F184" s="45">
        <v>51.676445934618606</v>
      </c>
      <c r="G184" s="45">
        <v>3459.0</v>
      </c>
      <c r="I184" s="46">
        <f t="shared" si="1"/>
        <v>31.81189688</v>
      </c>
      <c r="J184" s="55"/>
    </row>
    <row r="185" ht="15.75" customHeight="1">
      <c r="A185" s="44">
        <v>40702.0</v>
      </c>
      <c r="B185" s="38" t="s">
        <v>222</v>
      </c>
      <c r="C185" s="38" t="s">
        <v>246</v>
      </c>
      <c r="D185" s="45">
        <v>51.39353400222966</v>
      </c>
      <c r="E185" s="45">
        <v>872.0</v>
      </c>
      <c r="F185" s="45">
        <v>62.27412957249889</v>
      </c>
      <c r="G185" s="45">
        <v>856.0</v>
      </c>
      <c r="I185" s="46">
        <f t="shared" si="1"/>
        <v>21.17113715</v>
      </c>
      <c r="J185" s="55"/>
    </row>
    <row r="186" ht="15.75" customHeight="1">
      <c r="A186" s="44">
        <v>40801.0</v>
      </c>
      <c r="B186" s="38" t="s">
        <v>222</v>
      </c>
      <c r="C186" s="38" t="s">
        <v>507</v>
      </c>
      <c r="D186" s="45">
        <v>71.93331674545908</v>
      </c>
      <c r="E186" s="45">
        <v>1128.0</v>
      </c>
      <c r="F186" s="45">
        <v>72.2861250898634</v>
      </c>
      <c r="G186" s="45">
        <v>1542.0</v>
      </c>
      <c r="I186" s="46">
        <f t="shared" si="1"/>
        <v>0.4904658375</v>
      </c>
      <c r="J186" s="55"/>
    </row>
    <row r="187" ht="15.75" customHeight="1">
      <c r="A187" s="44">
        <v>40802.0</v>
      </c>
      <c r="B187" s="38" t="s">
        <v>222</v>
      </c>
      <c r="C187" s="38" t="s">
        <v>249</v>
      </c>
      <c r="D187" s="45">
        <v>57.49741468459152</v>
      </c>
      <c r="E187" s="45">
        <v>411.0</v>
      </c>
      <c r="F187" s="45">
        <v>71.08108108108108</v>
      </c>
      <c r="G187" s="45">
        <v>321.0</v>
      </c>
      <c r="I187" s="46">
        <f t="shared" si="1"/>
        <v>23.62482987</v>
      </c>
      <c r="J187" s="55"/>
    </row>
    <row r="188" ht="15.75" customHeight="1">
      <c r="A188" s="44">
        <v>40901.0</v>
      </c>
      <c r="B188" s="38" t="s">
        <v>222</v>
      </c>
      <c r="C188" s="38" t="s">
        <v>250</v>
      </c>
      <c r="D188" s="45">
        <v>47.95454545454545</v>
      </c>
      <c r="E188" s="45">
        <v>1374.0</v>
      </c>
      <c r="F188" s="45">
        <v>68.88848528877588</v>
      </c>
      <c r="G188" s="45">
        <v>1713.0</v>
      </c>
      <c r="I188" s="46">
        <f t="shared" si="1"/>
        <v>43.6537134</v>
      </c>
      <c r="J188" s="55"/>
    </row>
    <row r="189" ht="15.75" customHeight="1">
      <c r="A189" s="44">
        <v>40902.0</v>
      </c>
      <c r="B189" s="38" t="s">
        <v>222</v>
      </c>
      <c r="C189" s="38" t="s">
        <v>251</v>
      </c>
      <c r="D189" s="45">
        <v>50.17667844522968</v>
      </c>
      <c r="E189" s="45">
        <v>141.0</v>
      </c>
      <c r="F189" s="45">
        <v>56.018518518518526</v>
      </c>
      <c r="G189" s="45">
        <v>190.0</v>
      </c>
      <c r="I189" s="46">
        <f t="shared" si="1"/>
        <v>11.64254043</v>
      </c>
      <c r="J189" s="55"/>
    </row>
    <row r="190" ht="15.75" customHeight="1">
      <c r="A190" s="44">
        <v>40903.0</v>
      </c>
      <c r="B190" s="38" t="s">
        <v>222</v>
      </c>
      <c r="C190" s="38" t="s">
        <v>508</v>
      </c>
      <c r="D190" s="45">
        <v>47.269890795631824</v>
      </c>
      <c r="E190" s="45">
        <v>338.0</v>
      </c>
      <c r="F190" s="45">
        <v>58.50515463917526</v>
      </c>
      <c r="G190" s="45">
        <v>322.0</v>
      </c>
      <c r="I190" s="46">
        <f t="shared" si="1"/>
        <v>23.76833044</v>
      </c>
      <c r="J190" s="55"/>
    </row>
    <row r="191" ht="15.75" customHeight="1">
      <c r="A191" s="44">
        <v>41001.0</v>
      </c>
      <c r="B191" s="38" t="s">
        <v>222</v>
      </c>
      <c r="C191" s="38" t="s">
        <v>254</v>
      </c>
      <c r="D191" s="45">
        <v>69.37299035369774</v>
      </c>
      <c r="E191" s="45">
        <v>1143.0</v>
      </c>
      <c r="F191" s="45">
        <v>76.42810242941562</v>
      </c>
      <c r="G191" s="45">
        <v>1077.0</v>
      </c>
      <c r="I191" s="46">
        <f t="shared" si="1"/>
        <v>10.16982552</v>
      </c>
      <c r="J191" s="55"/>
    </row>
    <row r="192" ht="15.75" customHeight="1">
      <c r="A192" s="44">
        <v>41101.0</v>
      </c>
      <c r="B192" s="38" t="s">
        <v>222</v>
      </c>
      <c r="C192" s="38" t="s">
        <v>256</v>
      </c>
      <c r="D192" s="45">
        <v>61.958874458874455</v>
      </c>
      <c r="E192" s="45">
        <v>703.0</v>
      </c>
      <c r="F192" s="45">
        <v>72.86089238845145</v>
      </c>
      <c r="G192" s="45">
        <v>517.0</v>
      </c>
      <c r="I192" s="46">
        <f t="shared" si="1"/>
        <v>17.5955713</v>
      </c>
      <c r="J192" s="55"/>
    </row>
    <row r="193" ht="15.75" customHeight="1">
      <c r="A193" s="44">
        <v>41201.0</v>
      </c>
      <c r="B193" s="38" t="s">
        <v>222</v>
      </c>
      <c r="C193" s="38" t="s">
        <v>509</v>
      </c>
      <c r="D193" s="45">
        <v>60.0</v>
      </c>
      <c r="E193" s="45">
        <v>794.0</v>
      </c>
      <c r="F193" s="45">
        <v>74.37943262411348</v>
      </c>
      <c r="G193" s="45">
        <v>578.0</v>
      </c>
      <c r="I193" s="46">
        <f t="shared" si="1"/>
        <v>23.96572104</v>
      </c>
      <c r="J193" s="55"/>
    </row>
    <row r="194" ht="15.75" customHeight="1">
      <c r="A194" s="44">
        <v>41202.0</v>
      </c>
      <c r="B194" s="38" t="s">
        <v>222</v>
      </c>
      <c r="C194" s="38" t="s">
        <v>259</v>
      </c>
      <c r="D194" s="45">
        <v>65.00691562932226</v>
      </c>
      <c r="E194" s="45">
        <v>253.0</v>
      </c>
      <c r="F194" s="45">
        <v>76.83823529411765</v>
      </c>
      <c r="G194" s="45">
        <v>252.0</v>
      </c>
      <c r="I194" s="46">
        <f t="shared" si="1"/>
        <v>18.20009387</v>
      </c>
      <c r="J194" s="55"/>
    </row>
    <row r="195" ht="15.75" customHeight="1">
      <c r="A195" s="44">
        <v>41301.0</v>
      </c>
      <c r="B195" s="38" t="s">
        <v>222</v>
      </c>
      <c r="C195" s="38" t="s">
        <v>260</v>
      </c>
      <c r="D195" s="45">
        <v>69.0841715193224</v>
      </c>
      <c r="E195" s="45">
        <v>584.0</v>
      </c>
      <c r="F195" s="45">
        <v>80.14343343792022</v>
      </c>
      <c r="G195" s="45">
        <v>443.0</v>
      </c>
      <c r="I195" s="46">
        <f t="shared" si="1"/>
        <v>16.00838756</v>
      </c>
      <c r="J195" s="55"/>
    </row>
    <row r="196" ht="15.75" customHeight="1">
      <c r="A196" s="44">
        <v>41401.0</v>
      </c>
      <c r="B196" s="38" t="s">
        <v>222</v>
      </c>
      <c r="C196" s="38" t="s">
        <v>262</v>
      </c>
      <c r="D196" s="45">
        <v>61.669699727024565</v>
      </c>
      <c r="E196" s="45">
        <v>1685.0</v>
      </c>
      <c r="F196" s="45">
        <v>69.15012268570155</v>
      </c>
      <c r="G196" s="45">
        <v>1383.0</v>
      </c>
      <c r="I196" s="46">
        <f t="shared" si="1"/>
        <v>12.12981901</v>
      </c>
      <c r="J196" s="55"/>
    </row>
    <row r="197" ht="15.75" customHeight="1">
      <c r="A197" s="44">
        <v>41501.0</v>
      </c>
      <c r="B197" s="38" t="s">
        <v>222</v>
      </c>
      <c r="C197" s="38" t="s">
        <v>264</v>
      </c>
      <c r="D197" s="45">
        <v>63.33333333333333</v>
      </c>
      <c r="E197" s="45">
        <v>66.0</v>
      </c>
      <c r="F197" s="45">
        <v>61.64079822616409</v>
      </c>
      <c r="G197" s="45">
        <v>173.0</v>
      </c>
      <c r="I197" s="46">
        <f t="shared" si="1"/>
        <v>-2.672423853</v>
      </c>
      <c r="J197" s="55"/>
    </row>
    <row r="198" ht="15.75" customHeight="1">
      <c r="A198" s="44">
        <v>41502.0</v>
      </c>
      <c r="B198" s="38" t="s">
        <v>222</v>
      </c>
      <c r="C198" s="38" t="s">
        <v>265</v>
      </c>
      <c r="D198" s="45">
        <v>59.375</v>
      </c>
      <c r="E198" s="45">
        <v>91.0</v>
      </c>
      <c r="F198" s="45">
        <v>70.49180327868852</v>
      </c>
      <c r="G198" s="45">
        <v>108.0</v>
      </c>
      <c r="I198" s="46">
        <f t="shared" si="1"/>
        <v>18.7230371</v>
      </c>
      <c r="J198" s="55"/>
    </row>
    <row r="199" ht="15.75" customHeight="1">
      <c r="A199" s="44">
        <v>41503.0</v>
      </c>
      <c r="B199" s="38" t="s">
        <v>222</v>
      </c>
      <c r="C199" s="38" t="s">
        <v>229</v>
      </c>
      <c r="D199" s="45">
        <v>51.83946488294314</v>
      </c>
      <c r="E199" s="45">
        <v>144.0</v>
      </c>
      <c r="F199" s="45">
        <v>69.9228791773779</v>
      </c>
      <c r="G199" s="45">
        <v>117.0</v>
      </c>
      <c r="I199" s="46">
        <f t="shared" si="1"/>
        <v>34.88348951</v>
      </c>
      <c r="J199" s="55"/>
    </row>
    <row r="200" ht="15.75" customHeight="1">
      <c r="A200" s="44">
        <v>41601.0</v>
      </c>
      <c r="B200" s="38" t="s">
        <v>222</v>
      </c>
      <c r="C200" s="38" t="s">
        <v>510</v>
      </c>
      <c r="D200" s="45">
        <v>67.3202614379085</v>
      </c>
      <c r="E200" s="45">
        <v>650.0</v>
      </c>
      <c r="F200" s="45">
        <v>79.19890760127446</v>
      </c>
      <c r="G200" s="45">
        <v>457.0</v>
      </c>
      <c r="I200" s="46">
        <f t="shared" si="1"/>
        <v>17.64497925</v>
      </c>
      <c r="J200" s="55"/>
    </row>
    <row r="201" ht="15.75" customHeight="1">
      <c r="A201" s="44">
        <v>50101.0</v>
      </c>
      <c r="B201" s="38" t="s">
        <v>268</v>
      </c>
      <c r="C201" s="38" t="s">
        <v>268</v>
      </c>
      <c r="D201" s="45">
        <v>43.35034524166917</v>
      </c>
      <c r="E201" s="45">
        <v>39627.0</v>
      </c>
      <c r="F201" s="45">
        <v>56.07840293890178</v>
      </c>
      <c r="G201" s="45">
        <v>36346.0</v>
      </c>
      <c r="I201" s="46">
        <f t="shared" si="1"/>
        <v>29.36091426</v>
      </c>
      <c r="J201" s="55"/>
    </row>
    <row r="202" ht="15.75" customHeight="1">
      <c r="A202" s="44">
        <v>50102.0</v>
      </c>
      <c r="B202" s="38" t="s">
        <v>268</v>
      </c>
      <c r="C202" s="38" t="s">
        <v>270</v>
      </c>
      <c r="D202" s="45">
        <v>57.95718654434251</v>
      </c>
      <c r="E202" s="45">
        <v>3437.0</v>
      </c>
      <c r="F202" s="45">
        <v>71.02698650674662</v>
      </c>
      <c r="G202" s="45">
        <v>2319.0</v>
      </c>
      <c r="I202" s="46">
        <f t="shared" si="1"/>
        <v>22.55078402</v>
      </c>
      <c r="J202" s="55"/>
    </row>
    <row r="203" ht="15.75" customHeight="1">
      <c r="A203" s="44">
        <v>50103.0</v>
      </c>
      <c r="B203" s="38" t="s">
        <v>268</v>
      </c>
      <c r="C203" s="38" t="s">
        <v>271</v>
      </c>
      <c r="D203" s="45">
        <v>52.875695732838594</v>
      </c>
      <c r="E203" s="45">
        <v>1524.0</v>
      </c>
      <c r="F203" s="45">
        <v>68.77272727272728</v>
      </c>
      <c r="G203" s="45">
        <v>1374.0</v>
      </c>
      <c r="I203" s="46">
        <f t="shared" si="1"/>
        <v>30.06491228</v>
      </c>
      <c r="J203" s="55"/>
    </row>
    <row r="204" ht="15.75" customHeight="1">
      <c r="A204" s="44">
        <v>50104.0</v>
      </c>
      <c r="B204" s="38" t="s">
        <v>268</v>
      </c>
      <c r="C204" s="38" t="s">
        <v>511</v>
      </c>
      <c r="D204" s="45">
        <v>57.091775923718714</v>
      </c>
      <c r="E204" s="45">
        <v>360.0</v>
      </c>
      <c r="F204" s="45">
        <v>72.1868365180467</v>
      </c>
      <c r="G204" s="45">
        <v>262.0</v>
      </c>
      <c r="I204" s="46">
        <f t="shared" si="1"/>
        <v>26.43999131</v>
      </c>
      <c r="J204" s="55"/>
    </row>
    <row r="205" ht="15.75" customHeight="1">
      <c r="A205" s="44">
        <v>50201.0</v>
      </c>
      <c r="B205" s="38" t="s">
        <v>268</v>
      </c>
      <c r="C205" s="38" t="s">
        <v>274</v>
      </c>
      <c r="D205" s="45">
        <v>53.53776715783884</v>
      </c>
      <c r="E205" s="45">
        <v>3500.0</v>
      </c>
      <c r="F205" s="45">
        <v>68.19650937297996</v>
      </c>
      <c r="G205" s="45">
        <v>2460.0</v>
      </c>
      <c r="I205" s="46">
        <f t="shared" si="1"/>
        <v>27.38018971</v>
      </c>
      <c r="J205" s="55"/>
    </row>
    <row r="206" ht="15.75" customHeight="1">
      <c r="A206" s="44">
        <v>50202.0</v>
      </c>
      <c r="B206" s="38" t="s">
        <v>268</v>
      </c>
      <c r="C206" s="38" t="s">
        <v>275</v>
      </c>
      <c r="D206" s="45">
        <v>59.31636633847297</v>
      </c>
      <c r="E206" s="45">
        <v>2190.0</v>
      </c>
      <c r="F206" s="45">
        <v>70.2416918429003</v>
      </c>
      <c r="G206" s="45">
        <v>1576.0</v>
      </c>
      <c r="I206" s="46">
        <f t="shared" si="1"/>
        <v>18.41873698</v>
      </c>
      <c r="J206" s="55"/>
    </row>
    <row r="207" ht="15.75" customHeight="1">
      <c r="A207" s="44">
        <v>50203.0</v>
      </c>
      <c r="B207" s="38" t="s">
        <v>268</v>
      </c>
      <c r="C207" s="38" t="s">
        <v>276</v>
      </c>
      <c r="D207" s="45">
        <v>47.00657671706556</v>
      </c>
      <c r="E207" s="45">
        <v>7816.0</v>
      </c>
      <c r="F207" s="45">
        <v>58.337429343819124</v>
      </c>
      <c r="G207" s="45">
        <v>6781.0</v>
      </c>
      <c r="I207" s="46">
        <f t="shared" si="1"/>
        <v>24.10482409</v>
      </c>
      <c r="J207" s="55"/>
    </row>
    <row r="208" ht="15.75" customHeight="1">
      <c r="A208" s="44">
        <v>50204.0</v>
      </c>
      <c r="B208" s="38" t="s">
        <v>268</v>
      </c>
      <c r="C208" s="38" t="s">
        <v>512</v>
      </c>
      <c r="D208" s="45">
        <v>38.107416879795394</v>
      </c>
      <c r="E208" s="45">
        <v>1452.0</v>
      </c>
      <c r="F208" s="45">
        <v>58.82845188284519</v>
      </c>
      <c r="G208" s="45">
        <v>984.0</v>
      </c>
      <c r="I208" s="46">
        <f t="shared" si="1"/>
        <v>54.37533346</v>
      </c>
      <c r="J208" s="55"/>
    </row>
    <row r="209" ht="15.75" customHeight="1">
      <c r="A209" s="44">
        <v>50301.0</v>
      </c>
      <c r="B209" s="38" t="s">
        <v>268</v>
      </c>
      <c r="C209" s="38" t="s">
        <v>279</v>
      </c>
      <c r="D209" s="45">
        <v>57.936371453138435</v>
      </c>
      <c r="E209" s="45">
        <v>4892.0</v>
      </c>
      <c r="F209" s="45">
        <v>73.82023462997266</v>
      </c>
      <c r="G209" s="45">
        <v>2968.0</v>
      </c>
      <c r="I209" s="46">
        <f t="shared" si="1"/>
        <v>27.4160476</v>
      </c>
      <c r="J209" s="55"/>
    </row>
    <row r="210" ht="15.75" customHeight="1">
      <c r="A210" s="44">
        <v>50302.0</v>
      </c>
      <c r="B210" s="38" t="s">
        <v>268</v>
      </c>
      <c r="C210" s="38" t="s">
        <v>280</v>
      </c>
      <c r="D210" s="45">
        <v>50.14852822036187</v>
      </c>
      <c r="E210" s="45">
        <v>1846.0</v>
      </c>
      <c r="F210" s="45">
        <v>66.74298797939325</v>
      </c>
      <c r="G210" s="45">
        <v>1162.0</v>
      </c>
      <c r="I210" s="46">
        <f t="shared" si="1"/>
        <v>33.0906217</v>
      </c>
      <c r="J210" s="55"/>
    </row>
    <row r="211" ht="15.75" customHeight="1">
      <c r="A211" s="44">
        <v>50303.0</v>
      </c>
      <c r="B211" s="38" t="s">
        <v>268</v>
      </c>
      <c r="C211" s="38" t="s">
        <v>281</v>
      </c>
      <c r="D211" s="45">
        <v>57.46509129967776</v>
      </c>
      <c r="E211" s="45">
        <v>1584.0</v>
      </c>
      <c r="F211" s="45">
        <v>69.88390621443205</v>
      </c>
      <c r="G211" s="45">
        <v>1323.0</v>
      </c>
      <c r="I211" s="46">
        <f t="shared" si="1"/>
        <v>21.61105923</v>
      </c>
      <c r="J211" s="55"/>
    </row>
    <row r="212" ht="15.75" customHeight="1">
      <c r="A212" s="44">
        <v>50401.0</v>
      </c>
      <c r="B212" s="38" t="s">
        <v>268</v>
      </c>
      <c r="C212" s="38" t="s">
        <v>282</v>
      </c>
      <c r="D212" s="45">
        <v>56.576063130206045</v>
      </c>
      <c r="E212" s="45">
        <v>1981.0</v>
      </c>
      <c r="F212" s="45">
        <v>66.1459547680112</v>
      </c>
      <c r="G212" s="45">
        <v>1452.0</v>
      </c>
      <c r="I212" s="46">
        <f t="shared" si="1"/>
        <v>16.91508937</v>
      </c>
      <c r="J212" s="55"/>
    </row>
    <row r="213" ht="15.75" customHeight="1">
      <c r="A213" s="44">
        <v>50402.0</v>
      </c>
      <c r="B213" s="38" t="s">
        <v>268</v>
      </c>
      <c r="C213" s="38" t="s">
        <v>283</v>
      </c>
      <c r="D213" s="45">
        <v>57.98173118747282</v>
      </c>
      <c r="E213" s="45">
        <v>2898.0</v>
      </c>
      <c r="F213" s="45">
        <v>77.53532462886781</v>
      </c>
      <c r="G213" s="45">
        <v>1256.0</v>
      </c>
      <c r="I213" s="46">
        <f t="shared" si="1"/>
        <v>33.72371442</v>
      </c>
      <c r="J213" s="55"/>
    </row>
    <row r="214" ht="15.75" customHeight="1">
      <c r="A214" s="44">
        <v>50403.0</v>
      </c>
      <c r="B214" s="38" t="s">
        <v>268</v>
      </c>
      <c r="C214" s="38" t="s">
        <v>284</v>
      </c>
      <c r="D214" s="45">
        <v>56.671629824762334</v>
      </c>
      <c r="E214" s="45">
        <v>3783.0</v>
      </c>
      <c r="F214" s="45">
        <v>72.82753375166382</v>
      </c>
      <c r="G214" s="45">
        <v>2858.0</v>
      </c>
      <c r="I214" s="46">
        <f t="shared" si="1"/>
        <v>28.50792182</v>
      </c>
      <c r="J214" s="55"/>
    </row>
    <row r="215" ht="15.75" customHeight="1">
      <c r="A215" s="44">
        <v>50404.0</v>
      </c>
      <c r="B215" s="38" t="s">
        <v>268</v>
      </c>
      <c r="C215" s="38" t="s">
        <v>285</v>
      </c>
      <c r="D215" s="45">
        <v>61.83456183456183</v>
      </c>
      <c r="E215" s="45">
        <v>1864.0</v>
      </c>
      <c r="F215" s="45">
        <v>71.98127156234598</v>
      </c>
      <c r="G215" s="45">
        <v>1137.0</v>
      </c>
      <c r="I215" s="46">
        <f t="shared" si="1"/>
        <v>16.40944712</v>
      </c>
      <c r="J215" s="55"/>
    </row>
    <row r="216" ht="15.75" customHeight="1">
      <c r="A216" s="44">
        <v>50405.0</v>
      </c>
      <c r="B216" s="38" t="s">
        <v>268</v>
      </c>
      <c r="C216" s="38" t="s">
        <v>286</v>
      </c>
      <c r="D216" s="45">
        <v>60.90187468333051</v>
      </c>
      <c r="E216" s="45">
        <v>2315.0</v>
      </c>
      <c r="F216" s="45">
        <v>74.31913116123643</v>
      </c>
      <c r="G216" s="45">
        <v>1537.0</v>
      </c>
      <c r="I216" s="46">
        <f t="shared" si="1"/>
        <v>22.03094165</v>
      </c>
      <c r="J216" s="55"/>
    </row>
    <row r="217" ht="15.75" customHeight="1">
      <c r="A217" s="44">
        <v>50501.0</v>
      </c>
      <c r="B217" s="38" t="s">
        <v>268</v>
      </c>
      <c r="C217" s="38" t="s">
        <v>513</v>
      </c>
      <c r="D217" s="45">
        <v>60.417328672810086</v>
      </c>
      <c r="E217" s="45">
        <v>3737.0</v>
      </c>
      <c r="F217" s="45">
        <v>77.05353022611907</v>
      </c>
      <c r="G217" s="45">
        <v>1989.0</v>
      </c>
      <c r="I217" s="46">
        <f t="shared" si="1"/>
        <v>27.53548017</v>
      </c>
      <c r="J217" s="55"/>
    </row>
    <row r="218" ht="15.75" customHeight="1">
      <c r="A218" s="44">
        <v>50502.0</v>
      </c>
      <c r="B218" s="38" t="s">
        <v>268</v>
      </c>
      <c r="C218" s="38" t="s">
        <v>289</v>
      </c>
      <c r="D218" s="45">
        <v>53.021499128413716</v>
      </c>
      <c r="E218" s="45">
        <v>1617.0</v>
      </c>
      <c r="F218" s="45">
        <v>77.90927021696253</v>
      </c>
      <c r="G218" s="45">
        <v>784.0</v>
      </c>
      <c r="I218" s="46">
        <f t="shared" si="1"/>
        <v>46.93901813</v>
      </c>
      <c r="J218" s="55"/>
    </row>
    <row r="219" ht="15.75" customHeight="1">
      <c r="A219" s="44">
        <v>50601.0</v>
      </c>
      <c r="B219" s="38" t="s">
        <v>268</v>
      </c>
      <c r="C219" s="38" t="s">
        <v>291</v>
      </c>
      <c r="D219" s="45">
        <v>52.54593175853019</v>
      </c>
      <c r="E219" s="45">
        <v>5424.0</v>
      </c>
      <c r="F219" s="45">
        <v>69.58657767890249</v>
      </c>
      <c r="G219" s="45">
        <v>3281.0</v>
      </c>
      <c r="I219" s="46">
        <f t="shared" si="1"/>
        <v>32.43000048</v>
      </c>
      <c r="J219" s="55"/>
    </row>
    <row r="220" ht="15.75" customHeight="1">
      <c r="A220" s="44">
        <v>50602.0</v>
      </c>
      <c r="B220" s="38" t="s">
        <v>268</v>
      </c>
      <c r="C220" s="38" t="s">
        <v>292</v>
      </c>
      <c r="D220" s="45">
        <v>47.87788533134773</v>
      </c>
      <c r="E220" s="45">
        <v>2100.0</v>
      </c>
      <c r="F220" s="45">
        <v>71.08980827447023</v>
      </c>
      <c r="G220" s="45">
        <v>1146.0</v>
      </c>
      <c r="I220" s="46">
        <f t="shared" si="1"/>
        <v>48.48151246</v>
      </c>
      <c r="J220" s="55"/>
    </row>
    <row r="221" ht="15.75" customHeight="1">
      <c r="A221" s="44">
        <v>50701.0</v>
      </c>
      <c r="B221" s="38" t="s">
        <v>268</v>
      </c>
      <c r="C221" s="38" t="s">
        <v>514</v>
      </c>
      <c r="D221" s="45">
        <v>72.30987693278637</v>
      </c>
      <c r="E221" s="45">
        <v>1755.0</v>
      </c>
      <c r="F221" s="45">
        <v>79.32164193486221</v>
      </c>
      <c r="G221" s="45">
        <v>1073.0</v>
      </c>
      <c r="I221" s="46">
        <f t="shared" si="1"/>
        <v>9.696828842</v>
      </c>
      <c r="J221" s="55"/>
    </row>
    <row r="222" ht="15.75" customHeight="1">
      <c r="A222" s="44">
        <v>50702.0</v>
      </c>
      <c r="B222" s="38" t="s">
        <v>268</v>
      </c>
      <c r="C222" s="38" t="s">
        <v>295</v>
      </c>
      <c r="D222" s="45">
        <v>75.2833638025594</v>
      </c>
      <c r="E222" s="45">
        <v>676.0</v>
      </c>
      <c r="F222" s="45">
        <v>78.81548974943053</v>
      </c>
      <c r="G222" s="45">
        <v>558.0</v>
      </c>
      <c r="I222" s="46">
        <f t="shared" si="1"/>
        <v>4.691774874</v>
      </c>
      <c r="J222" s="55"/>
    </row>
    <row r="223" ht="15.75" customHeight="1">
      <c r="A223" s="44">
        <v>50801.0</v>
      </c>
      <c r="B223" s="38" t="s">
        <v>268</v>
      </c>
      <c r="C223" s="38" t="s">
        <v>297</v>
      </c>
      <c r="D223" s="45">
        <v>51.758368137521934</v>
      </c>
      <c r="E223" s="45">
        <v>7970.0</v>
      </c>
      <c r="F223" s="45">
        <v>63.24955012480409</v>
      </c>
      <c r="G223" s="45">
        <v>6331.0</v>
      </c>
      <c r="I223" s="46">
        <f t="shared" si="1"/>
        <v>22.20159252</v>
      </c>
      <c r="J223" s="55"/>
    </row>
    <row r="224" ht="15.75" customHeight="1">
      <c r="A224" s="44">
        <v>50802.0</v>
      </c>
      <c r="B224" s="38" t="s">
        <v>268</v>
      </c>
      <c r="C224" s="38" t="s">
        <v>298</v>
      </c>
      <c r="D224" s="45">
        <v>44.949776785714285</v>
      </c>
      <c r="E224" s="45">
        <v>1973.0</v>
      </c>
      <c r="F224" s="45">
        <v>54.66540999057493</v>
      </c>
      <c r="G224" s="45">
        <v>1443.0</v>
      </c>
      <c r="I224" s="46">
        <f t="shared" si="1"/>
        <v>21.61441925</v>
      </c>
      <c r="J224" s="55"/>
    </row>
    <row r="225" ht="15.75" customHeight="1">
      <c r="A225" s="44">
        <v>50901.0</v>
      </c>
      <c r="B225" s="38" t="s">
        <v>268</v>
      </c>
      <c r="C225" s="38" t="s">
        <v>515</v>
      </c>
      <c r="D225" s="45">
        <v>54.024452368823226</v>
      </c>
      <c r="E225" s="45">
        <v>1805.0</v>
      </c>
      <c r="F225" s="45">
        <v>64.73029045643153</v>
      </c>
      <c r="G225" s="45">
        <v>1445.0</v>
      </c>
      <c r="I225" s="46">
        <f t="shared" si="1"/>
        <v>19.81665268</v>
      </c>
      <c r="J225" s="55"/>
    </row>
    <row r="226" ht="15.75" customHeight="1">
      <c r="A226" s="44">
        <v>50902.0</v>
      </c>
      <c r="B226" s="38" t="s">
        <v>268</v>
      </c>
      <c r="C226" s="38" t="s">
        <v>301</v>
      </c>
      <c r="D226" s="45">
        <v>68.80466472303208</v>
      </c>
      <c r="E226" s="45">
        <v>107.0</v>
      </c>
      <c r="F226" s="45">
        <v>68.64864864864865</v>
      </c>
      <c r="G226" s="45">
        <v>174.0</v>
      </c>
      <c r="I226" s="46">
        <f t="shared" si="1"/>
        <v>-0.2267521759</v>
      </c>
      <c r="J226" s="55"/>
    </row>
    <row r="227" ht="15.75" customHeight="1">
      <c r="A227" s="44">
        <v>51001.0</v>
      </c>
      <c r="B227" s="38" t="s">
        <v>268</v>
      </c>
      <c r="C227" s="38" t="s">
        <v>516</v>
      </c>
      <c r="D227" s="45">
        <v>57.11462450592886</v>
      </c>
      <c r="E227" s="45">
        <v>434.0</v>
      </c>
      <c r="F227" s="45">
        <v>68.48364717542121</v>
      </c>
      <c r="G227" s="45">
        <v>318.0</v>
      </c>
      <c r="I227" s="46">
        <f t="shared" si="1"/>
        <v>19.90562447</v>
      </c>
      <c r="J227" s="55"/>
    </row>
    <row r="228" ht="15.75" customHeight="1">
      <c r="A228" s="44">
        <v>51002.0</v>
      </c>
      <c r="B228" s="38" t="s">
        <v>268</v>
      </c>
      <c r="C228" s="38" t="s">
        <v>304</v>
      </c>
      <c r="D228" s="45">
        <v>26.303317535545023</v>
      </c>
      <c r="E228" s="45">
        <v>311.0</v>
      </c>
      <c r="F228" s="45">
        <v>69.48228882833789</v>
      </c>
      <c r="G228" s="45">
        <v>112.0</v>
      </c>
      <c r="I228" s="46">
        <f t="shared" si="1"/>
        <v>164.1578909</v>
      </c>
      <c r="J228" s="55"/>
    </row>
    <row r="229" ht="15.75" customHeight="1">
      <c r="A229" s="44">
        <v>51003.0</v>
      </c>
      <c r="B229" s="38" t="s">
        <v>268</v>
      </c>
      <c r="C229" s="38" t="s">
        <v>305</v>
      </c>
      <c r="D229" s="45">
        <v>58.31099195710456</v>
      </c>
      <c r="E229" s="45">
        <v>311.0</v>
      </c>
      <c r="F229" s="45">
        <v>57.45614035087719</v>
      </c>
      <c r="G229" s="45">
        <v>291.0</v>
      </c>
      <c r="I229" s="46">
        <f t="shared" si="1"/>
        <v>-1.466021375</v>
      </c>
      <c r="J229" s="55"/>
    </row>
    <row r="230" ht="15.75" customHeight="1">
      <c r="A230" s="44">
        <v>51101.0</v>
      </c>
      <c r="B230" s="38" t="s">
        <v>268</v>
      </c>
      <c r="C230" s="38" t="s">
        <v>307</v>
      </c>
      <c r="D230" s="45">
        <v>53.87830362630609</v>
      </c>
      <c r="E230" s="45">
        <v>3752.0</v>
      </c>
      <c r="F230" s="45">
        <v>73.84248210023866</v>
      </c>
      <c r="G230" s="45">
        <v>1644.0</v>
      </c>
      <c r="I230" s="46">
        <f t="shared" si="1"/>
        <v>37.05420759</v>
      </c>
      <c r="J230" s="55"/>
    </row>
    <row r="231" ht="15.75" customHeight="1">
      <c r="A231" s="44">
        <v>51102.0</v>
      </c>
      <c r="B231" s="38" t="s">
        <v>268</v>
      </c>
      <c r="C231" s="38" t="s">
        <v>308</v>
      </c>
      <c r="D231" s="45">
        <v>50.13428827215757</v>
      </c>
      <c r="E231" s="45">
        <v>2228.0</v>
      </c>
      <c r="F231" s="45">
        <v>63.76224968044312</v>
      </c>
      <c r="G231" s="45">
        <v>1701.0</v>
      </c>
      <c r="I231" s="46">
        <f t="shared" si="1"/>
        <v>27.18291588</v>
      </c>
      <c r="J231" s="55"/>
    </row>
    <row r="232" ht="15.75" customHeight="1">
      <c r="A232" s="44">
        <v>51103.0</v>
      </c>
      <c r="B232" s="38" t="s">
        <v>268</v>
      </c>
      <c r="C232" s="38" t="s">
        <v>309</v>
      </c>
      <c r="D232" s="45">
        <v>54.43474731073675</v>
      </c>
      <c r="E232" s="45">
        <v>2245.0</v>
      </c>
      <c r="F232" s="45">
        <v>74.21774539219889</v>
      </c>
      <c r="G232" s="45">
        <v>1203.0</v>
      </c>
      <c r="I232" s="46">
        <f t="shared" si="1"/>
        <v>36.34259193</v>
      </c>
      <c r="J232" s="55"/>
    </row>
    <row r="233" ht="15.75" customHeight="1">
      <c r="A233" s="44">
        <v>51201.0</v>
      </c>
      <c r="B233" s="38" t="s">
        <v>268</v>
      </c>
      <c r="C233" s="38" t="s">
        <v>311</v>
      </c>
      <c r="D233" s="45">
        <v>55.27902747200153</v>
      </c>
      <c r="E233" s="45">
        <v>4672.0</v>
      </c>
      <c r="F233" s="45">
        <v>66.38714733542321</v>
      </c>
      <c r="G233" s="45">
        <v>4289.0</v>
      </c>
      <c r="I233" s="46">
        <f t="shared" si="1"/>
        <v>20.09463692</v>
      </c>
      <c r="J233" s="55"/>
    </row>
    <row r="234" ht="15.75" customHeight="1">
      <c r="A234" s="44">
        <v>51202.0</v>
      </c>
      <c r="B234" s="38" t="s">
        <v>268</v>
      </c>
      <c r="C234" s="38" t="s">
        <v>312</v>
      </c>
      <c r="D234" s="45">
        <v>53.15518351577592</v>
      </c>
      <c r="E234" s="45">
        <v>1455.0</v>
      </c>
      <c r="F234" s="45">
        <v>69.87315010570825</v>
      </c>
      <c r="G234" s="45">
        <v>855.0</v>
      </c>
      <c r="I234" s="46">
        <f t="shared" si="1"/>
        <v>31.45124423</v>
      </c>
      <c r="J234" s="55"/>
    </row>
    <row r="235" ht="15.75" customHeight="1">
      <c r="A235" s="44">
        <v>51203.0</v>
      </c>
      <c r="B235" s="38" t="s">
        <v>268</v>
      </c>
      <c r="C235" s="38" t="s">
        <v>313</v>
      </c>
      <c r="D235" s="45">
        <v>28.14723167336839</v>
      </c>
      <c r="E235" s="45">
        <v>2323.0</v>
      </c>
      <c r="F235" s="45">
        <v>52.625596726528755</v>
      </c>
      <c r="G235" s="45">
        <v>2084.0</v>
      </c>
      <c r="I235" s="46">
        <f t="shared" si="1"/>
        <v>86.96544419</v>
      </c>
      <c r="J235" s="55"/>
    </row>
    <row r="236" ht="15.75" customHeight="1">
      <c r="A236" s="44">
        <v>51204.0</v>
      </c>
      <c r="B236" s="38" t="s">
        <v>268</v>
      </c>
      <c r="C236" s="38" t="s">
        <v>314</v>
      </c>
      <c r="D236" s="45">
        <v>49.70731707317073</v>
      </c>
      <c r="E236" s="45">
        <v>1031.0</v>
      </c>
      <c r="F236" s="45">
        <v>68.19656930922578</v>
      </c>
      <c r="G236" s="45">
        <v>686.0</v>
      </c>
      <c r="I236" s="46">
        <f t="shared" si="1"/>
        <v>37.19623855</v>
      </c>
      <c r="J236" s="55"/>
    </row>
    <row r="237" ht="15.75" customHeight="1">
      <c r="A237" s="44">
        <v>51301.0</v>
      </c>
      <c r="B237" s="38" t="s">
        <v>268</v>
      </c>
      <c r="C237" s="38" t="s">
        <v>316</v>
      </c>
      <c r="D237" s="45">
        <v>55.44401544401545</v>
      </c>
      <c r="E237" s="45">
        <v>577.0</v>
      </c>
      <c r="F237" s="45">
        <v>80.95238095238095</v>
      </c>
      <c r="G237" s="45">
        <v>224.0</v>
      </c>
      <c r="I237" s="46">
        <f t="shared" si="1"/>
        <v>46.00742804</v>
      </c>
      <c r="J237" s="55"/>
    </row>
    <row r="238" ht="15.75" customHeight="1">
      <c r="A238" s="44">
        <v>51302.0</v>
      </c>
      <c r="B238" s="38" t="s">
        <v>268</v>
      </c>
      <c r="C238" s="38" t="s">
        <v>317</v>
      </c>
      <c r="D238" s="45">
        <v>51.6243654822335</v>
      </c>
      <c r="E238" s="45">
        <v>953.0</v>
      </c>
      <c r="F238" s="45">
        <v>81.42041851616995</v>
      </c>
      <c r="G238" s="45">
        <v>293.0</v>
      </c>
      <c r="I238" s="46">
        <f t="shared" si="1"/>
        <v>57.71703488</v>
      </c>
      <c r="J238" s="55"/>
    </row>
    <row r="239" ht="15.75" customHeight="1">
      <c r="A239" s="44">
        <v>51401.0</v>
      </c>
      <c r="B239" s="38" t="s">
        <v>268</v>
      </c>
      <c r="C239" s="38" t="s">
        <v>319</v>
      </c>
      <c r="D239" s="45">
        <v>68.93408134642355</v>
      </c>
      <c r="E239" s="45">
        <v>443.0</v>
      </c>
      <c r="F239" s="45">
        <v>65.94911937377691</v>
      </c>
      <c r="G239" s="45">
        <v>522.0</v>
      </c>
      <c r="I239" s="46">
        <f t="shared" si="1"/>
        <v>-4.33016864</v>
      </c>
      <c r="J239" s="55"/>
    </row>
    <row r="240" ht="15.75" customHeight="1">
      <c r="A240" s="44">
        <v>51402.0</v>
      </c>
      <c r="B240" s="38" t="s">
        <v>268</v>
      </c>
      <c r="C240" s="38" t="s">
        <v>320</v>
      </c>
      <c r="D240" s="45">
        <v>62.563237774030355</v>
      </c>
      <c r="E240" s="45">
        <v>222.0</v>
      </c>
      <c r="F240" s="45">
        <v>68.61702127659575</v>
      </c>
      <c r="G240" s="45">
        <v>177.0</v>
      </c>
      <c r="I240" s="46">
        <f t="shared" si="1"/>
        <v>9.676263119</v>
      </c>
      <c r="J240" s="55"/>
    </row>
    <row r="241" ht="15.75" customHeight="1">
      <c r="A241" s="44">
        <v>51501.0</v>
      </c>
      <c r="B241" s="38" t="s">
        <v>268</v>
      </c>
      <c r="C241" s="38" t="s">
        <v>322</v>
      </c>
      <c r="D241" s="45">
        <v>55.265051571120175</v>
      </c>
      <c r="E241" s="45">
        <v>7460.0</v>
      </c>
      <c r="F241" s="45">
        <v>66.34751387226635</v>
      </c>
      <c r="G241" s="45">
        <v>6186.0</v>
      </c>
      <c r="I241" s="46">
        <f t="shared" si="1"/>
        <v>20.05329225</v>
      </c>
      <c r="J241" s="55"/>
    </row>
    <row r="242" ht="15.75" customHeight="1">
      <c r="A242" s="44">
        <v>51601.0</v>
      </c>
      <c r="B242" s="38" t="s">
        <v>268</v>
      </c>
      <c r="C242" s="38" t="s">
        <v>324</v>
      </c>
      <c r="D242" s="45">
        <v>57.647058823529406</v>
      </c>
      <c r="E242" s="45">
        <v>252.0</v>
      </c>
      <c r="F242" s="45">
        <v>61.71875</v>
      </c>
      <c r="G242" s="45">
        <v>294.0</v>
      </c>
      <c r="I242" s="46">
        <f t="shared" si="1"/>
        <v>7.063137755</v>
      </c>
      <c r="J242" s="55"/>
    </row>
    <row r="243" ht="15.75" customHeight="1">
      <c r="A243" s="44">
        <v>60101.0</v>
      </c>
      <c r="B243" s="38" t="s">
        <v>325</v>
      </c>
      <c r="C243" s="38" t="s">
        <v>325</v>
      </c>
      <c r="D243" s="45">
        <v>55.02318584730907</v>
      </c>
      <c r="E243" s="45">
        <v>36178.0</v>
      </c>
      <c r="F243" s="45">
        <v>64.3473181093999</v>
      </c>
      <c r="G243" s="45">
        <v>33567.0</v>
      </c>
      <c r="I243" s="46">
        <f t="shared" si="1"/>
        <v>16.94582405</v>
      </c>
      <c r="J243" s="55"/>
    </row>
    <row r="244" ht="15.75" customHeight="1">
      <c r="A244" s="44">
        <v>60201.0</v>
      </c>
      <c r="B244" s="38" t="s">
        <v>325</v>
      </c>
      <c r="C244" s="38" t="s">
        <v>327</v>
      </c>
      <c r="D244" s="45">
        <v>52.91756715035505</v>
      </c>
      <c r="E244" s="45">
        <v>3050.0</v>
      </c>
      <c r="F244" s="45">
        <v>67.41185296324082</v>
      </c>
      <c r="G244" s="45">
        <v>2172.0</v>
      </c>
      <c r="I244" s="46">
        <f t="shared" si="1"/>
        <v>27.39031024</v>
      </c>
      <c r="J244" s="55"/>
    </row>
    <row r="245" ht="15.75" customHeight="1">
      <c r="A245" s="44">
        <v>60202.0</v>
      </c>
      <c r="B245" s="38" t="s">
        <v>325</v>
      </c>
      <c r="C245" s="38" t="s">
        <v>328</v>
      </c>
      <c r="D245" s="45">
        <v>58.02936996684036</v>
      </c>
      <c r="E245" s="45">
        <v>5316.0</v>
      </c>
      <c r="F245" s="45">
        <v>64.65455069955286</v>
      </c>
      <c r="G245" s="45">
        <v>4901.0</v>
      </c>
      <c r="I245" s="46">
        <f t="shared" si="1"/>
        <v>11.4169441</v>
      </c>
      <c r="J245" s="55"/>
    </row>
    <row r="246" ht="15.75" customHeight="1">
      <c r="A246" s="44">
        <v>60301.0</v>
      </c>
      <c r="B246" s="38" t="s">
        <v>325</v>
      </c>
      <c r="C246" s="38" t="s">
        <v>330</v>
      </c>
      <c r="D246" s="45">
        <v>50.881388148011894</v>
      </c>
      <c r="E246" s="45">
        <v>16022.0</v>
      </c>
      <c r="F246" s="45">
        <v>62.51928461230787</v>
      </c>
      <c r="G246" s="45">
        <v>13119.0</v>
      </c>
      <c r="I246" s="46">
        <f t="shared" si="1"/>
        <v>22.87260015</v>
      </c>
      <c r="J246" s="55"/>
    </row>
    <row r="247" ht="15.75" customHeight="1">
      <c r="A247" s="44">
        <v>60302.0</v>
      </c>
      <c r="B247" s="38" t="s">
        <v>325</v>
      </c>
      <c r="C247" s="38" t="s">
        <v>331</v>
      </c>
      <c r="D247" s="45">
        <v>50.22563176895307</v>
      </c>
      <c r="E247" s="45">
        <v>2206.0</v>
      </c>
      <c r="F247" s="45">
        <v>64.33962264150944</v>
      </c>
      <c r="G247" s="45">
        <v>1890.0</v>
      </c>
      <c r="I247" s="46">
        <f t="shared" si="1"/>
        <v>28.1011714</v>
      </c>
      <c r="J247" s="55"/>
    </row>
    <row r="248" ht="15.75" customHeight="1">
      <c r="A248" s="44">
        <v>60303.0</v>
      </c>
      <c r="B248" s="38" t="s">
        <v>325</v>
      </c>
      <c r="C248" s="38" t="s">
        <v>332</v>
      </c>
      <c r="D248" s="45">
        <v>51.09478104379124</v>
      </c>
      <c r="E248" s="45">
        <v>6522.0</v>
      </c>
      <c r="F248" s="45">
        <v>61.26718863083097</v>
      </c>
      <c r="G248" s="45">
        <v>5887.0</v>
      </c>
      <c r="I248" s="46">
        <f t="shared" si="1"/>
        <v>19.9088975</v>
      </c>
      <c r="J248" s="55"/>
    </row>
    <row r="249" ht="15.75" customHeight="1">
      <c r="A249" s="44">
        <v>60401.0</v>
      </c>
      <c r="B249" s="38" t="s">
        <v>325</v>
      </c>
      <c r="C249" s="38" t="s">
        <v>334</v>
      </c>
      <c r="D249" s="45">
        <v>62.916209293816316</v>
      </c>
      <c r="E249" s="45">
        <v>2027.0</v>
      </c>
      <c r="F249" s="45">
        <v>68.33140400198445</v>
      </c>
      <c r="G249" s="45">
        <v>1915.0</v>
      </c>
      <c r="I249" s="46">
        <f t="shared" si="1"/>
        <v>8.606994555</v>
      </c>
      <c r="J249" s="55"/>
    </row>
    <row r="250" ht="15.75" customHeight="1">
      <c r="A250" s="44">
        <v>60402.0</v>
      </c>
      <c r="B250" s="38" t="s">
        <v>325</v>
      </c>
      <c r="C250" s="38" t="s">
        <v>335</v>
      </c>
      <c r="D250" s="45">
        <v>62.12765957446808</v>
      </c>
      <c r="E250" s="45">
        <v>712.0</v>
      </c>
      <c r="F250" s="45">
        <v>72.45714285714286</v>
      </c>
      <c r="G250" s="45">
        <v>482.0</v>
      </c>
      <c r="I250" s="46">
        <f t="shared" si="1"/>
        <v>16.62622309</v>
      </c>
      <c r="J250" s="55"/>
    </row>
    <row r="251" ht="15.75" customHeight="1">
      <c r="A251" s="44">
        <v>60501.0</v>
      </c>
      <c r="B251" s="38" t="s">
        <v>325</v>
      </c>
      <c r="C251" s="38" t="s">
        <v>517</v>
      </c>
      <c r="D251" s="45">
        <v>57.39288555517672</v>
      </c>
      <c r="E251" s="45">
        <v>3749.0</v>
      </c>
      <c r="F251" s="45">
        <v>68.8121357559136</v>
      </c>
      <c r="G251" s="45">
        <v>3639.0</v>
      </c>
      <c r="I251" s="46">
        <f t="shared" si="1"/>
        <v>19.8966302</v>
      </c>
      <c r="J251" s="55"/>
    </row>
    <row r="252" ht="15.75" customHeight="1">
      <c r="A252" s="44">
        <v>60502.0</v>
      </c>
      <c r="B252" s="38" t="s">
        <v>325</v>
      </c>
      <c r="C252" s="38" t="s">
        <v>338</v>
      </c>
      <c r="D252" s="45">
        <v>48.85156828846629</v>
      </c>
      <c r="E252" s="45">
        <v>2071.0</v>
      </c>
      <c r="F252" s="45">
        <v>71.89174705251877</v>
      </c>
      <c r="G252" s="45">
        <v>1049.0</v>
      </c>
      <c r="I252" s="46">
        <f t="shared" si="1"/>
        <v>47.16364197</v>
      </c>
      <c r="J252" s="55"/>
    </row>
    <row r="253" ht="15.75" customHeight="1">
      <c r="A253" s="44">
        <v>60601.0</v>
      </c>
      <c r="B253" s="38" t="s">
        <v>325</v>
      </c>
      <c r="C253" s="38" t="s">
        <v>209</v>
      </c>
      <c r="D253" s="45">
        <v>48.41044564291796</v>
      </c>
      <c r="E253" s="45">
        <v>3635.0</v>
      </c>
      <c r="F253" s="45">
        <v>67.43144935646335</v>
      </c>
      <c r="G253" s="45">
        <v>2328.0</v>
      </c>
      <c r="I253" s="46">
        <f t="shared" si="1"/>
        <v>39.29111468</v>
      </c>
      <c r="J253" s="55"/>
    </row>
    <row r="254" ht="15.75" customHeight="1">
      <c r="A254" s="44">
        <v>70101.0</v>
      </c>
      <c r="B254" s="38" t="s">
        <v>340</v>
      </c>
      <c r="C254" s="38" t="s">
        <v>342</v>
      </c>
      <c r="D254" s="45">
        <v>54.673555748312694</v>
      </c>
      <c r="E254" s="45">
        <v>240896.0</v>
      </c>
      <c r="F254" s="45">
        <v>63.58178460435918</v>
      </c>
      <c r="G254" s="45">
        <v>211399.0</v>
      </c>
      <c r="I254" s="46">
        <f t="shared" si="1"/>
        <v>16.29348729</v>
      </c>
      <c r="J254" s="55"/>
    </row>
    <row r="255" ht="15.75" customHeight="1">
      <c r="A255" s="44">
        <v>70102.0</v>
      </c>
      <c r="B255" s="38" t="s">
        <v>340</v>
      </c>
      <c r="C255" s="38" t="s">
        <v>343</v>
      </c>
      <c r="D255" s="45">
        <v>46.163028649386085</v>
      </c>
      <c r="E255" s="45">
        <v>9471.0</v>
      </c>
      <c r="F255" s="45">
        <v>60.58748558596832</v>
      </c>
      <c r="G255" s="45">
        <v>12988.0</v>
      </c>
      <c r="I255" s="46">
        <f t="shared" si="1"/>
        <v>31.24677336</v>
      </c>
      <c r="J255" s="55"/>
    </row>
    <row r="256" ht="15.75" customHeight="1">
      <c r="A256" s="44">
        <v>70103.0</v>
      </c>
      <c r="B256" s="38" t="s">
        <v>340</v>
      </c>
      <c r="C256" s="38" t="s">
        <v>344</v>
      </c>
      <c r="D256" s="45">
        <v>51.955189177763685</v>
      </c>
      <c r="E256" s="45">
        <v>2273.0</v>
      </c>
      <c r="F256" s="45">
        <v>60.63456232756459</v>
      </c>
      <c r="G256" s="45">
        <v>3139.0</v>
      </c>
      <c r="I256" s="46">
        <f t="shared" si="1"/>
        <v>16.70549812</v>
      </c>
      <c r="J256" s="55"/>
    </row>
    <row r="257" ht="15.75" customHeight="1">
      <c r="A257" s="44">
        <v>70104.0</v>
      </c>
      <c r="B257" s="38" t="s">
        <v>340</v>
      </c>
      <c r="C257" s="38" t="s">
        <v>345</v>
      </c>
      <c r="D257" s="45">
        <v>50.954248366013076</v>
      </c>
      <c r="E257" s="45">
        <v>15008.0</v>
      </c>
      <c r="F257" s="45">
        <v>63.53740690254648</v>
      </c>
      <c r="G257" s="45">
        <v>18457.0</v>
      </c>
      <c r="I257" s="46">
        <f t="shared" si="1"/>
        <v>24.69501355</v>
      </c>
      <c r="J257" s="55"/>
    </row>
    <row r="258" ht="15.75" customHeight="1">
      <c r="A258" s="44">
        <v>70105.0</v>
      </c>
      <c r="B258" s="38" t="s">
        <v>340</v>
      </c>
      <c r="C258" s="38" t="s">
        <v>346</v>
      </c>
      <c r="D258" s="45">
        <v>51.731537223579906</v>
      </c>
      <c r="E258" s="45">
        <v>8098.0</v>
      </c>
      <c r="F258" s="45">
        <v>63.07151845637584</v>
      </c>
      <c r="G258" s="45">
        <v>7043.0</v>
      </c>
      <c r="I258" s="46">
        <f t="shared" si="1"/>
        <v>21.92082788</v>
      </c>
      <c r="J258" s="55"/>
    </row>
    <row r="259" ht="15.75" customHeight="1">
      <c r="A259" s="44">
        <v>70201.0</v>
      </c>
      <c r="B259" s="38" t="s">
        <v>340</v>
      </c>
      <c r="C259" s="38" t="s">
        <v>347</v>
      </c>
      <c r="D259" s="45">
        <v>46.14042323677781</v>
      </c>
      <c r="E259" s="45">
        <v>16976.0</v>
      </c>
      <c r="F259" s="45">
        <v>60.101857027513816</v>
      </c>
      <c r="G259" s="45">
        <v>19272.0</v>
      </c>
      <c r="I259" s="46">
        <f t="shared" si="1"/>
        <v>30.25857331</v>
      </c>
      <c r="J259" s="55"/>
    </row>
    <row r="260" ht="15.75" customHeight="1">
      <c r="A260" s="44">
        <v>70202.0</v>
      </c>
      <c r="B260" s="38" t="s">
        <v>340</v>
      </c>
      <c r="C260" s="38" t="s">
        <v>348</v>
      </c>
      <c r="D260" s="45">
        <v>36.44155844155844</v>
      </c>
      <c r="E260" s="45">
        <v>2447.0</v>
      </c>
      <c r="F260" s="45">
        <v>46.54447115384615</v>
      </c>
      <c r="G260" s="45">
        <v>1779.0</v>
      </c>
      <c r="I260" s="46">
        <f t="shared" si="1"/>
        <v>27.72360224</v>
      </c>
      <c r="J260" s="55"/>
    </row>
    <row r="261" ht="15.75" customHeight="1">
      <c r="A261" s="44">
        <v>70301.0</v>
      </c>
      <c r="B261" s="38" t="s">
        <v>340</v>
      </c>
      <c r="C261" s="38" t="s">
        <v>518</v>
      </c>
      <c r="D261" s="45">
        <v>45.383264333207876</v>
      </c>
      <c r="E261" s="45">
        <v>8707.0</v>
      </c>
      <c r="F261" s="45">
        <v>59.726490473263674</v>
      </c>
      <c r="G261" s="45">
        <v>7863.0</v>
      </c>
      <c r="I261" s="46">
        <f t="shared" si="1"/>
        <v>31.60465945</v>
      </c>
      <c r="J261" s="55"/>
    </row>
    <row r="262" ht="15.75" customHeight="1">
      <c r="A262" s="44">
        <v>70302.0</v>
      </c>
      <c r="B262" s="38" t="s">
        <v>340</v>
      </c>
      <c r="C262" s="38" t="s">
        <v>519</v>
      </c>
      <c r="D262" s="45">
        <v>42.09341586944288</v>
      </c>
      <c r="E262" s="45">
        <v>2058.0</v>
      </c>
      <c r="F262" s="45">
        <v>60.17679057116953</v>
      </c>
      <c r="G262" s="45">
        <v>1757.0</v>
      </c>
      <c r="I262" s="46">
        <f t="shared" si="1"/>
        <v>42.96010273</v>
      </c>
      <c r="J262" s="55"/>
    </row>
    <row r="263" ht="15.75" customHeight="1">
      <c r="A263" s="44">
        <v>70303.0</v>
      </c>
      <c r="B263" s="38" t="s">
        <v>340</v>
      </c>
      <c r="C263" s="38" t="s">
        <v>352</v>
      </c>
      <c r="D263" s="45">
        <v>43.93329499712478</v>
      </c>
      <c r="E263" s="45">
        <v>975.0</v>
      </c>
      <c r="F263" s="45">
        <v>59.56349206349206</v>
      </c>
      <c r="G263" s="45">
        <v>1019.0</v>
      </c>
      <c r="I263" s="46">
        <f t="shared" si="1"/>
        <v>35.57711086</v>
      </c>
      <c r="J263" s="55"/>
    </row>
    <row r="264" ht="15.75" customHeight="1">
      <c r="A264" s="44">
        <v>70401.0</v>
      </c>
      <c r="B264" s="38" t="s">
        <v>340</v>
      </c>
      <c r="C264" s="38" t="s">
        <v>354</v>
      </c>
      <c r="D264" s="45">
        <v>39.270440251572325</v>
      </c>
      <c r="E264" s="45">
        <v>2414.0</v>
      </c>
      <c r="F264" s="45">
        <v>58.50661625708885</v>
      </c>
      <c r="G264" s="45">
        <v>1756.0</v>
      </c>
      <c r="I264" s="46">
        <f t="shared" si="1"/>
        <v>48.98385626</v>
      </c>
      <c r="J264" s="55"/>
    </row>
    <row r="265" ht="15.75" customHeight="1">
      <c r="A265" s="44">
        <v>70402.0</v>
      </c>
      <c r="B265" s="38" t="s">
        <v>340</v>
      </c>
      <c r="C265" s="38" t="s">
        <v>355</v>
      </c>
      <c r="D265" s="45">
        <v>44.42682733470747</v>
      </c>
      <c r="E265" s="45">
        <v>3505.0</v>
      </c>
      <c r="F265" s="45">
        <v>57.72891368559239</v>
      </c>
      <c r="G265" s="45">
        <v>2576.0</v>
      </c>
      <c r="I265" s="46">
        <f t="shared" si="1"/>
        <v>29.94156267</v>
      </c>
      <c r="J265" s="55"/>
    </row>
    <row r="266" ht="15.75" customHeight="1">
      <c r="A266" s="44">
        <v>70403.0</v>
      </c>
      <c r="B266" s="38" t="s">
        <v>340</v>
      </c>
      <c r="C266" s="38" t="s">
        <v>356</v>
      </c>
      <c r="D266" s="45">
        <v>52.13862406596238</v>
      </c>
      <c r="E266" s="45">
        <v>7430.0</v>
      </c>
      <c r="F266" s="45">
        <v>68.5372384022731</v>
      </c>
      <c r="G266" s="45">
        <v>5758.0</v>
      </c>
      <c r="I266" s="46">
        <f t="shared" si="1"/>
        <v>31.4519507</v>
      </c>
      <c r="J266" s="55"/>
    </row>
    <row r="267" ht="15.75" customHeight="1">
      <c r="A267" s="44">
        <v>70404.0</v>
      </c>
      <c r="B267" s="38" t="s">
        <v>340</v>
      </c>
      <c r="C267" s="38" t="s">
        <v>357</v>
      </c>
      <c r="D267" s="45">
        <v>44.95751754710011</v>
      </c>
      <c r="E267" s="45">
        <v>1490.0</v>
      </c>
      <c r="F267" s="45">
        <v>54.7005795235029</v>
      </c>
      <c r="G267" s="45">
        <v>1407.0</v>
      </c>
      <c r="I267" s="46">
        <f t="shared" si="1"/>
        <v>21.67170811</v>
      </c>
      <c r="J267" s="55"/>
    </row>
    <row r="268" ht="15.75" customHeight="1">
      <c r="A268" s="44">
        <v>70501.0</v>
      </c>
      <c r="B268" s="38" t="s">
        <v>340</v>
      </c>
      <c r="C268" s="38" t="s">
        <v>520</v>
      </c>
      <c r="D268" s="45">
        <v>38.42439943476213</v>
      </c>
      <c r="E268" s="45">
        <v>5229.0</v>
      </c>
      <c r="F268" s="45">
        <v>64.3699240241027</v>
      </c>
      <c r="G268" s="45">
        <v>4080.0</v>
      </c>
      <c r="I268" s="46">
        <f t="shared" si="1"/>
        <v>67.52356568</v>
      </c>
      <c r="J268" s="55"/>
    </row>
    <row r="269" ht="15.75" customHeight="1">
      <c r="A269" s="44">
        <v>70502.0</v>
      </c>
      <c r="B269" s="38" t="s">
        <v>340</v>
      </c>
      <c r="C269" s="38" t="s">
        <v>360</v>
      </c>
      <c r="D269" s="45">
        <v>47.99963463646328</v>
      </c>
      <c r="E269" s="45">
        <v>5693.0</v>
      </c>
      <c r="F269" s="45">
        <v>54.71486156082733</v>
      </c>
      <c r="G269" s="45">
        <v>6853.0</v>
      </c>
      <c r="I269" s="46">
        <f t="shared" si="1"/>
        <v>13.99016258</v>
      </c>
      <c r="J269" s="55"/>
    </row>
    <row r="270" ht="15.75" customHeight="1">
      <c r="A270" s="44">
        <v>70503.0</v>
      </c>
      <c r="B270" s="38" t="s">
        <v>340</v>
      </c>
      <c r="C270" s="38" t="s">
        <v>361</v>
      </c>
      <c r="D270" s="45">
        <v>40.65804935370153</v>
      </c>
      <c r="E270" s="45">
        <v>3030.0</v>
      </c>
      <c r="F270" s="45">
        <v>52.745337284294926</v>
      </c>
      <c r="G270" s="45">
        <v>2711.0</v>
      </c>
      <c r="I270" s="46">
        <f t="shared" si="1"/>
        <v>29.72913881</v>
      </c>
      <c r="J270" s="55"/>
    </row>
    <row r="271" ht="15.75" customHeight="1">
      <c r="A271" s="44">
        <v>70601.0</v>
      </c>
      <c r="B271" s="38" t="s">
        <v>340</v>
      </c>
      <c r="C271" s="38" t="s">
        <v>363</v>
      </c>
      <c r="D271" s="45">
        <v>46.43803843605036</v>
      </c>
      <c r="E271" s="45">
        <v>3233.0</v>
      </c>
      <c r="F271" s="45">
        <v>57.965947096381875</v>
      </c>
      <c r="G271" s="45">
        <v>2765.0</v>
      </c>
      <c r="I271" s="46">
        <f t="shared" si="1"/>
        <v>24.82427994</v>
      </c>
      <c r="J271" s="55"/>
    </row>
    <row r="272" ht="15.75" customHeight="1">
      <c r="A272" s="44">
        <v>70602.0</v>
      </c>
      <c r="B272" s="38" t="s">
        <v>340</v>
      </c>
      <c r="C272" s="38" t="s">
        <v>521</v>
      </c>
      <c r="D272" s="45">
        <v>38.405665516615215</v>
      </c>
      <c r="E272" s="45">
        <v>3392.0</v>
      </c>
      <c r="F272" s="45">
        <v>53.97716977713354</v>
      </c>
      <c r="G272" s="45">
        <v>2540.0</v>
      </c>
      <c r="I272" s="46">
        <f t="shared" si="1"/>
        <v>40.54481038</v>
      </c>
      <c r="J272" s="55"/>
    </row>
    <row r="273" ht="15.75" customHeight="1">
      <c r="A273" s="44">
        <v>70603.0</v>
      </c>
      <c r="B273" s="38" t="s">
        <v>340</v>
      </c>
      <c r="C273" s="38" t="s">
        <v>365</v>
      </c>
      <c r="D273" s="45">
        <v>36.710875331564985</v>
      </c>
      <c r="E273" s="45">
        <v>1193.0</v>
      </c>
      <c r="F273" s="45">
        <v>49.54472415640064</v>
      </c>
      <c r="G273" s="45">
        <v>942.0</v>
      </c>
      <c r="I273" s="46">
        <f t="shared" si="1"/>
        <v>34.95925583</v>
      </c>
      <c r="J273" s="55"/>
    </row>
    <row r="274" ht="15.75" customHeight="1">
      <c r="A274" s="44">
        <v>70701.0</v>
      </c>
      <c r="B274" s="38" t="s">
        <v>340</v>
      </c>
      <c r="C274" s="38" t="s">
        <v>367</v>
      </c>
      <c r="D274" s="45">
        <v>30.04513217279175</v>
      </c>
      <c r="E274" s="45">
        <v>1085.0</v>
      </c>
      <c r="F274" s="45">
        <v>61.84062850729517</v>
      </c>
      <c r="G274" s="45">
        <v>680.0</v>
      </c>
      <c r="I274" s="46">
        <f t="shared" si="1"/>
        <v>105.8257829</v>
      </c>
      <c r="J274" s="55"/>
    </row>
    <row r="275" ht="15.75" customHeight="1">
      <c r="A275" s="44">
        <v>70702.0</v>
      </c>
      <c r="B275" s="38" t="s">
        <v>340</v>
      </c>
      <c r="C275" s="38" t="s">
        <v>522</v>
      </c>
      <c r="D275" s="45">
        <v>36.892370426011375</v>
      </c>
      <c r="E275" s="45">
        <v>5881.0</v>
      </c>
      <c r="F275" s="45">
        <v>51.15745169313182</v>
      </c>
      <c r="G275" s="45">
        <v>5106.0</v>
      </c>
      <c r="I275" s="46">
        <f t="shared" si="1"/>
        <v>38.6667517</v>
      </c>
      <c r="J275" s="55"/>
    </row>
    <row r="276" ht="15.75" customHeight="1">
      <c r="A276" s="44">
        <v>70703.0</v>
      </c>
      <c r="B276" s="38" t="s">
        <v>340</v>
      </c>
      <c r="C276" s="38" t="s">
        <v>369</v>
      </c>
      <c r="D276" s="45">
        <v>45.54481662915398</v>
      </c>
      <c r="E276" s="45">
        <v>4113.0</v>
      </c>
      <c r="F276" s="45">
        <v>55.096122865427986</v>
      </c>
      <c r="G276" s="45">
        <v>4181.0</v>
      </c>
      <c r="I276" s="46">
        <f t="shared" si="1"/>
        <v>20.97122558</v>
      </c>
      <c r="J276" s="55"/>
    </row>
    <row r="277" ht="15.75" customHeight="1">
      <c r="A277" s="44">
        <v>70704.0</v>
      </c>
      <c r="B277" s="38" t="s">
        <v>340</v>
      </c>
      <c r="C277" s="38" t="s">
        <v>370</v>
      </c>
      <c r="D277" s="45">
        <v>38.71366728509585</v>
      </c>
      <c r="E277" s="45">
        <v>991.0</v>
      </c>
      <c r="F277" s="45">
        <v>55.21023765996343</v>
      </c>
      <c r="G277" s="45">
        <v>735.0</v>
      </c>
      <c r="I277" s="46">
        <f t="shared" si="1"/>
        <v>42.61174808</v>
      </c>
      <c r="J277" s="55"/>
    </row>
    <row r="278" ht="15.75" customHeight="1">
      <c r="A278" s="44">
        <v>70705.0</v>
      </c>
      <c r="B278" s="38" t="s">
        <v>340</v>
      </c>
      <c r="C278" s="38" t="s">
        <v>523</v>
      </c>
      <c r="D278" s="45">
        <v>29.209528965890634</v>
      </c>
      <c r="E278" s="45">
        <v>2615.0</v>
      </c>
      <c r="F278" s="45">
        <v>54.706334957681456</v>
      </c>
      <c r="G278" s="45">
        <v>1766.0</v>
      </c>
      <c r="I278" s="46">
        <f t="shared" si="1"/>
        <v>87.28934322</v>
      </c>
      <c r="J278" s="55"/>
    </row>
    <row r="279" ht="15.75" customHeight="1">
      <c r="A279" s="44">
        <v>70706.0</v>
      </c>
      <c r="B279" s="38" t="s">
        <v>340</v>
      </c>
      <c r="C279" s="38" t="s">
        <v>372</v>
      </c>
      <c r="D279" s="45">
        <v>44.08432976714915</v>
      </c>
      <c r="E279" s="45">
        <v>7108.0</v>
      </c>
      <c r="F279" s="45">
        <v>57.263194086298775</v>
      </c>
      <c r="G279" s="45">
        <v>4972.0</v>
      </c>
      <c r="I279" s="46">
        <f t="shared" si="1"/>
        <v>29.89466867</v>
      </c>
      <c r="J279" s="55"/>
    </row>
    <row r="280" ht="15.75" customHeight="1">
      <c r="A280" s="44">
        <v>70707.0</v>
      </c>
      <c r="B280" s="38" t="s">
        <v>340</v>
      </c>
      <c r="C280" s="38" t="s">
        <v>373</v>
      </c>
      <c r="D280" s="45">
        <v>36.095017381228274</v>
      </c>
      <c r="E280" s="45">
        <v>1103.0</v>
      </c>
      <c r="F280" s="45">
        <v>56.020278833967055</v>
      </c>
      <c r="G280" s="45">
        <v>694.0</v>
      </c>
      <c r="I280" s="46">
        <f t="shared" si="1"/>
        <v>55.20224923</v>
      </c>
      <c r="J280" s="55"/>
    </row>
    <row r="281" ht="15.75" customHeight="1">
      <c r="A281" s="44">
        <v>70801.0</v>
      </c>
      <c r="B281" s="38" t="s">
        <v>340</v>
      </c>
      <c r="C281" s="38" t="s">
        <v>375</v>
      </c>
      <c r="D281" s="45">
        <v>55.323624595469255</v>
      </c>
      <c r="E281" s="45">
        <v>2761.0</v>
      </c>
      <c r="F281" s="45">
        <v>69.4062449441838</v>
      </c>
      <c r="G281" s="45">
        <v>1891.0</v>
      </c>
      <c r="I281" s="46">
        <f t="shared" si="1"/>
        <v>25.45498501</v>
      </c>
      <c r="J281" s="55"/>
    </row>
    <row r="282" ht="15.75" customHeight="1">
      <c r="A282" s="44">
        <v>70802.0</v>
      </c>
      <c r="B282" s="38" t="s">
        <v>340</v>
      </c>
      <c r="C282" s="38" t="s">
        <v>376</v>
      </c>
      <c r="D282" s="45">
        <v>46.50856389986825</v>
      </c>
      <c r="E282" s="45">
        <v>406.0</v>
      </c>
      <c r="F282" s="45">
        <v>63.2996632996633</v>
      </c>
      <c r="G282" s="45">
        <v>327.0</v>
      </c>
      <c r="I282" s="46">
        <f t="shared" si="1"/>
        <v>36.10324205</v>
      </c>
      <c r="J282" s="55"/>
    </row>
    <row r="283" ht="15.75" customHeight="1">
      <c r="A283" s="44">
        <v>70803.0</v>
      </c>
      <c r="B283" s="38" t="s">
        <v>340</v>
      </c>
      <c r="C283" s="38" t="s">
        <v>524</v>
      </c>
      <c r="D283" s="45">
        <v>64.29308565531475</v>
      </c>
      <c r="E283" s="45">
        <v>346.0</v>
      </c>
      <c r="F283" s="45">
        <v>72.80788177339902</v>
      </c>
      <c r="G283" s="45">
        <v>276.0</v>
      </c>
      <c r="I283" s="46">
        <f t="shared" si="1"/>
        <v>13.2437198</v>
      </c>
      <c r="J283" s="55"/>
    </row>
    <row r="284" ht="15.75" customHeight="1">
      <c r="A284" s="44">
        <v>70804.0</v>
      </c>
      <c r="B284" s="38" t="s">
        <v>340</v>
      </c>
      <c r="C284" s="38" t="s">
        <v>378</v>
      </c>
      <c r="D284" s="45">
        <v>54.00516795865633</v>
      </c>
      <c r="E284" s="45">
        <v>356.0</v>
      </c>
      <c r="F284" s="45">
        <v>68.4640522875817</v>
      </c>
      <c r="G284" s="45">
        <v>193.0</v>
      </c>
      <c r="I284" s="46">
        <f t="shared" si="1"/>
        <v>26.77314945</v>
      </c>
      <c r="J284" s="55"/>
    </row>
    <row r="285" ht="15.75" customHeight="1">
      <c r="A285" s="44">
        <v>70805.0</v>
      </c>
      <c r="B285" s="38" t="s">
        <v>340</v>
      </c>
      <c r="C285" s="38" t="s">
        <v>379</v>
      </c>
      <c r="D285" s="45">
        <v>59.38375350140056</v>
      </c>
      <c r="E285" s="45">
        <v>290.0</v>
      </c>
      <c r="F285" s="45">
        <v>65.07246376811594</v>
      </c>
      <c r="G285" s="45">
        <v>241.0</v>
      </c>
      <c r="I285" s="46">
        <f t="shared" si="1"/>
        <v>9.579573421</v>
      </c>
      <c r="J285" s="55"/>
    </row>
    <row r="286" ht="15.75" customHeight="1">
      <c r="A286" s="44">
        <v>70901.0</v>
      </c>
      <c r="B286" s="38" t="s">
        <v>340</v>
      </c>
      <c r="C286" s="38" t="s">
        <v>381</v>
      </c>
      <c r="D286" s="45">
        <v>56.08983587676361</v>
      </c>
      <c r="E286" s="45">
        <v>1525.0</v>
      </c>
      <c r="F286" s="45">
        <v>69.19575113808801</v>
      </c>
      <c r="G286" s="45">
        <v>1218.0</v>
      </c>
      <c r="I286" s="46">
        <f t="shared" si="1"/>
        <v>23.36593619</v>
      </c>
      <c r="J286" s="55"/>
    </row>
    <row r="287" ht="15.75" customHeight="1">
      <c r="A287" s="44">
        <v>70902.0</v>
      </c>
      <c r="B287" s="38" t="s">
        <v>340</v>
      </c>
      <c r="C287" s="38" t="s">
        <v>525</v>
      </c>
      <c r="D287" s="45">
        <v>54.209650582362734</v>
      </c>
      <c r="E287" s="45">
        <v>1376.0</v>
      </c>
      <c r="F287" s="45">
        <v>65.82589972316211</v>
      </c>
      <c r="G287" s="45">
        <v>1111.0</v>
      </c>
      <c r="I287" s="46">
        <f t="shared" si="1"/>
        <v>21.42837856</v>
      </c>
      <c r="J287" s="55"/>
    </row>
    <row r="288" ht="15.75" customHeight="1">
      <c r="A288" s="44">
        <v>70903.0</v>
      </c>
      <c r="B288" s="38" t="s">
        <v>340</v>
      </c>
      <c r="C288" s="38" t="s">
        <v>383</v>
      </c>
      <c r="D288" s="45">
        <v>52.994831255700824</v>
      </c>
      <c r="E288" s="45">
        <v>1546.0</v>
      </c>
      <c r="F288" s="45">
        <v>64.38162544169612</v>
      </c>
      <c r="G288" s="45">
        <v>1512.0</v>
      </c>
      <c r="I288" s="46">
        <f t="shared" si="1"/>
        <v>21.48661278</v>
      </c>
      <c r="J288" s="55"/>
    </row>
    <row r="289" ht="15.75" customHeight="1">
      <c r="A289" s="44">
        <v>70904.0</v>
      </c>
      <c r="B289" s="38" t="s">
        <v>340</v>
      </c>
      <c r="C289" s="38" t="s">
        <v>384</v>
      </c>
      <c r="D289" s="45">
        <v>52.95774647887323</v>
      </c>
      <c r="E289" s="45">
        <v>501.0</v>
      </c>
      <c r="F289" s="45">
        <v>61.99505358615004</v>
      </c>
      <c r="G289" s="45">
        <v>461.0</v>
      </c>
      <c r="I289" s="46">
        <f t="shared" si="1"/>
        <v>17.06512778</v>
      </c>
      <c r="J289" s="55"/>
    </row>
    <row r="290" ht="15.75" customHeight="1">
      <c r="A290" s="44">
        <v>71001.0</v>
      </c>
      <c r="B290" s="38" t="s">
        <v>340</v>
      </c>
      <c r="C290" s="38" t="s">
        <v>386</v>
      </c>
      <c r="D290" s="45">
        <v>48.07632398753894</v>
      </c>
      <c r="E290" s="45">
        <v>20001.0</v>
      </c>
      <c r="F290" s="45">
        <v>60.07044060364331</v>
      </c>
      <c r="G290" s="45">
        <v>17119.0</v>
      </c>
      <c r="I290" s="46">
        <f t="shared" si="1"/>
        <v>24.94807344</v>
      </c>
      <c r="J290" s="55"/>
    </row>
    <row r="291" ht="15.75" customHeight="1">
      <c r="A291" s="44">
        <v>71002.0</v>
      </c>
      <c r="B291" s="38" t="s">
        <v>340</v>
      </c>
      <c r="C291" s="38" t="s">
        <v>387</v>
      </c>
      <c r="D291" s="45">
        <v>32.89414917373827</v>
      </c>
      <c r="E291" s="45">
        <v>3005.0</v>
      </c>
      <c r="F291" s="45">
        <v>49.6318407960199</v>
      </c>
      <c r="G291" s="45">
        <v>2531.0</v>
      </c>
      <c r="I291" s="46">
        <f t="shared" si="1"/>
        <v>50.88349157</v>
      </c>
      <c r="J291" s="55"/>
    </row>
    <row r="292" ht="15.75" customHeight="1">
      <c r="A292" s="44">
        <v>71003.0</v>
      </c>
      <c r="B292" s="38" t="s">
        <v>340</v>
      </c>
      <c r="C292" s="38" t="s">
        <v>388</v>
      </c>
      <c r="D292" s="45">
        <v>38.24915824915825</v>
      </c>
      <c r="E292" s="45">
        <v>4585.0</v>
      </c>
      <c r="F292" s="45">
        <v>52.625805566982045</v>
      </c>
      <c r="G292" s="45">
        <v>3455.0</v>
      </c>
      <c r="I292" s="46">
        <f t="shared" si="1"/>
        <v>37.58683322</v>
      </c>
      <c r="J292" s="55"/>
    </row>
    <row r="293" ht="15.75" customHeight="1">
      <c r="A293" s="44">
        <v>71004.0</v>
      </c>
      <c r="B293" s="38" t="s">
        <v>340</v>
      </c>
      <c r="C293" s="38" t="s">
        <v>389</v>
      </c>
      <c r="D293" s="45">
        <v>35.99467731204258</v>
      </c>
      <c r="E293" s="45">
        <v>2886.0</v>
      </c>
      <c r="F293" s="45">
        <v>58.237459733087896</v>
      </c>
      <c r="G293" s="45">
        <v>1815.0</v>
      </c>
      <c r="I293" s="46">
        <f t="shared" si="1"/>
        <v>61.79464321</v>
      </c>
      <c r="J293" s="55"/>
    </row>
    <row r="294" ht="15.75" customHeight="1">
      <c r="A294" s="44">
        <v>71005.0</v>
      </c>
      <c r="B294" s="38" t="s">
        <v>340</v>
      </c>
      <c r="C294" s="38" t="s">
        <v>288</v>
      </c>
      <c r="D294" s="45">
        <v>41.78821746542906</v>
      </c>
      <c r="E294" s="45">
        <v>3073.0</v>
      </c>
      <c r="F294" s="45">
        <v>58.315877670716375</v>
      </c>
      <c r="G294" s="45">
        <v>1990.0</v>
      </c>
      <c r="I294" s="46">
        <f t="shared" si="1"/>
        <v>39.55100554</v>
      </c>
      <c r="J294" s="55"/>
    </row>
    <row r="295" ht="15.75" customHeight="1">
      <c r="A295" s="44">
        <v>71101.0</v>
      </c>
      <c r="B295" s="38" t="s">
        <v>340</v>
      </c>
      <c r="C295" s="38" t="s">
        <v>391</v>
      </c>
      <c r="D295" s="45">
        <v>45.11542012927055</v>
      </c>
      <c r="E295" s="45">
        <v>2972.0</v>
      </c>
      <c r="F295" s="45">
        <v>58.165264492336064</v>
      </c>
      <c r="G295" s="45">
        <v>3630.0</v>
      </c>
      <c r="I295" s="46">
        <f t="shared" si="1"/>
        <v>28.92546346</v>
      </c>
      <c r="J295" s="55"/>
    </row>
    <row r="296" ht="15.75" customHeight="1">
      <c r="A296" s="44">
        <v>71102.0</v>
      </c>
      <c r="B296" s="38" t="s">
        <v>340</v>
      </c>
      <c r="C296" s="38" t="s">
        <v>392</v>
      </c>
      <c r="D296" s="45">
        <v>47.218726403221744</v>
      </c>
      <c r="E296" s="45">
        <v>2097.0</v>
      </c>
      <c r="F296" s="45">
        <v>57.47153700189753</v>
      </c>
      <c r="G296" s="45">
        <v>1793.0</v>
      </c>
      <c r="I296" s="46">
        <f t="shared" si="1"/>
        <v>21.71344164</v>
      </c>
      <c r="J296" s="55"/>
    </row>
    <row r="297" ht="15.75" customHeight="1">
      <c r="A297" s="44">
        <v>71103.0</v>
      </c>
      <c r="B297" s="38" t="s">
        <v>340</v>
      </c>
      <c r="C297" s="38" t="s">
        <v>395</v>
      </c>
      <c r="D297" s="45">
        <v>42.27156276686593</v>
      </c>
      <c r="E297" s="45">
        <v>1352.0</v>
      </c>
      <c r="F297" s="45">
        <v>60.06557824988046</v>
      </c>
      <c r="G297" s="45">
        <v>5846.0</v>
      </c>
      <c r="I297" s="46">
        <f t="shared" si="1"/>
        <v>42.09452956</v>
      </c>
      <c r="J297" s="55"/>
    </row>
    <row r="298" ht="15.75" customHeight="1">
      <c r="A298" s="44">
        <v>71104.0</v>
      </c>
      <c r="B298" s="38" t="s">
        <v>340</v>
      </c>
      <c r="C298" s="38" t="s">
        <v>393</v>
      </c>
      <c r="D298" s="45">
        <v>42.81115879828326</v>
      </c>
      <c r="E298" s="45">
        <v>7995.0</v>
      </c>
      <c r="F298" s="45">
        <v>60.40992448759439</v>
      </c>
      <c r="G298" s="45">
        <v>734.0</v>
      </c>
      <c r="I298" s="46">
        <f t="shared" si="1"/>
        <v>41.10789379</v>
      </c>
      <c r="J298" s="55"/>
    </row>
    <row r="299" ht="15.75" customHeight="1">
      <c r="A299" s="44">
        <v>71105.0</v>
      </c>
      <c r="B299" s="38" t="s">
        <v>340</v>
      </c>
      <c r="C299" s="38" t="s">
        <v>394</v>
      </c>
      <c r="D299" s="45">
        <v>48.3533716675379</v>
      </c>
      <c r="E299" s="45">
        <v>988.0</v>
      </c>
      <c r="F299" s="45">
        <v>54.06151419558359</v>
      </c>
      <c r="G299" s="45">
        <v>1165.0</v>
      </c>
      <c r="I299" s="46">
        <f t="shared" si="1"/>
        <v>11.80505584</v>
      </c>
      <c r="J299" s="55"/>
    </row>
    <row r="300" ht="15.75" customHeight="1">
      <c r="A300" s="44">
        <v>71106.0</v>
      </c>
      <c r="B300" s="38" t="s">
        <v>340</v>
      </c>
      <c r="C300" s="38" t="s">
        <v>396</v>
      </c>
      <c r="D300" s="45">
        <v>39.48896631823461</v>
      </c>
      <c r="E300" s="45">
        <v>4168.0</v>
      </c>
      <c r="F300" s="45">
        <v>54.163976759199485</v>
      </c>
      <c r="G300" s="45">
        <v>3550.0</v>
      </c>
      <c r="I300" s="46">
        <f t="shared" si="1"/>
        <v>37.16230585</v>
      </c>
      <c r="J300" s="55"/>
    </row>
    <row r="301" ht="15.75" customHeight="1">
      <c r="A301" s="44">
        <v>71201.0</v>
      </c>
      <c r="B301" s="38" t="s">
        <v>340</v>
      </c>
      <c r="C301" s="38" t="s">
        <v>398</v>
      </c>
      <c r="D301" s="45">
        <v>38.800626538375475</v>
      </c>
      <c r="E301" s="45">
        <v>2735.0</v>
      </c>
      <c r="F301" s="45">
        <v>55.12216991705896</v>
      </c>
      <c r="G301" s="45">
        <v>2002.0</v>
      </c>
      <c r="I301" s="46">
        <f t="shared" si="1"/>
        <v>42.06515419</v>
      </c>
      <c r="J301" s="55"/>
    </row>
    <row r="302" ht="15.75" customHeight="1">
      <c r="A302" s="44">
        <v>71301.0</v>
      </c>
      <c r="B302" s="38" t="s">
        <v>340</v>
      </c>
      <c r="C302" s="38" t="s">
        <v>400</v>
      </c>
      <c r="D302" s="45">
        <v>60.1223362273086</v>
      </c>
      <c r="E302" s="45">
        <v>2021.0</v>
      </c>
      <c r="F302" s="45">
        <v>72.83758016987346</v>
      </c>
      <c r="G302" s="45">
        <v>1567.0</v>
      </c>
      <c r="I302" s="46">
        <f t="shared" si="1"/>
        <v>21.14895185</v>
      </c>
      <c r="J302" s="55"/>
    </row>
    <row r="303" ht="15.75" customHeight="1">
      <c r="A303" s="44">
        <v>71302.0</v>
      </c>
      <c r="B303" s="38" t="s">
        <v>340</v>
      </c>
      <c r="C303" s="38" t="s">
        <v>401</v>
      </c>
      <c r="D303" s="45">
        <v>54.770477047704766</v>
      </c>
      <c r="E303" s="45">
        <v>1005.0</v>
      </c>
      <c r="F303" s="45">
        <v>67.93103448275862</v>
      </c>
      <c r="G303" s="45">
        <v>651.0</v>
      </c>
      <c r="I303" s="46">
        <f t="shared" si="1"/>
        <v>24.0285609</v>
      </c>
      <c r="J303" s="55"/>
    </row>
    <row r="304" ht="15.75" customHeight="1">
      <c r="A304" s="44">
        <v>71401.0</v>
      </c>
      <c r="B304" s="38" t="s">
        <v>340</v>
      </c>
      <c r="C304" s="38" t="s">
        <v>526</v>
      </c>
      <c r="D304" s="45">
        <v>48.04845222072679</v>
      </c>
      <c r="E304" s="45">
        <v>3474.0</v>
      </c>
      <c r="F304" s="45">
        <v>61.287834972045495</v>
      </c>
      <c r="G304" s="45">
        <v>2008.0</v>
      </c>
      <c r="I304" s="46">
        <f t="shared" si="1"/>
        <v>27.55423357</v>
      </c>
      <c r="J304" s="55"/>
    </row>
    <row r="305" ht="15.75" customHeight="1">
      <c r="A305" s="44">
        <v>71402.0</v>
      </c>
      <c r="B305" s="38" t="s">
        <v>340</v>
      </c>
      <c r="C305" s="38" t="s">
        <v>404</v>
      </c>
      <c r="D305" s="45">
        <v>56.156848828956704</v>
      </c>
      <c r="E305" s="45">
        <v>2471.0</v>
      </c>
      <c r="F305" s="45">
        <v>64.02811170704642</v>
      </c>
      <c r="G305" s="45">
        <v>1945.0</v>
      </c>
      <c r="I305" s="46">
        <f t="shared" si="1"/>
        <v>14.01656796</v>
      </c>
      <c r="J305" s="55"/>
    </row>
    <row r="306" ht="15.75" customHeight="1">
      <c r="A306" s="44">
        <v>71403.0</v>
      </c>
      <c r="B306" s="38" t="s">
        <v>340</v>
      </c>
      <c r="C306" s="38" t="s">
        <v>405</v>
      </c>
      <c r="D306" s="45">
        <v>39.89189189189189</v>
      </c>
      <c r="E306" s="45">
        <v>1112.0</v>
      </c>
      <c r="F306" s="45">
        <v>60.929292929292934</v>
      </c>
      <c r="G306" s="45">
        <v>967.0</v>
      </c>
      <c r="I306" s="46">
        <f t="shared" si="1"/>
        <v>52.73603241</v>
      </c>
      <c r="J306" s="55"/>
    </row>
    <row r="307" ht="15.75" customHeight="1">
      <c r="A307" s="44">
        <v>71501.0</v>
      </c>
      <c r="B307" s="38" t="s">
        <v>340</v>
      </c>
      <c r="C307" s="38" t="s">
        <v>407</v>
      </c>
      <c r="D307" s="45">
        <v>46.169950738916256</v>
      </c>
      <c r="E307" s="45">
        <v>4371.0</v>
      </c>
      <c r="F307" s="45">
        <v>60.646330413772276</v>
      </c>
      <c r="G307" s="45">
        <v>3909.0</v>
      </c>
      <c r="I307" s="46">
        <f t="shared" si="1"/>
        <v>31.35454867</v>
      </c>
      <c r="J307" s="55"/>
    </row>
    <row r="308" ht="15.75" customHeight="1">
      <c r="A308" s="44">
        <v>71502.0</v>
      </c>
      <c r="B308" s="38" t="s">
        <v>340</v>
      </c>
      <c r="C308" s="38" t="s">
        <v>408</v>
      </c>
      <c r="D308" s="45">
        <v>43.92119173474291</v>
      </c>
      <c r="E308" s="45">
        <v>1167.0</v>
      </c>
      <c r="F308" s="45">
        <v>52.13460572576595</v>
      </c>
      <c r="G308" s="45">
        <v>953.0</v>
      </c>
      <c r="I308" s="46">
        <f t="shared" si="1"/>
        <v>18.70034411</v>
      </c>
      <c r="J308" s="55"/>
    </row>
    <row r="309" ht="15.75" customHeight="1">
      <c r="A309" s="44">
        <v>71503.0</v>
      </c>
      <c r="B309" s="38" t="s">
        <v>340</v>
      </c>
      <c r="C309" s="38" t="s">
        <v>338</v>
      </c>
      <c r="D309" s="45">
        <v>41.843604350077676</v>
      </c>
      <c r="E309" s="45">
        <v>2246.0</v>
      </c>
      <c r="F309" s="45">
        <v>62.99228181278449</v>
      </c>
      <c r="G309" s="45">
        <v>1870.0</v>
      </c>
      <c r="I309" s="46">
        <f t="shared" si="1"/>
        <v>50.54219824</v>
      </c>
      <c r="J309" s="55"/>
    </row>
    <row r="310" ht="15.75" customHeight="1">
      <c r="A310" s="44">
        <v>80101.0</v>
      </c>
      <c r="B310" s="38" t="s">
        <v>409</v>
      </c>
      <c r="C310" s="38" t="s">
        <v>410</v>
      </c>
      <c r="D310" s="45">
        <v>52.37429799351385</v>
      </c>
      <c r="E310" s="45">
        <v>18063.0</v>
      </c>
      <c r="F310" s="45">
        <v>61.353783040417696</v>
      </c>
      <c r="G310" s="45">
        <v>16580.0</v>
      </c>
      <c r="I310" s="46">
        <f t="shared" si="1"/>
        <v>17.14483132</v>
      </c>
      <c r="J310" s="55"/>
    </row>
    <row r="311" ht="15.75" customHeight="1">
      <c r="A311" s="44">
        <v>80102.0</v>
      </c>
      <c r="B311" s="38" t="s">
        <v>409</v>
      </c>
      <c r="C311" s="38" t="s">
        <v>392</v>
      </c>
      <c r="D311" s="45">
        <v>50.536864710093056</v>
      </c>
      <c r="E311" s="45">
        <v>691.0</v>
      </c>
      <c r="F311" s="45">
        <v>66.26881162428646</v>
      </c>
      <c r="G311" s="45">
        <v>650.0</v>
      </c>
      <c r="I311" s="46">
        <f t="shared" si="1"/>
        <v>31.12964566</v>
      </c>
      <c r="J311" s="55"/>
    </row>
    <row r="312" ht="15.75" customHeight="1">
      <c r="A312" s="44">
        <v>80201.0</v>
      </c>
      <c r="B312" s="38" t="s">
        <v>409</v>
      </c>
      <c r="C312" s="38" t="s">
        <v>412</v>
      </c>
      <c r="D312" s="45">
        <v>48.82196199425005</v>
      </c>
      <c r="E312" s="45">
        <v>14597.0</v>
      </c>
      <c r="F312" s="45">
        <v>61.88043380837143</v>
      </c>
      <c r="G312" s="45">
        <v>12759.0</v>
      </c>
      <c r="I312" s="46">
        <f t="shared" si="1"/>
        <v>26.74712625</v>
      </c>
      <c r="J312" s="55"/>
    </row>
    <row r="313" ht="15.75" customHeight="1">
      <c r="A313" s="44">
        <v>80202.0</v>
      </c>
      <c r="B313" s="38" t="s">
        <v>409</v>
      </c>
      <c r="C313" s="38" t="s">
        <v>413</v>
      </c>
      <c r="D313" s="45">
        <v>49.40605533825873</v>
      </c>
      <c r="E313" s="45">
        <v>6985.0</v>
      </c>
      <c r="F313" s="45">
        <v>60.078075207138305</v>
      </c>
      <c r="G313" s="45">
        <v>5011.0</v>
      </c>
      <c r="I313" s="46">
        <f t="shared" si="1"/>
        <v>21.60063133</v>
      </c>
      <c r="J313" s="55"/>
    </row>
    <row r="314" ht="15.75" customHeight="1">
      <c r="A314" s="44">
        <v>80301.0</v>
      </c>
      <c r="B314" s="38" t="s">
        <v>409</v>
      </c>
      <c r="C314" s="38" t="s">
        <v>415</v>
      </c>
      <c r="D314" s="45">
        <v>46.43564356435644</v>
      </c>
      <c r="E314" s="45">
        <v>2164.0</v>
      </c>
      <c r="F314" s="45">
        <v>58.4675014907573</v>
      </c>
      <c r="G314" s="45">
        <v>1393.0</v>
      </c>
      <c r="I314" s="46">
        <f t="shared" si="1"/>
        <v>25.91082411</v>
      </c>
      <c r="J314" s="55"/>
    </row>
    <row r="315" ht="15.75" customHeight="1">
      <c r="A315" s="44">
        <v>80302.0</v>
      </c>
      <c r="B315" s="38" t="s">
        <v>409</v>
      </c>
      <c r="C315" s="38" t="s">
        <v>416</v>
      </c>
      <c r="D315" s="45">
        <v>53.38511856091578</v>
      </c>
      <c r="E315" s="45">
        <v>5701.0</v>
      </c>
      <c r="F315" s="45">
        <v>64.63164297118527</v>
      </c>
      <c r="G315" s="45">
        <v>4652.0</v>
      </c>
      <c r="I315" s="46">
        <f t="shared" si="1"/>
        <v>21.066778</v>
      </c>
      <c r="J315" s="55"/>
    </row>
    <row r="316" ht="15.75" customHeight="1">
      <c r="A316" s="44">
        <v>80303.0</v>
      </c>
      <c r="B316" s="38" t="s">
        <v>409</v>
      </c>
      <c r="C316" s="38" t="s">
        <v>364</v>
      </c>
      <c r="D316" s="45">
        <v>41.63165266106443</v>
      </c>
      <c r="E316" s="45">
        <v>1667.0</v>
      </c>
      <c r="F316" s="45">
        <v>56.67686034658511</v>
      </c>
      <c r="G316" s="45">
        <v>1275.0</v>
      </c>
      <c r="I316" s="46">
        <f t="shared" si="1"/>
        <v>36.13886724</v>
      </c>
      <c r="J316" s="55"/>
    </row>
    <row r="317" ht="15.75" customHeight="1">
      <c r="A317" s="44">
        <v>80304.0</v>
      </c>
      <c r="B317" s="38" t="s">
        <v>409</v>
      </c>
      <c r="C317" s="38" t="s">
        <v>527</v>
      </c>
      <c r="D317" s="45">
        <v>52.70751994567985</v>
      </c>
      <c r="E317" s="45">
        <v>2786.0</v>
      </c>
      <c r="F317" s="45">
        <v>70.29563585171282</v>
      </c>
      <c r="G317" s="45">
        <v>1899.0</v>
      </c>
      <c r="I317" s="46">
        <f t="shared" si="1"/>
        <v>33.3692724</v>
      </c>
      <c r="J317" s="55"/>
    </row>
    <row r="318" ht="15.75" customHeight="1">
      <c r="A318" s="44">
        <v>80401.0</v>
      </c>
      <c r="B318" s="38" t="s">
        <v>409</v>
      </c>
      <c r="C318" s="38" t="s">
        <v>528</v>
      </c>
      <c r="D318" s="45">
        <v>52.7536231884058</v>
      </c>
      <c r="E318" s="45">
        <v>2608.0</v>
      </c>
      <c r="F318" s="45">
        <v>59.90136570561456</v>
      </c>
      <c r="G318" s="45">
        <v>2114.0</v>
      </c>
      <c r="I318" s="46">
        <f t="shared" si="1"/>
        <v>13.54929213</v>
      </c>
      <c r="J318" s="55"/>
    </row>
    <row r="319" ht="15.75" customHeight="1">
      <c r="A319" s="44">
        <v>80402.0</v>
      </c>
      <c r="B319" s="38" t="s">
        <v>409</v>
      </c>
      <c r="C319" s="38" t="s">
        <v>420</v>
      </c>
      <c r="D319" s="45">
        <v>41.359015516318884</v>
      </c>
      <c r="E319" s="45">
        <v>1096.0</v>
      </c>
      <c r="F319" s="45">
        <v>55.55555555555556</v>
      </c>
      <c r="G319" s="45">
        <v>1032.0</v>
      </c>
      <c r="I319" s="46">
        <f t="shared" si="1"/>
        <v>34.32514015</v>
      </c>
      <c r="J319" s="55"/>
    </row>
    <row r="320" ht="15.75" customHeight="1">
      <c r="A320" s="44">
        <v>80501.0</v>
      </c>
      <c r="B320" s="38" t="s">
        <v>409</v>
      </c>
      <c r="C320" s="38" t="s">
        <v>350</v>
      </c>
      <c r="D320" s="45">
        <v>49.734794908062234</v>
      </c>
      <c r="E320" s="45">
        <v>2843.0</v>
      </c>
      <c r="F320" s="45">
        <v>54.67614278791795</v>
      </c>
      <c r="G320" s="45">
        <v>2806.0</v>
      </c>
      <c r="I320" s="46">
        <f t="shared" si="1"/>
        <v>9.935394102</v>
      </c>
      <c r="J320" s="55"/>
    </row>
    <row r="321" ht="15.75" customHeight="1">
      <c r="A321" s="44">
        <v>80601.0</v>
      </c>
      <c r="B321" s="38" t="s">
        <v>409</v>
      </c>
      <c r="C321" s="38" t="s">
        <v>423</v>
      </c>
      <c r="D321" s="45">
        <v>46.19140625</v>
      </c>
      <c r="E321" s="45">
        <v>551.0</v>
      </c>
      <c r="F321" s="45">
        <v>57.02054794520548</v>
      </c>
      <c r="G321" s="45">
        <v>502.0</v>
      </c>
      <c r="I321" s="46">
        <f t="shared" si="1"/>
        <v>23.44406151</v>
      </c>
      <c r="J321" s="55"/>
    </row>
    <row r="322" ht="15.75" customHeight="1">
      <c r="A322" s="44">
        <v>80602.0</v>
      </c>
      <c r="B322" s="38" t="s">
        <v>409</v>
      </c>
      <c r="C322" s="38" t="s">
        <v>424</v>
      </c>
      <c r="D322" s="45">
        <v>46.499302649930264</v>
      </c>
      <c r="E322" s="45">
        <v>1918.0</v>
      </c>
      <c r="F322" s="45">
        <v>63.98651901781416</v>
      </c>
      <c r="G322" s="45">
        <v>1496.0</v>
      </c>
      <c r="I322" s="46">
        <f t="shared" si="1"/>
        <v>37.60748091</v>
      </c>
      <c r="J322" s="55"/>
    </row>
    <row r="323" ht="15.75" customHeight="1">
      <c r="A323" s="44">
        <v>80701.0</v>
      </c>
      <c r="B323" s="38" t="s">
        <v>409</v>
      </c>
      <c r="C323" s="38" t="s">
        <v>426</v>
      </c>
      <c r="D323" s="45">
        <v>44.85514485514486</v>
      </c>
      <c r="E323" s="45">
        <v>1104.0</v>
      </c>
      <c r="F323" s="45">
        <v>60.547504025764894</v>
      </c>
      <c r="G323" s="45">
        <v>735.0</v>
      </c>
      <c r="I323" s="46">
        <f t="shared" si="1"/>
        <v>34.98452457</v>
      </c>
      <c r="J323" s="55"/>
    </row>
    <row r="324" ht="15.75" customHeight="1">
      <c r="A324" s="44">
        <v>80702.0</v>
      </c>
      <c r="B324" s="38" t="s">
        <v>409</v>
      </c>
      <c r="C324" s="38" t="s">
        <v>395</v>
      </c>
      <c r="D324" s="45">
        <v>48.245010323468684</v>
      </c>
      <c r="E324" s="45">
        <v>752.0</v>
      </c>
      <c r="F324" s="45">
        <v>59.67845659163987</v>
      </c>
      <c r="G324" s="45">
        <v>627.0</v>
      </c>
      <c r="I324" s="46">
        <f t="shared" si="1"/>
        <v>23.69871245</v>
      </c>
      <c r="J324" s="55"/>
    </row>
    <row r="325" ht="15.75" customHeight="1">
      <c r="A325" s="44">
        <v>80703.0</v>
      </c>
      <c r="B325" s="38" t="s">
        <v>409</v>
      </c>
      <c r="C325" s="38" t="s">
        <v>427</v>
      </c>
      <c r="D325" s="45">
        <v>40.08620689655172</v>
      </c>
      <c r="E325" s="45">
        <v>139.0</v>
      </c>
      <c r="F325" s="45">
        <v>59.38566552901023</v>
      </c>
      <c r="G325" s="45">
        <v>119.0</v>
      </c>
      <c r="I325" s="46">
        <f t="shared" si="1"/>
        <v>48.14488605</v>
      </c>
      <c r="J325" s="55"/>
    </row>
    <row r="326" ht="15.75" customHeight="1">
      <c r="A326" s="44">
        <v>80801.0</v>
      </c>
      <c r="B326" s="38" t="s">
        <v>409</v>
      </c>
      <c r="C326" s="38" t="s">
        <v>429</v>
      </c>
      <c r="D326" s="45">
        <v>43.39460080413555</v>
      </c>
      <c r="E326" s="45">
        <v>1971.0</v>
      </c>
      <c r="F326" s="45">
        <v>57.17293233082707</v>
      </c>
      <c r="G326" s="45">
        <v>1424.0</v>
      </c>
      <c r="I326" s="46">
        <f t="shared" si="1"/>
        <v>31.75125769</v>
      </c>
      <c r="J326" s="55"/>
    </row>
    <row r="327" ht="15.75" customHeight="1">
      <c r="A327" s="44">
        <v>80802.0</v>
      </c>
      <c r="B327" s="38" t="s">
        <v>409</v>
      </c>
      <c r="C327" s="38" t="s">
        <v>430</v>
      </c>
      <c r="D327" s="45">
        <v>43.836440168370416</v>
      </c>
      <c r="E327" s="45">
        <v>934.0</v>
      </c>
      <c r="F327" s="45">
        <v>61.02088167053365</v>
      </c>
      <c r="G327" s="45">
        <v>840.0</v>
      </c>
      <c r="I327" s="46">
        <f t="shared" si="1"/>
        <v>39.20127053</v>
      </c>
      <c r="J327" s="55"/>
    </row>
    <row r="328" ht="15.75" customHeight="1">
      <c r="A328" s="44">
        <v>80803.0</v>
      </c>
      <c r="B328" s="38" t="s">
        <v>409</v>
      </c>
      <c r="C328" s="38" t="s">
        <v>431</v>
      </c>
      <c r="D328" s="45">
        <v>36.4321608040201</v>
      </c>
      <c r="E328" s="45">
        <v>759.0</v>
      </c>
      <c r="F328" s="45">
        <v>54.19681620839363</v>
      </c>
      <c r="G328" s="45">
        <v>633.0</v>
      </c>
      <c r="I328" s="46">
        <f t="shared" si="1"/>
        <v>48.76091621</v>
      </c>
      <c r="J328" s="55"/>
    </row>
    <row r="329" ht="15.75" customHeight="1">
      <c r="A329" s="44">
        <v>80901.0</v>
      </c>
      <c r="B329" s="38" t="s">
        <v>409</v>
      </c>
      <c r="C329" s="38" t="s">
        <v>529</v>
      </c>
      <c r="D329" s="45">
        <v>44.256348246674726</v>
      </c>
      <c r="E329" s="45">
        <v>461.0</v>
      </c>
      <c r="F329" s="45">
        <v>55.873642645607106</v>
      </c>
      <c r="G329" s="45">
        <v>447.0</v>
      </c>
      <c r="I329" s="46">
        <f t="shared" si="1"/>
        <v>26.25000674</v>
      </c>
      <c r="J329" s="55"/>
    </row>
    <row r="330" ht="15.75" customHeight="1">
      <c r="A330" s="44">
        <v>90101.0</v>
      </c>
      <c r="B330" s="38" t="s">
        <v>434</v>
      </c>
      <c r="C330" s="38" t="s">
        <v>436</v>
      </c>
      <c r="D330" s="45">
        <v>55.2302351477042</v>
      </c>
      <c r="E330" s="45">
        <v>6835.0</v>
      </c>
      <c r="F330" s="45">
        <v>63.10370849504097</v>
      </c>
      <c r="G330" s="45">
        <v>6845.0</v>
      </c>
      <c r="I330" s="46">
        <f t="shared" si="1"/>
        <v>14.25573026</v>
      </c>
      <c r="J330" s="55"/>
    </row>
    <row r="331" ht="15.75" customHeight="1">
      <c r="A331" s="44">
        <v>90102.0</v>
      </c>
      <c r="B331" s="38" t="s">
        <v>434</v>
      </c>
      <c r="C331" s="38" t="s">
        <v>437</v>
      </c>
      <c r="D331" s="45">
        <v>42.23363286264441</v>
      </c>
      <c r="E331" s="45">
        <v>1350.0</v>
      </c>
      <c r="F331" s="45">
        <v>61.62544169611307</v>
      </c>
      <c r="G331" s="45">
        <v>1086.0</v>
      </c>
      <c r="I331" s="46">
        <f t="shared" si="1"/>
        <v>45.91555952</v>
      </c>
      <c r="J331" s="55"/>
    </row>
    <row r="332" ht="15.75" customHeight="1">
      <c r="A332" s="44">
        <v>90103.0</v>
      </c>
      <c r="B332" s="38" t="s">
        <v>434</v>
      </c>
      <c r="C332" s="38" t="s">
        <v>438</v>
      </c>
      <c r="D332" s="45">
        <v>40.52173913043478</v>
      </c>
      <c r="E332" s="45">
        <v>342.0</v>
      </c>
      <c r="F332" s="45">
        <v>72.81105990783409</v>
      </c>
      <c r="G332" s="45">
        <v>177.0</v>
      </c>
      <c r="I332" s="46">
        <f t="shared" si="1"/>
        <v>79.68394612</v>
      </c>
      <c r="J332" s="55"/>
    </row>
    <row r="333" ht="15.75" customHeight="1">
      <c r="A333" s="44">
        <v>90104.0</v>
      </c>
      <c r="B333" s="38" t="s">
        <v>434</v>
      </c>
      <c r="C333" s="38" t="s">
        <v>439</v>
      </c>
      <c r="D333" s="45">
        <v>54.30157261794635</v>
      </c>
      <c r="E333" s="45">
        <v>494.0</v>
      </c>
      <c r="F333" s="45">
        <v>69.80749746707193</v>
      </c>
      <c r="G333" s="45">
        <v>298.0</v>
      </c>
      <c r="I333" s="46">
        <f t="shared" si="1"/>
        <v>28.55520402</v>
      </c>
      <c r="J333" s="55"/>
    </row>
    <row r="334" ht="15.75" customHeight="1">
      <c r="A334" s="44">
        <v>90201.0</v>
      </c>
      <c r="B334" s="38" t="s">
        <v>434</v>
      </c>
      <c r="C334" s="38" t="s">
        <v>441</v>
      </c>
      <c r="D334" s="45">
        <v>39.22305764411028</v>
      </c>
      <c r="E334" s="45">
        <v>970.0</v>
      </c>
      <c r="F334" s="45">
        <v>56.25</v>
      </c>
      <c r="G334" s="45">
        <v>896.0</v>
      </c>
      <c r="I334" s="46">
        <f t="shared" si="1"/>
        <v>43.41054313</v>
      </c>
      <c r="J334" s="55"/>
    </row>
    <row r="335" ht="15.75" customHeight="1">
      <c r="A335" s="44">
        <v>90202.0</v>
      </c>
      <c r="B335" s="38" t="s">
        <v>434</v>
      </c>
      <c r="C335" s="38" t="s">
        <v>288</v>
      </c>
      <c r="D335" s="45">
        <v>29.03225806451613</v>
      </c>
      <c r="E335" s="45">
        <v>616.0</v>
      </c>
      <c r="F335" s="45">
        <v>63.63636363636363</v>
      </c>
      <c r="G335" s="45">
        <v>328.0</v>
      </c>
      <c r="I335" s="46">
        <f t="shared" si="1"/>
        <v>119.1919192</v>
      </c>
      <c r="J335" s="55"/>
    </row>
    <row r="336" ht="15.75" customHeight="1">
      <c r="A336" s="44">
        <v>90203.0</v>
      </c>
      <c r="B336" s="38" t="s">
        <v>434</v>
      </c>
      <c r="C336" s="38" t="s">
        <v>442</v>
      </c>
      <c r="D336" s="45">
        <v>37.95975017349063</v>
      </c>
      <c r="E336" s="45">
        <v>894.0</v>
      </c>
      <c r="F336" s="45">
        <v>57.19982277359327</v>
      </c>
      <c r="G336" s="45">
        <v>966.0</v>
      </c>
      <c r="I336" s="46">
        <f t="shared" si="1"/>
        <v>50.68545634</v>
      </c>
      <c r="J336" s="55"/>
    </row>
    <row r="337" ht="15.75" customHeight="1">
      <c r="A337" s="44">
        <v>90301.0</v>
      </c>
      <c r="B337" s="38" t="s">
        <v>434</v>
      </c>
      <c r="C337" s="38" t="s">
        <v>444</v>
      </c>
      <c r="D337" s="45">
        <v>47.61904761904761</v>
      </c>
      <c r="E337" s="45">
        <v>1144.0</v>
      </c>
      <c r="F337" s="45">
        <v>59.22055916407795</v>
      </c>
      <c r="G337" s="45">
        <v>1444.0</v>
      </c>
      <c r="I337" s="46">
        <f t="shared" si="1"/>
        <v>24.36317424</v>
      </c>
      <c r="J337" s="55"/>
    </row>
    <row r="338" ht="15.75" customHeight="1">
      <c r="A338" s="44">
        <v>90302.0</v>
      </c>
      <c r="B338" s="38" t="s">
        <v>434</v>
      </c>
      <c r="C338" s="38" t="s">
        <v>337</v>
      </c>
      <c r="D338" s="45">
        <v>43.06032368808239</v>
      </c>
      <c r="E338" s="45">
        <v>1161.0</v>
      </c>
      <c r="F338" s="45">
        <v>63.980509745127435</v>
      </c>
      <c r="G338" s="45">
        <v>961.0</v>
      </c>
      <c r="I338" s="46">
        <f t="shared" si="1"/>
        <v>48.58343892</v>
      </c>
      <c r="J338" s="55"/>
    </row>
    <row r="339" ht="15.75" customHeight="1">
      <c r="A339" s="44">
        <v>90303.0</v>
      </c>
      <c r="B339" s="38" t="s">
        <v>434</v>
      </c>
      <c r="C339" s="38" t="s">
        <v>445</v>
      </c>
      <c r="D339" s="45">
        <v>38.15973843998132</v>
      </c>
      <c r="E339" s="45">
        <v>1324.0</v>
      </c>
      <c r="F339" s="45">
        <v>60.99524332235639</v>
      </c>
      <c r="G339" s="45">
        <v>1066.0</v>
      </c>
      <c r="I339" s="46">
        <f t="shared" si="1"/>
        <v>59.84187999</v>
      </c>
      <c r="J339" s="55"/>
    </row>
    <row r="340" ht="15.75" customHeight="1">
      <c r="A340" s="44">
        <v>90401.0</v>
      </c>
      <c r="B340" s="38" t="s">
        <v>434</v>
      </c>
      <c r="C340" s="38" t="s">
        <v>530</v>
      </c>
      <c r="D340" s="45">
        <v>42.059336823734725</v>
      </c>
      <c r="E340" s="45">
        <v>332.0</v>
      </c>
      <c r="F340" s="45">
        <v>55.51128818061088</v>
      </c>
      <c r="G340" s="45">
        <v>335.0</v>
      </c>
      <c r="I340" s="46">
        <f t="shared" si="1"/>
        <v>31.98327024</v>
      </c>
      <c r="J340" s="55"/>
    </row>
    <row r="341" ht="15.75" customHeight="1">
      <c r="A341" s="44">
        <v>90402.0</v>
      </c>
      <c r="B341" s="38" t="s">
        <v>434</v>
      </c>
      <c r="C341" s="38" t="s">
        <v>107</v>
      </c>
      <c r="D341" s="45">
        <v>35.18518518518518</v>
      </c>
      <c r="E341" s="45">
        <v>245.0</v>
      </c>
      <c r="F341" s="45">
        <v>58.57805255023184</v>
      </c>
      <c r="G341" s="45">
        <v>268.0</v>
      </c>
      <c r="I341" s="46">
        <f t="shared" si="1"/>
        <v>66.48499146</v>
      </c>
      <c r="J341" s="55"/>
    </row>
    <row r="342" ht="15.75" customHeight="1">
      <c r="A342" s="44">
        <v>90501.0</v>
      </c>
      <c r="B342" s="38" t="s">
        <v>434</v>
      </c>
      <c r="C342" s="38" t="s">
        <v>448</v>
      </c>
      <c r="D342" s="45">
        <v>48.38056680161944</v>
      </c>
      <c r="E342" s="45">
        <v>255.0</v>
      </c>
      <c r="F342" s="45">
        <v>59.60591133004927</v>
      </c>
      <c r="G342" s="45">
        <v>164.0</v>
      </c>
      <c r="I342" s="46">
        <f t="shared" si="1"/>
        <v>23.20217656</v>
      </c>
      <c r="J342" s="55"/>
    </row>
    <row r="343" ht="15.75" customHeight="1">
      <c r="A343" s="44">
        <v>90502.0</v>
      </c>
      <c r="B343" s="38" t="s">
        <v>434</v>
      </c>
      <c r="C343" s="38" t="s">
        <v>531</v>
      </c>
      <c r="D343" s="45">
        <v>37.57142857142857</v>
      </c>
      <c r="E343" s="45">
        <v>437.0</v>
      </c>
      <c r="F343" s="45">
        <v>62.67071320182094</v>
      </c>
      <c r="G343" s="45">
        <v>246.0</v>
      </c>
      <c r="I343" s="46">
        <f t="shared" si="1"/>
        <v>66.80417962</v>
      </c>
      <c r="J343" s="55"/>
    </row>
    <row r="344" ht="15.75" customHeight="1">
      <c r="A344" s="44">
        <v>90503.0</v>
      </c>
      <c r="B344" s="38" t="s">
        <v>434</v>
      </c>
      <c r="C344" s="38" t="s">
        <v>450</v>
      </c>
      <c r="D344" s="45">
        <v>36.08247422680412</v>
      </c>
      <c r="E344" s="45">
        <v>310.0</v>
      </c>
      <c r="F344" s="45">
        <v>58.30258302583026</v>
      </c>
      <c r="G344" s="45">
        <v>226.0</v>
      </c>
      <c r="I344" s="46">
        <f t="shared" si="1"/>
        <v>61.58144439</v>
      </c>
      <c r="J344" s="55"/>
    </row>
    <row r="345" ht="15.75" customHeight="1">
      <c r="A345" s="72"/>
      <c r="B345" s="73"/>
      <c r="C345" s="73"/>
      <c r="D345" s="74"/>
      <c r="E345" s="75"/>
      <c r="F345" s="74"/>
      <c r="G345" s="74"/>
      <c r="I345" s="55"/>
      <c r="J345" s="55"/>
    </row>
    <row r="346" ht="15.75" customHeight="1">
      <c r="A346" s="72"/>
      <c r="B346" s="73"/>
      <c r="C346" s="73"/>
      <c r="D346" s="74"/>
      <c r="E346" s="75"/>
      <c r="F346" s="74"/>
      <c r="G346" s="74"/>
      <c r="I346" s="55"/>
      <c r="J346" s="55"/>
    </row>
    <row r="347" ht="15.75" customHeight="1">
      <c r="A347" s="72"/>
      <c r="B347" s="73"/>
      <c r="C347" s="73"/>
      <c r="D347" s="74"/>
      <c r="E347" s="75"/>
      <c r="F347" s="74"/>
      <c r="G347" s="74"/>
      <c r="I347" s="55"/>
      <c r="J347" s="55"/>
    </row>
    <row r="348" ht="15.75" customHeight="1">
      <c r="A348" s="72"/>
      <c r="B348" s="73"/>
      <c r="C348" s="73"/>
      <c r="D348" s="74"/>
      <c r="E348" s="75"/>
      <c r="F348" s="74"/>
      <c r="G348" s="74"/>
      <c r="I348" s="55"/>
      <c r="J348" s="55"/>
    </row>
    <row r="349" ht="15.75" customHeight="1">
      <c r="A349" s="72"/>
      <c r="B349" s="73"/>
      <c r="C349" s="73"/>
      <c r="D349" s="74"/>
      <c r="E349" s="75"/>
      <c r="F349" s="74"/>
      <c r="G349" s="74"/>
      <c r="I349" s="55"/>
      <c r="J349" s="55"/>
    </row>
    <row r="350" ht="15.75" customHeight="1">
      <c r="A350" s="72"/>
      <c r="B350" s="73"/>
      <c r="C350" s="73"/>
      <c r="D350" s="74"/>
      <c r="E350" s="75"/>
      <c r="F350" s="74"/>
      <c r="G350" s="74"/>
      <c r="I350" s="55"/>
      <c r="J350" s="55"/>
    </row>
    <row r="351" ht="15.75" customHeight="1">
      <c r="A351" s="72"/>
      <c r="B351" s="73"/>
      <c r="C351" s="73"/>
      <c r="D351" s="74"/>
      <c r="E351" s="75"/>
      <c r="F351" s="74"/>
      <c r="G351" s="74"/>
      <c r="I351" s="55"/>
      <c r="J351" s="55"/>
    </row>
    <row r="352" ht="15.75" customHeight="1">
      <c r="A352" s="72"/>
      <c r="B352" s="73"/>
      <c r="C352" s="73"/>
      <c r="D352" s="74"/>
      <c r="E352" s="75"/>
      <c r="F352" s="74"/>
      <c r="G352" s="74"/>
      <c r="I352" s="55"/>
      <c r="J352" s="55"/>
    </row>
    <row r="353" ht="15.75" customHeight="1">
      <c r="A353" s="72"/>
      <c r="B353" s="73"/>
      <c r="C353" s="73"/>
      <c r="D353" s="74"/>
      <c r="E353" s="75"/>
      <c r="F353" s="74"/>
      <c r="G353" s="74"/>
      <c r="I353" s="55"/>
      <c r="J353" s="55"/>
    </row>
    <row r="354" ht="15.75" customHeight="1">
      <c r="A354" s="72"/>
      <c r="B354" s="73"/>
      <c r="C354" s="73"/>
      <c r="D354" s="74"/>
      <c r="E354" s="75"/>
      <c r="F354" s="74"/>
      <c r="G354" s="74"/>
      <c r="I354" s="55"/>
      <c r="J354" s="55"/>
    </row>
    <row r="355" ht="15.75" customHeight="1">
      <c r="A355" s="72"/>
      <c r="B355" s="73"/>
      <c r="C355" s="73"/>
      <c r="D355" s="74"/>
      <c r="E355" s="75"/>
      <c r="F355" s="74"/>
      <c r="G355" s="74"/>
      <c r="I355" s="55"/>
      <c r="J355" s="55"/>
    </row>
    <row r="356" ht="15.75" customHeight="1">
      <c r="A356" s="72"/>
      <c r="B356" s="73"/>
      <c r="C356" s="73"/>
      <c r="D356" s="74"/>
      <c r="E356" s="75"/>
      <c r="F356" s="74"/>
      <c r="G356" s="74"/>
      <c r="I356" s="55"/>
      <c r="J356" s="55"/>
    </row>
    <row r="357" ht="15.75" customHeight="1">
      <c r="A357" s="72"/>
      <c r="B357" s="73"/>
      <c r="C357" s="73"/>
      <c r="D357" s="74"/>
      <c r="E357" s="75"/>
      <c r="F357" s="74"/>
      <c r="G357" s="74"/>
      <c r="I357" s="55"/>
      <c r="J357" s="55"/>
    </row>
    <row r="358" ht="15.75" customHeight="1">
      <c r="A358" s="72"/>
      <c r="B358" s="73"/>
      <c r="C358" s="73"/>
      <c r="D358" s="74"/>
      <c r="E358" s="75"/>
      <c r="F358" s="74"/>
      <c r="G358" s="74"/>
      <c r="I358" s="55"/>
      <c r="J358" s="55"/>
    </row>
    <row r="359" ht="15.75" customHeight="1">
      <c r="A359" s="72"/>
      <c r="B359" s="73"/>
      <c r="C359" s="73"/>
      <c r="D359" s="74"/>
      <c r="E359" s="75"/>
      <c r="F359" s="74"/>
      <c r="G359" s="74"/>
      <c r="I359" s="55"/>
      <c r="J359" s="55"/>
    </row>
    <row r="360" ht="15.75" customHeight="1">
      <c r="A360" s="72"/>
      <c r="B360" s="73"/>
      <c r="C360" s="73"/>
      <c r="D360" s="74"/>
      <c r="E360" s="75"/>
      <c r="F360" s="74"/>
      <c r="G360" s="74"/>
      <c r="I360" s="55"/>
      <c r="J360" s="55"/>
    </row>
    <row r="361" ht="15.75" customHeight="1">
      <c r="A361" s="72"/>
      <c r="B361" s="73"/>
      <c r="C361" s="73"/>
      <c r="D361" s="74"/>
      <c r="E361" s="75"/>
      <c r="F361" s="74"/>
      <c r="G361" s="74"/>
      <c r="I361" s="55"/>
      <c r="J361" s="55"/>
    </row>
    <row r="362" ht="15.75" customHeight="1">
      <c r="A362" s="72"/>
      <c r="B362" s="73"/>
      <c r="C362" s="73"/>
      <c r="D362" s="74"/>
      <c r="E362" s="75"/>
      <c r="F362" s="74"/>
      <c r="G362" s="74"/>
      <c r="I362" s="55"/>
      <c r="J362" s="55"/>
    </row>
    <row r="363" ht="15.75" customHeight="1">
      <c r="A363" s="72"/>
      <c r="B363" s="73"/>
      <c r="C363" s="73"/>
      <c r="D363" s="74"/>
      <c r="E363" s="75"/>
      <c r="F363" s="74"/>
      <c r="G363" s="74"/>
      <c r="I363" s="55"/>
      <c r="J363" s="55"/>
    </row>
    <row r="364" ht="15.75" customHeight="1">
      <c r="A364" s="72"/>
      <c r="B364" s="73"/>
      <c r="C364" s="73"/>
      <c r="D364" s="74"/>
      <c r="E364" s="75"/>
      <c r="F364" s="74"/>
      <c r="G364" s="74"/>
      <c r="I364" s="55"/>
      <c r="J364" s="55"/>
    </row>
    <row r="365" ht="15.75" customHeight="1">
      <c r="A365" s="72"/>
      <c r="B365" s="73"/>
      <c r="C365" s="73"/>
      <c r="D365" s="74"/>
      <c r="E365" s="75"/>
      <c r="F365" s="74"/>
      <c r="G365" s="74"/>
      <c r="I365" s="55"/>
      <c r="J365" s="55"/>
    </row>
    <row r="366" ht="15.75" customHeight="1">
      <c r="A366" s="72"/>
      <c r="B366" s="73"/>
      <c r="C366" s="73"/>
      <c r="D366" s="74"/>
      <c r="E366" s="75"/>
      <c r="F366" s="74"/>
      <c r="G366" s="74"/>
      <c r="I366" s="55"/>
      <c r="J366" s="55"/>
    </row>
    <row r="367" ht="15.75" customHeight="1">
      <c r="A367" s="72"/>
      <c r="B367" s="73"/>
      <c r="C367" s="73"/>
      <c r="D367" s="74"/>
      <c r="E367" s="75"/>
      <c r="F367" s="74"/>
      <c r="G367" s="74"/>
      <c r="I367" s="55"/>
      <c r="J367" s="55"/>
    </row>
    <row r="368" ht="15.75" customHeight="1">
      <c r="A368" s="72"/>
      <c r="B368" s="73"/>
      <c r="C368" s="73"/>
      <c r="D368" s="74"/>
      <c r="E368" s="75"/>
      <c r="F368" s="74"/>
      <c r="G368" s="74"/>
      <c r="I368" s="55"/>
      <c r="J368" s="55"/>
    </row>
    <row r="369" ht="15.75" customHeight="1">
      <c r="A369" s="72"/>
      <c r="B369" s="73"/>
      <c r="C369" s="73"/>
      <c r="D369" s="74"/>
      <c r="E369" s="75"/>
      <c r="F369" s="74"/>
      <c r="G369" s="74"/>
      <c r="I369" s="55"/>
      <c r="J369" s="55"/>
    </row>
    <row r="370" ht="15.75" customHeight="1">
      <c r="A370" s="72"/>
      <c r="B370" s="73"/>
      <c r="C370" s="73"/>
      <c r="D370" s="74"/>
      <c r="E370" s="75"/>
      <c r="F370" s="74"/>
      <c r="G370" s="74"/>
      <c r="I370" s="55"/>
      <c r="J370" s="55"/>
    </row>
    <row r="371" ht="15.75" customHeight="1">
      <c r="A371" s="72"/>
      <c r="B371" s="73"/>
      <c r="C371" s="73"/>
      <c r="D371" s="74"/>
      <c r="E371" s="75"/>
      <c r="F371" s="74"/>
      <c r="G371" s="74"/>
      <c r="I371" s="55"/>
      <c r="J371" s="55"/>
    </row>
    <row r="372" ht="15.75" customHeight="1">
      <c r="A372" s="72"/>
      <c r="B372" s="73"/>
      <c r="C372" s="73"/>
      <c r="D372" s="74"/>
      <c r="E372" s="75"/>
      <c r="F372" s="74"/>
      <c r="G372" s="74"/>
      <c r="I372" s="55"/>
      <c r="J372" s="55"/>
    </row>
    <row r="373" ht="15.75" customHeight="1">
      <c r="A373" s="72"/>
      <c r="B373" s="73"/>
      <c r="C373" s="73"/>
      <c r="D373" s="74"/>
      <c r="E373" s="75"/>
      <c r="F373" s="74"/>
      <c r="G373" s="74"/>
      <c r="I373" s="55"/>
      <c r="J373" s="55"/>
    </row>
    <row r="374" ht="15.75" customHeight="1">
      <c r="A374" s="72"/>
      <c r="B374" s="73"/>
      <c r="C374" s="73"/>
      <c r="D374" s="74"/>
      <c r="E374" s="75"/>
      <c r="F374" s="74"/>
      <c r="G374" s="74"/>
      <c r="I374" s="55"/>
      <c r="J374" s="55"/>
    </row>
    <row r="375" ht="15.75" customHeight="1">
      <c r="A375" s="72"/>
      <c r="B375" s="73"/>
      <c r="C375" s="73"/>
      <c r="D375" s="74"/>
      <c r="E375" s="75"/>
      <c r="F375" s="74"/>
      <c r="G375" s="74"/>
      <c r="I375" s="55"/>
      <c r="J375" s="55"/>
    </row>
    <row r="376" ht="15.75" customHeight="1">
      <c r="A376" s="72"/>
      <c r="B376" s="73"/>
      <c r="C376" s="73"/>
      <c r="D376" s="74"/>
      <c r="E376" s="75"/>
      <c r="F376" s="74"/>
      <c r="G376" s="74"/>
      <c r="I376" s="55"/>
      <c r="J376" s="55"/>
    </row>
    <row r="377" ht="15.75" customHeight="1">
      <c r="A377" s="72"/>
      <c r="B377" s="73"/>
      <c r="C377" s="73"/>
      <c r="D377" s="74"/>
      <c r="E377" s="75"/>
      <c r="F377" s="74"/>
      <c r="G377" s="74"/>
      <c r="I377" s="55"/>
      <c r="J377" s="55"/>
    </row>
    <row r="378" ht="15.75" customHeight="1">
      <c r="A378" s="72"/>
      <c r="B378" s="73"/>
      <c r="C378" s="73"/>
      <c r="D378" s="74"/>
      <c r="E378" s="75"/>
      <c r="F378" s="74"/>
      <c r="G378" s="74"/>
      <c r="I378" s="55"/>
      <c r="J378" s="55"/>
    </row>
    <row r="379" ht="15.75" customHeight="1">
      <c r="A379" s="72"/>
      <c r="B379" s="73"/>
      <c r="C379" s="73"/>
      <c r="D379" s="74"/>
      <c r="E379" s="75"/>
      <c r="F379" s="74"/>
      <c r="G379" s="74"/>
      <c r="I379" s="55"/>
      <c r="J379" s="55"/>
    </row>
    <row r="380" ht="15.75" customHeight="1">
      <c r="A380" s="72"/>
      <c r="B380" s="73"/>
      <c r="C380" s="73"/>
      <c r="D380" s="74"/>
      <c r="E380" s="75"/>
      <c r="F380" s="74"/>
      <c r="G380" s="74"/>
      <c r="I380" s="55"/>
      <c r="J380" s="55"/>
    </row>
    <row r="381" ht="15.75" customHeight="1">
      <c r="A381" s="72"/>
      <c r="B381" s="73"/>
      <c r="C381" s="73"/>
      <c r="D381" s="74"/>
      <c r="E381" s="75"/>
      <c r="F381" s="74"/>
      <c r="G381" s="74"/>
      <c r="I381" s="55"/>
      <c r="J381" s="55"/>
    </row>
    <row r="382" ht="15.75" customHeight="1">
      <c r="A382" s="72"/>
      <c r="B382" s="73"/>
      <c r="C382" s="73"/>
      <c r="D382" s="74"/>
      <c r="E382" s="75"/>
      <c r="F382" s="74"/>
      <c r="G382" s="74"/>
      <c r="I382" s="55"/>
      <c r="J382" s="55"/>
    </row>
    <row r="383" ht="15.75" customHeight="1">
      <c r="A383" s="72"/>
      <c r="B383" s="73"/>
      <c r="C383" s="73"/>
      <c r="D383" s="74"/>
      <c r="E383" s="75"/>
      <c r="F383" s="74"/>
      <c r="G383" s="74"/>
      <c r="I383" s="55"/>
      <c r="J383" s="55"/>
    </row>
    <row r="384" ht="15.75" customHeight="1">
      <c r="A384" s="72"/>
      <c r="B384" s="73"/>
      <c r="C384" s="73"/>
      <c r="D384" s="74"/>
      <c r="E384" s="75"/>
      <c r="F384" s="74"/>
      <c r="G384" s="74"/>
      <c r="I384" s="55"/>
      <c r="J384" s="55"/>
    </row>
    <row r="385" ht="15.75" customHeight="1">
      <c r="A385" s="72"/>
      <c r="B385" s="73"/>
      <c r="C385" s="73"/>
      <c r="D385" s="74"/>
      <c r="E385" s="75"/>
      <c r="F385" s="74"/>
      <c r="G385" s="74"/>
      <c r="I385" s="55"/>
      <c r="J385" s="55"/>
    </row>
    <row r="386" ht="15.75" customHeight="1">
      <c r="A386" s="72"/>
      <c r="B386" s="73"/>
      <c r="C386" s="73"/>
      <c r="D386" s="74"/>
      <c r="E386" s="75"/>
      <c r="F386" s="74"/>
      <c r="G386" s="74"/>
      <c r="I386" s="55"/>
      <c r="J386" s="55"/>
    </row>
    <row r="387" ht="15.75" customHeight="1">
      <c r="A387" s="72"/>
      <c r="B387" s="73"/>
      <c r="C387" s="73"/>
      <c r="D387" s="74"/>
      <c r="E387" s="75"/>
      <c r="F387" s="74"/>
      <c r="G387" s="74"/>
      <c r="I387" s="55"/>
      <c r="J387" s="55"/>
    </row>
    <row r="388" ht="15.75" customHeight="1">
      <c r="A388" s="72"/>
      <c r="B388" s="73"/>
      <c r="C388" s="73"/>
      <c r="D388" s="74"/>
      <c r="E388" s="75"/>
      <c r="F388" s="74"/>
      <c r="G388" s="74"/>
      <c r="I388" s="55"/>
      <c r="J388" s="55"/>
    </row>
    <row r="389" ht="15.75" customHeight="1">
      <c r="A389" s="72"/>
      <c r="B389" s="73"/>
      <c r="C389" s="73"/>
      <c r="D389" s="74"/>
      <c r="E389" s="75"/>
      <c r="F389" s="74"/>
      <c r="G389" s="74"/>
      <c r="I389" s="55"/>
      <c r="J389" s="55"/>
    </row>
    <row r="390" ht="15.75" customHeight="1">
      <c r="A390" s="72"/>
      <c r="B390" s="73"/>
      <c r="C390" s="73"/>
      <c r="D390" s="74"/>
      <c r="E390" s="75"/>
      <c r="F390" s="74"/>
      <c r="G390" s="74"/>
      <c r="I390" s="55"/>
      <c r="J390" s="55"/>
    </row>
    <row r="391" ht="15.75" customHeight="1">
      <c r="A391" s="72"/>
      <c r="B391" s="73"/>
      <c r="C391" s="73"/>
      <c r="D391" s="74"/>
      <c r="E391" s="75"/>
      <c r="F391" s="74"/>
      <c r="G391" s="74"/>
      <c r="I391" s="55"/>
      <c r="J391" s="55"/>
    </row>
    <row r="392" ht="15.75" customHeight="1">
      <c r="A392" s="72"/>
      <c r="B392" s="73"/>
      <c r="C392" s="73"/>
      <c r="D392" s="74"/>
      <c r="E392" s="75"/>
      <c r="F392" s="74"/>
      <c r="G392" s="74"/>
      <c r="I392" s="55"/>
      <c r="J392" s="55"/>
    </row>
    <row r="393" ht="15.75" customHeight="1">
      <c r="A393" s="72"/>
      <c r="B393" s="73"/>
      <c r="C393" s="73"/>
      <c r="D393" s="74"/>
      <c r="E393" s="75"/>
      <c r="F393" s="74"/>
      <c r="G393" s="74"/>
      <c r="I393" s="55"/>
      <c r="J393" s="55"/>
    </row>
    <row r="394" ht="15.75" customHeight="1">
      <c r="A394" s="72"/>
      <c r="B394" s="73"/>
      <c r="C394" s="73"/>
      <c r="D394" s="74"/>
      <c r="E394" s="75"/>
      <c r="F394" s="74"/>
      <c r="G394" s="74"/>
      <c r="I394" s="55"/>
      <c r="J394" s="55"/>
    </row>
    <row r="395" ht="15.75" customHeight="1">
      <c r="A395" s="72"/>
      <c r="B395" s="73"/>
      <c r="C395" s="73"/>
      <c r="D395" s="74"/>
      <c r="E395" s="75"/>
      <c r="F395" s="74"/>
      <c r="G395" s="74"/>
      <c r="I395" s="55"/>
      <c r="J395" s="55"/>
    </row>
    <row r="396" ht="15.75" customHeight="1">
      <c r="A396" s="72"/>
      <c r="B396" s="73"/>
      <c r="C396" s="73"/>
      <c r="D396" s="74"/>
      <c r="E396" s="75"/>
      <c r="F396" s="74"/>
      <c r="G396" s="74"/>
      <c r="I396" s="55"/>
      <c r="J396" s="55"/>
    </row>
    <row r="397" ht="15.75" customHeight="1">
      <c r="A397" s="72"/>
      <c r="B397" s="73"/>
      <c r="C397" s="73"/>
      <c r="D397" s="74"/>
      <c r="E397" s="75"/>
      <c r="F397" s="74"/>
      <c r="G397" s="74"/>
      <c r="I397" s="55"/>
      <c r="J397" s="55"/>
    </row>
    <row r="398" ht="15.75" customHeight="1">
      <c r="A398" s="72"/>
      <c r="B398" s="73"/>
      <c r="C398" s="73"/>
      <c r="D398" s="74"/>
      <c r="E398" s="75"/>
      <c r="F398" s="74"/>
      <c r="G398" s="74"/>
      <c r="I398" s="55"/>
      <c r="J398" s="55"/>
    </row>
    <row r="399" ht="15.75" customHeight="1">
      <c r="A399" s="72"/>
      <c r="B399" s="73"/>
      <c r="C399" s="73"/>
      <c r="D399" s="74"/>
      <c r="E399" s="75"/>
      <c r="F399" s="74"/>
      <c r="G399" s="74"/>
      <c r="I399" s="55"/>
      <c r="J399" s="55"/>
    </row>
    <row r="400" ht="15.75" customHeight="1">
      <c r="A400" s="72"/>
      <c r="B400" s="73"/>
      <c r="C400" s="73"/>
      <c r="D400" s="74"/>
      <c r="E400" s="75"/>
      <c r="F400" s="74"/>
      <c r="G400" s="74"/>
      <c r="I400" s="55"/>
      <c r="J400" s="55"/>
    </row>
    <row r="401" ht="15.75" customHeight="1">
      <c r="A401" s="72"/>
      <c r="B401" s="73"/>
      <c r="C401" s="73"/>
      <c r="D401" s="74"/>
      <c r="E401" s="75"/>
      <c r="F401" s="74"/>
      <c r="G401" s="74"/>
      <c r="I401" s="55"/>
      <c r="J401" s="55"/>
    </row>
    <row r="402" ht="15.75" customHeight="1">
      <c r="A402" s="72"/>
      <c r="B402" s="73"/>
      <c r="C402" s="73"/>
      <c r="D402" s="74"/>
      <c r="E402" s="75"/>
      <c r="F402" s="74"/>
      <c r="G402" s="74"/>
      <c r="I402" s="55"/>
      <c r="J402" s="55"/>
    </row>
    <row r="403" ht="15.75" customHeight="1">
      <c r="A403" s="72"/>
      <c r="B403" s="73"/>
      <c r="C403" s="73"/>
      <c r="D403" s="74"/>
      <c r="E403" s="75"/>
      <c r="F403" s="74"/>
      <c r="G403" s="74"/>
      <c r="I403" s="55"/>
      <c r="J403" s="55"/>
    </row>
    <row r="404" ht="15.75" customHeight="1">
      <c r="A404" s="72"/>
      <c r="B404" s="73"/>
      <c r="C404" s="73"/>
      <c r="D404" s="74"/>
      <c r="E404" s="75"/>
      <c r="F404" s="74"/>
      <c r="G404" s="74"/>
      <c r="I404" s="55"/>
      <c r="J404" s="55"/>
    </row>
    <row r="405" ht="15.75" customHeight="1">
      <c r="A405" s="72"/>
      <c r="B405" s="73"/>
      <c r="C405" s="73"/>
      <c r="D405" s="74"/>
      <c r="E405" s="75"/>
      <c r="F405" s="74"/>
      <c r="G405" s="74"/>
      <c r="I405" s="55"/>
      <c r="J405" s="55"/>
    </row>
    <row r="406" ht="15.75" customHeight="1">
      <c r="A406" s="72"/>
      <c r="B406" s="73"/>
      <c r="C406" s="73"/>
      <c r="D406" s="74"/>
      <c r="E406" s="75"/>
      <c r="F406" s="74"/>
      <c r="G406" s="74"/>
      <c r="I406" s="55"/>
      <c r="J406" s="55"/>
    </row>
    <row r="407" ht="15.75" customHeight="1">
      <c r="A407" s="72"/>
      <c r="B407" s="73"/>
      <c r="C407" s="73"/>
      <c r="D407" s="74"/>
      <c r="E407" s="75"/>
      <c r="F407" s="74"/>
      <c r="G407" s="74"/>
      <c r="I407" s="55"/>
      <c r="J407" s="55"/>
    </row>
    <row r="408" ht="15.75" customHeight="1">
      <c r="A408" s="72"/>
      <c r="B408" s="73"/>
      <c r="C408" s="73"/>
      <c r="D408" s="74"/>
      <c r="E408" s="75"/>
      <c r="F408" s="74"/>
      <c r="G408" s="74"/>
      <c r="I408" s="55"/>
      <c r="J408" s="55"/>
    </row>
    <row r="409" ht="15.75" customHeight="1">
      <c r="A409" s="72"/>
      <c r="B409" s="73"/>
      <c r="C409" s="73"/>
      <c r="D409" s="74"/>
      <c r="E409" s="75"/>
      <c r="F409" s="74"/>
      <c r="G409" s="74"/>
      <c r="I409" s="55"/>
      <c r="J409" s="55"/>
    </row>
    <row r="410" ht="15.75" customHeight="1">
      <c r="A410" s="72"/>
      <c r="B410" s="73"/>
      <c r="C410" s="73"/>
      <c r="D410" s="74"/>
      <c r="E410" s="75"/>
      <c r="F410" s="74"/>
      <c r="G410" s="74"/>
      <c r="I410" s="55"/>
      <c r="J410" s="55"/>
    </row>
    <row r="411" ht="15.75" customHeight="1">
      <c r="A411" s="72"/>
      <c r="B411" s="73"/>
      <c r="C411" s="73"/>
      <c r="D411" s="74"/>
      <c r="E411" s="75"/>
      <c r="F411" s="74"/>
      <c r="G411" s="74"/>
      <c r="I411" s="55"/>
      <c r="J411" s="55"/>
    </row>
    <row r="412" ht="15.75" customHeight="1">
      <c r="A412" s="72"/>
      <c r="B412" s="73"/>
      <c r="C412" s="73"/>
      <c r="D412" s="74"/>
      <c r="E412" s="75"/>
      <c r="F412" s="74"/>
      <c r="G412" s="74"/>
      <c r="I412" s="55"/>
      <c r="J412" s="55"/>
    </row>
    <row r="413" ht="15.75" customHeight="1">
      <c r="A413" s="72"/>
      <c r="B413" s="73"/>
      <c r="C413" s="73"/>
      <c r="D413" s="74"/>
      <c r="E413" s="75"/>
      <c r="F413" s="74"/>
      <c r="G413" s="74"/>
      <c r="I413" s="55"/>
      <c r="J413" s="55"/>
    </row>
    <row r="414" ht="15.75" customHeight="1">
      <c r="A414" s="72"/>
      <c r="B414" s="73"/>
      <c r="C414" s="73"/>
      <c r="D414" s="74"/>
      <c r="E414" s="75"/>
      <c r="F414" s="74"/>
      <c r="G414" s="74"/>
      <c r="I414" s="55"/>
      <c r="J414" s="55"/>
    </row>
    <row r="415" ht="15.75" customHeight="1">
      <c r="A415" s="72"/>
      <c r="B415" s="73"/>
      <c r="C415" s="73"/>
      <c r="D415" s="74"/>
      <c r="E415" s="75"/>
      <c r="F415" s="74"/>
      <c r="G415" s="74"/>
      <c r="I415" s="55"/>
      <c r="J415" s="55"/>
    </row>
    <row r="416" ht="15.75" customHeight="1">
      <c r="A416" s="72"/>
      <c r="B416" s="73"/>
      <c r="C416" s="73"/>
      <c r="D416" s="74"/>
      <c r="E416" s="75"/>
      <c r="F416" s="74"/>
      <c r="G416" s="74"/>
      <c r="I416" s="55"/>
      <c r="J416" s="55"/>
    </row>
    <row r="417" ht="15.75" customHeight="1">
      <c r="A417" s="72"/>
      <c r="B417" s="73"/>
      <c r="C417" s="73"/>
      <c r="D417" s="74"/>
      <c r="E417" s="75"/>
      <c r="F417" s="74"/>
      <c r="G417" s="74"/>
      <c r="I417" s="55"/>
      <c r="J417" s="55"/>
    </row>
    <row r="418" ht="15.75" customHeight="1">
      <c r="A418" s="72"/>
      <c r="B418" s="73"/>
      <c r="C418" s="73"/>
      <c r="D418" s="74"/>
      <c r="E418" s="75"/>
      <c r="F418" s="74"/>
      <c r="G418" s="74"/>
      <c r="I418" s="55"/>
      <c r="J418" s="55"/>
    </row>
    <row r="419" ht="15.75" customHeight="1">
      <c r="A419" s="72"/>
      <c r="B419" s="73"/>
      <c r="C419" s="73"/>
      <c r="D419" s="74"/>
      <c r="E419" s="75"/>
      <c r="F419" s="74"/>
      <c r="G419" s="74"/>
      <c r="I419" s="55"/>
      <c r="J419" s="55"/>
    </row>
    <row r="420" ht="15.75" customHeight="1">
      <c r="A420" s="72"/>
      <c r="B420" s="73"/>
      <c r="C420" s="73"/>
      <c r="D420" s="74"/>
      <c r="E420" s="75"/>
      <c r="F420" s="74"/>
      <c r="G420" s="74"/>
      <c r="I420" s="55"/>
      <c r="J420" s="55"/>
    </row>
    <row r="421" ht="15.75" customHeight="1">
      <c r="A421" s="72"/>
      <c r="B421" s="73"/>
      <c r="C421" s="73"/>
      <c r="D421" s="74"/>
      <c r="E421" s="75"/>
      <c r="F421" s="74"/>
      <c r="G421" s="74"/>
      <c r="I421" s="55"/>
      <c r="J421" s="55"/>
    </row>
    <row r="422" ht="15.75" customHeight="1">
      <c r="A422" s="72"/>
      <c r="B422" s="73"/>
      <c r="C422" s="73"/>
      <c r="D422" s="74"/>
      <c r="E422" s="75"/>
      <c r="F422" s="74"/>
      <c r="G422" s="74"/>
      <c r="I422" s="55"/>
      <c r="J422" s="55"/>
    </row>
    <row r="423" ht="15.75" customHeight="1">
      <c r="A423" s="72"/>
      <c r="B423" s="73"/>
      <c r="C423" s="73"/>
      <c r="D423" s="74"/>
      <c r="E423" s="75"/>
      <c r="F423" s="74"/>
      <c r="G423" s="74"/>
      <c r="I423" s="55"/>
      <c r="J423" s="55"/>
    </row>
    <row r="424" ht="15.75" customHeight="1">
      <c r="A424" s="72"/>
      <c r="B424" s="73"/>
      <c r="C424" s="73"/>
      <c r="D424" s="74"/>
      <c r="E424" s="75"/>
      <c r="F424" s="74"/>
      <c r="G424" s="74"/>
      <c r="I424" s="55"/>
      <c r="J424" s="55"/>
    </row>
    <row r="425" ht="15.75" customHeight="1">
      <c r="A425" s="72"/>
      <c r="B425" s="73"/>
      <c r="C425" s="73"/>
      <c r="D425" s="74"/>
      <c r="E425" s="75"/>
      <c r="F425" s="74"/>
      <c r="G425" s="74"/>
      <c r="I425" s="55"/>
      <c r="J425" s="55"/>
    </row>
    <row r="426" ht="15.75" customHeight="1">
      <c r="A426" s="72"/>
      <c r="B426" s="73"/>
      <c r="C426" s="73"/>
      <c r="D426" s="74"/>
      <c r="E426" s="75"/>
      <c r="F426" s="74"/>
      <c r="G426" s="74"/>
      <c r="I426" s="55"/>
      <c r="J426" s="55"/>
    </row>
    <row r="427" ht="15.75" customHeight="1">
      <c r="A427" s="72"/>
      <c r="B427" s="73"/>
      <c r="C427" s="73"/>
      <c r="D427" s="74"/>
      <c r="E427" s="75"/>
      <c r="F427" s="74"/>
      <c r="G427" s="74"/>
      <c r="I427" s="55"/>
      <c r="J427" s="55"/>
    </row>
    <row r="428" ht="15.75" customHeight="1">
      <c r="A428" s="72"/>
      <c r="B428" s="73"/>
      <c r="C428" s="73"/>
      <c r="D428" s="74"/>
      <c r="E428" s="75"/>
      <c r="F428" s="74"/>
      <c r="G428" s="74"/>
      <c r="I428" s="55"/>
      <c r="J428" s="55"/>
    </row>
    <row r="429" ht="15.75" customHeight="1">
      <c r="A429" s="72"/>
      <c r="B429" s="73"/>
      <c r="C429" s="73"/>
      <c r="D429" s="74"/>
      <c r="E429" s="75"/>
      <c r="F429" s="74"/>
      <c r="G429" s="74"/>
      <c r="I429" s="55"/>
      <c r="J429" s="55"/>
    </row>
    <row r="430" ht="15.75" customHeight="1">
      <c r="A430" s="72"/>
      <c r="B430" s="73"/>
      <c r="C430" s="73"/>
      <c r="D430" s="74"/>
      <c r="E430" s="75"/>
      <c r="F430" s="74"/>
      <c r="G430" s="74"/>
      <c r="I430" s="55"/>
      <c r="J430" s="55"/>
    </row>
    <row r="431" ht="15.75" customHeight="1">
      <c r="A431" s="72"/>
      <c r="B431" s="73"/>
      <c r="C431" s="73"/>
      <c r="D431" s="74"/>
      <c r="E431" s="75"/>
      <c r="F431" s="74"/>
      <c r="G431" s="74"/>
      <c r="I431" s="55"/>
      <c r="J431" s="55"/>
    </row>
    <row r="432" ht="15.75" customHeight="1">
      <c r="A432" s="72"/>
      <c r="B432" s="73"/>
      <c r="C432" s="73"/>
      <c r="D432" s="74"/>
      <c r="E432" s="75"/>
      <c r="F432" s="74"/>
      <c r="G432" s="74"/>
      <c r="I432" s="55"/>
      <c r="J432" s="55"/>
    </row>
    <row r="433" ht="15.75" customHeight="1">
      <c r="A433" s="72"/>
      <c r="B433" s="73"/>
      <c r="C433" s="73"/>
      <c r="D433" s="74"/>
      <c r="E433" s="75"/>
      <c r="F433" s="74"/>
      <c r="G433" s="74"/>
      <c r="I433" s="55"/>
      <c r="J433" s="55"/>
    </row>
    <row r="434" ht="15.75" customHeight="1">
      <c r="A434" s="72"/>
      <c r="B434" s="73"/>
      <c r="C434" s="73"/>
      <c r="D434" s="74"/>
      <c r="E434" s="75"/>
      <c r="F434" s="74"/>
      <c r="G434" s="74"/>
      <c r="I434" s="55"/>
      <c r="J434" s="55"/>
    </row>
    <row r="435" ht="15.75" customHeight="1">
      <c r="A435" s="72"/>
      <c r="B435" s="73"/>
      <c r="C435" s="73"/>
      <c r="D435" s="74"/>
      <c r="E435" s="75"/>
      <c r="F435" s="74"/>
      <c r="G435" s="74"/>
      <c r="I435" s="55"/>
      <c r="J435" s="55"/>
    </row>
    <row r="436" ht="15.75" customHeight="1">
      <c r="A436" s="72"/>
      <c r="B436" s="73"/>
      <c r="C436" s="73"/>
      <c r="D436" s="74"/>
      <c r="E436" s="75"/>
      <c r="F436" s="74"/>
      <c r="G436" s="74"/>
      <c r="I436" s="55"/>
      <c r="J436" s="55"/>
    </row>
    <row r="437" ht="15.75" customHeight="1">
      <c r="A437" s="72"/>
      <c r="B437" s="73"/>
      <c r="C437" s="73"/>
      <c r="D437" s="74"/>
      <c r="E437" s="75"/>
      <c r="F437" s="74"/>
      <c r="G437" s="74"/>
      <c r="I437" s="55"/>
      <c r="J437" s="55"/>
    </row>
    <row r="438" ht="15.75" customHeight="1">
      <c r="A438" s="72"/>
      <c r="B438" s="73"/>
      <c r="C438" s="73"/>
      <c r="D438" s="74"/>
      <c r="E438" s="75"/>
      <c r="F438" s="74"/>
      <c r="G438" s="74"/>
      <c r="I438" s="55"/>
      <c r="J438" s="55"/>
    </row>
    <row r="439" ht="15.75" customHeight="1">
      <c r="A439" s="72"/>
      <c r="B439" s="73"/>
      <c r="C439" s="73"/>
      <c r="D439" s="74"/>
      <c r="E439" s="75"/>
      <c r="F439" s="74"/>
      <c r="G439" s="74"/>
      <c r="I439" s="55"/>
      <c r="J439" s="55"/>
    </row>
    <row r="440" ht="15.75" customHeight="1">
      <c r="A440" s="72"/>
      <c r="B440" s="73"/>
      <c r="C440" s="73"/>
      <c r="D440" s="74"/>
      <c r="E440" s="75"/>
      <c r="F440" s="74"/>
      <c r="G440" s="74"/>
      <c r="I440" s="55"/>
      <c r="J440" s="55"/>
    </row>
    <row r="441" ht="15.75" customHeight="1">
      <c r="A441" s="72"/>
      <c r="B441" s="73"/>
      <c r="C441" s="73"/>
      <c r="D441" s="74"/>
      <c r="E441" s="75"/>
      <c r="F441" s="74"/>
      <c r="G441" s="74"/>
      <c r="I441" s="55"/>
      <c r="J441" s="55"/>
    </row>
    <row r="442" ht="15.75" customHeight="1">
      <c r="A442" s="72"/>
      <c r="B442" s="73"/>
      <c r="C442" s="73"/>
      <c r="D442" s="74"/>
      <c r="E442" s="75"/>
      <c r="F442" s="74"/>
      <c r="G442" s="74"/>
      <c r="I442" s="55"/>
      <c r="J442" s="55"/>
    </row>
    <row r="443" ht="15.75" customHeight="1">
      <c r="A443" s="72"/>
      <c r="B443" s="73"/>
      <c r="C443" s="73"/>
      <c r="D443" s="74"/>
      <c r="E443" s="75"/>
      <c r="F443" s="74"/>
      <c r="G443" s="74"/>
      <c r="I443" s="55"/>
      <c r="J443" s="55"/>
    </row>
    <row r="444" ht="15.75" customHeight="1">
      <c r="A444" s="72"/>
      <c r="B444" s="73"/>
      <c r="C444" s="73"/>
      <c r="D444" s="74"/>
      <c r="E444" s="75"/>
      <c r="F444" s="74"/>
      <c r="G444" s="74"/>
      <c r="I444" s="55"/>
      <c r="J444" s="55"/>
    </row>
    <row r="445" ht="15.75" customHeight="1">
      <c r="A445" s="72"/>
      <c r="B445" s="73"/>
      <c r="C445" s="73"/>
      <c r="D445" s="74"/>
      <c r="E445" s="75"/>
      <c r="F445" s="74"/>
      <c r="G445" s="74"/>
      <c r="I445" s="55"/>
      <c r="J445" s="55"/>
    </row>
    <row r="446" ht="15.75" customHeight="1">
      <c r="A446" s="72"/>
      <c r="B446" s="73"/>
      <c r="C446" s="73"/>
      <c r="D446" s="74"/>
      <c r="E446" s="75"/>
      <c r="F446" s="74"/>
      <c r="G446" s="74"/>
      <c r="I446" s="55"/>
      <c r="J446" s="55"/>
    </row>
    <row r="447" ht="15.75" customHeight="1">
      <c r="A447" s="72"/>
      <c r="B447" s="73"/>
      <c r="C447" s="73"/>
      <c r="D447" s="74"/>
      <c r="E447" s="75"/>
      <c r="F447" s="74"/>
      <c r="G447" s="74"/>
      <c r="I447" s="55"/>
      <c r="J447" s="55"/>
    </row>
    <row r="448" ht="15.75" customHeight="1">
      <c r="A448" s="72"/>
      <c r="B448" s="73"/>
      <c r="C448" s="73"/>
      <c r="D448" s="74"/>
      <c r="E448" s="75"/>
      <c r="F448" s="74"/>
      <c r="G448" s="74"/>
      <c r="I448" s="55"/>
      <c r="J448" s="55"/>
    </row>
    <row r="449" ht="15.75" customHeight="1">
      <c r="A449" s="72"/>
      <c r="B449" s="73"/>
      <c r="C449" s="73"/>
      <c r="D449" s="74"/>
      <c r="E449" s="75"/>
      <c r="F449" s="74"/>
      <c r="G449" s="74"/>
      <c r="I449" s="55"/>
      <c r="J449" s="55"/>
    </row>
    <row r="450" ht="15.75" customHeight="1">
      <c r="A450" s="72"/>
      <c r="B450" s="73"/>
      <c r="C450" s="73"/>
      <c r="D450" s="74"/>
      <c r="E450" s="75"/>
      <c r="F450" s="74"/>
      <c r="G450" s="74"/>
      <c r="I450" s="55"/>
      <c r="J450" s="55"/>
    </row>
    <row r="451" ht="15.75" customHeight="1">
      <c r="A451" s="72"/>
      <c r="B451" s="73"/>
      <c r="C451" s="73"/>
      <c r="D451" s="74"/>
      <c r="E451" s="75"/>
      <c r="F451" s="74"/>
      <c r="G451" s="74"/>
      <c r="I451" s="55"/>
      <c r="J451" s="55"/>
    </row>
    <row r="452" ht="15.75" customHeight="1">
      <c r="A452" s="72"/>
      <c r="B452" s="73"/>
      <c r="C452" s="73"/>
      <c r="D452" s="74"/>
      <c r="E452" s="75"/>
      <c r="F452" s="74"/>
      <c r="G452" s="74"/>
      <c r="I452" s="55"/>
      <c r="J452" s="55"/>
    </row>
    <row r="453" ht="15.75" customHeight="1">
      <c r="A453" s="72"/>
      <c r="B453" s="73"/>
      <c r="C453" s="73"/>
      <c r="D453" s="74"/>
      <c r="E453" s="75"/>
      <c r="F453" s="74"/>
      <c r="G453" s="74"/>
      <c r="I453" s="55"/>
      <c r="J453" s="55"/>
    </row>
    <row r="454" ht="15.75" customHeight="1">
      <c r="A454" s="72"/>
      <c r="B454" s="73"/>
      <c r="C454" s="73"/>
      <c r="D454" s="74"/>
      <c r="E454" s="75"/>
      <c r="F454" s="74"/>
      <c r="G454" s="74"/>
      <c r="I454" s="55"/>
      <c r="J454" s="55"/>
    </row>
    <row r="455" ht="15.75" customHeight="1">
      <c r="A455" s="72"/>
      <c r="B455" s="73"/>
      <c r="C455" s="73"/>
      <c r="D455" s="74"/>
      <c r="E455" s="75"/>
      <c r="F455" s="74"/>
      <c r="G455" s="74"/>
      <c r="I455" s="55"/>
      <c r="J455" s="55"/>
    </row>
    <row r="456" ht="15.75" customHeight="1">
      <c r="A456" s="72"/>
      <c r="B456" s="73"/>
      <c r="C456" s="73"/>
      <c r="D456" s="74"/>
      <c r="E456" s="75"/>
      <c r="F456" s="74"/>
      <c r="G456" s="74"/>
      <c r="I456" s="55"/>
      <c r="J456" s="55"/>
    </row>
    <row r="457" ht="15.75" customHeight="1">
      <c r="A457" s="72"/>
      <c r="B457" s="73"/>
      <c r="C457" s="73"/>
      <c r="D457" s="74"/>
      <c r="E457" s="75"/>
      <c r="F457" s="74"/>
      <c r="G457" s="74"/>
      <c r="I457" s="55"/>
      <c r="J457" s="55"/>
    </row>
    <row r="458" ht="15.75" customHeight="1">
      <c r="A458" s="72"/>
      <c r="B458" s="73"/>
      <c r="C458" s="73"/>
      <c r="D458" s="74"/>
      <c r="E458" s="75"/>
      <c r="F458" s="74"/>
      <c r="G458" s="74"/>
      <c r="I458" s="55"/>
      <c r="J458" s="55"/>
    </row>
    <row r="459" ht="15.75" customHeight="1">
      <c r="A459" s="72"/>
      <c r="B459" s="73"/>
      <c r="C459" s="73"/>
      <c r="D459" s="74"/>
      <c r="E459" s="75"/>
      <c r="F459" s="74"/>
      <c r="G459" s="74"/>
      <c r="I459" s="55"/>
      <c r="J459" s="55"/>
    </row>
    <row r="460" ht="15.75" customHeight="1">
      <c r="A460" s="72"/>
      <c r="B460" s="73"/>
      <c r="C460" s="73"/>
      <c r="D460" s="74"/>
      <c r="E460" s="75"/>
      <c r="F460" s="74"/>
      <c r="G460" s="74"/>
      <c r="I460" s="55"/>
      <c r="J460" s="55"/>
    </row>
    <row r="461" ht="15.75" customHeight="1">
      <c r="A461" s="72"/>
      <c r="B461" s="73"/>
      <c r="C461" s="73"/>
      <c r="D461" s="74"/>
      <c r="E461" s="75"/>
      <c r="F461" s="74"/>
      <c r="G461" s="74"/>
      <c r="I461" s="55"/>
      <c r="J461" s="55"/>
    </row>
    <row r="462" ht="15.75" customHeight="1">
      <c r="A462" s="72"/>
      <c r="B462" s="73"/>
      <c r="C462" s="73"/>
      <c r="D462" s="74"/>
      <c r="E462" s="75"/>
      <c r="F462" s="74"/>
      <c r="G462" s="74"/>
      <c r="I462" s="55"/>
      <c r="J462" s="55"/>
    </row>
    <row r="463" ht="15.75" customHeight="1">
      <c r="A463" s="72"/>
      <c r="B463" s="73"/>
      <c r="C463" s="73"/>
      <c r="D463" s="74"/>
      <c r="E463" s="75"/>
      <c r="F463" s="74"/>
      <c r="G463" s="74"/>
      <c r="I463" s="55"/>
      <c r="J463" s="55"/>
    </row>
    <row r="464" ht="15.75" customHeight="1">
      <c r="A464" s="72"/>
      <c r="B464" s="73"/>
      <c r="C464" s="73"/>
      <c r="D464" s="74"/>
      <c r="E464" s="75"/>
      <c r="F464" s="74"/>
      <c r="G464" s="74"/>
      <c r="I464" s="55"/>
      <c r="J464" s="55"/>
    </row>
    <row r="465" ht="15.75" customHeight="1">
      <c r="A465" s="72"/>
      <c r="B465" s="73"/>
      <c r="C465" s="73"/>
      <c r="D465" s="74"/>
      <c r="E465" s="75"/>
      <c r="F465" s="74"/>
      <c r="G465" s="74"/>
      <c r="I465" s="55"/>
      <c r="J465" s="55"/>
    </row>
    <row r="466" ht="15.75" customHeight="1">
      <c r="A466" s="72"/>
      <c r="B466" s="73"/>
      <c r="C466" s="73"/>
      <c r="D466" s="74"/>
      <c r="E466" s="75"/>
      <c r="F466" s="74"/>
      <c r="G466" s="74"/>
      <c r="I466" s="55"/>
      <c r="J466" s="55"/>
    </row>
    <row r="467" ht="15.75" customHeight="1">
      <c r="A467" s="72"/>
      <c r="B467" s="73"/>
      <c r="C467" s="73"/>
      <c r="D467" s="74"/>
      <c r="E467" s="75"/>
      <c r="F467" s="74"/>
      <c r="G467" s="74"/>
      <c r="I467" s="55"/>
      <c r="J467" s="55"/>
    </row>
    <row r="468" ht="15.75" customHeight="1">
      <c r="A468" s="72"/>
      <c r="B468" s="73"/>
      <c r="C468" s="73"/>
      <c r="D468" s="74"/>
      <c r="E468" s="75"/>
      <c r="F468" s="74"/>
      <c r="G468" s="74"/>
      <c r="I468" s="55"/>
      <c r="J468" s="55"/>
    </row>
    <row r="469" ht="15.75" customHeight="1">
      <c r="A469" s="72"/>
      <c r="B469" s="73"/>
      <c r="C469" s="73"/>
      <c r="D469" s="74"/>
      <c r="E469" s="75"/>
      <c r="F469" s="74"/>
      <c r="G469" s="74"/>
      <c r="I469" s="55"/>
      <c r="J469" s="55"/>
    </row>
    <row r="470" ht="15.75" customHeight="1">
      <c r="A470" s="72"/>
      <c r="B470" s="73"/>
      <c r="C470" s="73"/>
      <c r="D470" s="74"/>
      <c r="E470" s="75"/>
      <c r="F470" s="74"/>
      <c r="G470" s="74"/>
      <c r="I470" s="55"/>
      <c r="J470" s="55"/>
    </row>
    <row r="471" ht="15.75" customHeight="1">
      <c r="A471" s="72"/>
      <c r="B471" s="73"/>
      <c r="C471" s="73"/>
      <c r="D471" s="74"/>
      <c r="E471" s="75"/>
      <c r="F471" s="74"/>
      <c r="G471" s="74"/>
      <c r="I471" s="55"/>
      <c r="J471" s="55"/>
    </row>
    <row r="472" ht="15.75" customHeight="1">
      <c r="A472" s="72"/>
      <c r="B472" s="73"/>
      <c r="C472" s="73"/>
      <c r="D472" s="74"/>
      <c r="E472" s="75"/>
      <c r="F472" s="74"/>
      <c r="G472" s="74"/>
      <c r="I472" s="55"/>
      <c r="J472" s="55"/>
    </row>
    <row r="473" ht="15.75" customHeight="1">
      <c r="A473" s="72"/>
      <c r="B473" s="73"/>
      <c r="C473" s="73"/>
      <c r="D473" s="74"/>
      <c r="E473" s="75"/>
      <c r="F473" s="74"/>
      <c r="G473" s="74"/>
      <c r="I473" s="55"/>
      <c r="J473" s="55"/>
    </row>
    <row r="474" ht="15.75" customHeight="1">
      <c r="A474" s="72"/>
      <c r="B474" s="73"/>
      <c r="C474" s="73"/>
      <c r="D474" s="74"/>
      <c r="E474" s="75"/>
      <c r="F474" s="74"/>
      <c r="G474" s="74"/>
      <c r="I474" s="55"/>
      <c r="J474" s="55"/>
    </row>
    <row r="475" ht="15.75" customHeight="1">
      <c r="A475" s="72"/>
      <c r="B475" s="73"/>
      <c r="C475" s="73"/>
      <c r="D475" s="74"/>
      <c r="E475" s="75"/>
      <c r="F475" s="74"/>
      <c r="G475" s="74"/>
      <c r="I475" s="55"/>
      <c r="J475" s="55"/>
    </row>
    <row r="476" ht="15.75" customHeight="1">
      <c r="A476" s="72"/>
      <c r="B476" s="73"/>
      <c r="C476" s="73"/>
      <c r="D476" s="74"/>
      <c r="E476" s="75"/>
      <c r="F476" s="74"/>
      <c r="G476" s="74"/>
      <c r="I476" s="55"/>
      <c r="J476" s="55"/>
    </row>
    <row r="477" ht="15.75" customHeight="1">
      <c r="A477" s="72"/>
      <c r="B477" s="73"/>
      <c r="C477" s="73"/>
      <c r="D477" s="74"/>
      <c r="E477" s="75"/>
      <c r="F477" s="74"/>
      <c r="G477" s="74"/>
      <c r="I477" s="55"/>
      <c r="J477" s="55"/>
    </row>
    <row r="478" ht="15.75" customHeight="1">
      <c r="A478" s="72"/>
      <c r="B478" s="73"/>
      <c r="C478" s="73"/>
      <c r="D478" s="74"/>
      <c r="E478" s="75"/>
      <c r="F478" s="74"/>
      <c r="G478" s="74"/>
      <c r="I478" s="55"/>
      <c r="J478" s="55"/>
    </row>
    <row r="479" ht="15.75" customHeight="1">
      <c r="A479" s="72"/>
      <c r="B479" s="73"/>
      <c r="C479" s="73"/>
      <c r="D479" s="74"/>
      <c r="E479" s="75"/>
      <c r="F479" s="74"/>
      <c r="G479" s="74"/>
      <c r="I479" s="55"/>
      <c r="J479" s="55"/>
    </row>
    <row r="480" ht="15.75" customHeight="1">
      <c r="A480" s="72"/>
      <c r="B480" s="73"/>
      <c r="C480" s="73"/>
      <c r="D480" s="74"/>
      <c r="E480" s="75"/>
      <c r="F480" s="74"/>
      <c r="G480" s="74"/>
      <c r="I480" s="55"/>
      <c r="J480" s="55"/>
    </row>
    <row r="481" ht="15.75" customHeight="1">
      <c r="A481" s="72"/>
      <c r="B481" s="73"/>
      <c r="C481" s="73"/>
      <c r="D481" s="74"/>
      <c r="E481" s="75"/>
      <c r="F481" s="74"/>
      <c r="G481" s="74"/>
      <c r="I481" s="55"/>
      <c r="J481" s="55"/>
    </row>
    <row r="482" ht="15.75" customHeight="1">
      <c r="A482" s="72"/>
      <c r="B482" s="73"/>
      <c r="C482" s="73"/>
      <c r="D482" s="74"/>
      <c r="E482" s="75"/>
      <c r="F482" s="74"/>
      <c r="G482" s="74"/>
      <c r="I482" s="55"/>
      <c r="J482" s="55"/>
    </row>
    <row r="483" ht="15.75" customHeight="1">
      <c r="A483" s="72"/>
      <c r="B483" s="73"/>
      <c r="C483" s="73"/>
      <c r="D483" s="74"/>
      <c r="E483" s="75"/>
      <c r="F483" s="74"/>
      <c r="G483" s="74"/>
      <c r="I483" s="55"/>
      <c r="J483" s="55"/>
    </row>
    <row r="484" ht="15.75" customHeight="1">
      <c r="A484" s="72"/>
      <c r="B484" s="73"/>
      <c r="C484" s="73"/>
      <c r="D484" s="74"/>
      <c r="E484" s="75"/>
      <c r="F484" s="74"/>
      <c r="G484" s="74"/>
      <c r="I484" s="55"/>
      <c r="J484" s="55"/>
    </row>
    <row r="485" ht="15.75" customHeight="1">
      <c r="A485" s="72"/>
      <c r="B485" s="73"/>
      <c r="C485" s="73"/>
      <c r="D485" s="74"/>
      <c r="E485" s="75"/>
      <c r="F485" s="74"/>
      <c r="G485" s="74"/>
      <c r="I485" s="55"/>
      <c r="J485" s="55"/>
    </row>
    <row r="486" ht="15.75" customHeight="1">
      <c r="A486" s="72"/>
      <c r="B486" s="73"/>
      <c r="C486" s="73"/>
      <c r="D486" s="74"/>
      <c r="E486" s="75"/>
      <c r="F486" s="74"/>
      <c r="G486" s="74"/>
      <c r="I486" s="55"/>
      <c r="J486" s="55"/>
    </row>
    <row r="487" ht="15.75" customHeight="1">
      <c r="A487" s="72"/>
      <c r="B487" s="73"/>
      <c r="C487" s="73"/>
      <c r="D487" s="74"/>
      <c r="E487" s="75"/>
      <c r="F487" s="74"/>
      <c r="G487" s="74"/>
      <c r="I487" s="55"/>
      <c r="J487" s="55"/>
    </row>
    <row r="488" ht="15.75" customHeight="1">
      <c r="A488" s="72"/>
      <c r="B488" s="73"/>
      <c r="C488" s="73"/>
      <c r="D488" s="74"/>
      <c r="E488" s="75"/>
      <c r="F488" s="74"/>
      <c r="G488" s="74"/>
      <c r="I488" s="55"/>
      <c r="J488" s="55"/>
    </row>
    <row r="489" ht="15.75" customHeight="1">
      <c r="A489" s="72"/>
      <c r="B489" s="73"/>
      <c r="C489" s="73"/>
      <c r="D489" s="74"/>
      <c r="E489" s="75"/>
      <c r="F489" s="74"/>
      <c r="G489" s="74"/>
      <c r="I489" s="55"/>
      <c r="J489" s="55"/>
    </row>
    <row r="490" ht="15.75" customHeight="1">
      <c r="A490" s="72"/>
      <c r="B490" s="73"/>
      <c r="C490" s="73"/>
      <c r="D490" s="74"/>
      <c r="E490" s="75"/>
      <c r="F490" s="74"/>
      <c r="G490" s="74"/>
      <c r="I490" s="55"/>
      <c r="J490" s="55"/>
    </row>
    <row r="491" ht="15.75" customHeight="1">
      <c r="A491" s="72"/>
      <c r="B491" s="73"/>
      <c r="C491" s="73"/>
      <c r="D491" s="74"/>
      <c r="E491" s="75"/>
      <c r="F491" s="74"/>
      <c r="G491" s="74"/>
      <c r="I491" s="55"/>
      <c r="J491" s="55"/>
    </row>
    <row r="492" ht="15.75" customHeight="1">
      <c r="A492" s="72"/>
      <c r="B492" s="73"/>
      <c r="C492" s="73"/>
      <c r="D492" s="74"/>
      <c r="E492" s="75"/>
      <c r="F492" s="74"/>
      <c r="G492" s="74"/>
      <c r="I492" s="55"/>
      <c r="J492" s="55"/>
    </row>
    <row r="493" ht="15.75" customHeight="1">
      <c r="A493" s="72"/>
      <c r="B493" s="73"/>
      <c r="C493" s="73"/>
      <c r="D493" s="74"/>
      <c r="E493" s="75"/>
      <c r="F493" s="74"/>
      <c r="G493" s="74"/>
      <c r="I493" s="55"/>
      <c r="J493" s="55"/>
    </row>
    <row r="494" ht="15.75" customHeight="1">
      <c r="A494" s="72"/>
      <c r="B494" s="73"/>
      <c r="C494" s="73"/>
      <c r="D494" s="74"/>
      <c r="E494" s="75"/>
      <c r="F494" s="74"/>
      <c r="G494" s="74"/>
      <c r="I494" s="55"/>
      <c r="J494" s="55"/>
    </row>
    <row r="495" ht="15.75" customHeight="1">
      <c r="A495" s="72"/>
      <c r="B495" s="73"/>
      <c r="C495" s="73"/>
      <c r="D495" s="74"/>
      <c r="E495" s="75"/>
      <c r="F495" s="74"/>
      <c r="G495" s="74"/>
      <c r="I495" s="55"/>
      <c r="J495" s="55"/>
    </row>
    <row r="496" ht="15.75" customHeight="1">
      <c r="A496" s="72"/>
      <c r="B496" s="73"/>
      <c r="C496" s="73"/>
      <c r="D496" s="74"/>
      <c r="E496" s="75"/>
      <c r="F496" s="74"/>
      <c r="G496" s="74"/>
      <c r="I496" s="55"/>
      <c r="J496" s="55"/>
    </row>
    <row r="497" ht="15.75" customHeight="1">
      <c r="A497" s="72"/>
      <c r="B497" s="73"/>
      <c r="C497" s="73"/>
      <c r="D497" s="74"/>
      <c r="E497" s="75"/>
      <c r="F497" s="74"/>
      <c r="G497" s="74"/>
      <c r="I497" s="55"/>
      <c r="J497" s="55"/>
    </row>
    <row r="498" ht="15.75" customHeight="1">
      <c r="A498" s="72"/>
      <c r="B498" s="73"/>
      <c r="C498" s="73"/>
      <c r="D498" s="74"/>
      <c r="E498" s="75"/>
      <c r="F498" s="74"/>
      <c r="G498" s="74"/>
      <c r="I498" s="55"/>
      <c r="J498" s="55"/>
    </row>
    <row r="499" ht="15.75" customHeight="1">
      <c r="A499" s="72"/>
      <c r="B499" s="73"/>
      <c r="C499" s="73"/>
      <c r="D499" s="74"/>
      <c r="E499" s="75"/>
      <c r="F499" s="74"/>
      <c r="G499" s="74"/>
      <c r="I499" s="55"/>
      <c r="J499" s="55"/>
    </row>
    <row r="500" ht="15.75" customHeight="1">
      <c r="A500" s="72"/>
      <c r="B500" s="73"/>
      <c r="C500" s="73"/>
      <c r="D500" s="74"/>
      <c r="E500" s="75"/>
      <c r="F500" s="74"/>
      <c r="G500" s="74"/>
      <c r="I500" s="55"/>
      <c r="J500" s="55"/>
    </row>
    <row r="501" ht="15.75" customHeight="1">
      <c r="A501" s="72"/>
      <c r="B501" s="73"/>
      <c r="C501" s="73"/>
      <c r="D501" s="74"/>
      <c r="E501" s="75"/>
      <c r="F501" s="74"/>
      <c r="G501" s="74"/>
      <c r="I501" s="55"/>
      <c r="J501" s="55"/>
    </row>
    <row r="502" ht="15.75" customHeight="1">
      <c r="A502" s="72"/>
      <c r="B502" s="73"/>
      <c r="C502" s="73"/>
      <c r="D502" s="74"/>
      <c r="E502" s="75"/>
      <c r="F502" s="74"/>
      <c r="G502" s="74"/>
      <c r="I502" s="55"/>
      <c r="J502" s="55"/>
    </row>
    <row r="503" ht="15.75" customHeight="1">
      <c r="A503" s="72"/>
      <c r="B503" s="73"/>
      <c r="C503" s="73"/>
      <c r="D503" s="74"/>
      <c r="E503" s="75"/>
      <c r="F503" s="74"/>
      <c r="G503" s="74"/>
      <c r="I503" s="55"/>
      <c r="J503" s="55"/>
    </row>
    <row r="504" ht="15.75" customHeight="1">
      <c r="A504" s="72"/>
      <c r="B504" s="73"/>
      <c r="C504" s="73"/>
      <c r="D504" s="74"/>
      <c r="E504" s="75"/>
      <c r="F504" s="74"/>
      <c r="G504" s="74"/>
      <c r="I504" s="55"/>
      <c r="J504" s="55"/>
    </row>
    <row r="505" ht="15.75" customHeight="1">
      <c r="A505" s="72"/>
      <c r="B505" s="73"/>
      <c r="C505" s="73"/>
      <c r="D505" s="74"/>
      <c r="E505" s="75"/>
      <c r="F505" s="74"/>
      <c r="G505" s="74"/>
      <c r="I505" s="55"/>
      <c r="J505" s="55"/>
    </row>
    <row r="506" ht="15.75" customHeight="1">
      <c r="A506" s="72"/>
      <c r="B506" s="73"/>
      <c r="C506" s="73"/>
      <c r="D506" s="74"/>
      <c r="E506" s="75"/>
      <c r="F506" s="74"/>
      <c r="G506" s="74"/>
      <c r="I506" s="55"/>
      <c r="J506" s="55"/>
    </row>
    <row r="507" ht="15.75" customHeight="1">
      <c r="A507" s="72"/>
      <c r="B507" s="73"/>
      <c r="C507" s="73"/>
      <c r="D507" s="74"/>
      <c r="E507" s="75"/>
      <c r="F507" s="74"/>
      <c r="G507" s="74"/>
      <c r="I507" s="55"/>
      <c r="J507" s="55"/>
    </row>
    <row r="508" ht="15.75" customHeight="1">
      <c r="A508" s="72"/>
      <c r="B508" s="73"/>
      <c r="C508" s="73"/>
      <c r="D508" s="74"/>
      <c r="E508" s="75"/>
      <c r="F508" s="74"/>
      <c r="G508" s="74"/>
      <c r="I508" s="55"/>
      <c r="J508" s="55"/>
    </row>
    <row r="509" ht="15.75" customHeight="1">
      <c r="A509" s="72"/>
      <c r="B509" s="73"/>
      <c r="C509" s="73"/>
      <c r="D509" s="74"/>
      <c r="E509" s="75"/>
      <c r="F509" s="74"/>
      <c r="G509" s="74"/>
      <c r="I509" s="55"/>
      <c r="J509" s="55"/>
    </row>
    <row r="510" ht="15.75" customHeight="1">
      <c r="A510" s="72"/>
      <c r="B510" s="73"/>
      <c r="C510" s="73"/>
      <c r="D510" s="74"/>
      <c r="E510" s="75"/>
      <c r="F510" s="74"/>
      <c r="G510" s="74"/>
      <c r="I510" s="55"/>
      <c r="J510" s="55"/>
    </row>
    <row r="511" ht="15.75" customHeight="1">
      <c r="A511" s="72"/>
      <c r="B511" s="73"/>
      <c r="C511" s="73"/>
      <c r="D511" s="74"/>
      <c r="E511" s="75"/>
      <c r="F511" s="74"/>
      <c r="G511" s="74"/>
      <c r="I511" s="55"/>
      <c r="J511" s="55"/>
    </row>
    <row r="512" ht="15.75" customHeight="1">
      <c r="A512" s="72"/>
      <c r="B512" s="73"/>
      <c r="C512" s="73"/>
      <c r="D512" s="74"/>
      <c r="E512" s="75"/>
      <c r="F512" s="74"/>
      <c r="G512" s="74"/>
      <c r="I512" s="55"/>
      <c r="J512" s="55"/>
    </row>
    <row r="513" ht="15.75" customHeight="1">
      <c r="A513" s="72"/>
      <c r="B513" s="73"/>
      <c r="C513" s="73"/>
      <c r="D513" s="74"/>
      <c r="E513" s="75"/>
      <c r="F513" s="74"/>
      <c r="G513" s="74"/>
      <c r="I513" s="55"/>
      <c r="J513" s="55"/>
    </row>
    <row r="514" ht="15.75" customHeight="1">
      <c r="A514" s="72"/>
      <c r="B514" s="73"/>
      <c r="C514" s="73"/>
      <c r="D514" s="74"/>
      <c r="E514" s="75"/>
      <c r="F514" s="74"/>
      <c r="G514" s="74"/>
      <c r="I514" s="55"/>
      <c r="J514" s="55"/>
    </row>
    <row r="515" ht="15.75" customHeight="1">
      <c r="A515" s="72"/>
      <c r="B515" s="73"/>
      <c r="C515" s="73"/>
      <c r="D515" s="74"/>
      <c r="E515" s="75"/>
      <c r="F515" s="74"/>
      <c r="G515" s="74"/>
      <c r="I515" s="55"/>
      <c r="J515" s="55"/>
    </row>
    <row r="516" ht="15.75" customHeight="1">
      <c r="A516" s="72"/>
      <c r="B516" s="73"/>
      <c r="C516" s="73"/>
      <c r="D516" s="74"/>
      <c r="E516" s="75"/>
      <c r="F516" s="74"/>
      <c r="G516" s="74"/>
      <c r="I516" s="55"/>
      <c r="J516" s="55"/>
    </row>
    <row r="517" ht="15.75" customHeight="1">
      <c r="A517" s="72"/>
      <c r="B517" s="73"/>
      <c r="C517" s="73"/>
      <c r="D517" s="74"/>
      <c r="E517" s="75"/>
      <c r="F517" s="74"/>
      <c r="G517" s="74"/>
      <c r="I517" s="55"/>
      <c r="J517" s="55"/>
    </row>
    <row r="518" ht="15.75" customHeight="1">
      <c r="A518" s="72"/>
      <c r="B518" s="73"/>
      <c r="C518" s="73"/>
      <c r="D518" s="74"/>
      <c r="E518" s="75"/>
      <c r="F518" s="74"/>
      <c r="G518" s="74"/>
      <c r="I518" s="55"/>
      <c r="J518" s="55"/>
    </row>
    <row r="519" ht="15.75" customHeight="1">
      <c r="A519" s="72"/>
      <c r="B519" s="73"/>
      <c r="C519" s="73"/>
      <c r="D519" s="74"/>
      <c r="E519" s="75"/>
      <c r="F519" s="74"/>
      <c r="G519" s="74"/>
      <c r="I519" s="55"/>
      <c r="J519" s="55"/>
    </row>
    <row r="520" ht="15.75" customHeight="1">
      <c r="A520" s="72"/>
      <c r="B520" s="73"/>
      <c r="C520" s="73"/>
      <c r="D520" s="74"/>
      <c r="E520" s="75"/>
      <c r="F520" s="74"/>
      <c r="G520" s="74"/>
      <c r="I520" s="55"/>
      <c r="J520" s="55"/>
    </row>
    <row r="521" ht="15.75" customHeight="1">
      <c r="A521" s="72"/>
      <c r="B521" s="73"/>
      <c r="C521" s="73"/>
      <c r="D521" s="74"/>
      <c r="E521" s="75"/>
      <c r="F521" s="74"/>
      <c r="G521" s="74"/>
      <c r="I521" s="55"/>
      <c r="J521" s="55"/>
    </row>
    <row r="522" ht="15.75" customHeight="1">
      <c r="A522" s="72"/>
      <c r="B522" s="73"/>
      <c r="C522" s="73"/>
      <c r="D522" s="74"/>
      <c r="E522" s="75"/>
      <c r="F522" s="74"/>
      <c r="G522" s="74"/>
      <c r="I522" s="55"/>
      <c r="J522" s="55"/>
    </row>
    <row r="523" ht="15.75" customHeight="1">
      <c r="A523" s="72"/>
      <c r="B523" s="73"/>
      <c r="C523" s="73"/>
      <c r="D523" s="74"/>
      <c r="E523" s="75"/>
      <c r="F523" s="74"/>
      <c r="G523" s="74"/>
      <c r="I523" s="55"/>
      <c r="J523" s="55"/>
    </row>
    <row r="524" ht="15.75" customHeight="1">
      <c r="A524" s="72"/>
      <c r="B524" s="73"/>
      <c r="C524" s="73"/>
      <c r="D524" s="74"/>
      <c r="E524" s="75"/>
      <c r="F524" s="74"/>
      <c r="G524" s="74"/>
      <c r="I524" s="55"/>
      <c r="J524" s="55"/>
    </row>
    <row r="525" ht="15.75" customHeight="1">
      <c r="A525" s="72"/>
      <c r="B525" s="73"/>
      <c r="C525" s="73"/>
      <c r="D525" s="74"/>
      <c r="E525" s="75"/>
      <c r="F525" s="74"/>
      <c r="G525" s="74"/>
      <c r="I525" s="55"/>
      <c r="J525" s="55"/>
    </row>
    <row r="526" ht="15.75" customHeight="1">
      <c r="A526" s="72"/>
      <c r="B526" s="73"/>
      <c r="C526" s="73"/>
      <c r="D526" s="74"/>
      <c r="E526" s="75"/>
      <c r="F526" s="74"/>
      <c r="G526" s="74"/>
      <c r="I526" s="55"/>
      <c r="J526" s="55"/>
    </row>
    <row r="527" ht="15.75" customHeight="1">
      <c r="A527" s="72"/>
      <c r="B527" s="73"/>
      <c r="C527" s="73"/>
      <c r="D527" s="74"/>
      <c r="E527" s="75"/>
      <c r="F527" s="74"/>
      <c r="G527" s="74"/>
      <c r="I527" s="55"/>
      <c r="J527" s="55"/>
    </row>
    <row r="528" ht="15.75" customHeight="1">
      <c r="A528" s="72"/>
      <c r="B528" s="73"/>
      <c r="C528" s="73"/>
      <c r="D528" s="74"/>
      <c r="E528" s="75"/>
      <c r="F528" s="74"/>
      <c r="G528" s="74"/>
      <c r="I528" s="55"/>
      <c r="J528" s="55"/>
    </row>
    <row r="529" ht="15.75" customHeight="1">
      <c r="A529" s="72"/>
      <c r="B529" s="73"/>
      <c r="C529" s="73"/>
      <c r="D529" s="74"/>
      <c r="E529" s="75"/>
      <c r="F529" s="74"/>
      <c r="G529" s="74"/>
      <c r="I529" s="55"/>
      <c r="J529" s="55"/>
    </row>
    <row r="530" ht="15.75" customHeight="1">
      <c r="A530" s="72"/>
      <c r="B530" s="73"/>
      <c r="C530" s="73"/>
      <c r="D530" s="74"/>
      <c r="E530" s="75"/>
      <c r="F530" s="74"/>
      <c r="G530" s="74"/>
      <c r="I530" s="55"/>
      <c r="J530" s="55"/>
    </row>
    <row r="531" ht="15.75" customHeight="1">
      <c r="A531" s="72"/>
      <c r="B531" s="73"/>
      <c r="C531" s="73"/>
      <c r="D531" s="74"/>
      <c r="E531" s="75"/>
      <c r="F531" s="74"/>
      <c r="G531" s="74"/>
      <c r="I531" s="55"/>
      <c r="J531" s="55"/>
    </row>
    <row r="532" ht="15.75" customHeight="1">
      <c r="A532" s="72"/>
      <c r="B532" s="73"/>
      <c r="C532" s="73"/>
      <c r="D532" s="74"/>
      <c r="E532" s="75"/>
      <c r="F532" s="74"/>
      <c r="G532" s="74"/>
      <c r="I532" s="55"/>
      <c r="J532" s="55"/>
    </row>
    <row r="533" ht="15.75" customHeight="1">
      <c r="A533" s="72"/>
      <c r="B533" s="73"/>
      <c r="C533" s="73"/>
      <c r="D533" s="74"/>
      <c r="E533" s="75"/>
      <c r="F533" s="74"/>
      <c r="G533" s="74"/>
      <c r="I533" s="55"/>
      <c r="J533" s="55"/>
    </row>
    <row r="534" ht="15.75" customHeight="1">
      <c r="A534" s="72"/>
      <c r="B534" s="73"/>
      <c r="C534" s="73"/>
      <c r="D534" s="74"/>
      <c r="E534" s="75"/>
      <c r="F534" s="74"/>
      <c r="G534" s="74"/>
      <c r="I534" s="55"/>
      <c r="J534" s="55"/>
    </row>
    <row r="535" ht="15.75" customHeight="1">
      <c r="A535" s="72"/>
      <c r="B535" s="73"/>
      <c r="C535" s="73"/>
      <c r="D535" s="74"/>
      <c r="E535" s="75"/>
      <c r="F535" s="74"/>
      <c r="G535" s="74"/>
      <c r="I535" s="55"/>
      <c r="J535" s="55"/>
    </row>
    <row r="536" ht="15.75" customHeight="1">
      <c r="A536" s="72"/>
      <c r="B536" s="73"/>
      <c r="C536" s="73"/>
      <c r="D536" s="74"/>
      <c r="E536" s="75"/>
      <c r="F536" s="74"/>
      <c r="G536" s="74"/>
      <c r="I536" s="55"/>
      <c r="J536" s="55"/>
    </row>
    <row r="537" ht="15.75" customHeight="1">
      <c r="A537" s="72"/>
      <c r="B537" s="73"/>
      <c r="C537" s="73"/>
      <c r="D537" s="74"/>
      <c r="E537" s="75"/>
      <c r="F537" s="74"/>
      <c r="G537" s="74"/>
      <c r="I537" s="55"/>
      <c r="J537" s="55"/>
    </row>
    <row r="538" ht="15.75" customHeight="1">
      <c r="A538" s="72"/>
      <c r="B538" s="73"/>
      <c r="C538" s="73"/>
      <c r="D538" s="74"/>
      <c r="E538" s="75"/>
      <c r="F538" s="74"/>
      <c r="G538" s="74"/>
      <c r="I538" s="55"/>
      <c r="J538" s="55"/>
    </row>
    <row r="539" ht="15.75" customHeight="1">
      <c r="A539" s="72"/>
      <c r="B539" s="73"/>
      <c r="C539" s="73"/>
      <c r="D539" s="74"/>
      <c r="E539" s="75"/>
      <c r="F539" s="74"/>
      <c r="G539" s="74"/>
      <c r="I539" s="55"/>
      <c r="J539" s="55"/>
    </row>
    <row r="540" ht="15.75" customHeight="1">
      <c r="A540" s="72"/>
      <c r="B540" s="73"/>
      <c r="C540" s="73"/>
      <c r="D540" s="74"/>
      <c r="E540" s="75"/>
      <c r="F540" s="74"/>
      <c r="G540" s="74"/>
      <c r="I540" s="55"/>
      <c r="J540" s="55"/>
    </row>
    <row r="541" ht="15.75" customHeight="1">
      <c r="A541" s="72"/>
      <c r="B541" s="73"/>
      <c r="C541" s="73"/>
      <c r="D541" s="74"/>
      <c r="E541" s="75"/>
      <c r="F541" s="74"/>
      <c r="G541" s="74"/>
      <c r="I541" s="55"/>
      <c r="J541" s="55"/>
    </row>
    <row r="542" ht="15.75" customHeight="1">
      <c r="A542" s="72"/>
      <c r="B542" s="73"/>
      <c r="C542" s="73"/>
      <c r="D542" s="74"/>
      <c r="E542" s="75"/>
      <c r="F542" s="74"/>
      <c r="G542" s="74"/>
      <c r="I542" s="55"/>
      <c r="J542" s="55"/>
    </row>
    <row r="543" ht="15.75" customHeight="1">
      <c r="A543" s="72"/>
      <c r="B543" s="73"/>
      <c r="C543" s="73"/>
      <c r="D543" s="74"/>
      <c r="E543" s="75"/>
      <c r="F543" s="74"/>
      <c r="G543" s="74"/>
      <c r="I543" s="55"/>
      <c r="J543" s="55"/>
    </row>
    <row r="544" ht="15.75" customHeight="1">
      <c r="A544" s="72"/>
      <c r="B544" s="73"/>
      <c r="C544" s="73"/>
      <c r="D544" s="74"/>
      <c r="E544" s="75"/>
      <c r="F544" s="74"/>
      <c r="G544" s="74"/>
      <c r="I544" s="55"/>
      <c r="J544" s="55"/>
    </row>
    <row r="545" ht="15.75" customHeight="1">
      <c r="A545" s="72"/>
      <c r="B545" s="76"/>
      <c r="C545" s="76"/>
      <c r="D545" s="74"/>
      <c r="E545" s="75"/>
      <c r="F545" s="74"/>
      <c r="G545" s="74"/>
      <c r="I545" s="55"/>
      <c r="J545" s="55"/>
    </row>
    <row r="546" ht="15.75" customHeight="1">
      <c r="A546" s="72"/>
      <c r="B546" s="76"/>
      <c r="C546" s="76"/>
      <c r="D546" s="74"/>
      <c r="E546" s="75"/>
      <c r="F546" s="74"/>
      <c r="G546" s="74"/>
      <c r="I546" s="55"/>
      <c r="J546" s="55"/>
    </row>
    <row r="547" ht="15.75" customHeight="1">
      <c r="A547" s="72"/>
      <c r="B547" s="76"/>
      <c r="C547" s="76"/>
      <c r="D547" s="74"/>
      <c r="E547" s="75"/>
      <c r="F547" s="74"/>
      <c r="G547" s="74"/>
      <c r="I547" s="55"/>
      <c r="J547" s="55"/>
    </row>
    <row r="548" ht="15.75" customHeight="1">
      <c r="A548" s="72"/>
      <c r="B548" s="76"/>
      <c r="C548" s="76"/>
      <c r="D548" s="74"/>
      <c r="E548" s="75"/>
      <c r="F548" s="74"/>
      <c r="G548" s="74"/>
      <c r="I548" s="55"/>
      <c r="J548" s="55"/>
    </row>
    <row r="549" ht="15.75" customHeight="1">
      <c r="A549" s="72"/>
      <c r="B549" s="76"/>
      <c r="C549" s="76"/>
      <c r="D549" s="74"/>
      <c r="E549" s="75"/>
      <c r="F549" s="74"/>
      <c r="G549" s="74"/>
      <c r="I549" s="55"/>
      <c r="J549" s="55"/>
    </row>
    <row r="550" ht="15.75" customHeight="1">
      <c r="A550" s="72"/>
      <c r="B550" s="76"/>
      <c r="C550" s="76"/>
      <c r="D550" s="74"/>
      <c r="E550" s="75"/>
      <c r="F550" s="74"/>
      <c r="G550" s="74"/>
      <c r="I550" s="55"/>
      <c r="J550" s="55"/>
    </row>
    <row r="551" ht="15.75" customHeight="1">
      <c r="A551" s="72"/>
      <c r="B551" s="76"/>
      <c r="C551" s="76"/>
      <c r="D551" s="74"/>
      <c r="E551" s="75"/>
      <c r="F551" s="74"/>
      <c r="G551" s="74"/>
      <c r="I551" s="55"/>
      <c r="J551" s="55"/>
    </row>
    <row r="552" ht="15.75" customHeight="1">
      <c r="A552" s="72"/>
      <c r="B552" s="76"/>
      <c r="C552" s="76"/>
      <c r="D552" s="74"/>
      <c r="E552" s="75"/>
      <c r="F552" s="74"/>
      <c r="G552" s="74"/>
      <c r="I552" s="55"/>
      <c r="J552" s="55"/>
    </row>
    <row r="553" ht="15.75" customHeight="1">
      <c r="A553" s="72"/>
      <c r="B553" s="76"/>
      <c r="C553" s="76"/>
      <c r="D553" s="74"/>
      <c r="E553" s="75"/>
      <c r="F553" s="74"/>
      <c r="G553" s="74"/>
      <c r="I553" s="55"/>
      <c r="J553" s="55"/>
    </row>
    <row r="554" ht="15.75" customHeight="1">
      <c r="A554" s="72"/>
      <c r="B554" s="76"/>
      <c r="C554" s="76"/>
      <c r="D554" s="74"/>
      <c r="E554" s="75"/>
      <c r="F554" s="74"/>
      <c r="G554" s="74"/>
      <c r="I554" s="55"/>
      <c r="J554" s="55"/>
    </row>
    <row r="555" ht="15.75" customHeight="1">
      <c r="A555" s="72"/>
      <c r="B555" s="76"/>
      <c r="C555" s="76"/>
      <c r="D555" s="74"/>
      <c r="E555" s="75"/>
      <c r="F555" s="74"/>
      <c r="G555" s="74"/>
      <c r="I555" s="55"/>
      <c r="J555" s="55"/>
    </row>
    <row r="556" ht="15.75" customHeight="1">
      <c r="A556" s="72"/>
      <c r="B556" s="76"/>
      <c r="C556" s="76"/>
      <c r="D556" s="74"/>
      <c r="E556" s="75"/>
      <c r="F556" s="74"/>
      <c r="G556" s="74"/>
      <c r="I556" s="55"/>
      <c r="J556" s="55"/>
    </row>
    <row r="557" ht="15.75" customHeight="1">
      <c r="A557" s="72"/>
      <c r="B557" s="76"/>
      <c r="C557" s="76"/>
      <c r="D557" s="74"/>
      <c r="E557" s="75"/>
      <c r="F557" s="74"/>
      <c r="G557" s="74"/>
      <c r="I557" s="55"/>
      <c r="J557" s="55"/>
    </row>
    <row r="558" ht="15.75" customHeight="1">
      <c r="A558" s="72"/>
      <c r="B558" s="76"/>
      <c r="C558" s="76"/>
      <c r="D558" s="74"/>
      <c r="E558" s="75"/>
      <c r="F558" s="74"/>
      <c r="G558" s="74"/>
      <c r="I558" s="55"/>
      <c r="J558" s="55"/>
    </row>
    <row r="559" ht="15.75" customHeight="1">
      <c r="A559" s="72"/>
      <c r="B559" s="76"/>
      <c r="C559" s="76"/>
      <c r="D559" s="74"/>
      <c r="E559" s="75"/>
      <c r="F559" s="74"/>
      <c r="G559" s="74"/>
      <c r="I559" s="55"/>
      <c r="J559" s="55"/>
    </row>
    <row r="560" ht="15.75" customHeight="1">
      <c r="A560" s="72"/>
      <c r="B560" s="76"/>
      <c r="C560" s="76"/>
      <c r="D560" s="74"/>
      <c r="E560" s="75"/>
      <c r="F560" s="74"/>
      <c r="G560" s="74"/>
      <c r="I560" s="55"/>
      <c r="J560" s="55"/>
    </row>
    <row r="561" ht="15.75" customHeight="1">
      <c r="A561" s="72"/>
      <c r="B561" s="76"/>
      <c r="C561" s="76"/>
      <c r="D561" s="74"/>
      <c r="E561" s="75"/>
      <c r="F561" s="74"/>
      <c r="G561" s="74"/>
      <c r="I561" s="55"/>
      <c r="J561" s="55"/>
    </row>
    <row r="562" ht="15.75" customHeight="1">
      <c r="A562" s="72"/>
      <c r="B562" s="76"/>
      <c r="C562" s="76"/>
      <c r="D562" s="74"/>
      <c r="E562" s="75"/>
      <c r="F562" s="74"/>
      <c r="G562" s="74"/>
      <c r="I562" s="55"/>
      <c r="J562" s="55"/>
    </row>
    <row r="563" ht="15.75" customHeight="1">
      <c r="A563" s="72"/>
      <c r="B563" s="76"/>
      <c r="C563" s="76"/>
      <c r="D563" s="74"/>
      <c r="E563" s="75"/>
      <c r="F563" s="74"/>
      <c r="G563" s="74"/>
      <c r="I563" s="55"/>
      <c r="J563" s="55"/>
    </row>
    <row r="564" ht="15.75" customHeight="1">
      <c r="A564" s="72"/>
      <c r="B564" s="76"/>
      <c r="C564" s="76"/>
      <c r="D564" s="74"/>
      <c r="E564" s="75"/>
      <c r="F564" s="74"/>
      <c r="G564" s="74"/>
      <c r="I564" s="55"/>
      <c r="J564" s="55"/>
    </row>
    <row r="565" ht="15.75" customHeight="1">
      <c r="A565" s="72"/>
      <c r="B565" s="76"/>
      <c r="C565" s="76"/>
      <c r="D565" s="74"/>
      <c r="E565" s="75"/>
      <c r="F565" s="74"/>
      <c r="G565" s="74"/>
      <c r="I565" s="55"/>
      <c r="J565" s="55"/>
    </row>
    <row r="566" ht="15.75" customHeight="1">
      <c r="A566" s="72"/>
      <c r="B566" s="76"/>
      <c r="C566" s="76"/>
      <c r="D566" s="74"/>
      <c r="E566" s="75"/>
      <c r="F566" s="74"/>
      <c r="G566" s="74"/>
      <c r="I566" s="55"/>
      <c r="J566" s="55"/>
    </row>
    <row r="567" ht="15.75" customHeight="1">
      <c r="A567" s="72"/>
      <c r="B567" s="76"/>
      <c r="C567" s="76"/>
      <c r="D567" s="74"/>
      <c r="E567" s="75"/>
      <c r="F567" s="74"/>
      <c r="G567" s="74"/>
      <c r="I567" s="55"/>
      <c r="J567" s="55"/>
    </row>
    <row r="568" ht="15.75" customHeight="1">
      <c r="A568" s="72"/>
      <c r="B568" s="76"/>
      <c r="C568" s="76"/>
      <c r="D568" s="74"/>
      <c r="E568" s="75"/>
      <c r="F568" s="74"/>
      <c r="G568" s="74"/>
      <c r="I568" s="55"/>
      <c r="J568" s="55"/>
    </row>
    <row r="569" ht="15.75" customHeight="1">
      <c r="A569" s="72"/>
      <c r="B569" s="76"/>
      <c r="C569" s="76"/>
      <c r="D569" s="74"/>
      <c r="E569" s="75"/>
      <c r="F569" s="74"/>
      <c r="G569" s="74"/>
      <c r="I569" s="55"/>
      <c r="J569" s="55"/>
    </row>
    <row r="570" ht="15.75" customHeight="1">
      <c r="A570" s="72"/>
      <c r="B570" s="76"/>
      <c r="C570" s="76"/>
      <c r="D570" s="74"/>
      <c r="E570" s="75"/>
      <c r="F570" s="74"/>
      <c r="G570" s="74"/>
      <c r="I570" s="55"/>
      <c r="J570" s="55"/>
    </row>
    <row r="571" ht="15.75" customHeight="1">
      <c r="A571" s="72"/>
      <c r="B571" s="76"/>
      <c r="C571" s="76"/>
      <c r="D571" s="74"/>
      <c r="E571" s="75"/>
      <c r="F571" s="74"/>
      <c r="G571" s="74"/>
      <c r="I571" s="55"/>
      <c r="J571" s="55"/>
    </row>
    <row r="572" ht="15.75" customHeight="1">
      <c r="A572" s="72"/>
      <c r="B572" s="76"/>
      <c r="C572" s="76"/>
      <c r="D572" s="74"/>
      <c r="E572" s="75"/>
      <c r="F572" s="74"/>
      <c r="G572" s="74"/>
      <c r="I572" s="55"/>
      <c r="J572" s="55"/>
    </row>
    <row r="573" ht="15.75" customHeight="1">
      <c r="A573" s="72"/>
      <c r="B573" s="76"/>
      <c r="C573" s="76"/>
      <c r="D573" s="74"/>
      <c r="E573" s="75"/>
      <c r="F573" s="74"/>
      <c r="G573" s="74"/>
      <c r="I573" s="55"/>
      <c r="J573" s="55"/>
    </row>
    <row r="574" ht="15.75" customHeight="1">
      <c r="A574" s="72"/>
      <c r="B574" s="76"/>
      <c r="C574" s="76"/>
      <c r="D574" s="74"/>
      <c r="E574" s="75"/>
      <c r="F574" s="74"/>
      <c r="G574" s="74"/>
      <c r="I574" s="55"/>
      <c r="J574" s="55"/>
    </row>
    <row r="575" ht="15.75" customHeight="1">
      <c r="A575" s="72"/>
      <c r="B575" s="76"/>
      <c r="C575" s="76"/>
      <c r="D575" s="74"/>
      <c r="E575" s="75"/>
      <c r="F575" s="74"/>
      <c r="G575" s="74"/>
      <c r="I575" s="55"/>
      <c r="J575" s="55"/>
    </row>
    <row r="576" ht="15.75" customHeight="1">
      <c r="A576" s="72"/>
      <c r="B576" s="76"/>
      <c r="C576" s="76"/>
      <c r="D576" s="74"/>
      <c r="E576" s="75"/>
      <c r="F576" s="74"/>
      <c r="G576" s="74"/>
      <c r="I576" s="55"/>
      <c r="J576" s="55"/>
    </row>
    <row r="577" ht="15.75" customHeight="1">
      <c r="A577" s="72"/>
      <c r="B577" s="76"/>
      <c r="C577" s="76"/>
      <c r="D577" s="74"/>
      <c r="E577" s="75"/>
      <c r="F577" s="74"/>
      <c r="G577" s="74"/>
      <c r="I577" s="55"/>
      <c r="J577" s="55"/>
    </row>
    <row r="578" ht="15.75" customHeight="1">
      <c r="A578" s="72"/>
      <c r="B578" s="76"/>
      <c r="C578" s="76"/>
      <c r="D578" s="74"/>
      <c r="E578" s="75"/>
      <c r="F578" s="74"/>
      <c r="G578" s="74"/>
      <c r="I578" s="55"/>
      <c r="J578" s="55"/>
    </row>
    <row r="579" ht="15.75" customHeight="1">
      <c r="A579" s="72"/>
      <c r="B579" s="76"/>
      <c r="C579" s="76"/>
      <c r="D579" s="74"/>
      <c r="E579" s="75"/>
      <c r="F579" s="74"/>
      <c r="G579" s="74"/>
      <c r="I579" s="55"/>
      <c r="J579" s="55"/>
    </row>
    <row r="580" ht="15.75" customHeight="1">
      <c r="A580" s="72"/>
      <c r="B580" s="76"/>
      <c r="C580" s="76"/>
      <c r="D580" s="74"/>
      <c r="E580" s="75"/>
      <c r="F580" s="74"/>
      <c r="G580" s="74"/>
      <c r="I580" s="55"/>
      <c r="J580" s="55"/>
    </row>
    <row r="581" ht="15.75" customHeight="1">
      <c r="A581" s="72"/>
      <c r="B581" s="76"/>
      <c r="C581" s="76"/>
      <c r="D581" s="74"/>
      <c r="E581" s="75"/>
      <c r="F581" s="74"/>
      <c r="G581" s="74"/>
      <c r="I581" s="55"/>
      <c r="J581" s="55"/>
    </row>
    <row r="582" ht="15.75" customHeight="1">
      <c r="A582" s="72"/>
      <c r="B582" s="76"/>
      <c r="C582" s="76"/>
      <c r="D582" s="74"/>
      <c r="E582" s="75"/>
      <c r="F582" s="74"/>
      <c r="G582" s="74"/>
      <c r="I582" s="55"/>
      <c r="J582" s="55"/>
    </row>
    <row r="583" ht="15.75" customHeight="1">
      <c r="A583" s="72"/>
      <c r="B583" s="76"/>
      <c r="C583" s="76"/>
      <c r="D583" s="74"/>
      <c r="E583" s="75"/>
      <c r="F583" s="74"/>
      <c r="G583" s="74"/>
      <c r="I583" s="55"/>
      <c r="J583" s="55"/>
    </row>
    <row r="584" ht="15.75" customHeight="1">
      <c r="A584" s="72"/>
      <c r="B584" s="76"/>
      <c r="C584" s="76"/>
      <c r="D584" s="74"/>
      <c r="E584" s="75"/>
      <c r="F584" s="74"/>
      <c r="G584" s="74"/>
      <c r="I584" s="55"/>
      <c r="J584" s="55"/>
    </row>
    <row r="585" ht="15.75" customHeight="1">
      <c r="A585" s="72"/>
      <c r="B585" s="76"/>
      <c r="C585" s="76"/>
      <c r="D585" s="74"/>
      <c r="E585" s="75"/>
      <c r="F585" s="74"/>
      <c r="G585" s="74"/>
      <c r="I585" s="55"/>
      <c r="J585" s="55"/>
    </row>
    <row r="586" ht="15.75" customHeight="1">
      <c r="A586" s="72"/>
      <c r="B586" s="76"/>
      <c r="C586" s="76"/>
      <c r="D586" s="74"/>
      <c r="E586" s="75"/>
      <c r="F586" s="74"/>
      <c r="G586" s="74"/>
      <c r="I586" s="55"/>
      <c r="J586" s="55"/>
    </row>
    <row r="587" ht="15.75" customHeight="1">
      <c r="A587" s="72"/>
      <c r="B587" s="76"/>
      <c r="C587" s="76"/>
      <c r="D587" s="74"/>
      <c r="E587" s="75"/>
      <c r="F587" s="74"/>
      <c r="G587" s="74"/>
      <c r="I587" s="55"/>
      <c r="J587" s="55"/>
    </row>
    <row r="588" ht="15.75" customHeight="1">
      <c r="A588" s="72"/>
      <c r="B588" s="76"/>
      <c r="C588" s="76"/>
      <c r="D588" s="74"/>
      <c r="E588" s="75"/>
      <c r="F588" s="74"/>
      <c r="G588" s="74"/>
      <c r="I588" s="55"/>
      <c r="J588" s="55"/>
    </row>
    <row r="589" ht="15.75" customHeight="1">
      <c r="A589" s="72"/>
      <c r="B589" s="76"/>
      <c r="C589" s="76"/>
      <c r="D589" s="74"/>
      <c r="E589" s="75"/>
      <c r="F589" s="74"/>
      <c r="G589" s="74"/>
      <c r="I589" s="55"/>
      <c r="J589" s="55"/>
    </row>
    <row r="590" ht="15.75" customHeight="1">
      <c r="A590" s="72"/>
      <c r="B590" s="76"/>
      <c r="C590" s="76"/>
      <c r="D590" s="74"/>
      <c r="E590" s="75"/>
      <c r="F590" s="74"/>
      <c r="G590" s="74"/>
      <c r="I590" s="55"/>
      <c r="J590" s="55"/>
    </row>
    <row r="591" ht="15.75" customHeight="1">
      <c r="A591" s="72"/>
      <c r="B591" s="76"/>
      <c r="C591" s="76"/>
      <c r="D591" s="74"/>
      <c r="E591" s="75"/>
      <c r="F591" s="74"/>
      <c r="G591" s="74"/>
      <c r="I591" s="55"/>
      <c r="J591" s="55"/>
    </row>
    <row r="592" ht="15.75" customHeight="1">
      <c r="A592" s="72"/>
      <c r="B592" s="76"/>
      <c r="C592" s="76"/>
      <c r="D592" s="74"/>
      <c r="E592" s="75"/>
      <c r="F592" s="74"/>
      <c r="G592" s="74"/>
      <c r="I592" s="55"/>
      <c r="J592" s="55"/>
    </row>
    <row r="593" ht="15.75" customHeight="1">
      <c r="A593" s="72"/>
      <c r="B593" s="76"/>
      <c r="C593" s="76"/>
      <c r="D593" s="74"/>
      <c r="E593" s="75"/>
      <c r="F593" s="74"/>
      <c r="G593" s="74"/>
      <c r="I593" s="55"/>
      <c r="J593" s="55"/>
    </row>
    <row r="594" ht="15.75" customHeight="1">
      <c r="A594" s="72"/>
      <c r="B594" s="76"/>
      <c r="C594" s="76"/>
      <c r="D594" s="74"/>
      <c r="E594" s="75"/>
      <c r="F594" s="74"/>
      <c r="G594" s="74"/>
      <c r="I594" s="55"/>
      <c r="J594" s="55"/>
    </row>
    <row r="595" ht="15.75" customHeight="1">
      <c r="A595" s="72"/>
      <c r="B595" s="76"/>
      <c r="C595" s="76"/>
      <c r="D595" s="74"/>
      <c r="E595" s="75"/>
      <c r="F595" s="74"/>
      <c r="G595" s="74"/>
      <c r="I595" s="55"/>
      <c r="J595" s="55"/>
    </row>
    <row r="596" ht="15.75" customHeight="1">
      <c r="A596" s="72"/>
      <c r="B596" s="76"/>
      <c r="C596" s="76"/>
      <c r="D596" s="74"/>
      <c r="E596" s="75"/>
      <c r="F596" s="74"/>
      <c r="G596" s="74"/>
      <c r="I596" s="55"/>
      <c r="J596" s="55"/>
    </row>
    <row r="597" ht="15.75" customHeight="1">
      <c r="A597" s="72"/>
      <c r="B597" s="76"/>
      <c r="C597" s="76"/>
      <c r="D597" s="74"/>
      <c r="E597" s="75"/>
      <c r="F597" s="74"/>
      <c r="G597" s="74"/>
      <c r="I597" s="55"/>
      <c r="J597" s="55"/>
    </row>
    <row r="598" ht="15.75" customHeight="1">
      <c r="A598" s="72"/>
      <c r="B598" s="76"/>
      <c r="C598" s="76"/>
      <c r="D598" s="74"/>
      <c r="E598" s="75"/>
      <c r="F598" s="74"/>
      <c r="G598" s="74"/>
      <c r="I598" s="55"/>
      <c r="J598" s="55"/>
    </row>
    <row r="599" ht="15.75" customHeight="1">
      <c r="A599" s="72"/>
      <c r="B599" s="76"/>
      <c r="C599" s="76"/>
      <c r="D599" s="74"/>
      <c r="E599" s="75"/>
      <c r="F599" s="74"/>
      <c r="G599" s="74"/>
      <c r="I599" s="55"/>
      <c r="J599" s="55"/>
    </row>
    <row r="600" ht="15.75" customHeight="1">
      <c r="A600" s="72"/>
      <c r="B600" s="76"/>
      <c r="C600" s="76"/>
      <c r="D600" s="74"/>
      <c r="E600" s="75"/>
      <c r="F600" s="74"/>
      <c r="G600" s="74"/>
      <c r="I600" s="55"/>
      <c r="J600" s="55"/>
    </row>
    <row r="601" ht="15.75" customHeight="1">
      <c r="A601" s="72"/>
      <c r="B601" s="76"/>
      <c r="C601" s="76"/>
      <c r="D601" s="74"/>
      <c r="E601" s="75"/>
      <c r="F601" s="74"/>
      <c r="G601" s="74"/>
      <c r="I601" s="55"/>
      <c r="J601" s="55"/>
    </row>
    <row r="602" ht="15.75" customHeight="1">
      <c r="A602" s="72"/>
      <c r="B602" s="76"/>
      <c r="C602" s="76"/>
      <c r="D602" s="74"/>
      <c r="E602" s="75"/>
      <c r="F602" s="74"/>
      <c r="G602" s="74"/>
      <c r="I602" s="55"/>
      <c r="J602" s="55"/>
    </row>
    <row r="603" ht="15.75" customHeight="1">
      <c r="A603" s="72"/>
      <c r="B603" s="76"/>
      <c r="C603" s="76"/>
      <c r="D603" s="74"/>
      <c r="E603" s="75"/>
      <c r="F603" s="74"/>
      <c r="G603" s="74"/>
      <c r="I603" s="55"/>
      <c r="J603" s="55"/>
    </row>
    <row r="604" ht="15.75" customHeight="1">
      <c r="A604" s="72"/>
      <c r="B604" s="76"/>
      <c r="C604" s="76"/>
      <c r="D604" s="74"/>
      <c r="E604" s="75"/>
      <c r="F604" s="74"/>
      <c r="G604" s="74"/>
      <c r="I604" s="55"/>
      <c r="J604" s="55"/>
    </row>
    <row r="605" ht="15.75" customHeight="1">
      <c r="A605" s="72"/>
      <c r="B605" s="76"/>
      <c r="C605" s="76"/>
      <c r="D605" s="74"/>
      <c r="E605" s="75"/>
      <c r="F605" s="74"/>
      <c r="G605" s="74"/>
      <c r="I605" s="55"/>
      <c r="J605" s="55"/>
    </row>
    <row r="606" ht="15.75" customHeight="1">
      <c r="A606" s="72"/>
      <c r="B606" s="76"/>
      <c r="C606" s="76"/>
      <c r="D606" s="74"/>
      <c r="E606" s="75"/>
      <c r="F606" s="74"/>
      <c r="G606" s="74"/>
      <c r="I606" s="55"/>
      <c r="J606" s="55"/>
    </row>
    <row r="607" ht="15.75" customHeight="1">
      <c r="A607" s="72"/>
      <c r="B607" s="76"/>
      <c r="C607" s="76"/>
      <c r="D607" s="74"/>
      <c r="E607" s="75"/>
      <c r="F607" s="74"/>
      <c r="G607" s="74"/>
      <c r="I607" s="55"/>
      <c r="J607" s="55"/>
    </row>
    <row r="608" ht="15.75" customHeight="1">
      <c r="A608" s="72"/>
      <c r="B608" s="76"/>
      <c r="C608" s="76"/>
      <c r="D608" s="74"/>
      <c r="E608" s="75"/>
      <c r="F608" s="74"/>
      <c r="G608" s="74"/>
      <c r="I608" s="55"/>
      <c r="J608" s="55"/>
    </row>
    <row r="609" ht="15.75" customHeight="1">
      <c r="A609" s="72"/>
      <c r="B609" s="76"/>
      <c r="C609" s="76"/>
      <c r="D609" s="74"/>
      <c r="E609" s="75"/>
      <c r="F609" s="74"/>
      <c r="G609" s="74"/>
      <c r="I609" s="55"/>
      <c r="J609" s="55"/>
    </row>
    <row r="610" ht="15.75" customHeight="1">
      <c r="A610" s="72"/>
      <c r="B610" s="76"/>
      <c r="C610" s="76"/>
      <c r="D610" s="74"/>
      <c r="E610" s="75"/>
      <c r="F610" s="74"/>
      <c r="G610" s="74"/>
      <c r="I610" s="55"/>
      <c r="J610" s="55"/>
    </row>
    <row r="611" ht="15.75" customHeight="1">
      <c r="A611" s="72"/>
      <c r="B611" s="76"/>
      <c r="C611" s="76"/>
      <c r="D611" s="74"/>
      <c r="E611" s="75"/>
      <c r="F611" s="74"/>
      <c r="G611" s="74"/>
      <c r="I611" s="55"/>
      <c r="J611" s="55"/>
    </row>
    <row r="612" ht="15.75" customHeight="1">
      <c r="A612" s="72"/>
      <c r="B612" s="76"/>
      <c r="C612" s="76"/>
      <c r="D612" s="74"/>
      <c r="E612" s="75"/>
      <c r="F612" s="74"/>
      <c r="G612" s="74"/>
      <c r="I612" s="55"/>
      <c r="J612" s="55"/>
    </row>
    <row r="613" ht="15.75" customHeight="1">
      <c r="A613" s="72"/>
      <c r="B613" s="76"/>
      <c r="C613" s="76"/>
      <c r="D613" s="74"/>
      <c r="E613" s="75"/>
      <c r="F613" s="74"/>
      <c r="G613" s="74"/>
      <c r="I613" s="55"/>
      <c r="J613" s="55"/>
    </row>
    <row r="614" ht="15.75" customHeight="1">
      <c r="A614" s="72"/>
      <c r="B614" s="76"/>
      <c r="C614" s="76"/>
      <c r="D614" s="74"/>
      <c r="E614" s="75"/>
      <c r="F614" s="74"/>
      <c r="G614" s="74"/>
      <c r="I614" s="55"/>
      <c r="J614" s="55"/>
    </row>
    <row r="615" ht="15.75" customHeight="1">
      <c r="A615" s="72"/>
      <c r="B615" s="76"/>
      <c r="C615" s="76"/>
      <c r="D615" s="74"/>
      <c r="E615" s="75"/>
      <c r="F615" s="74"/>
      <c r="G615" s="74"/>
      <c r="I615" s="55"/>
      <c r="J615" s="55"/>
    </row>
    <row r="616" ht="15.75" customHeight="1">
      <c r="A616" s="72"/>
      <c r="B616" s="76"/>
      <c r="C616" s="76"/>
      <c r="D616" s="74"/>
      <c r="E616" s="75"/>
      <c r="F616" s="74"/>
      <c r="G616" s="74"/>
      <c r="I616" s="55"/>
      <c r="J616" s="55"/>
    </row>
    <row r="617" ht="15.75" customHeight="1">
      <c r="A617" s="72"/>
      <c r="B617" s="76"/>
      <c r="C617" s="76"/>
      <c r="D617" s="74"/>
      <c r="E617" s="75"/>
      <c r="F617" s="74"/>
      <c r="G617" s="74"/>
      <c r="I617" s="55"/>
      <c r="J617" s="55"/>
    </row>
    <row r="618" ht="15.75" customHeight="1">
      <c r="A618" s="72"/>
      <c r="B618" s="76"/>
      <c r="C618" s="76"/>
      <c r="D618" s="74"/>
      <c r="E618" s="75"/>
      <c r="F618" s="74"/>
      <c r="G618" s="74"/>
      <c r="I618" s="55"/>
      <c r="J618" s="55"/>
    </row>
    <row r="619" ht="15.75" customHeight="1">
      <c r="A619" s="72"/>
      <c r="B619" s="76"/>
      <c r="C619" s="76"/>
      <c r="D619" s="74"/>
      <c r="E619" s="75"/>
      <c r="F619" s="74"/>
      <c r="G619" s="74"/>
      <c r="I619" s="55"/>
      <c r="J619" s="55"/>
    </row>
    <row r="620" ht="15.75" customHeight="1">
      <c r="A620" s="72"/>
      <c r="B620" s="76"/>
      <c r="C620" s="76"/>
      <c r="D620" s="74"/>
      <c r="E620" s="75"/>
      <c r="F620" s="74"/>
      <c r="G620" s="74"/>
      <c r="I620" s="55"/>
      <c r="J620" s="55"/>
    </row>
    <row r="621" ht="15.75" customHeight="1">
      <c r="A621" s="72"/>
      <c r="B621" s="76"/>
      <c r="C621" s="76"/>
      <c r="D621" s="74"/>
      <c r="E621" s="75"/>
      <c r="F621" s="74"/>
      <c r="G621" s="74"/>
      <c r="I621" s="55"/>
      <c r="J621" s="55"/>
    </row>
    <row r="622" ht="15.75" customHeight="1">
      <c r="A622" s="72"/>
      <c r="B622" s="76"/>
      <c r="C622" s="76"/>
      <c r="D622" s="74"/>
      <c r="E622" s="75"/>
      <c r="F622" s="74"/>
      <c r="G622" s="74"/>
      <c r="I622" s="55"/>
      <c r="J622" s="55"/>
    </row>
    <row r="623" ht="15.75" customHeight="1">
      <c r="A623" s="72"/>
      <c r="B623" s="76"/>
      <c r="C623" s="76"/>
      <c r="D623" s="74"/>
      <c r="E623" s="75"/>
      <c r="F623" s="74"/>
      <c r="G623" s="74"/>
      <c r="I623" s="55"/>
      <c r="J623" s="55"/>
    </row>
    <row r="624" ht="15.75" customHeight="1">
      <c r="A624" s="72"/>
      <c r="B624" s="76"/>
      <c r="C624" s="76"/>
      <c r="D624" s="74"/>
      <c r="E624" s="75"/>
      <c r="F624" s="74"/>
      <c r="G624" s="74"/>
      <c r="I624" s="55"/>
      <c r="J624" s="55"/>
    </row>
    <row r="625" ht="15.75" customHeight="1">
      <c r="A625" s="72"/>
      <c r="B625" s="76"/>
      <c r="C625" s="76"/>
      <c r="D625" s="74"/>
      <c r="E625" s="75"/>
      <c r="F625" s="74"/>
      <c r="G625" s="74"/>
      <c r="I625" s="55"/>
      <c r="J625" s="55"/>
    </row>
    <row r="626" ht="15.75" customHeight="1">
      <c r="A626" s="72"/>
      <c r="B626" s="76"/>
      <c r="C626" s="76"/>
      <c r="D626" s="74"/>
      <c r="E626" s="75"/>
      <c r="F626" s="74"/>
      <c r="G626" s="74"/>
      <c r="I626" s="55"/>
      <c r="J626" s="55"/>
    </row>
    <row r="627" ht="15.75" customHeight="1">
      <c r="A627" s="72"/>
      <c r="B627" s="76"/>
      <c r="C627" s="76"/>
      <c r="D627" s="74"/>
      <c r="E627" s="75"/>
      <c r="F627" s="74"/>
      <c r="G627" s="74"/>
      <c r="I627" s="55"/>
      <c r="J627" s="55"/>
    </row>
    <row r="628" ht="15.75" customHeight="1">
      <c r="A628" s="72"/>
      <c r="B628" s="76"/>
      <c r="C628" s="76"/>
      <c r="D628" s="74"/>
      <c r="E628" s="75"/>
      <c r="F628" s="74"/>
      <c r="G628" s="74"/>
      <c r="I628" s="55"/>
      <c r="J628" s="55"/>
    </row>
    <row r="629" ht="15.75" customHeight="1">
      <c r="A629" s="72"/>
      <c r="B629" s="76"/>
      <c r="C629" s="76"/>
      <c r="D629" s="74"/>
      <c r="E629" s="75"/>
      <c r="F629" s="74"/>
      <c r="G629" s="74"/>
      <c r="I629" s="55"/>
      <c r="J629" s="55"/>
    </row>
    <row r="630" ht="15.75" customHeight="1">
      <c r="A630" s="72"/>
      <c r="B630" s="76"/>
      <c r="C630" s="76"/>
      <c r="D630" s="74"/>
      <c r="E630" s="75"/>
      <c r="F630" s="74"/>
      <c r="G630" s="74"/>
      <c r="I630" s="55"/>
      <c r="J630" s="55"/>
    </row>
    <row r="631" ht="15.75" customHeight="1">
      <c r="A631" s="72"/>
      <c r="B631" s="76"/>
      <c r="C631" s="76"/>
      <c r="D631" s="74"/>
      <c r="E631" s="75"/>
      <c r="F631" s="74"/>
      <c r="G631" s="74"/>
      <c r="I631" s="55"/>
      <c r="J631" s="55"/>
    </row>
    <row r="632" ht="15.75" customHeight="1">
      <c r="A632" s="72"/>
      <c r="B632" s="76"/>
      <c r="C632" s="76"/>
      <c r="D632" s="74"/>
      <c r="E632" s="75"/>
      <c r="F632" s="74"/>
      <c r="G632" s="74"/>
      <c r="I632" s="55"/>
      <c r="J632" s="55"/>
    </row>
    <row r="633" ht="15.75" customHeight="1">
      <c r="A633" s="72"/>
      <c r="B633" s="76"/>
      <c r="C633" s="76"/>
      <c r="D633" s="74"/>
      <c r="E633" s="75"/>
      <c r="F633" s="74"/>
      <c r="G633" s="74"/>
      <c r="I633" s="55"/>
      <c r="J633" s="55"/>
    </row>
    <row r="634" ht="15.75" customHeight="1">
      <c r="A634" s="72"/>
      <c r="B634" s="76"/>
      <c r="C634" s="76"/>
      <c r="D634" s="74"/>
      <c r="E634" s="75"/>
      <c r="F634" s="74"/>
      <c r="G634" s="74"/>
      <c r="I634" s="55"/>
      <c r="J634" s="55"/>
    </row>
    <row r="635" ht="15.75" customHeight="1">
      <c r="A635" s="72"/>
      <c r="B635" s="76"/>
      <c r="C635" s="76"/>
      <c r="D635" s="74"/>
      <c r="E635" s="75"/>
      <c r="F635" s="74"/>
      <c r="G635" s="74"/>
      <c r="I635" s="55"/>
      <c r="J635" s="55"/>
    </row>
    <row r="636" ht="15.75" customHeight="1">
      <c r="A636" s="72"/>
      <c r="B636" s="76"/>
      <c r="C636" s="76"/>
      <c r="D636" s="74"/>
      <c r="E636" s="75"/>
      <c r="F636" s="74"/>
      <c r="G636" s="74"/>
      <c r="I636" s="55"/>
      <c r="J636" s="55"/>
    </row>
    <row r="637" ht="15.75" customHeight="1">
      <c r="A637" s="72"/>
      <c r="B637" s="76"/>
      <c r="C637" s="76"/>
      <c r="D637" s="74"/>
      <c r="E637" s="75"/>
      <c r="F637" s="74"/>
      <c r="G637" s="74"/>
      <c r="I637" s="55"/>
      <c r="J637" s="55"/>
    </row>
    <row r="638" ht="15.75" customHeight="1">
      <c r="A638" s="72"/>
      <c r="B638" s="76"/>
      <c r="C638" s="76"/>
      <c r="D638" s="74"/>
      <c r="E638" s="75"/>
      <c r="F638" s="74"/>
      <c r="G638" s="74"/>
      <c r="I638" s="55"/>
      <c r="J638" s="55"/>
    </row>
    <row r="639" ht="15.75" customHeight="1">
      <c r="A639" s="72"/>
      <c r="B639" s="76"/>
      <c r="C639" s="76"/>
      <c r="D639" s="74"/>
      <c r="E639" s="75"/>
      <c r="F639" s="74"/>
      <c r="G639" s="74"/>
      <c r="I639" s="55"/>
      <c r="J639" s="55"/>
    </row>
    <row r="640" ht="15.75" customHeight="1">
      <c r="A640" s="72"/>
      <c r="B640" s="76"/>
      <c r="C640" s="76"/>
      <c r="D640" s="74"/>
      <c r="E640" s="75"/>
      <c r="F640" s="74"/>
      <c r="G640" s="74"/>
      <c r="I640" s="55"/>
      <c r="J640" s="55"/>
    </row>
    <row r="641" ht="15.75" customHeight="1">
      <c r="A641" s="72"/>
      <c r="B641" s="76"/>
      <c r="C641" s="76"/>
      <c r="D641" s="74"/>
      <c r="E641" s="75"/>
      <c r="F641" s="74"/>
      <c r="G641" s="74"/>
      <c r="I641" s="55"/>
      <c r="J641" s="55"/>
    </row>
    <row r="642" ht="15.75" customHeight="1">
      <c r="A642" s="72"/>
      <c r="B642" s="76"/>
      <c r="C642" s="76"/>
      <c r="D642" s="74"/>
      <c r="E642" s="75"/>
      <c r="F642" s="74"/>
      <c r="G642" s="74"/>
      <c r="I642" s="55"/>
      <c r="J642" s="55"/>
    </row>
    <row r="643" ht="15.75" customHeight="1">
      <c r="A643" s="72"/>
      <c r="B643" s="76"/>
      <c r="C643" s="76"/>
      <c r="D643" s="74"/>
      <c r="E643" s="75"/>
      <c r="F643" s="74"/>
      <c r="G643" s="74"/>
      <c r="I643" s="55"/>
      <c r="J643" s="55"/>
    </row>
    <row r="644" ht="15.75" customHeight="1">
      <c r="A644" s="72"/>
      <c r="B644" s="76"/>
      <c r="C644" s="76"/>
      <c r="D644" s="74"/>
      <c r="E644" s="75"/>
      <c r="F644" s="74"/>
      <c r="G644" s="74"/>
      <c r="I644" s="55"/>
      <c r="J644" s="55"/>
    </row>
    <row r="645" ht="15.75" customHeight="1">
      <c r="A645" s="72"/>
      <c r="B645" s="76"/>
      <c r="C645" s="76"/>
      <c r="D645" s="74"/>
      <c r="E645" s="75"/>
      <c r="F645" s="74"/>
      <c r="G645" s="74"/>
      <c r="I645" s="55"/>
      <c r="J645" s="55"/>
    </row>
    <row r="646" ht="15.75" customHeight="1">
      <c r="A646" s="72"/>
      <c r="B646" s="76"/>
      <c r="C646" s="76"/>
      <c r="D646" s="74"/>
      <c r="E646" s="75"/>
      <c r="F646" s="74"/>
      <c r="G646" s="74"/>
      <c r="I646" s="55"/>
      <c r="J646" s="55"/>
    </row>
    <row r="647" ht="15.75" customHeight="1">
      <c r="A647" s="72"/>
      <c r="B647" s="76"/>
      <c r="C647" s="76"/>
      <c r="D647" s="74"/>
      <c r="E647" s="75"/>
      <c r="F647" s="74"/>
      <c r="G647" s="74"/>
      <c r="I647" s="55"/>
      <c r="J647" s="55"/>
    </row>
    <row r="648" ht="15.75" customHeight="1">
      <c r="A648" s="72"/>
      <c r="B648" s="76"/>
      <c r="C648" s="76"/>
      <c r="D648" s="74"/>
      <c r="E648" s="75"/>
      <c r="F648" s="74"/>
      <c r="G648" s="74"/>
      <c r="I648" s="55"/>
      <c r="J648" s="55"/>
    </row>
    <row r="649" ht="15.75" customHeight="1">
      <c r="A649" s="72"/>
      <c r="B649" s="76"/>
      <c r="C649" s="76"/>
      <c r="D649" s="74"/>
      <c r="E649" s="75"/>
      <c r="F649" s="74"/>
      <c r="G649" s="74"/>
      <c r="I649" s="55"/>
      <c r="J649" s="55"/>
    </row>
    <row r="650" ht="15.75" customHeight="1">
      <c r="A650" s="72"/>
      <c r="B650" s="76"/>
      <c r="C650" s="76"/>
      <c r="D650" s="74"/>
      <c r="E650" s="75"/>
      <c r="F650" s="74"/>
      <c r="G650" s="74"/>
      <c r="I650" s="55"/>
      <c r="J650" s="55"/>
    </row>
    <row r="651" ht="15.75" customHeight="1">
      <c r="A651" s="72"/>
      <c r="B651" s="76"/>
      <c r="C651" s="76"/>
      <c r="D651" s="74"/>
      <c r="E651" s="75"/>
      <c r="F651" s="74"/>
      <c r="G651" s="74"/>
      <c r="I651" s="55"/>
      <c r="J651" s="55"/>
    </row>
    <row r="652" ht="15.75" customHeight="1">
      <c r="A652" s="72"/>
      <c r="B652" s="76"/>
      <c r="C652" s="76"/>
      <c r="D652" s="74"/>
      <c r="E652" s="75"/>
      <c r="F652" s="74"/>
      <c r="G652" s="74"/>
      <c r="I652" s="55"/>
      <c r="J652" s="55"/>
    </row>
    <row r="653" ht="15.75" customHeight="1">
      <c r="A653" s="72"/>
      <c r="B653" s="76"/>
      <c r="C653" s="76"/>
      <c r="D653" s="74"/>
      <c r="E653" s="75"/>
      <c r="F653" s="74"/>
      <c r="G653" s="74"/>
      <c r="I653" s="55"/>
      <c r="J653" s="55"/>
    </row>
    <row r="654" ht="15.75" customHeight="1">
      <c r="A654" s="72"/>
      <c r="B654" s="76"/>
      <c r="C654" s="76"/>
      <c r="D654" s="74"/>
      <c r="E654" s="75"/>
      <c r="F654" s="74"/>
      <c r="G654" s="74"/>
      <c r="I654" s="55"/>
      <c r="J654" s="55"/>
    </row>
    <row r="655" ht="15.75" customHeight="1">
      <c r="A655" s="72"/>
      <c r="B655" s="76"/>
      <c r="C655" s="76"/>
      <c r="D655" s="74"/>
      <c r="E655" s="75"/>
      <c r="F655" s="74"/>
      <c r="G655" s="74"/>
      <c r="I655" s="55"/>
      <c r="J655" s="55"/>
    </row>
    <row r="656" ht="15.75" customHeight="1">
      <c r="A656" s="72"/>
      <c r="B656" s="76"/>
      <c r="C656" s="76"/>
      <c r="D656" s="74"/>
      <c r="E656" s="75"/>
      <c r="F656" s="74"/>
      <c r="G656" s="74"/>
      <c r="I656" s="55"/>
      <c r="J656" s="55"/>
    </row>
    <row r="657" ht="15.75" customHeight="1">
      <c r="A657" s="72"/>
      <c r="B657" s="76"/>
      <c r="C657" s="76"/>
      <c r="D657" s="74"/>
      <c r="E657" s="75"/>
      <c r="F657" s="74"/>
      <c r="G657" s="74"/>
      <c r="I657" s="55"/>
      <c r="J657" s="55"/>
    </row>
    <row r="658" ht="15.75" customHeight="1">
      <c r="A658" s="72"/>
      <c r="B658" s="76"/>
      <c r="C658" s="76"/>
      <c r="D658" s="74"/>
      <c r="E658" s="75"/>
      <c r="F658" s="74"/>
      <c r="G658" s="74"/>
      <c r="I658" s="55"/>
      <c r="J658" s="55"/>
    </row>
    <row r="659" ht="15.75" customHeight="1">
      <c r="A659" s="72"/>
      <c r="B659" s="76"/>
      <c r="C659" s="76"/>
      <c r="D659" s="74"/>
      <c r="E659" s="75"/>
      <c r="F659" s="74"/>
      <c r="G659" s="74"/>
      <c r="I659" s="55"/>
      <c r="J659" s="55"/>
    </row>
    <row r="660" ht="15.75" customHeight="1">
      <c r="A660" s="72"/>
      <c r="B660" s="76"/>
      <c r="C660" s="76"/>
      <c r="D660" s="74"/>
      <c r="E660" s="75"/>
      <c r="F660" s="74"/>
      <c r="G660" s="74"/>
      <c r="I660" s="55"/>
      <c r="J660" s="55"/>
    </row>
    <row r="661" ht="15.75" customHeight="1">
      <c r="A661" s="72"/>
      <c r="B661" s="76"/>
      <c r="C661" s="76"/>
      <c r="D661" s="74"/>
      <c r="E661" s="75"/>
      <c r="F661" s="74"/>
      <c r="G661" s="74"/>
      <c r="I661" s="55"/>
      <c r="J661" s="55"/>
    </row>
    <row r="662" ht="15.75" customHeight="1">
      <c r="A662" s="72"/>
      <c r="B662" s="76"/>
      <c r="C662" s="76"/>
      <c r="D662" s="74"/>
      <c r="E662" s="75"/>
      <c r="F662" s="74"/>
      <c r="G662" s="74"/>
      <c r="I662" s="55"/>
      <c r="J662" s="55"/>
    </row>
    <row r="663" ht="15.75" customHeight="1">
      <c r="A663" s="72"/>
      <c r="B663" s="76"/>
      <c r="C663" s="76"/>
      <c r="D663" s="74"/>
      <c r="E663" s="75"/>
      <c r="F663" s="74"/>
      <c r="G663" s="74"/>
      <c r="I663" s="55"/>
      <c r="J663" s="55"/>
    </row>
    <row r="664" ht="15.75" customHeight="1">
      <c r="A664" s="72"/>
      <c r="B664" s="76"/>
      <c r="C664" s="76"/>
      <c r="D664" s="74"/>
      <c r="E664" s="75"/>
      <c r="F664" s="74"/>
      <c r="G664" s="74"/>
      <c r="I664" s="55"/>
      <c r="J664" s="55"/>
    </row>
    <row r="665" ht="15.75" customHeight="1">
      <c r="A665" s="72"/>
      <c r="B665" s="76"/>
      <c r="C665" s="76"/>
      <c r="D665" s="74"/>
      <c r="E665" s="75"/>
      <c r="F665" s="74"/>
      <c r="G665" s="74"/>
      <c r="I665" s="55"/>
      <c r="J665" s="55"/>
    </row>
    <row r="666" ht="15.75" customHeight="1">
      <c r="A666" s="72"/>
      <c r="B666" s="76"/>
      <c r="C666" s="76"/>
      <c r="D666" s="74"/>
      <c r="E666" s="75"/>
      <c r="F666" s="74"/>
      <c r="G666" s="74"/>
      <c r="I666" s="55"/>
      <c r="J666" s="55"/>
    </row>
    <row r="667" ht="15.75" customHeight="1">
      <c r="A667" s="72"/>
      <c r="B667" s="76"/>
      <c r="C667" s="76"/>
      <c r="D667" s="74"/>
      <c r="E667" s="75"/>
      <c r="F667" s="74"/>
      <c r="G667" s="74"/>
      <c r="I667" s="55"/>
      <c r="J667" s="55"/>
    </row>
    <row r="668" ht="15.75" customHeight="1">
      <c r="A668" s="72"/>
      <c r="B668" s="76"/>
      <c r="C668" s="76"/>
      <c r="D668" s="74"/>
      <c r="E668" s="75"/>
      <c r="F668" s="74"/>
      <c r="G668" s="74"/>
      <c r="I668" s="55"/>
      <c r="J668" s="55"/>
    </row>
    <row r="669" ht="15.75" customHeight="1">
      <c r="A669" s="72"/>
      <c r="B669" s="76"/>
      <c r="C669" s="76"/>
      <c r="D669" s="74"/>
      <c r="E669" s="75"/>
      <c r="F669" s="74"/>
      <c r="G669" s="74"/>
      <c r="I669" s="55"/>
      <c r="J669" s="55"/>
    </row>
    <row r="670" ht="15.75" customHeight="1">
      <c r="A670" s="72"/>
      <c r="B670" s="76"/>
      <c r="C670" s="76"/>
      <c r="D670" s="74"/>
      <c r="E670" s="75"/>
      <c r="F670" s="74"/>
      <c r="G670" s="74"/>
      <c r="I670" s="55"/>
      <c r="J670" s="55"/>
    </row>
    <row r="671" ht="15.75" customHeight="1">
      <c r="A671" s="72"/>
      <c r="B671" s="76"/>
      <c r="C671" s="76"/>
      <c r="D671" s="74"/>
      <c r="E671" s="75"/>
      <c r="F671" s="74"/>
      <c r="G671" s="74"/>
      <c r="I671" s="55"/>
      <c r="J671" s="55"/>
    </row>
    <row r="672" ht="15.75" customHeight="1">
      <c r="A672" s="72"/>
      <c r="B672" s="76"/>
      <c r="C672" s="76"/>
      <c r="D672" s="74"/>
      <c r="E672" s="75"/>
      <c r="F672" s="74"/>
      <c r="G672" s="74"/>
      <c r="I672" s="55"/>
      <c r="J672" s="55"/>
    </row>
    <row r="673" ht="15.75" customHeight="1">
      <c r="A673" s="72"/>
      <c r="B673" s="76"/>
      <c r="C673" s="76"/>
      <c r="D673" s="74"/>
      <c r="E673" s="75"/>
      <c r="F673" s="74"/>
      <c r="G673" s="74"/>
      <c r="I673" s="55"/>
      <c r="J673" s="55"/>
    </row>
    <row r="674" ht="15.75" customHeight="1">
      <c r="A674" s="72"/>
      <c r="B674" s="76"/>
      <c r="C674" s="76"/>
      <c r="D674" s="74"/>
      <c r="E674" s="75"/>
      <c r="F674" s="74"/>
      <c r="G674" s="74"/>
      <c r="I674" s="55"/>
      <c r="J674" s="55"/>
    </row>
    <row r="675" ht="15.75" customHeight="1">
      <c r="A675" s="72"/>
      <c r="B675" s="76"/>
      <c r="C675" s="76"/>
      <c r="D675" s="74"/>
      <c r="E675" s="75"/>
      <c r="F675" s="74"/>
      <c r="G675" s="74"/>
      <c r="I675" s="55"/>
      <c r="J675" s="55"/>
    </row>
    <row r="676" ht="15.75" customHeight="1">
      <c r="A676" s="72"/>
      <c r="B676" s="76"/>
      <c r="C676" s="76"/>
      <c r="D676" s="74"/>
      <c r="E676" s="75"/>
      <c r="F676" s="74"/>
      <c r="G676" s="74"/>
      <c r="I676" s="55"/>
      <c r="J676" s="55"/>
    </row>
    <row r="677" ht="15.75" customHeight="1">
      <c r="A677" s="72"/>
      <c r="B677" s="76"/>
      <c r="C677" s="76"/>
      <c r="D677" s="74"/>
      <c r="E677" s="75"/>
      <c r="F677" s="74"/>
      <c r="G677" s="74"/>
      <c r="I677" s="55"/>
      <c r="J677" s="55"/>
    </row>
    <row r="678" ht="15.75" customHeight="1">
      <c r="A678" s="72"/>
      <c r="B678" s="76"/>
      <c r="C678" s="76"/>
      <c r="D678" s="74"/>
      <c r="E678" s="75"/>
      <c r="F678" s="74"/>
      <c r="G678" s="74"/>
      <c r="I678" s="55"/>
      <c r="J678" s="55"/>
    </row>
    <row r="679" ht="15.75" customHeight="1">
      <c r="A679" s="72"/>
      <c r="B679" s="76"/>
      <c r="C679" s="76"/>
      <c r="D679" s="74"/>
      <c r="E679" s="75"/>
      <c r="F679" s="74"/>
      <c r="G679" s="74"/>
      <c r="I679" s="55"/>
      <c r="J679" s="55"/>
    </row>
    <row r="680" ht="15.75" customHeight="1">
      <c r="A680" s="72"/>
      <c r="B680" s="76"/>
      <c r="C680" s="76"/>
      <c r="D680" s="74"/>
      <c r="E680" s="75"/>
      <c r="F680" s="74"/>
      <c r="G680" s="74"/>
      <c r="I680" s="55"/>
      <c r="J680" s="55"/>
    </row>
    <row r="681" ht="15.75" customHeight="1">
      <c r="A681" s="72"/>
      <c r="B681" s="76"/>
      <c r="C681" s="76"/>
      <c r="D681" s="74"/>
      <c r="E681" s="75"/>
      <c r="F681" s="74"/>
      <c r="G681" s="74"/>
      <c r="I681" s="55"/>
      <c r="J681" s="55"/>
    </row>
    <row r="682" ht="15.75" customHeight="1">
      <c r="A682" s="72"/>
      <c r="B682" s="76"/>
      <c r="C682" s="76"/>
      <c r="D682" s="74"/>
      <c r="E682" s="75"/>
      <c r="F682" s="74"/>
      <c r="G682" s="74"/>
      <c r="I682" s="55"/>
      <c r="J682" s="55"/>
    </row>
    <row r="683" ht="15.75" customHeight="1">
      <c r="A683" s="72"/>
      <c r="B683" s="76"/>
      <c r="C683" s="76"/>
      <c r="D683" s="74"/>
      <c r="E683" s="75"/>
      <c r="F683" s="74"/>
      <c r="G683" s="74"/>
      <c r="I683" s="55"/>
      <c r="J683" s="55"/>
    </row>
    <row r="684" ht="15.75" customHeight="1">
      <c r="A684" s="72"/>
      <c r="B684" s="76"/>
      <c r="C684" s="76"/>
      <c r="D684" s="74"/>
      <c r="E684" s="75"/>
      <c r="F684" s="74"/>
      <c r="G684" s="74"/>
      <c r="I684" s="55"/>
      <c r="J684" s="55"/>
    </row>
    <row r="685" ht="15.75" customHeight="1">
      <c r="A685" s="72"/>
      <c r="B685" s="76"/>
      <c r="C685" s="76"/>
      <c r="D685" s="74"/>
      <c r="E685" s="75"/>
      <c r="F685" s="74"/>
      <c r="G685" s="74"/>
      <c r="I685" s="55"/>
      <c r="J685" s="55"/>
    </row>
    <row r="686" ht="15.75" customHeight="1">
      <c r="A686" s="72"/>
      <c r="B686" s="76"/>
      <c r="C686" s="76"/>
      <c r="D686" s="74"/>
      <c r="E686" s="75"/>
      <c r="F686" s="74"/>
      <c r="G686" s="74"/>
      <c r="I686" s="55"/>
      <c r="J686" s="55"/>
    </row>
    <row r="687" ht="15.75" customHeight="1">
      <c r="A687" s="72"/>
      <c r="B687" s="76"/>
      <c r="C687" s="76"/>
      <c r="D687" s="74"/>
      <c r="E687" s="75"/>
      <c r="F687" s="74"/>
      <c r="G687" s="74"/>
      <c r="I687" s="55"/>
      <c r="J687" s="55"/>
    </row>
    <row r="688" ht="15.75" customHeight="1">
      <c r="A688" s="72"/>
      <c r="B688" s="76"/>
      <c r="C688" s="76"/>
      <c r="D688" s="74"/>
      <c r="E688" s="75"/>
      <c r="F688" s="74"/>
      <c r="G688" s="74"/>
      <c r="I688" s="55"/>
      <c r="J688" s="55"/>
    </row>
    <row r="689" ht="15.75" customHeight="1">
      <c r="A689" s="72"/>
      <c r="B689" s="76"/>
      <c r="C689" s="76"/>
      <c r="D689" s="74"/>
      <c r="E689" s="75"/>
      <c r="F689" s="74"/>
      <c r="G689" s="74"/>
      <c r="I689" s="55"/>
      <c r="J689" s="55"/>
    </row>
    <row r="690" ht="15.75" customHeight="1">
      <c r="A690" s="72"/>
      <c r="B690" s="76"/>
      <c r="C690" s="76"/>
      <c r="D690" s="74"/>
      <c r="E690" s="75"/>
      <c r="F690" s="74"/>
      <c r="G690" s="74"/>
      <c r="I690" s="55"/>
      <c r="J690" s="55"/>
    </row>
    <row r="691" ht="15.75" customHeight="1">
      <c r="A691" s="72"/>
      <c r="B691" s="76"/>
      <c r="C691" s="76"/>
      <c r="D691" s="74"/>
      <c r="E691" s="75"/>
      <c r="F691" s="74"/>
      <c r="G691" s="74"/>
      <c r="I691" s="55"/>
      <c r="J691" s="55"/>
    </row>
    <row r="692" ht="15.75" customHeight="1">
      <c r="A692" s="72"/>
      <c r="B692" s="76"/>
      <c r="C692" s="76"/>
      <c r="D692" s="74"/>
      <c r="E692" s="75"/>
      <c r="F692" s="74"/>
      <c r="G692" s="74"/>
      <c r="I692" s="55"/>
      <c r="J692" s="55"/>
    </row>
    <row r="693" ht="15.75" customHeight="1">
      <c r="A693" s="72"/>
      <c r="B693" s="76"/>
      <c r="C693" s="76"/>
      <c r="D693" s="74"/>
      <c r="E693" s="75"/>
      <c r="F693" s="74"/>
      <c r="G693" s="74"/>
      <c r="I693" s="55"/>
      <c r="J693" s="55"/>
    </row>
    <row r="694" ht="15.75" customHeight="1">
      <c r="A694" s="72"/>
      <c r="B694" s="76"/>
      <c r="C694" s="76"/>
      <c r="D694" s="74"/>
      <c r="E694" s="75"/>
      <c r="F694" s="74"/>
      <c r="G694" s="74"/>
      <c r="I694" s="55"/>
      <c r="J694" s="55"/>
    </row>
    <row r="695" ht="15.75" customHeight="1">
      <c r="A695" s="72"/>
      <c r="B695" s="76"/>
      <c r="C695" s="76"/>
      <c r="D695" s="74"/>
      <c r="E695" s="75"/>
      <c r="F695" s="74"/>
      <c r="G695" s="74"/>
      <c r="I695" s="55"/>
      <c r="J695" s="55"/>
    </row>
    <row r="696" ht="15.75" customHeight="1">
      <c r="A696" s="72"/>
      <c r="B696" s="76"/>
      <c r="C696" s="76"/>
      <c r="D696" s="74"/>
      <c r="E696" s="75"/>
      <c r="F696" s="74"/>
      <c r="G696" s="74"/>
      <c r="I696" s="55"/>
      <c r="J696" s="55"/>
    </row>
    <row r="697" ht="15.75" customHeight="1">
      <c r="A697" s="72"/>
      <c r="B697" s="76"/>
      <c r="C697" s="76"/>
      <c r="D697" s="74"/>
      <c r="E697" s="75"/>
      <c r="F697" s="74"/>
      <c r="G697" s="74"/>
      <c r="I697" s="55"/>
      <c r="J697" s="55"/>
    </row>
    <row r="698" ht="15.75" customHeight="1">
      <c r="A698" s="72"/>
      <c r="B698" s="76"/>
      <c r="C698" s="76"/>
      <c r="D698" s="74"/>
      <c r="E698" s="75"/>
      <c r="F698" s="74"/>
      <c r="G698" s="74"/>
      <c r="I698" s="55"/>
      <c r="J698" s="55"/>
    </row>
    <row r="699" ht="15.75" customHeight="1">
      <c r="A699" s="72"/>
      <c r="B699" s="76"/>
      <c r="C699" s="76"/>
      <c r="D699" s="74"/>
      <c r="E699" s="75"/>
      <c r="F699" s="74"/>
      <c r="G699" s="74"/>
      <c r="I699" s="55"/>
      <c r="J699" s="55"/>
    </row>
    <row r="700" ht="15.75" customHeight="1">
      <c r="A700" s="72"/>
      <c r="B700" s="76"/>
      <c r="C700" s="76"/>
      <c r="D700" s="74"/>
      <c r="E700" s="75"/>
      <c r="F700" s="74"/>
      <c r="G700" s="74"/>
      <c r="I700" s="55"/>
      <c r="J700" s="55"/>
    </row>
    <row r="701" ht="15.75" customHeight="1">
      <c r="A701" s="72"/>
      <c r="B701" s="76"/>
      <c r="C701" s="76"/>
      <c r="D701" s="74"/>
      <c r="E701" s="75"/>
      <c r="F701" s="74"/>
      <c r="G701" s="74"/>
      <c r="I701" s="55"/>
      <c r="J701" s="55"/>
    </row>
    <row r="702" ht="15.75" customHeight="1">
      <c r="A702" s="72"/>
      <c r="B702" s="76"/>
      <c r="C702" s="76"/>
      <c r="D702" s="74"/>
      <c r="E702" s="75"/>
      <c r="F702" s="74"/>
      <c r="G702" s="74"/>
      <c r="I702" s="55"/>
      <c r="J702" s="55"/>
    </row>
    <row r="703" ht="15.75" customHeight="1">
      <c r="A703" s="72"/>
      <c r="B703" s="76"/>
      <c r="C703" s="76"/>
      <c r="D703" s="74"/>
      <c r="E703" s="75"/>
      <c r="F703" s="74"/>
      <c r="G703" s="74"/>
      <c r="I703" s="55"/>
      <c r="J703" s="55"/>
    </row>
    <row r="704" ht="15.75" customHeight="1">
      <c r="A704" s="72"/>
      <c r="B704" s="76"/>
      <c r="C704" s="76"/>
      <c r="D704" s="74"/>
      <c r="E704" s="75"/>
      <c r="F704" s="74"/>
      <c r="G704" s="74"/>
      <c r="I704" s="55"/>
      <c r="J704" s="55"/>
    </row>
    <row r="705" ht="15.75" customHeight="1">
      <c r="A705" s="72"/>
      <c r="B705" s="76"/>
      <c r="C705" s="76"/>
      <c r="D705" s="74"/>
      <c r="E705" s="75"/>
      <c r="F705" s="74"/>
      <c r="G705" s="74"/>
      <c r="I705" s="55"/>
      <c r="J705" s="55"/>
    </row>
    <row r="706" ht="15.75" customHeight="1">
      <c r="A706" s="72"/>
      <c r="B706" s="76"/>
      <c r="C706" s="76"/>
      <c r="D706" s="74"/>
      <c r="E706" s="75"/>
      <c r="F706" s="74"/>
      <c r="G706" s="74"/>
      <c r="I706" s="55"/>
      <c r="J706" s="55"/>
    </row>
    <row r="707" ht="15.75" customHeight="1">
      <c r="A707" s="72"/>
      <c r="B707" s="76"/>
      <c r="C707" s="76"/>
      <c r="D707" s="74"/>
      <c r="E707" s="75"/>
      <c r="F707" s="74"/>
      <c r="G707" s="74"/>
      <c r="I707" s="55"/>
      <c r="J707" s="55"/>
    </row>
    <row r="708" ht="15.75" customHeight="1">
      <c r="A708" s="72"/>
      <c r="B708" s="76"/>
      <c r="C708" s="76"/>
      <c r="D708" s="74"/>
      <c r="E708" s="75"/>
      <c r="F708" s="74"/>
      <c r="G708" s="74"/>
      <c r="I708" s="55"/>
      <c r="J708" s="55"/>
    </row>
    <row r="709" ht="15.75" customHeight="1">
      <c r="A709" s="72"/>
      <c r="B709" s="76"/>
      <c r="C709" s="76"/>
      <c r="D709" s="74"/>
      <c r="E709" s="75"/>
      <c r="F709" s="74"/>
      <c r="G709" s="74"/>
      <c r="I709" s="55"/>
      <c r="J709" s="55"/>
    </row>
    <row r="710" ht="15.75" customHeight="1">
      <c r="A710" s="72"/>
      <c r="B710" s="76"/>
      <c r="C710" s="76"/>
      <c r="D710" s="74"/>
      <c r="E710" s="75"/>
      <c r="F710" s="74"/>
      <c r="G710" s="74"/>
      <c r="I710" s="55"/>
      <c r="J710" s="55"/>
    </row>
    <row r="711" ht="15.75" customHeight="1">
      <c r="A711" s="72"/>
      <c r="B711" s="76"/>
      <c r="C711" s="76"/>
      <c r="D711" s="74"/>
      <c r="E711" s="75"/>
      <c r="F711" s="74"/>
      <c r="G711" s="74"/>
      <c r="I711" s="55"/>
      <c r="J711" s="55"/>
    </row>
    <row r="712" ht="15.75" customHeight="1">
      <c r="A712" s="72"/>
      <c r="B712" s="76"/>
      <c r="C712" s="76"/>
      <c r="D712" s="74"/>
      <c r="E712" s="75"/>
      <c r="F712" s="74"/>
      <c r="G712" s="74"/>
      <c r="I712" s="55"/>
      <c r="J712" s="55"/>
    </row>
    <row r="713" ht="15.75" customHeight="1">
      <c r="A713" s="72"/>
      <c r="B713" s="76"/>
      <c r="C713" s="76"/>
      <c r="D713" s="74"/>
      <c r="E713" s="75"/>
      <c r="F713" s="74"/>
      <c r="G713" s="74"/>
      <c r="I713" s="55"/>
      <c r="J713" s="55"/>
    </row>
    <row r="714" ht="15.75" customHeight="1">
      <c r="A714" s="72"/>
      <c r="B714" s="76"/>
      <c r="C714" s="76"/>
      <c r="D714" s="74"/>
      <c r="E714" s="75"/>
      <c r="F714" s="74"/>
      <c r="G714" s="74"/>
      <c r="I714" s="55"/>
      <c r="J714" s="55"/>
    </row>
    <row r="715" ht="15.75" customHeight="1">
      <c r="A715" s="72"/>
      <c r="B715" s="76"/>
      <c r="C715" s="76"/>
      <c r="D715" s="74"/>
      <c r="E715" s="75"/>
      <c r="F715" s="74"/>
      <c r="G715" s="74"/>
      <c r="I715" s="55"/>
      <c r="J715" s="55"/>
    </row>
    <row r="716" ht="15.75" customHeight="1">
      <c r="A716" s="72"/>
      <c r="B716" s="76"/>
      <c r="C716" s="76"/>
      <c r="D716" s="74"/>
      <c r="E716" s="75"/>
      <c r="F716" s="74"/>
      <c r="G716" s="74"/>
      <c r="I716" s="55"/>
      <c r="J716" s="55"/>
    </row>
    <row r="717" ht="15.75" customHeight="1">
      <c r="A717" s="72"/>
      <c r="B717" s="76"/>
      <c r="C717" s="76"/>
      <c r="D717" s="74"/>
      <c r="E717" s="75"/>
      <c r="F717" s="74"/>
      <c r="G717" s="74"/>
      <c r="I717" s="55"/>
      <c r="J717" s="55"/>
    </row>
    <row r="718" ht="15.75" customHeight="1">
      <c r="A718" s="72"/>
      <c r="B718" s="76"/>
      <c r="C718" s="76"/>
      <c r="D718" s="74"/>
      <c r="E718" s="75"/>
      <c r="F718" s="74"/>
      <c r="G718" s="74"/>
      <c r="I718" s="55"/>
      <c r="J718" s="55"/>
    </row>
    <row r="719" ht="15.75" customHeight="1">
      <c r="A719" s="72"/>
      <c r="B719" s="76"/>
      <c r="C719" s="76"/>
      <c r="D719" s="74"/>
      <c r="E719" s="75"/>
      <c r="F719" s="74"/>
      <c r="G719" s="74"/>
      <c r="I719" s="55"/>
      <c r="J719" s="55"/>
    </row>
    <row r="720" ht="15.75" customHeight="1">
      <c r="A720" s="72"/>
      <c r="B720" s="76"/>
      <c r="C720" s="76"/>
      <c r="D720" s="74"/>
      <c r="E720" s="75"/>
      <c r="F720" s="74"/>
      <c r="G720" s="74"/>
      <c r="I720" s="55"/>
      <c r="J720" s="55"/>
    </row>
    <row r="721" ht="15.75" customHeight="1">
      <c r="A721" s="72"/>
      <c r="B721" s="76"/>
      <c r="C721" s="76"/>
      <c r="D721" s="74"/>
      <c r="E721" s="75"/>
      <c r="F721" s="74"/>
      <c r="G721" s="74"/>
      <c r="I721" s="55"/>
      <c r="J721" s="55"/>
    </row>
    <row r="722" ht="15.75" customHeight="1">
      <c r="A722" s="72"/>
      <c r="B722" s="76"/>
      <c r="C722" s="76"/>
      <c r="D722" s="74"/>
      <c r="E722" s="75"/>
      <c r="F722" s="74"/>
      <c r="G722" s="74"/>
      <c r="I722" s="55"/>
      <c r="J722" s="55"/>
    </row>
    <row r="723" ht="15.75" customHeight="1">
      <c r="A723" s="72"/>
      <c r="B723" s="76"/>
      <c r="C723" s="76"/>
      <c r="D723" s="74"/>
      <c r="E723" s="75"/>
      <c r="F723" s="74"/>
      <c r="G723" s="74"/>
      <c r="I723" s="55"/>
      <c r="J723" s="55"/>
    </row>
    <row r="724" ht="15.75" customHeight="1">
      <c r="A724" s="72"/>
      <c r="B724" s="76"/>
      <c r="C724" s="76"/>
      <c r="D724" s="74"/>
      <c r="E724" s="75"/>
      <c r="F724" s="74"/>
      <c r="G724" s="74"/>
      <c r="I724" s="55"/>
      <c r="J724" s="55"/>
    </row>
    <row r="725" ht="15.75" customHeight="1">
      <c r="A725" s="72"/>
      <c r="B725" s="76"/>
      <c r="C725" s="76"/>
      <c r="D725" s="74"/>
      <c r="E725" s="75"/>
      <c r="F725" s="74"/>
      <c r="G725" s="74"/>
      <c r="I725" s="55"/>
      <c r="J725" s="55"/>
    </row>
    <row r="726" ht="15.75" customHeight="1">
      <c r="A726" s="72"/>
      <c r="B726" s="76"/>
      <c r="C726" s="76"/>
      <c r="D726" s="74"/>
      <c r="E726" s="75"/>
      <c r="F726" s="74"/>
      <c r="G726" s="74"/>
      <c r="I726" s="55"/>
      <c r="J726" s="55"/>
    </row>
    <row r="727" ht="15.75" customHeight="1">
      <c r="A727" s="72"/>
      <c r="B727" s="76"/>
      <c r="C727" s="76"/>
      <c r="D727" s="74"/>
      <c r="E727" s="75"/>
      <c r="F727" s="74"/>
      <c r="G727" s="74"/>
      <c r="I727" s="55"/>
      <c r="J727" s="55"/>
    </row>
    <row r="728" ht="15.75" customHeight="1">
      <c r="A728" s="72"/>
      <c r="B728" s="76"/>
      <c r="C728" s="76"/>
      <c r="D728" s="74"/>
      <c r="E728" s="75"/>
      <c r="F728" s="74"/>
      <c r="G728" s="74"/>
      <c r="I728" s="55"/>
      <c r="J728" s="55"/>
    </row>
    <row r="729" ht="15.75" customHeight="1">
      <c r="A729" s="72"/>
      <c r="B729" s="76"/>
      <c r="C729" s="76"/>
      <c r="D729" s="74"/>
      <c r="E729" s="75"/>
      <c r="F729" s="74"/>
      <c r="G729" s="74"/>
      <c r="I729" s="55"/>
      <c r="J729" s="55"/>
    </row>
    <row r="730" ht="15.75" customHeight="1">
      <c r="A730" s="72"/>
      <c r="B730" s="76"/>
      <c r="C730" s="76"/>
      <c r="D730" s="74"/>
      <c r="E730" s="75"/>
      <c r="F730" s="74"/>
      <c r="G730" s="74"/>
      <c r="I730" s="55"/>
      <c r="J730" s="55"/>
    </row>
    <row r="731" ht="15.75" customHeight="1">
      <c r="A731" s="72"/>
      <c r="B731" s="76"/>
      <c r="C731" s="76"/>
      <c r="D731" s="74"/>
      <c r="E731" s="75"/>
      <c r="F731" s="74"/>
      <c r="G731" s="74"/>
      <c r="I731" s="55"/>
      <c r="J731" s="55"/>
    </row>
    <row r="732" ht="15.75" customHeight="1">
      <c r="A732" s="72"/>
      <c r="B732" s="76"/>
      <c r="C732" s="76"/>
      <c r="D732" s="74"/>
      <c r="E732" s="75"/>
      <c r="F732" s="74"/>
      <c r="G732" s="74"/>
      <c r="I732" s="55"/>
      <c r="J732" s="55"/>
    </row>
    <row r="733" ht="15.75" customHeight="1">
      <c r="A733" s="72"/>
      <c r="B733" s="76"/>
      <c r="C733" s="76"/>
      <c r="D733" s="74"/>
      <c r="E733" s="75"/>
      <c r="F733" s="74"/>
      <c r="G733" s="74"/>
      <c r="I733" s="55"/>
      <c r="J733" s="55"/>
    </row>
    <row r="734" ht="15.75" customHeight="1">
      <c r="A734" s="72"/>
      <c r="B734" s="76"/>
      <c r="C734" s="76"/>
      <c r="D734" s="74"/>
      <c r="E734" s="75"/>
      <c r="F734" s="74"/>
      <c r="G734" s="74"/>
      <c r="I734" s="55"/>
      <c r="J734" s="55"/>
    </row>
    <row r="735" ht="15.75" customHeight="1">
      <c r="A735" s="72"/>
      <c r="B735" s="76"/>
      <c r="C735" s="76"/>
      <c r="D735" s="74"/>
      <c r="E735" s="75"/>
      <c r="F735" s="74"/>
      <c r="G735" s="74"/>
      <c r="I735" s="55"/>
      <c r="J735" s="55"/>
    </row>
    <row r="736" ht="15.75" customHeight="1">
      <c r="A736" s="72"/>
      <c r="B736" s="76"/>
      <c r="C736" s="76"/>
      <c r="D736" s="74"/>
      <c r="E736" s="75"/>
      <c r="F736" s="74"/>
      <c r="G736" s="74"/>
      <c r="I736" s="55"/>
      <c r="J736" s="55"/>
    </row>
    <row r="737" ht="15.75" customHeight="1">
      <c r="A737" s="72"/>
      <c r="B737" s="76"/>
      <c r="C737" s="76"/>
      <c r="D737" s="74"/>
      <c r="E737" s="75"/>
      <c r="F737" s="74"/>
      <c r="G737" s="74"/>
      <c r="I737" s="55"/>
      <c r="J737" s="55"/>
    </row>
    <row r="738" ht="15.75" customHeight="1">
      <c r="A738" s="72"/>
      <c r="B738" s="76"/>
      <c r="C738" s="76"/>
      <c r="D738" s="74"/>
      <c r="E738" s="75"/>
      <c r="F738" s="74"/>
      <c r="G738" s="74"/>
      <c r="I738" s="55"/>
      <c r="J738" s="55"/>
    </row>
    <row r="739" ht="15.75" customHeight="1">
      <c r="A739" s="72"/>
      <c r="B739" s="76"/>
      <c r="C739" s="76"/>
      <c r="D739" s="74"/>
      <c r="E739" s="75"/>
      <c r="F739" s="74"/>
      <c r="G739" s="74"/>
      <c r="I739" s="55"/>
      <c r="J739" s="55"/>
    </row>
    <row r="740" ht="15.75" customHeight="1">
      <c r="A740" s="72"/>
      <c r="B740" s="76"/>
      <c r="C740" s="76"/>
      <c r="D740" s="74"/>
      <c r="E740" s="75"/>
      <c r="F740" s="74"/>
      <c r="G740" s="74"/>
      <c r="I740" s="55"/>
      <c r="J740" s="55"/>
    </row>
    <row r="741" ht="15.75" customHeight="1">
      <c r="A741" s="72"/>
      <c r="B741" s="76"/>
      <c r="C741" s="76"/>
      <c r="D741" s="74"/>
      <c r="E741" s="75"/>
      <c r="F741" s="74"/>
      <c r="G741" s="74"/>
      <c r="I741" s="55"/>
      <c r="J741" s="55"/>
    </row>
    <row r="742" ht="15.75" customHeight="1">
      <c r="A742" s="72"/>
      <c r="B742" s="76"/>
      <c r="C742" s="76"/>
      <c r="D742" s="74"/>
      <c r="E742" s="75"/>
      <c r="F742" s="74"/>
      <c r="G742" s="74"/>
      <c r="I742" s="55"/>
      <c r="J742" s="55"/>
    </row>
    <row r="743" ht="15.75" customHeight="1">
      <c r="A743" s="72"/>
      <c r="B743" s="76"/>
      <c r="C743" s="76"/>
      <c r="D743" s="74"/>
      <c r="E743" s="75"/>
      <c r="F743" s="74"/>
      <c r="G743" s="74"/>
      <c r="I743" s="55"/>
      <c r="J743" s="55"/>
    </row>
    <row r="744" ht="15.75" customHeight="1">
      <c r="A744" s="72"/>
      <c r="B744" s="76"/>
      <c r="C744" s="76"/>
      <c r="D744" s="74"/>
      <c r="E744" s="75"/>
      <c r="F744" s="74"/>
      <c r="G744" s="74"/>
      <c r="I744" s="55"/>
      <c r="J744" s="55"/>
    </row>
    <row r="745" ht="15.75" customHeight="1">
      <c r="A745" s="72"/>
      <c r="B745" s="76"/>
      <c r="C745" s="76"/>
      <c r="D745" s="74"/>
      <c r="E745" s="75"/>
      <c r="F745" s="74"/>
      <c r="G745" s="74"/>
      <c r="I745" s="55"/>
      <c r="J745" s="55"/>
    </row>
    <row r="746" ht="15.75" customHeight="1">
      <c r="A746" s="72"/>
      <c r="B746" s="76"/>
      <c r="C746" s="76"/>
      <c r="D746" s="74"/>
      <c r="E746" s="75"/>
      <c r="F746" s="74"/>
      <c r="G746" s="74"/>
      <c r="I746" s="55"/>
      <c r="J746" s="55"/>
    </row>
    <row r="747" ht="15.75" customHeight="1">
      <c r="A747" s="72"/>
      <c r="B747" s="76"/>
      <c r="C747" s="76"/>
      <c r="D747" s="74"/>
      <c r="E747" s="75"/>
      <c r="F747" s="74"/>
      <c r="G747" s="74"/>
      <c r="I747" s="55"/>
      <c r="J747" s="55"/>
    </row>
    <row r="748" ht="15.75" customHeight="1">
      <c r="A748" s="72"/>
      <c r="B748" s="76"/>
      <c r="C748" s="76"/>
      <c r="D748" s="74"/>
      <c r="E748" s="75"/>
      <c r="F748" s="74"/>
      <c r="G748" s="74"/>
      <c r="I748" s="55"/>
      <c r="J748" s="55"/>
    </row>
    <row r="749" ht="15.75" customHeight="1">
      <c r="A749" s="72"/>
      <c r="B749" s="76"/>
      <c r="C749" s="76"/>
      <c r="D749" s="74"/>
      <c r="E749" s="75"/>
      <c r="F749" s="74"/>
      <c r="G749" s="74"/>
      <c r="I749" s="55"/>
      <c r="J749" s="55"/>
    </row>
    <row r="750" ht="15.75" customHeight="1">
      <c r="A750" s="72"/>
      <c r="B750" s="76"/>
      <c r="C750" s="76"/>
      <c r="D750" s="74"/>
      <c r="E750" s="75"/>
      <c r="F750" s="74"/>
      <c r="G750" s="74"/>
      <c r="I750" s="55"/>
      <c r="J750" s="55"/>
    </row>
    <row r="751" ht="15.75" customHeight="1">
      <c r="A751" s="72"/>
      <c r="B751" s="76"/>
      <c r="C751" s="76"/>
      <c r="D751" s="74"/>
      <c r="E751" s="75"/>
      <c r="F751" s="74"/>
      <c r="G751" s="74"/>
      <c r="I751" s="55"/>
      <c r="J751" s="55"/>
    </row>
    <row r="752" ht="15.75" customHeight="1">
      <c r="A752" s="72"/>
      <c r="B752" s="76"/>
      <c r="C752" s="76"/>
      <c r="D752" s="74"/>
      <c r="E752" s="75"/>
      <c r="F752" s="74"/>
      <c r="G752" s="74"/>
      <c r="I752" s="55"/>
      <c r="J752" s="55"/>
    </row>
    <row r="753" ht="15.75" customHeight="1">
      <c r="A753" s="72"/>
      <c r="B753" s="76"/>
      <c r="C753" s="76"/>
      <c r="D753" s="74"/>
      <c r="E753" s="75"/>
      <c r="F753" s="74"/>
      <c r="G753" s="74"/>
      <c r="I753" s="55"/>
      <c r="J753" s="55"/>
    </row>
    <row r="754" ht="15.75" customHeight="1">
      <c r="A754" s="72"/>
      <c r="B754" s="76"/>
      <c r="C754" s="76"/>
      <c r="D754" s="74"/>
      <c r="E754" s="75"/>
      <c r="F754" s="74"/>
      <c r="G754" s="74"/>
      <c r="I754" s="55"/>
      <c r="J754" s="55"/>
    </row>
    <row r="755" ht="15.75" customHeight="1">
      <c r="A755" s="72"/>
      <c r="B755" s="76"/>
      <c r="C755" s="76"/>
      <c r="D755" s="74"/>
      <c r="E755" s="75"/>
      <c r="F755" s="74"/>
      <c r="G755" s="74"/>
      <c r="I755" s="55"/>
      <c r="J755" s="55"/>
    </row>
    <row r="756" ht="15.75" customHeight="1">
      <c r="A756" s="72"/>
      <c r="B756" s="76"/>
      <c r="C756" s="76"/>
      <c r="D756" s="74"/>
      <c r="E756" s="75"/>
      <c r="F756" s="74"/>
      <c r="G756" s="74"/>
      <c r="I756" s="55"/>
      <c r="J756" s="55"/>
    </row>
    <row r="757" ht="15.75" customHeight="1">
      <c r="A757" s="72"/>
      <c r="B757" s="76"/>
      <c r="C757" s="76"/>
      <c r="D757" s="74"/>
      <c r="E757" s="75"/>
      <c r="F757" s="74"/>
      <c r="G757" s="74"/>
      <c r="I757" s="55"/>
      <c r="J757" s="55"/>
    </row>
    <row r="758" ht="15.75" customHeight="1">
      <c r="A758" s="72"/>
      <c r="B758" s="76"/>
      <c r="C758" s="76"/>
      <c r="D758" s="74"/>
      <c r="E758" s="75"/>
      <c r="F758" s="74"/>
      <c r="G758" s="74"/>
      <c r="I758" s="55"/>
      <c r="J758" s="55"/>
    </row>
    <row r="759" ht="15.75" customHeight="1">
      <c r="A759" s="72"/>
      <c r="B759" s="76"/>
      <c r="C759" s="76"/>
      <c r="D759" s="74"/>
      <c r="E759" s="75"/>
      <c r="F759" s="74"/>
      <c r="G759" s="74"/>
      <c r="I759" s="55"/>
      <c r="J759" s="55"/>
    </row>
    <row r="760" ht="15.75" customHeight="1">
      <c r="A760" s="72"/>
      <c r="B760" s="76"/>
      <c r="C760" s="76"/>
      <c r="D760" s="74"/>
      <c r="E760" s="75"/>
      <c r="F760" s="74"/>
      <c r="G760" s="74"/>
      <c r="I760" s="55"/>
      <c r="J760" s="55"/>
    </row>
    <row r="761" ht="15.75" customHeight="1">
      <c r="A761" s="72"/>
      <c r="B761" s="76"/>
      <c r="C761" s="76"/>
      <c r="D761" s="74"/>
      <c r="E761" s="75"/>
      <c r="F761" s="74"/>
      <c r="G761" s="74"/>
      <c r="I761" s="55"/>
      <c r="J761" s="55"/>
    </row>
    <row r="762" ht="15.75" customHeight="1">
      <c r="A762" s="72"/>
      <c r="B762" s="76"/>
      <c r="C762" s="76"/>
      <c r="D762" s="74"/>
      <c r="E762" s="75"/>
      <c r="F762" s="74"/>
      <c r="G762" s="74"/>
      <c r="I762" s="55"/>
      <c r="J762" s="55"/>
    </row>
    <row r="763" ht="15.75" customHeight="1">
      <c r="A763" s="72"/>
      <c r="B763" s="76"/>
      <c r="C763" s="76"/>
      <c r="D763" s="74"/>
      <c r="E763" s="75"/>
      <c r="F763" s="74"/>
      <c r="G763" s="74"/>
      <c r="I763" s="55"/>
      <c r="J763" s="55"/>
    </row>
    <row r="764" ht="15.75" customHeight="1">
      <c r="A764" s="72"/>
      <c r="B764" s="76"/>
      <c r="C764" s="76"/>
      <c r="D764" s="74"/>
      <c r="E764" s="75"/>
      <c r="F764" s="74"/>
      <c r="G764" s="74"/>
      <c r="I764" s="55"/>
      <c r="J764" s="55"/>
    </row>
    <row r="765" ht="15.75" customHeight="1">
      <c r="A765" s="72"/>
      <c r="B765" s="76"/>
      <c r="C765" s="76"/>
      <c r="D765" s="74"/>
      <c r="E765" s="75"/>
      <c r="F765" s="74"/>
      <c r="G765" s="74"/>
      <c r="I765" s="55"/>
      <c r="J765" s="55"/>
    </row>
    <row r="766" ht="15.75" customHeight="1">
      <c r="A766" s="72"/>
      <c r="B766" s="76"/>
      <c r="C766" s="76"/>
      <c r="D766" s="74"/>
      <c r="E766" s="75"/>
      <c r="F766" s="74"/>
      <c r="G766" s="74"/>
      <c r="I766" s="55"/>
      <c r="J766" s="55"/>
    </row>
    <row r="767" ht="15.75" customHeight="1">
      <c r="A767" s="72"/>
      <c r="B767" s="76"/>
      <c r="C767" s="76"/>
      <c r="D767" s="74"/>
      <c r="E767" s="75"/>
      <c r="F767" s="74"/>
      <c r="G767" s="74"/>
      <c r="I767" s="55"/>
      <c r="J767" s="55"/>
    </row>
    <row r="768" ht="15.75" customHeight="1">
      <c r="A768" s="72"/>
      <c r="B768" s="76"/>
      <c r="C768" s="76"/>
      <c r="D768" s="74"/>
      <c r="E768" s="75"/>
      <c r="F768" s="74"/>
      <c r="G768" s="74"/>
      <c r="I768" s="55"/>
      <c r="J768" s="55"/>
    </row>
    <row r="769" ht="15.75" customHeight="1">
      <c r="A769" s="72"/>
      <c r="B769" s="76"/>
      <c r="C769" s="76"/>
      <c r="D769" s="74"/>
      <c r="E769" s="75"/>
      <c r="F769" s="74"/>
      <c r="G769" s="74"/>
      <c r="I769" s="55"/>
      <c r="J769" s="55"/>
    </row>
    <row r="770" ht="15.75" customHeight="1">
      <c r="A770" s="72"/>
      <c r="B770" s="76"/>
      <c r="C770" s="76"/>
      <c r="D770" s="74"/>
      <c r="E770" s="75"/>
      <c r="F770" s="74"/>
      <c r="G770" s="74"/>
      <c r="I770" s="55"/>
      <c r="J770" s="55"/>
    </row>
    <row r="771" ht="15.75" customHeight="1">
      <c r="A771" s="72"/>
      <c r="B771" s="76"/>
      <c r="C771" s="76"/>
      <c r="D771" s="74"/>
      <c r="E771" s="75"/>
      <c r="F771" s="74"/>
      <c r="G771" s="74"/>
      <c r="I771" s="55"/>
      <c r="J771" s="55"/>
    </row>
    <row r="772" ht="15.75" customHeight="1">
      <c r="A772" s="72"/>
      <c r="B772" s="76"/>
      <c r="C772" s="76"/>
      <c r="D772" s="74"/>
      <c r="E772" s="75"/>
      <c r="F772" s="74"/>
      <c r="G772" s="74"/>
      <c r="I772" s="55"/>
      <c r="J772" s="55"/>
    </row>
    <row r="773" ht="15.75" customHeight="1">
      <c r="A773" s="72"/>
      <c r="B773" s="76"/>
      <c r="C773" s="76"/>
      <c r="D773" s="74"/>
      <c r="E773" s="75"/>
      <c r="F773" s="74"/>
      <c r="G773" s="74"/>
      <c r="I773" s="55"/>
      <c r="J773" s="55"/>
    </row>
    <row r="774" ht="15.75" customHeight="1">
      <c r="A774" s="72"/>
      <c r="B774" s="76"/>
      <c r="C774" s="76"/>
      <c r="D774" s="74"/>
      <c r="E774" s="75"/>
      <c r="F774" s="74"/>
      <c r="G774" s="74"/>
      <c r="I774" s="55"/>
      <c r="J774" s="55"/>
    </row>
    <row r="775" ht="15.75" customHeight="1">
      <c r="A775" s="72"/>
      <c r="B775" s="76"/>
      <c r="C775" s="76"/>
      <c r="D775" s="74"/>
      <c r="E775" s="75"/>
      <c r="F775" s="74"/>
      <c r="G775" s="74"/>
      <c r="I775" s="55"/>
      <c r="J775" s="55"/>
    </row>
    <row r="776" ht="15.75" customHeight="1">
      <c r="A776" s="72"/>
      <c r="B776" s="76"/>
      <c r="C776" s="76"/>
      <c r="D776" s="74"/>
      <c r="E776" s="75"/>
      <c r="F776" s="74"/>
      <c r="G776" s="74"/>
      <c r="I776" s="55"/>
      <c r="J776" s="55"/>
    </row>
    <row r="777" ht="15.75" customHeight="1">
      <c r="A777" s="72"/>
      <c r="B777" s="76"/>
      <c r="C777" s="76"/>
      <c r="D777" s="74"/>
      <c r="E777" s="75"/>
      <c r="F777" s="74"/>
      <c r="G777" s="74"/>
      <c r="I777" s="55"/>
      <c r="J777" s="55"/>
    </row>
    <row r="778" ht="15.75" customHeight="1">
      <c r="A778" s="72"/>
      <c r="B778" s="76"/>
      <c r="C778" s="76"/>
      <c r="D778" s="74"/>
      <c r="E778" s="75"/>
      <c r="F778" s="74"/>
      <c r="G778" s="74"/>
      <c r="I778" s="55"/>
      <c r="J778" s="55"/>
    </row>
    <row r="779" ht="15.75" customHeight="1">
      <c r="A779" s="72"/>
      <c r="B779" s="76"/>
      <c r="C779" s="76"/>
      <c r="D779" s="74"/>
      <c r="E779" s="75"/>
      <c r="F779" s="74"/>
      <c r="G779" s="74"/>
      <c r="I779" s="55"/>
      <c r="J779" s="55"/>
    </row>
    <row r="780" ht="15.75" customHeight="1">
      <c r="A780" s="72"/>
      <c r="B780" s="76"/>
      <c r="C780" s="76"/>
      <c r="D780" s="74"/>
      <c r="E780" s="75"/>
      <c r="F780" s="74"/>
      <c r="G780" s="74"/>
      <c r="I780" s="55"/>
      <c r="J780" s="55"/>
    </row>
    <row r="781" ht="15.75" customHeight="1">
      <c r="A781" s="72"/>
      <c r="B781" s="76"/>
      <c r="C781" s="76"/>
      <c r="D781" s="74"/>
      <c r="E781" s="75"/>
      <c r="F781" s="74"/>
      <c r="G781" s="74"/>
      <c r="I781" s="55"/>
      <c r="J781" s="55"/>
    </row>
    <row r="782" ht="15.75" customHeight="1">
      <c r="A782" s="72"/>
      <c r="B782" s="76"/>
      <c r="C782" s="76"/>
      <c r="D782" s="74"/>
      <c r="E782" s="75"/>
      <c r="F782" s="74"/>
      <c r="G782" s="74"/>
      <c r="I782" s="55"/>
      <c r="J782" s="55"/>
    </row>
    <row r="783" ht="15.75" customHeight="1">
      <c r="A783" s="72"/>
      <c r="B783" s="76"/>
      <c r="C783" s="76"/>
      <c r="D783" s="74"/>
      <c r="E783" s="75"/>
      <c r="F783" s="74"/>
      <c r="G783" s="74"/>
      <c r="I783" s="55"/>
      <c r="J783" s="55"/>
    </row>
    <row r="784" ht="15.75" customHeight="1">
      <c r="A784" s="72"/>
      <c r="B784" s="76"/>
      <c r="C784" s="76"/>
      <c r="D784" s="74"/>
      <c r="E784" s="75"/>
      <c r="F784" s="74"/>
      <c r="G784" s="74"/>
      <c r="I784" s="55"/>
      <c r="J784" s="55"/>
    </row>
    <row r="785" ht="15.75" customHeight="1">
      <c r="A785" s="72"/>
      <c r="B785" s="76"/>
      <c r="C785" s="76"/>
      <c r="D785" s="74"/>
      <c r="E785" s="75"/>
      <c r="F785" s="74"/>
      <c r="G785" s="74"/>
      <c r="I785" s="55"/>
      <c r="J785" s="55"/>
    </row>
    <row r="786" ht="15.75" customHeight="1">
      <c r="A786" s="72"/>
      <c r="B786" s="76"/>
      <c r="C786" s="76"/>
      <c r="D786" s="74"/>
      <c r="E786" s="75"/>
      <c r="F786" s="74"/>
      <c r="G786" s="74"/>
      <c r="I786" s="55"/>
      <c r="J786" s="55"/>
    </row>
    <row r="787" ht="15.75" customHeight="1">
      <c r="A787" s="72"/>
      <c r="B787" s="76"/>
      <c r="C787" s="76"/>
      <c r="D787" s="74"/>
      <c r="E787" s="75"/>
      <c r="F787" s="74"/>
      <c r="G787" s="74"/>
      <c r="I787" s="55"/>
      <c r="J787" s="55"/>
    </row>
    <row r="788" ht="15.75" customHeight="1">
      <c r="A788" s="72"/>
      <c r="B788" s="76"/>
      <c r="C788" s="76"/>
      <c r="D788" s="74"/>
      <c r="E788" s="75"/>
      <c r="F788" s="74"/>
      <c r="G788" s="74"/>
      <c r="I788" s="55"/>
      <c r="J788" s="55"/>
    </row>
    <row r="789" ht="15.75" customHeight="1">
      <c r="A789" s="72"/>
      <c r="B789" s="76"/>
      <c r="C789" s="76"/>
      <c r="D789" s="74"/>
      <c r="E789" s="75"/>
      <c r="F789" s="74"/>
      <c r="G789" s="74"/>
      <c r="I789" s="55"/>
      <c r="J789" s="55"/>
    </row>
    <row r="790" ht="15.75" customHeight="1">
      <c r="A790" s="72"/>
      <c r="B790" s="76"/>
      <c r="C790" s="76"/>
      <c r="D790" s="74"/>
      <c r="E790" s="75"/>
      <c r="F790" s="74"/>
      <c r="G790" s="74"/>
      <c r="I790" s="55"/>
      <c r="J790" s="55"/>
    </row>
    <row r="791" ht="15.75" customHeight="1">
      <c r="A791" s="72"/>
      <c r="B791" s="76"/>
      <c r="C791" s="76"/>
      <c r="D791" s="74"/>
      <c r="E791" s="75"/>
      <c r="F791" s="74"/>
      <c r="G791" s="74"/>
      <c r="I791" s="55"/>
      <c r="J791" s="55"/>
    </row>
    <row r="792" ht="15.75" customHeight="1">
      <c r="A792" s="72"/>
      <c r="B792" s="76"/>
      <c r="C792" s="76"/>
      <c r="D792" s="74"/>
      <c r="E792" s="75"/>
      <c r="F792" s="74"/>
      <c r="G792" s="74"/>
      <c r="I792" s="55"/>
      <c r="J792" s="55"/>
    </row>
    <row r="793" ht="15.75" customHeight="1">
      <c r="A793" s="72"/>
      <c r="B793" s="76"/>
      <c r="C793" s="76"/>
      <c r="D793" s="74"/>
      <c r="E793" s="75"/>
      <c r="F793" s="74"/>
      <c r="G793" s="74"/>
      <c r="I793" s="55"/>
      <c r="J793" s="55"/>
    </row>
    <row r="794" ht="15.75" customHeight="1">
      <c r="A794" s="72"/>
      <c r="B794" s="76"/>
      <c r="C794" s="76"/>
      <c r="D794" s="74"/>
      <c r="E794" s="75"/>
      <c r="F794" s="74"/>
      <c r="G794" s="74"/>
      <c r="I794" s="55"/>
      <c r="J794" s="55"/>
    </row>
    <row r="795" ht="15.75" customHeight="1">
      <c r="A795" s="72"/>
      <c r="B795" s="76"/>
      <c r="C795" s="76"/>
      <c r="D795" s="74"/>
      <c r="E795" s="75"/>
      <c r="F795" s="74"/>
      <c r="G795" s="74"/>
      <c r="I795" s="55"/>
      <c r="J795" s="55"/>
    </row>
    <row r="796" ht="15.75" customHeight="1">
      <c r="A796" s="72"/>
      <c r="B796" s="76"/>
      <c r="C796" s="76"/>
      <c r="D796" s="74"/>
      <c r="E796" s="75"/>
      <c r="F796" s="74"/>
      <c r="G796" s="74"/>
      <c r="I796" s="55"/>
      <c r="J796" s="55"/>
    </row>
    <row r="797" ht="15.75" customHeight="1">
      <c r="A797" s="72"/>
      <c r="B797" s="76"/>
      <c r="C797" s="76"/>
      <c r="D797" s="74"/>
      <c r="E797" s="75"/>
      <c r="F797" s="74"/>
      <c r="G797" s="74"/>
      <c r="I797" s="55"/>
      <c r="J797" s="55"/>
    </row>
    <row r="798" ht="15.75" customHeight="1">
      <c r="A798" s="72"/>
      <c r="B798" s="76"/>
      <c r="C798" s="76"/>
      <c r="D798" s="74"/>
      <c r="E798" s="75"/>
      <c r="F798" s="74"/>
      <c r="G798" s="74"/>
      <c r="I798" s="55"/>
      <c r="J798" s="55"/>
    </row>
    <row r="799" ht="15.75" customHeight="1">
      <c r="A799" s="72"/>
      <c r="B799" s="76"/>
      <c r="C799" s="76"/>
      <c r="D799" s="74"/>
      <c r="E799" s="75"/>
      <c r="F799" s="74"/>
      <c r="G799" s="74"/>
      <c r="I799" s="55"/>
      <c r="J799" s="55"/>
    </row>
    <row r="800" ht="15.75" customHeight="1">
      <c r="A800" s="72"/>
      <c r="B800" s="76"/>
      <c r="C800" s="76"/>
      <c r="D800" s="74"/>
      <c r="E800" s="75"/>
      <c r="F800" s="74"/>
      <c r="G800" s="74"/>
      <c r="I800" s="55"/>
      <c r="J800" s="55"/>
    </row>
    <row r="801" ht="15.75" customHeight="1">
      <c r="A801" s="72"/>
      <c r="B801" s="76"/>
      <c r="C801" s="76"/>
      <c r="D801" s="74"/>
      <c r="E801" s="75"/>
      <c r="F801" s="74"/>
      <c r="G801" s="74"/>
      <c r="I801" s="55"/>
      <c r="J801" s="55"/>
    </row>
    <row r="802" ht="15.75" customHeight="1">
      <c r="A802" s="72"/>
      <c r="B802" s="76"/>
      <c r="C802" s="76"/>
      <c r="D802" s="74"/>
      <c r="E802" s="75"/>
      <c r="F802" s="74"/>
      <c r="G802" s="74"/>
      <c r="I802" s="55"/>
      <c r="J802" s="55"/>
    </row>
    <row r="803" ht="15.75" customHeight="1">
      <c r="A803" s="72"/>
      <c r="B803" s="76"/>
      <c r="C803" s="76"/>
      <c r="D803" s="74"/>
      <c r="E803" s="75"/>
      <c r="F803" s="74"/>
      <c r="G803" s="74"/>
      <c r="I803" s="55"/>
      <c r="J803" s="55"/>
    </row>
    <row r="804" ht="15.75" customHeight="1">
      <c r="A804" s="72"/>
      <c r="B804" s="76"/>
      <c r="C804" s="76"/>
      <c r="D804" s="74"/>
      <c r="E804" s="75"/>
      <c r="F804" s="74"/>
      <c r="G804" s="74"/>
      <c r="I804" s="55"/>
      <c r="J804" s="55"/>
    </row>
    <row r="805" ht="15.75" customHeight="1">
      <c r="A805" s="72"/>
      <c r="B805" s="76"/>
      <c r="C805" s="76"/>
      <c r="D805" s="74"/>
      <c r="E805" s="75"/>
      <c r="F805" s="74"/>
      <c r="G805" s="74"/>
      <c r="I805" s="55"/>
      <c r="J805" s="55"/>
    </row>
    <row r="806" ht="15.75" customHeight="1">
      <c r="A806" s="72"/>
      <c r="B806" s="76"/>
      <c r="C806" s="76"/>
      <c r="D806" s="74"/>
      <c r="E806" s="75"/>
      <c r="F806" s="74"/>
      <c r="G806" s="74"/>
      <c r="I806" s="55"/>
      <c r="J806" s="55"/>
    </row>
    <row r="807" ht="15.75" customHeight="1">
      <c r="A807" s="72"/>
      <c r="B807" s="76"/>
      <c r="C807" s="76"/>
      <c r="D807" s="74"/>
      <c r="E807" s="75"/>
      <c r="F807" s="74"/>
      <c r="G807" s="74"/>
      <c r="I807" s="55"/>
      <c r="J807" s="55"/>
    </row>
    <row r="808" ht="15.75" customHeight="1">
      <c r="A808" s="72"/>
      <c r="B808" s="76"/>
      <c r="C808" s="76"/>
      <c r="D808" s="74"/>
      <c r="E808" s="75"/>
      <c r="F808" s="74"/>
      <c r="G808" s="74"/>
      <c r="I808" s="55"/>
      <c r="J808" s="55"/>
    </row>
    <row r="809" ht="15.75" customHeight="1">
      <c r="A809" s="72"/>
      <c r="B809" s="76"/>
      <c r="C809" s="76"/>
      <c r="D809" s="74"/>
      <c r="E809" s="75"/>
      <c r="F809" s="74"/>
      <c r="G809" s="74"/>
      <c r="I809" s="55"/>
      <c r="J809" s="55"/>
    </row>
    <row r="810" ht="15.75" customHeight="1">
      <c r="A810" s="72"/>
      <c r="B810" s="76"/>
      <c r="C810" s="76"/>
      <c r="D810" s="74"/>
      <c r="E810" s="75"/>
      <c r="F810" s="74"/>
      <c r="G810" s="74"/>
      <c r="I810" s="55"/>
      <c r="J810" s="55"/>
    </row>
    <row r="811" ht="15.75" customHeight="1">
      <c r="A811" s="72"/>
      <c r="B811" s="76"/>
      <c r="C811" s="76"/>
      <c r="D811" s="74"/>
      <c r="E811" s="75"/>
      <c r="F811" s="74"/>
      <c r="G811" s="74"/>
      <c r="I811" s="55"/>
      <c r="J811" s="55"/>
    </row>
    <row r="812" ht="15.75" customHeight="1">
      <c r="A812" s="72"/>
      <c r="B812" s="76"/>
      <c r="C812" s="76"/>
      <c r="D812" s="74"/>
      <c r="E812" s="75"/>
      <c r="F812" s="74"/>
      <c r="G812" s="74"/>
      <c r="I812" s="55"/>
      <c r="J812" s="55"/>
    </row>
    <row r="813" ht="15.75" customHeight="1">
      <c r="A813" s="72"/>
      <c r="B813" s="76"/>
      <c r="C813" s="76"/>
      <c r="D813" s="74"/>
      <c r="E813" s="75"/>
      <c r="F813" s="74"/>
      <c r="G813" s="74"/>
      <c r="I813" s="55"/>
      <c r="J813" s="55"/>
    </row>
    <row r="814" ht="15.75" customHeight="1">
      <c r="A814" s="72"/>
      <c r="B814" s="76"/>
      <c r="C814" s="76"/>
      <c r="D814" s="74"/>
      <c r="E814" s="75"/>
      <c r="F814" s="74"/>
      <c r="G814" s="74"/>
      <c r="I814" s="55"/>
      <c r="J814" s="55"/>
    </row>
    <row r="815" ht="15.75" customHeight="1">
      <c r="A815" s="72"/>
      <c r="B815" s="76"/>
      <c r="C815" s="76"/>
      <c r="D815" s="74"/>
      <c r="E815" s="75"/>
      <c r="F815" s="74"/>
      <c r="G815" s="74"/>
      <c r="I815" s="55"/>
      <c r="J815" s="55"/>
    </row>
    <row r="816" ht="15.75" customHeight="1">
      <c r="A816" s="72"/>
      <c r="B816" s="76"/>
      <c r="C816" s="76"/>
      <c r="D816" s="74"/>
      <c r="E816" s="75"/>
      <c r="F816" s="74"/>
      <c r="G816" s="74"/>
      <c r="I816" s="55"/>
      <c r="J816" s="55"/>
    </row>
    <row r="817" ht="15.75" customHeight="1">
      <c r="A817" s="72"/>
      <c r="B817" s="76"/>
      <c r="C817" s="76"/>
      <c r="D817" s="74"/>
      <c r="E817" s="75"/>
      <c r="F817" s="74"/>
      <c r="G817" s="74"/>
      <c r="I817" s="55"/>
      <c r="J817" s="55"/>
    </row>
    <row r="818" ht="15.75" customHeight="1">
      <c r="A818" s="72"/>
      <c r="B818" s="76"/>
      <c r="C818" s="76"/>
      <c r="D818" s="74"/>
      <c r="E818" s="75"/>
      <c r="F818" s="74"/>
      <c r="G818" s="74"/>
      <c r="I818" s="55"/>
      <c r="J818" s="55"/>
    </row>
    <row r="819" ht="15.75" customHeight="1">
      <c r="A819" s="72"/>
      <c r="B819" s="76"/>
      <c r="C819" s="76"/>
      <c r="D819" s="74"/>
      <c r="E819" s="75"/>
      <c r="F819" s="74"/>
      <c r="G819" s="74"/>
      <c r="I819" s="55"/>
      <c r="J819" s="55"/>
    </row>
    <row r="820" ht="15.75" customHeight="1">
      <c r="A820" s="72"/>
      <c r="B820" s="76"/>
      <c r="C820" s="76"/>
      <c r="D820" s="74"/>
      <c r="E820" s="75"/>
      <c r="F820" s="74"/>
      <c r="G820" s="74"/>
      <c r="I820" s="55"/>
      <c r="J820" s="55"/>
    </row>
    <row r="821" ht="15.75" customHeight="1">
      <c r="A821" s="72"/>
      <c r="B821" s="76"/>
      <c r="C821" s="76"/>
      <c r="D821" s="74"/>
      <c r="E821" s="75"/>
      <c r="F821" s="74"/>
      <c r="G821" s="74"/>
      <c r="I821" s="55"/>
      <c r="J821" s="55"/>
    </row>
    <row r="822" ht="15.75" customHeight="1">
      <c r="A822" s="72"/>
      <c r="B822" s="76"/>
      <c r="C822" s="76"/>
      <c r="D822" s="74"/>
      <c r="E822" s="75"/>
      <c r="F822" s="74"/>
      <c r="G822" s="74"/>
      <c r="I822" s="55"/>
      <c r="J822" s="55"/>
    </row>
    <row r="823" ht="15.75" customHeight="1">
      <c r="A823" s="72"/>
      <c r="B823" s="76"/>
      <c r="C823" s="76"/>
      <c r="D823" s="74"/>
      <c r="E823" s="75"/>
      <c r="F823" s="74"/>
      <c r="G823" s="74"/>
      <c r="I823" s="55"/>
      <c r="J823" s="55"/>
    </row>
    <row r="824" ht="15.75" customHeight="1">
      <c r="A824" s="72"/>
      <c r="B824" s="76"/>
      <c r="C824" s="76"/>
      <c r="D824" s="74"/>
      <c r="E824" s="75"/>
      <c r="F824" s="74"/>
      <c r="G824" s="74"/>
      <c r="I824" s="55"/>
      <c r="J824" s="55"/>
    </row>
    <row r="825" ht="15.75" customHeight="1">
      <c r="A825" s="72"/>
      <c r="B825" s="76"/>
      <c r="C825" s="76"/>
      <c r="D825" s="74"/>
      <c r="E825" s="75"/>
      <c r="F825" s="74"/>
      <c r="G825" s="74"/>
      <c r="I825" s="55"/>
      <c r="J825" s="55"/>
    </row>
    <row r="826" ht="15.75" customHeight="1">
      <c r="A826" s="72"/>
      <c r="B826" s="76"/>
      <c r="C826" s="76"/>
      <c r="D826" s="74"/>
      <c r="E826" s="75"/>
      <c r="F826" s="74"/>
      <c r="G826" s="74"/>
      <c r="I826" s="55"/>
      <c r="J826" s="55"/>
    </row>
    <row r="827" ht="15.75" customHeight="1">
      <c r="A827" s="72"/>
      <c r="B827" s="76"/>
      <c r="C827" s="76"/>
      <c r="D827" s="74"/>
      <c r="E827" s="75"/>
      <c r="F827" s="74"/>
      <c r="G827" s="74"/>
      <c r="I827" s="55"/>
      <c r="J827" s="55"/>
    </row>
    <row r="828" ht="15.75" customHeight="1">
      <c r="A828" s="72"/>
      <c r="B828" s="76"/>
      <c r="C828" s="76"/>
      <c r="D828" s="74"/>
      <c r="E828" s="75"/>
      <c r="F828" s="74"/>
      <c r="G828" s="74"/>
      <c r="I828" s="55"/>
      <c r="J828" s="55"/>
    </row>
    <row r="829" ht="15.75" customHeight="1">
      <c r="A829" s="72"/>
      <c r="B829" s="76"/>
      <c r="C829" s="76"/>
      <c r="D829" s="74"/>
      <c r="E829" s="75"/>
      <c r="F829" s="74"/>
      <c r="G829" s="74"/>
      <c r="I829" s="55"/>
      <c r="J829" s="55"/>
    </row>
    <row r="830" ht="15.75" customHeight="1">
      <c r="A830" s="72"/>
      <c r="B830" s="76"/>
      <c r="C830" s="76"/>
      <c r="D830" s="74"/>
      <c r="E830" s="75"/>
      <c r="F830" s="74"/>
      <c r="G830" s="74"/>
      <c r="I830" s="55"/>
      <c r="J830" s="55"/>
    </row>
    <row r="831" ht="15.75" customHeight="1">
      <c r="A831" s="72"/>
      <c r="B831" s="76"/>
      <c r="C831" s="76"/>
      <c r="D831" s="74"/>
      <c r="E831" s="75"/>
      <c r="F831" s="74"/>
      <c r="G831" s="74"/>
      <c r="I831" s="55"/>
      <c r="J831" s="55"/>
    </row>
    <row r="832" ht="15.75" customHeight="1">
      <c r="A832" s="72"/>
      <c r="B832" s="76"/>
      <c r="C832" s="76"/>
      <c r="D832" s="74"/>
      <c r="E832" s="75"/>
      <c r="F832" s="74"/>
      <c r="G832" s="74"/>
      <c r="I832" s="55"/>
      <c r="J832" s="55"/>
    </row>
    <row r="833" ht="15.75" customHeight="1">
      <c r="A833" s="72"/>
      <c r="B833" s="76"/>
      <c r="C833" s="76"/>
      <c r="D833" s="74"/>
      <c r="E833" s="75"/>
      <c r="F833" s="74"/>
      <c r="G833" s="74"/>
      <c r="I833" s="55"/>
      <c r="J833" s="55"/>
    </row>
    <row r="834" ht="15.75" customHeight="1">
      <c r="A834" s="72"/>
      <c r="B834" s="76"/>
      <c r="C834" s="76"/>
      <c r="D834" s="74"/>
      <c r="E834" s="75"/>
      <c r="F834" s="74"/>
      <c r="G834" s="74"/>
      <c r="I834" s="55"/>
      <c r="J834" s="55"/>
    </row>
    <row r="835" ht="15.75" customHeight="1">
      <c r="A835" s="72"/>
      <c r="B835" s="76"/>
      <c r="C835" s="76"/>
      <c r="D835" s="74"/>
      <c r="E835" s="75"/>
      <c r="F835" s="74"/>
      <c r="G835" s="74"/>
      <c r="I835" s="55"/>
      <c r="J835" s="55"/>
    </row>
    <row r="836" ht="15.75" customHeight="1">
      <c r="A836" s="72"/>
      <c r="B836" s="76"/>
      <c r="C836" s="76"/>
      <c r="D836" s="74"/>
      <c r="E836" s="75"/>
      <c r="F836" s="74"/>
      <c r="G836" s="74"/>
      <c r="I836" s="55"/>
      <c r="J836" s="55"/>
    </row>
    <row r="837" ht="15.75" customHeight="1">
      <c r="A837" s="72"/>
      <c r="B837" s="76"/>
      <c r="C837" s="76"/>
      <c r="D837" s="74"/>
      <c r="E837" s="75"/>
      <c r="F837" s="74"/>
      <c r="G837" s="74"/>
      <c r="I837" s="55"/>
      <c r="J837" s="55"/>
    </row>
    <row r="838" ht="15.75" customHeight="1">
      <c r="A838" s="72"/>
      <c r="B838" s="76"/>
      <c r="C838" s="76"/>
      <c r="D838" s="74"/>
      <c r="E838" s="75"/>
      <c r="F838" s="74"/>
      <c r="G838" s="74"/>
      <c r="I838" s="55"/>
      <c r="J838" s="55"/>
    </row>
    <row r="839" ht="15.75" customHeight="1">
      <c r="A839" s="72"/>
      <c r="B839" s="76"/>
      <c r="C839" s="76"/>
      <c r="D839" s="74"/>
      <c r="E839" s="75"/>
      <c r="F839" s="74"/>
      <c r="G839" s="74"/>
      <c r="I839" s="55"/>
      <c r="J839" s="55"/>
    </row>
    <row r="840" ht="15.75" customHeight="1">
      <c r="A840" s="72"/>
      <c r="B840" s="76"/>
      <c r="C840" s="76"/>
      <c r="D840" s="74"/>
      <c r="E840" s="75"/>
      <c r="F840" s="74"/>
      <c r="G840" s="74"/>
      <c r="I840" s="55"/>
      <c r="J840" s="55"/>
    </row>
    <row r="841" ht="15.75" customHeight="1">
      <c r="A841" s="72"/>
      <c r="B841" s="76"/>
      <c r="C841" s="76"/>
      <c r="D841" s="74"/>
      <c r="E841" s="75"/>
      <c r="F841" s="74"/>
      <c r="G841" s="74"/>
      <c r="I841" s="55"/>
      <c r="J841" s="55"/>
    </row>
    <row r="842" ht="15.75" customHeight="1">
      <c r="A842" s="72"/>
      <c r="B842" s="76"/>
      <c r="C842" s="76"/>
      <c r="D842" s="74"/>
      <c r="E842" s="75"/>
      <c r="F842" s="74"/>
      <c r="G842" s="74"/>
      <c r="I842" s="55"/>
      <c r="J842" s="55"/>
    </row>
    <row r="843" ht="15.75" customHeight="1">
      <c r="A843" s="72"/>
      <c r="B843" s="76"/>
      <c r="C843" s="76"/>
      <c r="D843" s="74"/>
      <c r="E843" s="75"/>
      <c r="F843" s="74"/>
      <c r="G843" s="74"/>
      <c r="I843" s="55"/>
      <c r="J843" s="55"/>
    </row>
    <row r="844" ht="15.75" customHeight="1">
      <c r="A844" s="72"/>
      <c r="B844" s="76"/>
      <c r="C844" s="76"/>
      <c r="D844" s="74"/>
      <c r="E844" s="75"/>
      <c r="F844" s="74"/>
      <c r="G844" s="74"/>
      <c r="I844" s="55"/>
      <c r="J844" s="55"/>
    </row>
    <row r="845" ht="15.75" customHeight="1">
      <c r="A845" s="72"/>
      <c r="B845" s="76"/>
      <c r="C845" s="76"/>
      <c r="D845" s="74"/>
      <c r="E845" s="75"/>
      <c r="F845" s="74"/>
      <c r="G845" s="74"/>
      <c r="I845" s="55"/>
      <c r="J845" s="55"/>
    </row>
    <row r="846" ht="15.75" customHeight="1">
      <c r="A846" s="72"/>
      <c r="B846" s="76"/>
      <c r="C846" s="76"/>
      <c r="D846" s="74"/>
      <c r="E846" s="75"/>
      <c r="F846" s="74"/>
      <c r="G846" s="74"/>
      <c r="I846" s="55"/>
      <c r="J846" s="55"/>
    </row>
    <row r="847" ht="15.75" customHeight="1">
      <c r="A847" s="72"/>
      <c r="B847" s="76"/>
      <c r="C847" s="76"/>
      <c r="D847" s="74"/>
      <c r="E847" s="75"/>
      <c r="F847" s="74"/>
      <c r="G847" s="74"/>
      <c r="I847" s="55"/>
      <c r="J847" s="55"/>
    </row>
    <row r="848" ht="15.75" customHeight="1">
      <c r="A848" s="72"/>
      <c r="B848" s="76"/>
      <c r="C848" s="76"/>
      <c r="D848" s="74"/>
      <c r="E848" s="75"/>
      <c r="F848" s="74"/>
      <c r="G848" s="74"/>
      <c r="I848" s="55"/>
      <c r="J848" s="55"/>
    </row>
    <row r="849" ht="15.75" customHeight="1">
      <c r="A849" s="72"/>
      <c r="B849" s="76"/>
      <c r="C849" s="76"/>
      <c r="D849" s="74"/>
      <c r="E849" s="75"/>
      <c r="F849" s="74"/>
      <c r="G849" s="74"/>
      <c r="I849" s="55"/>
      <c r="J849" s="55"/>
    </row>
    <row r="850" ht="15.75" customHeight="1">
      <c r="A850" s="72"/>
      <c r="B850" s="76"/>
      <c r="C850" s="76"/>
      <c r="D850" s="74"/>
      <c r="E850" s="75"/>
      <c r="F850" s="74"/>
      <c r="G850" s="74"/>
      <c r="I850" s="55"/>
      <c r="J850" s="55"/>
    </row>
    <row r="851" ht="15.75" customHeight="1">
      <c r="A851" s="72"/>
      <c r="B851" s="76"/>
      <c r="C851" s="76"/>
      <c r="D851" s="74"/>
      <c r="E851" s="75"/>
      <c r="F851" s="74"/>
      <c r="G851" s="74"/>
      <c r="I851" s="55"/>
      <c r="J851" s="55"/>
    </row>
    <row r="852" ht="15.75" customHeight="1">
      <c r="A852" s="72"/>
      <c r="B852" s="76"/>
      <c r="C852" s="76"/>
      <c r="D852" s="74"/>
      <c r="E852" s="75"/>
      <c r="F852" s="74"/>
      <c r="G852" s="74"/>
      <c r="I852" s="55"/>
      <c r="J852" s="55"/>
    </row>
    <row r="853" ht="15.75" customHeight="1">
      <c r="A853" s="72"/>
      <c r="B853" s="76"/>
      <c r="C853" s="76"/>
      <c r="D853" s="74"/>
      <c r="E853" s="75"/>
      <c r="F853" s="74"/>
      <c r="G853" s="74"/>
      <c r="I853" s="55"/>
      <c r="J853" s="55"/>
    </row>
    <row r="854" ht="15.75" customHeight="1">
      <c r="A854" s="72"/>
      <c r="B854" s="76"/>
      <c r="C854" s="76"/>
      <c r="D854" s="74"/>
      <c r="E854" s="75"/>
      <c r="F854" s="74"/>
      <c r="G854" s="74"/>
      <c r="I854" s="55"/>
      <c r="J854" s="55"/>
    </row>
    <row r="855" ht="15.75" customHeight="1">
      <c r="A855" s="72"/>
      <c r="B855" s="76"/>
      <c r="C855" s="76"/>
      <c r="D855" s="74"/>
      <c r="E855" s="75"/>
      <c r="F855" s="74"/>
      <c r="G855" s="74"/>
      <c r="I855" s="55"/>
      <c r="J855" s="55"/>
    </row>
    <row r="856" ht="15.75" customHeight="1">
      <c r="A856" s="72"/>
      <c r="B856" s="76"/>
      <c r="C856" s="76"/>
      <c r="D856" s="74"/>
      <c r="E856" s="75"/>
      <c r="F856" s="74"/>
      <c r="G856" s="74"/>
      <c r="I856" s="55"/>
      <c r="J856" s="55"/>
    </row>
    <row r="857" ht="15.75" customHeight="1">
      <c r="A857" s="72"/>
      <c r="B857" s="76"/>
      <c r="C857" s="76"/>
      <c r="D857" s="74"/>
      <c r="E857" s="75"/>
      <c r="F857" s="74"/>
      <c r="G857" s="74"/>
      <c r="I857" s="55"/>
      <c r="J857" s="55"/>
    </row>
    <row r="858" ht="15.75" customHeight="1">
      <c r="A858" s="72"/>
      <c r="B858" s="76"/>
      <c r="C858" s="76"/>
      <c r="D858" s="74"/>
      <c r="E858" s="75"/>
      <c r="F858" s="74"/>
      <c r="G858" s="74"/>
      <c r="I858" s="55"/>
      <c r="J858" s="55"/>
    </row>
    <row r="859" ht="15.75" customHeight="1">
      <c r="A859" s="72"/>
      <c r="B859" s="76"/>
      <c r="C859" s="76"/>
      <c r="D859" s="74"/>
      <c r="E859" s="75"/>
      <c r="F859" s="74"/>
      <c r="G859" s="74"/>
      <c r="I859" s="55"/>
      <c r="J859" s="55"/>
    </row>
    <row r="860" ht="15.75" customHeight="1">
      <c r="A860" s="72"/>
      <c r="B860" s="76"/>
      <c r="C860" s="76"/>
      <c r="D860" s="74"/>
      <c r="E860" s="75"/>
      <c r="F860" s="74"/>
      <c r="G860" s="74"/>
      <c r="I860" s="55"/>
      <c r="J860" s="55"/>
    </row>
    <row r="861" ht="15.75" customHeight="1">
      <c r="A861" s="72"/>
      <c r="B861" s="76"/>
      <c r="C861" s="76"/>
      <c r="D861" s="74"/>
      <c r="E861" s="75"/>
      <c r="F861" s="74"/>
      <c r="G861" s="74"/>
      <c r="I861" s="55"/>
      <c r="J861" s="55"/>
    </row>
    <row r="862" ht="15.75" customHeight="1">
      <c r="A862" s="72"/>
      <c r="B862" s="76"/>
      <c r="C862" s="76"/>
      <c r="D862" s="74"/>
      <c r="E862" s="75"/>
      <c r="F862" s="74"/>
      <c r="G862" s="74"/>
      <c r="I862" s="55"/>
      <c r="J862" s="55"/>
    </row>
    <row r="863" ht="15.75" customHeight="1">
      <c r="A863" s="72"/>
      <c r="B863" s="76"/>
      <c r="C863" s="76"/>
      <c r="D863" s="74"/>
      <c r="E863" s="75"/>
      <c r="F863" s="74"/>
      <c r="G863" s="74"/>
      <c r="I863" s="55"/>
      <c r="J863" s="55"/>
    </row>
    <row r="864" ht="15.75" customHeight="1">
      <c r="A864" s="72"/>
      <c r="B864" s="76"/>
      <c r="C864" s="76"/>
      <c r="D864" s="74"/>
      <c r="E864" s="75"/>
      <c r="F864" s="74"/>
      <c r="G864" s="74"/>
      <c r="I864" s="55"/>
      <c r="J864" s="55"/>
    </row>
    <row r="865" ht="15.75" customHeight="1">
      <c r="A865" s="72"/>
      <c r="B865" s="76"/>
      <c r="C865" s="76"/>
      <c r="D865" s="74"/>
      <c r="E865" s="75"/>
      <c r="F865" s="74"/>
      <c r="G865" s="74"/>
      <c r="I865" s="55"/>
      <c r="J865" s="55"/>
    </row>
    <row r="866" ht="15.75" customHeight="1">
      <c r="A866" s="72"/>
      <c r="B866" s="76"/>
      <c r="C866" s="76"/>
      <c r="D866" s="74"/>
      <c r="E866" s="75"/>
      <c r="F866" s="74"/>
      <c r="G866" s="74"/>
      <c r="I866" s="55"/>
      <c r="J866" s="55"/>
    </row>
    <row r="867" ht="15.75" customHeight="1">
      <c r="A867" s="72"/>
      <c r="B867" s="76"/>
      <c r="C867" s="76"/>
      <c r="D867" s="74"/>
      <c r="E867" s="75"/>
      <c r="F867" s="74"/>
      <c r="G867" s="74"/>
      <c r="I867" s="55"/>
      <c r="J867" s="55"/>
    </row>
    <row r="868" ht="15.75" customHeight="1">
      <c r="A868" s="72"/>
      <c r="B868" s="76"/>
      <c r="C868" s="76"/>
      <c r="D868" s="74"/>
      <c r="E868" s="75"/>
      <c r="F868" s="74"/>
      <c r="G868" s="74"/>
      <c r="I868" s="55"/>
      <c r="J868" s="55"/>
    </row>
    <row r="869" ht="15.75" customHeight="1">
      <c r="A869" s="72"/>
      <c r="B869" s="76"/>
      <c r="C869" s="76"/>
      <c r="D869" s="74"/>
      <c r="E869" s="75"/>
      <c r="F869" s="74"/>
      <c r="G869" s="74"/>
      <c r="I869" s="55"/>
      <c r="J869" s="55"/>
    </row>
    <row r="870" ht="15.75" customHeight="1">
      <c r="A870" s="72"/>
      <c r="B870" s="76"/>
      <c r="C870" s="76"/>
      <c r="D870" s="74"/>
      <c r="E870" s="75"/>
      <c r="F870" s="74"/>
      <c r="G870" s="74"/>
      <c r="I870" s="55"/>
      <c r="J870" s="55"/>
    </row>
    <row r="871" ht="15.75" customHeight="1">
      <c r="A871" s="72"/>
      <c r="B871" s="76"/>
      <c r="C871" s="76"/>
      <c r="D871" s="74"/>
      <c r="E871" s="75"/>
      <c r="F871" s="74"/>
      <c r="G871" s="74"/>
      <c r="I871" s="55"/>
      <c r="J871" s="55"/>
    </row>
    <row r="872" ht="15.75" customHeight="1">
      <c r="A872" s="72"/>
      <c r="B872" s="76"/>
      <c r="C872" s="76"/>
      <c r="D872" s="74"/>
      <c r="E872" s="75"/>
      <c r="F872" s="74"/>
      <c r="G872" s="74"/>
      <c r="I872" s="55"/>
      <c r="J872" s="55"/>
    </row>
    <row r="873" ht="15.75" customHeight="1">
      <c r="A873" s="72"/>
      <c r="B873" s="76"/>
      <c r="C873" s="76"/>
      <c r="D873" s="74"/>
      <c r="E873" s="75"/>
      <c r="F873" s="74"/>
      <c r="G873" s="74"/>
      <c r="I873" s="55"/>
      <c r="J873" s="55"/>
    </row>
    <row r="874" ht="15.75" customHeight="1">
      <c r="A874" s="72"/>
      <c r="B874" s="76"/>
      <c r="C874" s="76"/>
      <c r="D874" s="74"/>
      <c r="E874" s="75"/>
      <c r="F874" s="74"/>
      <c r="G874" s="74"/>
      <c r="I874" s="55"/>
      <c r="J874" s="55"/>
    </row>
    <row r="875" ht="15.75" customHeight="1">
      <c r="A875" s="72"/>
      <c r="B875" s="76"/>
      <c r="C875" s="76"/>
      <c r="D875" s="74"/>
      <c r="E875" s="75"/>
      <c r="F875" s="74"/>
      <c r="G875" s="74"/>
      <c r="I875" s="55"/>
      <c r="J875" s="55"/>
    </row>
    <row r="876" ht="15.75" customHeight="1">
      <c r="A876" s="72"/>
      <c r="B876" s="76"/>
      <c r="C876" s="76"/>
      <c r="D876" s="74"/>
      <c r="E876" s="75"/>
      <c r="F876" s="74"/>
      <c r="G876" s="74"/>
      <c r="I876" s="55"/>
      <c r="J876" s="55"/>
    </row>
    <row r="877" ht="15.75" customHeight="1">
      <c r="A877" s="72"/>
      <c r="B877" s="76"/>
      <c r="C877" s="76"/>
      <c r="D877" s="74"/>
      <c r="E877" s="75"/>
      <c r="F877" s="74"/>
      <c r="G877" s="74"/>
      <c r="I877" s="55"/>
      <c r="J877" s="55"/>
    </row>
    <row r="878" ht="15.75" customHeight="1">
      <c r="A878" s="72"/>
      <c r="B878" s="76"/>
      <c r="C878" s="76"/>
      <c r="D878" s="74"/>
      <c r="E878" s="75"/>
      <c r="F878" s="74"/>
      <c r="G878" s="74"/>
      <c r="I878" s="55"/>
      <c r="J878" s="55"/>
    </row>
    <row r="879" ht="15.75" customHeight="1">
      <c r="A879" s="72"/>
      <c r="B879" s="76"/>
      <c r="C879" s="76"/>
      <c r="D879" s="74"/>
      <c r="E879" s="75"/>
      <c r="F879" s="74"/>
      <c r="G879" s="74"/>
      <c r="I879" s="55"/>
      <c r="J879" s="55"/>
    </row>
    <row r="880" ht="15.75" customHeight="1">
      <c r="A880" s="72"/>
      <c r="B880" s="76"/>
      <c r="C880" s="76"/>
      <c r="D880" s="74"/>
      <c r="E880" s="75"/>
      <c r="F880" s="74"/>
      <c r="G880" s="74"/>
      <c r="I880" s="55"/>
      <c r="J880" s="55"/>
    </row>
    <row r="881" ht="15.75" customHeight="1">
      <c r="A881" s="72"/>
      <c r="B881" s="76"/>
      <c r="C881" s="76"/>
      <c r="D881" s="74"/>
      <c r="E881" s="75"/>
      <c r="F881" s="74"/>
      <c r="G881" s="74"/>
      <c r="I881" s="55"/>
      <c r="J881" s="55"/>
    </row>
    <row r="882" ht="15.75" customHeight="1">
      <c r="A882" s="72"/>
      <c r="B882" s="76"/>
      <c r="C882" s="76"/>
      <c r="D882" s="74"/>
      <c r="E882" s="75"/>
      <c r="F882" s="74"/>
      <c r="G882" s="74"/>
      <c r="I882" s="55"/>
      <c r="J882" s="55"/>
    </row>
    <row r="883" ht="15.75" customHeight="1">
      <c r="A883" s="72"/>
      <c r="B883" s="76"/>
      <c r="C883" s="76"/>
      <c r="D883" s="74"/>
      <c r="E883" s="75"/>
      <c r="F883" s="74"/>
      <c r="G883" s="74"/>
      <c r="I883" s="55"/>
      <c r="J883" s="55"/>
    </row>
    <row r="884" ht="15.75" customHeight="1">
      <c r="A884" s="72"/>
      <c r="B884" s="76"/>
      <c r="C884" s="76"/>
      <c r="D884" s="74"/>
      <c r="E884" s="75"/>
      <c r="F884" s="74"/>
      <c r="G884" s="74"/>
      <c r="I884" s="55"/>
      <c r="J884" s="55"/>
    </row>
    <row r="885" ht="15.75" customHeight="1">
      <c r="A885" s="72"/>
      <c r="B885" s="76"/>
      <c r="C885" s="76"/>
      <c r="D885" s="74"/>
      <c r="E885" s="75"/>
      <c r="F885" s="74"/>
      <c r="G885" s="74"/>
      <c r="I885" s="55"/>
      <c r="J885" s="55"/>
    </row>
    <row r="886" ht="15.75" customHeight="1">
      <c r="A886" s="72"/>
      <c r="B886" s="76"/>
      <c r="C886" s="76"/>
      <c r="D886" s="74"/>
      <c r="E886" s="75"/>
      <c r="F886" s="74"/>
      <c r="G886" s="74"/>
      <c r="I886" s="55"/>
      <c r="J886" s="55"/>
    </row>
    <row r="887" ht="15.75" customHeight="1">
      <c r="A887" s="72"/>
      <c r="B887" s="76"/>
      <c r="C887" s="76"/>
      <c r="D887" s="74"/>
      <c r="E887" s="75"/>
      <c r="F887" s="74"/>
      <c r="G887" s="74"/>
      <c r="I887" s="55"/>
      <c r="J887" s="55"/>
    </row>
    <row r="888" ht="15.75" customHeight="1">
      <c r="A888" s="72"/>
      <c r="B888" s="76"/>
      <c r="C888" s="76"/>
      <c r="D888" s="74"/>
      <c r="E888" s="75"/>
      <c r="F888" s="74"/>
      <c r="G888" s="74"/>
      <c r="I888" s="55"/>
      <c r="J888" s="55"/>
    </row>
    <row r="889" ht="15.75" customHeight="1">
      <c r="A889" s="72"/>
      <c r="B889" s="76"/>
      <c r="C889" s="76"/>
      <c r="D889" s="74"/>
      <c r="E889" s="75"/>
      <c r="F889" s="74"/>
      <c r="G889" s="74"/>
      <c r="I889" s="55"/>
      <c r="J889" s="55"/>
    </row>
    <row r="890" ht="15.75" customHeight="1">
      <c r="A890" s="72"/>
      <c r="B890" s="76"/>
      <c r="C890" s="76"/>
      <c r="D890" s="74"/>
      <c r="E890" s="75"/>
      <c r="F890" s="74"/>
      <c r="G890" s="74"/>
      <c r="I890" s="55"/>
      <c r="J890" s="55"/>
    </row>
    <row r="891" ht="15.75" customHeight="1">
      <c r="A891" s="72"/>
      <c r="B891" s="76"/>
      <c r="C891" s="76"/>
      <c r="D891" s="74"/>
      <c r="E891" s="75"/>
      <c r="F891" s="74"/>
      <c r="G891" s="74"/>
      <c r="I891" s="55"/>
      <c r="J891" s="55"/>
    </row>
    <row r="892" ht="15.75" customHeight="1">
      <c r="A892" s="72"/>
      <c r="B892" s="76"/>
      <c r="C892" s="76"/>
      <c r="D892" s="74"/>
      <c r="E892" s="75"/>
      <c r="F892" s="74"/>
      <c r="G892" s="74"/>
      <c r="I892" s="55"/>
      <c r="J892" s="55"/>
    </row>
    <row r="893" ht="15.75" customHeight="1">
      <c r="A893" s="72"/>
      <c r="B893" s="76"/>
      <c r="C893" s="76"/>
      <c r="D893" s="74"/>
      <c r="E893" s="75"/>
      <c r="F893" s="74"/>
      <c r="G893" s="74"/>
      <c r="I893" s="55"/>
      <c r="J893" s="55"/>
    </row>
    <row r="894" ht="15.75" customHeight="1">
      <c r="A894" s="72"/>
      <c r="B894" s="76"/>
      <c r="C894" s="76"/>
      <c r="D894" s="74"/>
      <c r="E894" s="75"/>
      <c r="F894" s="74"/>
      <c r="G894" s="74"/>
      <c r="I894" s="55"/>
      <c r="J894" s="55"/>
    </row>
    <row r="895" ht="15.75" customHeight="1">
      <c r="A895" s="72"/>
      <c r="B895" s="76"/>
      <c r="C895" s="76"/>
      <c r="D895" s="74"/>
      <c r="E895" s="75"/>
      <c r="F895" s="74"/>
      <c r="G895" s="74"/>
      <c r="I895" s="55"/>
      <c r="J895" s="55"/>
    </row>
    <row r="896" ht="15.75" customHeight="1">
      <c r="A896" s="72"/>
      <c r="B896" s="76"/>
      <c r="C896" s="76"/>
      <c r="D896" s="74"/>
      <c r="E896" s="75"/>
      <c r="F896" s="74"/>
      <c r="G896" s="74"/>
      <c r="I896" s="55"/>
      <c r="J896" s="55"/>
    </row>
    <row r="897" ht="15.75" customHeight="1">
      <c r="A897" s="72"/>
      <c r="B897" s="76"/>
      <c r="C897" s="76"/>
      <c r="D897" s="74"/>
      <c r="E897" s="75"/>
      <c r="F897" s="74"/>
      <c r="G897" s="74"/>
      <c r="I897" s="55"/>
      <c r="J897" s="55"/>
    </row>
    <row r="898" ht="15.75" customHeight="1">
      <c r="A898" s="72"/>
      <c r="B898" s="76"/>
      <c r="C898" s="76"/>
      <c r="D898" s="74"/>
      <c r="E898" s="75"/>
      <c r="F898" s="74"/>
      <c r="G898" s="74"/>
      <c r="I898" s="55"/>
      <c r="J898" s="55"/>
    </row>
    <row r="899" ht="15.75" customHeight="1">
      <c r="A899" s="72"/>
      <c r="B899" s="76"/>
      <c r="C899" s="76"/>
      <c r="D899" s="74"/>
      <c r="E899" s="75"/>
      <c r="F899" s="74"/>
      <c r="G899" s="74"/>
      <c r="I899" s="55"/>
      <c r="J899" s="55"/>
    </row>
    <row r="900" ht="15.75" customHeight="1">
      <c r="A900" s="72"/>
      <c r="B900" s="76"/>
      <c r="C900" s="76"/>
      <c r="D900" s="74"/>
      <c r="E900" s="75"/>
      <c r="F900" s="74"/>
      <c r="G900" s="74"/>
      <c r="I900" s="55"/>
      <c r="J900" s="55"/>
    </row>
    <row r="901" ht="15.75" customHeight="1">
      <c r="A901" s="72"/>
      <c r="B901" s="76"/>
      <c r="C901" s="76"/>
      <c r="D901" s="74"/>
      <c r="E901" s="75"/>
      <c r="F901" s="74"/>
      <c r="G901" s="74"/>
      <c r="I901" s="55"/>
      <c r="J901" s="55"/>
    </row>
    <row r="902" ht="15.75" customHeight="1">
      <c r="A902" s="72"/>
      <c r="B902" s="76"/>
      <c r="C902" s="76"/>
      <c r="D902" s="74"/>
      <c r="E902" s="75"/>
      <c r="F902" s="74"/>
      <c r="G902" s="74"/>
      <c r="I902" s="55"/>
      <c r="J902" s="55"/>
    </row>
    <row r="903" ht="15.75" customHeight="1">
      <c r="A903" s="72"/>
      <c r="B903" s="76"/>
      <c r="C903" s="76"/>
      <c r="D903" s="74"/>
      <c r="E903" s="75"/>
      <c r="F903" s="74"/>
      <c r="G903" s="74"/>
      <c r="I903" s="55"/>
      <c r="J903" s="55"/>
    </row>
    <row r="904" ht="15.75" customHeight="1">
      <c r="A904" s="72"/>
      <c r="B904" s="76"/>
      <c r="C904" s="76"/>
      <c r="D904" s="74"/>
      <c r="E904" s="75"/>
      <c r="F904" s="74"/>
      <c r="G904" s="74"/>
      <c r="I904" s="55"/>
      <c r="J904" s="55"/>
    </row>
    <row r="905" ht="15.75" customHeight="1">
      <c r="A905" s="72"/>
      <c r="B905" s="76"/>
      <c r="C905" s="76"/>
      <c r="D905" s="74"/>
      <c r="E905" s="75"/>
      <c r="F905" s="74"/>
      <c r="G905" s="74"/>
      <c r="I905" s="55"/>
      <c r="J905" s="55"/>
    </row>
    <row r="906" ht="15.75" customHeight="1">
      <c r="A906" s="72"/>
      <c r="B906" s="76"/>
      <c r="C906" s="76"/>
      <c r="D906" s="74"/>
      <c r="E906" s="75"/>
      <c r="F906" s="74"/>
      <c r="G906" s="74"/>
      <c r="I906" s="55"/>
      <c r="J906" s="55"/>
    </row>
    <row r="907" ht="15.75" customHeight="1">
      <c r="A907" s="72"/>
      <c r="B907" s="76"/>
      <c r="C907" s="76"/>
      <c r="D907" s="74"/>
      <c r="E907" s="75"/>
      <c r="F907" s="74"/>
      <c r="G907" s="74"/>
      <c r="I907" s="55"/>
      <c r="J907" s="55"/>
    </row>
    <row r="908" ht="15.75" customHeight="1">
      <c r="A908" s="72"/>
      <c r="B908" s="76"/>
      <c r="C908" s="76"/>
      <c r="D908" s="74"/>
      <c r="E908" s="75"/>
      <c r="F908" s="74"/>
      <c r="G908" s="74"/>
      <c r="I908" s="55"/>
      <c r="J908" s="55"/>
    </row>
    <row r="909" ht="15.75" customHeight="1">
      <c r="A909" s="72"/>
      <c r="B909" s="76"/>
      <c r="C909" s="76"/>
      <c r="D909" s="74"/>
      <c r="E909" s="75"/>
      <c r="F909" s="74"/>
      <c r="G909" s="74"/>
      <c r="I909" s="55"/>
      <c r="J909" s="55"/>
    </row>
    <row r="910" ht="15.75" customHeight="1">
      <c r="A910" s="72"/>
      <c r="B910" s="76"/>
      <c r="C910" s="76"/>
      <c r="D910" s="74"/>
      <c r="E910" s="75"/>
      <c r="F910" s="74"/>
      <c r="G910" s="74"/>
      <c r="I910" s="55"/>
      <c r="J910" s="55"/>
    </row>
    <row r="911" ht="15.75" customHeight="1">
      <c r="A911" s="72"/>
      <c r="B911" s="76"/>
      <c r="C911" s="76"/>
      <c r="D911" s="74"/>
      <c r="E911" s="75"/>
      <c r="F911" s="74"/>
      <c r="G911" s="74"/>
      <c r="I911" s="55"/>
      <c r="J911" s="55"/>
    </row>
    <row r="912" ht="15.75" customHeight="1">
      <c r="A912" s="72"/>
      <c r="B912" s="76"/>
      <c r="C912" s="76"/>
      <c r="D912" s="74"/>
      <c r="E912" s="75"/>
      <c r="F912" s="74"/>
      <c r="G912" s="74"/>
      <c r="I912" s="55"/>
      <c r="J912" s="55"/>
    </row>
    <row r="913" ht="15.75" customHeight="1">
      <c r="A913" s="72"/>
      <c r="B913" s="76"/>
      <c r="C913" s="76"/>
      <c r="D913" s="74"/>
      <c r="E913" s="75"/>
      <c r="F913" s="74"/>
      <c r="G913" s="74"/>
      <c r="I913" s="55"/>
      <c r="J913" s="55"/>
    </row>
    <row r="914" ht="15.75" customHeight="1">
      <c r="A914" s="72"/>
      <c r="B914" s="76"/>
      <c r="C914" s="76"/>
      <c r="D914" s="74"/>
      <c r="E914" s="75"/>
      <c r="F914" s="74"/>
      <c r="G914" s="74"/>
      <c r="I914" s="55"/>
      <c r="J914" s="55"/>
    </row>
    <row r="915" ht="15.75" customHeight="1">
      <c r="A915" s="72"/>
      <c r="B915" s="76"/>
      <c r="C915" s="76"/>
      <c r="D915" s="74"/>
      <c r="E915" s="75"/>
      <c r="F915" s="74"/>
      <c r="G915" s="74"/>
      <c r="I915" s="55"/>
      <c r="J915" s="55"/>
    </row>
    <row r="916" ht="15.75" customHeight="1">
      <c r="A916" s="72"/>
      <c r="B916" s="76"/>
      <c r="C916" s="76"/>
      <c r="D916" s="74"/>
      <c r="E916" s="75"/>
      <c r="F916" s="74"/>
      <c r="G916" s="74"/>
      <c r="I916" s="55"/>
      <c r="J916" s="55"/>
    </row>
    <row r="917" ht="15.75" customHeight="1">
      <c r="A917" s="72"/>
      <c r="B917" s="76"/>
      <c r="C917" s="76"/>
      <c r="D917" s="74"/>
      <c r="E917" s="75"/>
      <c r="F917" s="74"/>
      <c r="G917" s="74"/>
      <c r="I917" s="55"/>
      <c r="J917" s="55"/>
    </row>
    <row r="918" ht="15.75" customHeight="1">
      <c r="A918" s="72"/>
      <c r="B918" s="76"/>
      <c r="C918" s="76"/>
      <c r="D918" s="74"/>
      <c r="E918" s="75"/>
      <c r="F918" s="74"/>
      <c r="G918" s="74"/>
      <c r="I918" s="55"/>
      <c r="J918" s="55"/>
    </row>
    <row r="919" ht="15.75" customHeight="1">
      <c r="A919" s="72"/>
      <c r="B919" s="76"/>
      <c r="C919" s="76"/>
      <c r="D919" s="74"/>
      <c r="E919" s="75"/>
      <c r="F919" s="74"/>
      <c r="G919" s="74"/>
      <c r="I919" s="55"/>
      <c r="J919" s="55"/>
    </row>
    <row r="920" ht="15.75" customHeight="1">
      <c r="A920" s="72"/>
      <c r="B920" s="76"/>
      <c r="C920" s="76"/>
      <c r="D920" s="74"/>
      <c r="E920" s="75"/>
      <c r="F920" s="74"/>
      <c r="G920" s="74"/>
      <c r="I920" s="55"/>
      <c r="J920" s="55"/>
    </row>
    <row r="921" ht="15.75" customHeight="1">
      <c r="A921" s="72"/>
      <c r="B921" s="76"/>
      <c r="C921" s="76"/>
      <c r="D921" s="74"/>
      <c r="E921" s="75"/>
      <c r="F921" s="74"/>
      <c r="G921" s="74"/>
      <c r="I921" s="55"/>
      <c r="J921" s="55"/>
    </row>
    <row r="922" ht="15.75" customHeight="1">
      <c r="A922" s="72"/>
      <c r="B922" s="76"/>
      <c r="C922" s="76"/>
      <c r="D922" s="74"/>
      <c r="E922" s="75"/>
      <c r="F922" s="74"/>
      <c r="G922" s="74"/>
      <c r="I922" s="55"/>
      <c r="J922" s="55"/>
    </row>
    <row r="923" ht="15.75" customHeight="1">
      <c r="A923" s="72"/>
      <c r="B923" s="76"/>
      <c r="C923" s="76"/>
      <c r="D923" s="74"/>
      <c r="E923" s="75"/>
      <c r="F923" s="74"/>
      <c r="G923" s="74"/>
      <c r="I923" s="55"/>
      <c r="J923" s="55"/>
    </row>
    <row r="924" ht="15.75" customHeight="1">
      <c r="A924" s="72"/>
      <c r="B924" s="76"/>
      <c r="C924" s="76"/>
      <c r="D924" s="74"/>
      <c r="E924" s="75"/>
      <c r="F924" s="74"/>
      <c r="G924" s="74"/>
      <c r="I924" s="55"/>
      <c r="J924" s="55"/>
    </row>
    <row r="925" ht="15.75" customHeight="1">
      <c r="A925" s="72"/>
      <c r="B925" s="76"/>
      <c r="C925" s="76"/>
      <c r="D925" s="74"/>
      <c r="E925" s="75"/>
      <c r="F925" s="74"/>
      <c r="G925" s="74"/>
      <c r="I925" s="55"/>
      <c r="J925" s="55"/>
    </row>
    <row r="926" ht="15.75" customHeight="1">
      <c r="A926" s="72"/>
      <c r="B926" s="76"/>
      <c r="C926" s="76"/>
      <c r="D926" s="74"/>
      <c r="E926" s="75"/>
      <c r="F926" s="74"/>
      <c r="G926" s="74"/>
      <c r="I926" s="55"/>
      <c r="J926" s="55"/>
    </row>
    <row r="927" ht="15.75" customHeight="1">
      <c r="A927" s="72"/>
      <c r="B927" s="76"/>
      <c r="C927" s="76"/>
      <c r="D927" s="74"/>
      <c r="E927" s="75"/>
      <c r="F927" s="74"/>
      <c r="G927" s="74"/>
      <c r="I927" s="55"/>
      <c r="J927" s="55"/>
    </row>
    <row r="928" ht="15.75" customHeight="1">
      <c r="A928" s="72"/>
      <c r="B928" s="76"/>
      <c r="C928" s="76"/>
      <c r="D928" s="74"/>
      <c r="E928" s="75"/>
      <c r="F928" s="74"/>
      <c r="G928" s="74"/>
      <c r="I928" s="55"/>
      <c r="J928" s="55"/>
    </row>
    <row r="929" ht="15.75" customHeight="1">
      <c r="A929" s="72"/>
      <c r="B929" s="76"/>
      <c r="C929" s="76"/>
      <c r="D929" s="74"/>
      <c r="E929" s="75"/>
      <c r="F929" s="74"/>
      <c r="G929" s="74"/>
      <c r="I929" s="55"/>
      <c r="J929" s="55"/>
    </row>
    <row r="930" ht="15.75" customHeight="1">
      <c r="A930" s="72"/>
      <c r="B930" s="76"/>
      <c r="C930" s="76"/>
      <c r="D930" s="74"/>
      <c r="E930" s="75"/>
      <c r="F930" s="74"/>
      <c r="G930" s="74"/>
      <c r="I930" s="55"/>
      <c r="J930" s="55"/>
    </row>
    <row r="931" ht="15.75" customHeight="1">
      <c r="A931" s="72"/>
      <c r="B931" s="76"/>
      <c r="C931" s="76"/>
      <c r="D931" s="74"/>
      <c r="E931" s="75"/>
      <c r="F931" s="74"/>
      <c r="G931" s="74"/>
      <c r="I931" s="55"/>
      <c r="J931" s="55"/>
    </row>
    <row r="932" ht="15.75" customHeight="1">
      <c r="A932" s="72"/>
      <c r="B932" s="76"/>
      <c r="C932" s="76"/>
      <c r="D932" s="74"/>
      <c r="E932" s="75"/>
      <c r="F932" s="74"/>
      <c r="G932" s="74"/>
      <c r="I932" s="55"/>
      <c r="J932" s="55"/>
    </row>
    <row r="933" ht="15.75" customHeight="1">
      <c r="A933" s="72"/>
      <c r="B933" s="76"/>
      <c r="C933" s="76"/>
      <c r="D933" s="74"/>
      <c r="E933" s="75"/>
      <c r="F933" s="74"/>
      <c r="G933" s="74"/>
      <c r="I933" s="55"/>
      <c r="J933" s="55"/>
    </row>
    <row r="934" ht="15.75" customHeight="1">
      <c r="A934" s="72"/>
      <c r="B934" s="76"/>
      <c r="C934" s="76"/>
      <c r="D934" s="74"/>
      <c r="E934" s="75"/>
      <c r="F934" s="74"/>
      <c r="G934" s="74"/>
      <c r="I934" s="55"/>
      <c r="J934" s="55"/>
    </row>
    <row r="935" ht="15.75" customHeight="1">
      <c r="A935" s="72"/>
      <c r="B935" s="76"/>
      <c r="C935" s="76"/>
      <c r="D935" s="74"/>
      <c r="E935" s="75"/>
      <c r="F935" s="74"/>
      <c r="G935" s="74"/>
      <c r="I935" s="55"/>
      <c r="J935" s="55"/>
    </row>
    <row r="936" ht="15.75" customHeight="1">
      <c r="A936" s="72"/>
      <c r="B936" s="76"/>
      <c r="C936" s="76"/>
      <c r="D936" s="74"/>
      <c r="E936" s="75"/>
      <c r="F936" s="74"/>
      <c r="G936" s="74"/>
      <c r="I936" s="55"/>
      <c r="J936" s="55"/>
    </row>
    <row r="937" ht="15.75" customHeight="1">
      <c r="A937" s="72"/>
      <c r="B937" s="76"/>
      <c r="C937" s="76"/>
      <c r="D937" s="74"/>
      <c r="E937" s="75"/>
      <c r="F937" s="74"/>
      <c r="G937" s="74"/>
      <c r="I937" s="55"/>
      <c r="J937" s="55"/>
    </row>
    <row r="938" ht="15.75" customHeight="1">
      <c r="A938" s="72"/>
      <c r="B938" s="76"/>
      <c r="C938" s="76"/>
      <c r="D938" s="74"/>
      <c r="E938" s="75"/>
      <c r="F938" s="74"/>
      <c r="G938" s="74"/>
      <c r="I938" s="55"/>
      <c r="J938" s="55"/>
    </row>
    <row r="939" ht="15.75" customHeight="1">
      <c r="A939" s="72"/>
      <c r="B939" s="76"/>
      <c r="C939" s="76"/>
      <c r="D939" s="74"/>
      <c r="E939" s="75"/>
      <c r="F939" s="74"/>
      <c r="G939" s="74"/>
      <c r="I939" s="55"/>
      <c r="J939" s="55"/>
    </row>
    <row r="940" ht="15.75" customHeight="1">
      <c r="A940" s="72"/>
      <c r="B940" s="76"/>
      <c r="C940" s="76"/>
      <c r="D940" s="74"/>
      <c r="E940" s="75"/>
      <c r="F940" s="74"/>
      <c r="G940" s="74"/>
      <c r="I940" s="55"/>
      <c r="J940" s="55"/>
    </row>
    <row r="941" ht="15.75" customHeight="1">
      <c r="A941" s="72"/>
      <c r="B941" s="76"/>
      <c r="C941" s="76"/>
      <c r="D941" s="74"/>
      <c r="E941" s="75"/>
      <c r="F941" s="74"/>
      <c r="G941" s="74"/>
      <c r="I941" s="55"/>
      <c r="J941" s="55"/>
    </row>
    <row r="942" ht="15.75" customHeight="1">
      <c r="A942" s="72"/>
      <c r="B942" s="76"/>
      <c r="C942" s="76"/>
      <c r="D942" s="74"/>
      <c r="E942" s="75"/>
      <c r="F942" s="74"/>
      <c r="G942" s="74"/>
      <c r="I942" s="55"/>
      <c r="J942" s="55"/>
    </row>
    <row r="943" ht="15.75" customHeight="1">
      <c r="A943" s="72"/>
      <c r="B943" s="76"/>
      <c r="C943" s="76"/>
      <c r="D943" s="74"/>
      <c r="E943" s="75"/>
      <c r="F943" s="74"/>
      <c r="G943" s="74"/>
      <c r="I943" s="55"/>
      <c r="J943" s="55"/>
    </row>
    <row r="944" ht="15.75" customHeight="1">
      <c r="A944" s="72"/>
      <c r="B944" s="76"/>
      <c r="C944" s="76"/>
      <c r="D944" s="74"/>
      <c r="E944" s="75"/>
      <c r="F944" s="74"/>
      <c r="G944" s="74"/>
      <c r="I944" s="55"/>
      <c r="J944" s="55"/>
    </row>
    <row r="945" ht="15.75" customHeight="1">
      <c r="A945" s="72"/>
      <c r="B945" s="76"/>
      <c r="C945" s="76"/>
      <c r="D945" s="74"/>
      <c r="E945" s="75"/>
      <c r="F945" s="74"/>
      <c r="G945" s="74"/>
      <c r="I945" s="55"/>
      <c r="J945" s="55"/>
    </row>
    <row r="946" ht="15.75" customHeight="1">
      <c r="A946" s="72"/>
      <c r="B946" s="76"/>
      <c r="C946" s="76"/>
      <c r="D946" s="74"/>
      <c r="E946" s="75"/>
      <c r="F946" s="74"/>
      <c r="G946" s="74"/>
      <c r="I946" s="55"/>
      <c r="J946" s="55"/>
    </row>
    <row r="947" ht="15.75" customHeight="1">
      <c r="A947" s="72"/>
      <c r="B947" s="76"/>
      <c r="C947" s="76"/>
      <c r="D947" s="74"/>
      <c r="E947" s="75"/>
      <c r="F947" s="74"/>
      <c r="G947" s="74"/>
      <c r="I947" s="55"/>
      <c r="J947" s="55"/>
    </row>
    <row r="948" ht="15.75" customHeight="1">
      <c r="A948" s="72"/>
      <c r="B948" s="76"/>
      <c r="C948" s="76"/>
      <c r="D948" s="74"/>
      <c r="E948" s="75"/>
      <c r="F948" s="74"/>
      <c r="G948" s="74"/>
      <c r="I948" s="55"/>
      <c r="J948" s="55"/>
    </row>
    <row r="949" ht="15.75" customHeight="1">
      <c r="A949" s="72"/>
      <c r="B949" s="76"/>
      <c r="C949" s="76"/>
      <c r="D949" s="74"/>
      <c r="E949" s="75"/>
      <c r="F949" s="74"/>
      <c r="G949" s="74"/>
      <c r="I949" s="55"/>
      <c r="J949" s="55"/>
    </row>
    <row r="950" ht="15.75" customHeight="1">
      <c r="A950" s="72"/>
      <c r="B950" s="76"/>
      <c r="C950" s="76"/>
      <c r="D950" s="74"/>
      <c r="E950" s="75"/>
      <c r="F950" s="74"/>
      <c r="G950" s="74"/>
      <c r="I950" s="55"/>
      <c r="J950" s="55"/>
    </row>
    <row r="951" ht="15.75" customHeight="1">
      <c r="A951" s="72"/>
      <c r="B951" s="76"/>
      <c r="C951" s="76"/>
      <c r="D951" s="74"/>
      <c r="E951" s="75"/>
      <c r="F951" s="74"/>
      <c r="G951" s="74"/>
      <c r="I951" s="55"/>
      <c r="J951" s="55"/>
    </row>
    <row r="952" ht="15.75" customHeight="1">
      <c r="A952" s="72"/>
      <c r="B952" s="76"/>
      <c r="C952" s="76"/>
      <c r="D952" s="74"/>
      <c r="E952" s="75"/>
      <c r="F952" s="74"/>
      <c r="G952" s="74"/>
      <c r="I952" s="55"/>
      <c r="J952" s="55"/>
    </row>
    <row r="953" ht="15.75" customHeight="1">
      <c r="A953" s="72"/>
      <c r="B953" s="76"/>
      <c r="C953" s="76"/>
      <c r="D953" s="74"/>
      <c r="E953" s="75"/>
      <c r="F953" s="74"/>
      <c r="G953" s="74"/>
      <c r="I953" s="55"/>
      <c r="J953" s="55"/>
    </row>
    <row r="954" ht="15.75" customHeight="1">
      <c r="A954" s="72"/>
      <c r="B954" s="76"/>
      <c r="C954" s="76"/>
      <c r="D954" s="74"/>
      <c r="E954" s="75"/>
      <c r="F954" s="74"/>
      <c r="G954" s="74"/>
      <c r="I954" s="55"/>
      <c r="J954" s="55"/>
    </row>
    <row r="955" ht="15.75" customHeight="1">
      <c r="A955" s="72"/>
      <c r="B955" s="76"/>
      <c r="C955" s="76"/>
      <c r="D955" s="74"/>
      <c r="E955" s="75"/>
      <c r="F955" s="74"/>
      <c r="G955" s="74"/>
      <c r="I955" s="55"/>
      <c r="J955" s="55"/>
    </row>
    <row r="956" ht="15.75" customHeight="1">
      <c r="A956" s="72"/>
      <c r="B956" s="76"/>
      <c r="C956" s="76"/>
      <c r="D956" s="74"/>
      <c r="E956" s="75"/>
      <c r="F956" s="74"/>
      <c r="G956" s="74"/>
      <c r="I956" s="55"/>
      <c r="J956" s="55"/>
    </row>
    <row r="957" ht="15.75" customHeight="1">
      <c r="A957" s="72"/>
      <c r="B957" s="76"/>
      <c r="C957" s="76"/>
      <c r="D957" s="74"/>
      <c r="E957" s="75"/>
      <c r="F957" s="74"/>
      <c r="G957" s="74"/>
      <c r="I957" s="55"/>
      <c r="J957" s="55"/>
    </row>
    <row r="958" ht="15.75" customHeight="1">
      <c r="A958" s="72"/>
      <c r="B958" s="76"/>
      <c r="C958" s="76"/>
      <c r="D958" s="74"/>
      <c r="E958" s="75"/>
      <c r="F958" s="74"/>
      <c r="G958" s="74"/>
      <c r="I958" s="55"/>
      <c r="J958" s="55"/>
    </row>
    <row r="959" ht="15.75" customHeight="1">
      <c r="A959" s="72"/>
      <c r="B959" s="76"/>
      <c r="C959" s="76"/>
      <c r="D959" s="74"/>
      <c r="E959" s="75"/>
      <c r="F959" s="74"/>
      <c r="G959" s="74"/>
      <c r="I959" s="55"/>
      <c r="J959" s="55"/>
    </row>
    <row r="960" ht="15.75" customHeight="1">
      <c r="A960" s="72"/>
      <c r="B960" s="76"/>
      <c r="C960" s="76"/>
      <c r="D960" s="74"/>
      <c r="E960" s="75"/>
      <c r="F960" s="74"/>
      <c r="G960" s="74"/>
      <c r="I960" s="55"/>
      <c r="J960" s="55"/>
    </row>
    <row r="961" ht="15.75" customHeight="1">
      <c r="A961" s="72"/>
      <c r="B961" s="76"/>
      <c r="C961" s="76"/>
      <c r="D961" s="74"/>
      <c r="E961" s="75"/>
      <c r="F961" s="74"/>
      <c r="G961" s="74"/>
      <c r="I961" s="55"/>
      <c r="J961" s="55"/>
    </row>
    <row r="962" ht="15.75" customHeight="1">
      <c r="A962" s="72"/>
      <c r="B962" s="76"/>
      <c r="C962" s="76"/>
      <c r="D962" s="74"/>
      <c r="E962" s="75"/>
      <c r="F962" s="74"/>
      <c r="G962" s="74"/>
      <c r="I962" s="55"/>
      <c r="J962" s="55"/>
    </row>
    <row r="963" ht="15.75" customHeight="1">
      <c r="A963" s="72"/>
      <c r="B963" s="76"/>
      <c r="C963" s="76"/>
      <c r="D963" s="74"/>
      <c r="E963" s="75"/>
      <c r="F963" s="74"/>
      <c r="G963" s="74"/>
      <c r="I963" s="55"/>
      <c r="J963" s="55"/>
    </row>
    <row r="964" ht="15.75" customHeight="1">
      <c r="A964" s="72"/>
      <c r="B964" s="76"/>
      <c r="C964" s="76"/>
      <c r="D964" s="74"/>
      <c r="E964" s="75"/>
      <c r="F964" s="74"/>
      <c r="G964" s="74"/>
      <c r="I964" s="55"/>
      <c r="J964" s="55"/>
    </row>
    <row r="965" ht="15.75" customHeight="1">
      <c r="A965" s="72"/>
      <c r="B965" s="76"/>
      <c r="C965" s="76"/>
      <c r="D965" s="74"/>
      <c r="E965" s="75"/>
      <c r="F965" s="74"/>
      <c r="G965" s="74"/>
      <c r="I965" s="55"/>
      <c r="J965" s="55"/>
    </row>
    <row r="966" ht="15.75" customHeight="1">
      <c r="A966" s="72"/>
      <c r="B966" s="76"/>
      <c r="C966" s="76"/>
      <c r="D966" s="74"/>
      <c r="E966" s="75"/>
      <c r="F966" s="74"/>
      <c r="G966" s="74"/>
      <c r="I966" s="55"/>
      <c r="J966" s="55"/>
    </row>
    <row r="967" ht="15.75" customHeight="1">
      <c r="A967" s="72"/>
      <c r="B967" s="76"/>
      <c r="C967" s="76"/>
      <c r="D967" s="74"/>
      <c r="E967" s="75"/>
      <c r="F967" s="74"/>
      <c r="G967" s="74"/>
      <c r="I967" s="55"/>
      <c r="J967" s="55"/>
    </row>
    <row r="968" ht="15.75" customHeight="1">
      <c r="A968" s="72"/>
      <c r="B968" s="76"/>
      <c r="C968" s="76"/>
      <c r="D968" s="74"/>
      <c r="E968" s="75"/>
      <c r="F968" s="74"/>
      <c r="G968" s="74"/>
      <c r="I968" s="55"/>
      <c r="J968" s="55"/>
    </row>
    <row r="969" ht="15.75" customHeight="1">
      <c r="A969" s="72"/>
      <c r="B969" s="76"/>
      <c r="C969" s="76"/>
      <c r="D969" s="74"/>
      <c r="E969" s="75"/>
      <c r="F969" s="74"/>
      <c r="G969" s="74"/>
      <c r="I969" s="55"/>
      <c r="J969" s="55"/>
    </row>
    <row r="970" ht="15.75" customHeight="1">
      <c r="A970" s="72"/>
      <c r="B970" s="76"/>
      <c r="C970" s="76"/>
      <c r="D970" s="74"/>
      <c r="E970" s="75"/>
      <c r="F970" s="74"/>
      <c r="G970" s="74"/>
      <c r="I970" s="55"/>
      <c r="J970" s="55"/>
    </row>
    <row r="971" ht="15.75" customHeight="1">
      <c r="A971" s="72"/>
      <c r="B971" s="76"/>
      <c r="C971" s="76"/>
      <c r="D971" s="74"/>
      <c r="E971" s="75"/>
      <c r="F971" s="74"/>
      <c r="G971" s="74"/>
      <c r="I971" s="55"/>
      <c r="J971" s="55"/>
    </row>
    <row r="972" ht="15.75" customHeight="1">
      <c r="A972" s="72"/>
      <c r="B972" s="76"/>
      <c r="C972" s="76"/>
      <c r="D972" s="74"/>
      <c r="E972" s="75"/>
      <c r="F972" s="74"/>
      <c r="G972" s="74"/>
      <c r="I972" s="55"/>
      <c r="J972" s="55"/>
    </row>
    <row r="973" ht="15.75" customHeight="1">
      <c r="A973" s="72"/>
      <c r="B973" s="76"/>
      <c r="C973" s="76"/>
      <c r="D973" s="74"/>
      <c r="E973" s="75"/>
      <c r="F973" s="74"/>
      <c r="G973" s="74"/>
      <c r="I973" s="55"/>
      <c r="J973" s="55"/>
    </row>
    <row r="974" ht="15.75" customHeight="1">
      <c r="A974" s="72"/>
      <c r="B974" s="76"/>
      <c r="C974" s="76"/>
      <c r="D974" s="74"/>
      <c r="E974" s="75"/>
      <c r="F974" s="74"/>
      <c r="G974" s="74"/>
      <c r="I974" s="55"/>
      <c r="J974" s="55"/>
    </row>
    <row r="975" ht="15.75" customHeight="1">
      <c r="A975" s="72"/>
      <c r="B975" s="76"/>
      <c r="C975" s="76"/>
      <c r="D975" s="74"/>
      <c r="E975" s="75"/>
      <c r="F975" s="74"/>
      <c r="G975" s="74"/>
      <c r="I975" s="55"/>
      <c r="J975" s="55"/>
    </row>
    <row r="976" ht="15.75" customHeight="1">
      <c r="A976" s="72"/>
      <c r="B976" s="76"/>
      <c r="C976" s="76"/>
      <c r="D976" s="74"/>
      <c r="E976" s="75"/>
      <c r="F976" s="74"/>
      <c r="G976" s="74"/>
      <c r="I976" s="55"/>
      <c r="J976" s="55"/>
    </row>
    <row r="977" ht="15.75" customHeight="1">
      <c r="A977" s="72"/>
      <c r="B977" s="76"/>
      <c r="C977" s="76"/>
      <c r="D977" s="74"/>
      <c r="E977" s="75"/>
      <c r="F977" s="74"/>
      <c r="G977" s="74"/>
      <c r="I977" s="55"/>
      <c r="J977" s="55"/>
    </row>
    <row r="978" ht="15.75" customHeight="1">
      <c r="A978" s="72"/>
      <c r="B978" s="76"/>
      <c r="C978" s="76"/>
      <c r="D978" s="74"/>
      <c r="E978" s="75"/>
      <c r="F978" s="74"/>
      <c r="G978" s="74"/>
      <c r="I978" s="55"/>
      <c r="J978" s="55"/>
    </row>
    <row r="979" ht="15.75" customHeight="1">
      <c r="A979" s="72"/>
      <c r="B979" s="76"/>
      <c r="C979" s="76"/>
      <c r="D979" s="74"/>
      <c r="E979" s="75"/>
      <c r="F979" s="74"/>
      <c r="G979" s="74"/>
      <c r="I979" s="55"/>
      <c r="J979" s="55"/>
    </row>
    <row r="980" ht="15.75" customHeight="1">
      <c r="A980" s="72"/>
      <c r="B980" s="76"/>
      <c r="C980" s="76"/>
      <c r="D980" s="74"/>
      <c r="E980" s="75"/>
      <c r="F980" s="74"/>
      <c r="G980" s="74"/>
      <c r="I980" s="55"/>
      <c r="J980" s="55"/>
    </row>
    <row r="981" ht="15.75" customHeight="1">
      <c r="A981" s="72"/>
      <c r="B981" s="76"/>
      <c r="C981" s="76"/>
      <c r="D981" s="74"/>
      <c r="E981" s="75"/>
      <c r="F981" s="74"/>
      <c r="G981" s="74"/>
      <c r="I981" s="55"/>
      <c r="J981" s="55"/>
    </row>
    <row r="982" ht="15.75" customHeight="1">
      <c r="A982" s="72"/>
      <c r="B982" s="76"/>
      <c r="C982" s="76"/>
      <c r="D982" s="74"/>
      <c r="E982" s="75"/>
      <c r="F982" s="74"/>
      <c r="G982" s="74"/>
      <c r="I982" s="55"/>
      <c r="J982" s="55"/>
    </row>
    <row r="983" ht="15.75" customHeight="1">
      <c r="A983" s="72"/>
      <c r="B983" s="76"/>
      <c r="C983" s="76"/>
      <c r="D983" s="74"/>
      <c r="E983" s="75"/>
      <c r="F983" s="74"/>
      <c r="G983" s="74"/>
      <c r="I983" s="55"/>
      <c r="J983" s="55"/>
    </row>
    <row r="984" ht="15.75" customHeight="1">
      <c r="A984" s="72"/>
      <c r="B984" s="76"/>
      <c r="C984" s="76"/>
      <c r="D984" s="74"/>
      <c r="E984" s="75"/>
      <c r="F984" s="74"/>
      <c r="G984" s="74"/>
      <c r="I984" s="55"/>
      <c r="J984" s="55"/>
    </row>
    <row r="985" ht="15.75" customHeight="1">
      <c r="A985" s="72"/>
      <c r="B985" s="76"/>
      <c r="C985" s="76"/>
      <c r="D985" s="74"/>
      <c r="E985" s="75"/>
      <c r="F985" s="74"/>
      <c r="G985" s="74"/>
      <c r="I985" s="55"/>
      <c r="J985" s="55"/>
    </row>
    <row r="986" ht="15.75" customHeight="1">
      <c r="A986" s="72"/>
      <c r="B986" s="76"/>
      <c r="C986" s="76"/>
      <c r="D986" s="74"/>
      <c r="E986" s="75"/>
      <c r="F986" s="74"/>
      <c r="G986" s="74"/>
      <c r="I986" s="55"/>
      <c r="J986" s="55"/>
    </row>
    <row r="987" ht="15.75" customHeight="1">
      <c r="A987" s="72"/>
      <c r="B987" s="76"/>
      <c r="C987" s="76"/>
      <c r="D987" s="74"/>
      <c r="E987" s="75"/>
      <c r="F987" s="74"/>
      <c r="G987" s="74"/>
      <c r="I987" s="55"/>
      <c r="J987" s="55"/>
    </row>
    <row r="988" ht="15.75" customHeight="1">
      <c r="A988" s="72"/>
      <c r="B988" s="76"/>
      <c r="C988" s="76"/>
      <c r="D988" s="74"/>
      <c r="E988" s="75"/>
      <c r="F988" s="74"/>
      <c r="G988" s="74"/>
      <c r="I988" s="55"/>
      <c r="J988" s="55"/>
    </row>
    <row r="989" ht="15.75" customHeight="1">
      <c r="A989" s="72"/>
      <c r="B989" s="76"/>
      <c r="C989" s="76"/>
      <c r="D989" s="74"/>
      <c r="E989" s="75"/>
      <c r="F989" s="74"/>
      <c r="G989" s="74"/>
      <c r="I989" s="55"/>
      <c r="J989" s="55"/>
    </row>
    <row r="990" ht="15.75" customHeight="1">
      <c r="A990" s="72"/>
      <c r="B990" s="76"/>
      <c r="C990" s="76"/>
      <c r="D990" s="74"/>
      <c r="E990" s="75"/>
      <c r="F990" s="74"/>
      <c r="G990" s="74"/>
      <c r="I990" s="55"/>
      <c r="J990" s="55"/>
    </row>
    <row r="991" ht="15.75" customHeight="1">
      <c r="A991" s="72"/>
      <c r="B991" s="76"/>
      <c r="C991" s="76"/>
      <c r="D991" s="74"/>
      <c r="E991" s="75"/>
      <c r="F991" s="74"/>
      <c r="G991" s="74"/>
      <c r="I991" s="55"/>
      <c r="J991" s="55"/>
    </row>
    <row r="992" ht="15.75" customHeight="1">
      <c r="A992" s="72"/>
      <c r="B992" s="76"/>
      <c r="C992" s="76"/>
      <c r="D992" s="74"/>
      <c r="E992" s="75"/>
      <c r="F992" s="74"/>
      <c r="G992" s="74"/>
      <c r="I992" s="55"/>
      <c r="J992" s="55"/>
    </row>
    <row r="993" ht="15.75" customHeight="1">
      <c r="A993" s="72"/>
      <c r="B993" s="76"/>
      <c r="C993" s="76"/>
      <c r="D993" s="74"/>
      <c r="E993" s="75"/>
      <c r="F993" s="74"/>
      <c r="G993" s="74"/>
      <c r="I993" s="55"/>
      <c r="J993" s="55"/>
    </row>
    <row r="994" ht="15.75" customHeight="1">
      <c r="A994" s="72"/>
      <c r="B994" s="76"/>
      <c r="C994" s="76"/>
      <c r="D994" s="74"/>
      <c r="E994" s="75"/>
      <c r="F994" s="74"/>
      <c r="G994" s="74"/>
      <c r="I994" s="55"/>
      <c r="J994" s="55"/>
    </row>
    <row r="995" ht="15.75" customHeight="1">
      <c r="A995" s="72"/>
      <c r="B995" s="76"/>
      <c r="C995" s="76"/>
      <c r="D995" s="74"/>
      <c r="E995" s="75"/>
      <c r="F995" s="74"/>
      <c r="G995" s="74"/>
      <c r="I995" s="55"/>
      <c r="J995" s="55"/>
    </row>
    <row r="996" ht="15.75" customHeight="1">
      <c r="A996" s="72"/>
      <c r="B996" s="76"/>
      <c r="C996" s="76"/>
      <c r="D996" s="74"/>
      <c r="E996" s="75"/>
      <c r="F996" s="74"/>
      <c r="G996" s="74"/>
      <c r="I996" s="55"/>
      <c r="J996" s="55"/>
    </row>
    <row r="997" ht="15.75" customHeight="1">
      <c r="A997" s="72"/>
      <c r="B997" s="76"/>
      <c r="C997" s="76"/>
      <c r="D997" s="74"/>
      <c r="E997" s="75"/>
      <c r="F997" s="74"/>
      <c r="G997" s="74"/>
      <c r="I997" s="55"/>
      <c r="J997" s="55"/>
    </row>
    <row r="998" ht="15.75" customHeight="1">
      <c r="A998" s="72"/>
      <c r="B998" s="76"/>
      <c r="C998" s="76"/>
      <c r="D998" s="74"/>
      <c r="E998" s="75"/>
      <c r="F998" s="74"/>
      <c r="G998" s="74"/>
      <c r="I998" s="55"/>
      <c r="J998" s="55"/>
    </row>
    <row r="999" ht="15.75" customHeight="1">
      <c r="A999" s="72"/>
      <c r="B999" s="76"/>
      <c r="C999" s="76"/>
      <c r="D999" s="74"/>
      <c r="E999" s="75"/>
      <c r="F999" s="74"/>
      <c r="G999" s="74"/>
      <c r="I999" s="55"/>
      <c r="J999" s="55"/>
    </row>
    <row r="1000" ht="15.75" customHeight="1">
      <c r="A1000" s="72"/>
      <c r="B1000" s="76"/>
      <c r="C1000" s="76"/>
      <c r="D1000" s="74"/>
      <c r="E1000" s="75"/>
      <c r="F1000" s="74"/>
      <c r="G1000" s="74"/>
      <c r="I1000" s="55"/>
      <c r="J1000" s="55"/>
    </row>
    <row r="1001" ht="15.75" customHeight="1">
      <c r="A1001" s="72"/>
      <c r="B1001" s="76"/>
      <c r="C1001" s="76"/>
      <c r="D1001" s="74"/>
      <c r="E1001" s="75"/>
      <c r="F1001" s="74"/>
      <c r="G1001" s="74"/>
      <c r="I1001" s="55"/>
      <c r="J1001" s="55"/>
    </row>
  </sheetData>
  <mergeCells count="1">
    <mergeCell ref="K8:L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37" t="s">
        <v>451</v>
      </c>
      <c r="B1" s="38" t="s">
        <v>453</v>
      </c>
      <c r="C1" s="39" t="s">
        <v>454</v>
      </c>
      <c r="D1" s="39" t="s">
        <v>456</v>
      </c>
    </row>
    <row r="2" ht="15.75" customHeight="1">
      <c r="A2" s="44">
        <v>10101.0</v>
      </c>
      <c r="B2" s="38" t="s">
        <v>28</v>
      </c>
      <c r="C2" s="45">
        <v>47.54760068508929</v>
      </c>
      <c r="D2" s="45">
        <v>61.22907797780856</v>
      </c>
    </row>
    <row r="3" ht="15.75" customHeight="1">
      <c r="A3" s="44">
        <v>10102.0</v>
      </c>
      <c r="B3" s="38" t="s">
        <v>29</v>
      </c>
      <c r="C3" s="45">
        <v>47.266313932980594</v>
      </c>
      <c r="D3" s="45">
        <v>71.29418472063854</v>
      </c>
    </row>
    <row r="4" ht="15.75" customHeight="1">
      <c r="A4" s="44">
        <v>10103.0</v>
      </c>
      <c r="B4" s="38" t="s">
        <v>30</v>
      </c>
      <c r="C4" s="45">
        <v>48.20255121762659</v>
      </c>
      <c r="D4" s="45">
        <v>76.08836907082521</v>
      </c>
    </row>
    <row r="5" ht="15.75" customHeight="1">
      <c r="A5" s="44">
        <v>10201.0</v>
      </c>
      <c r="B5" s="38" t="s">
        <v>467</v>
      </c>
      <c r="C5" s="45">
        <v>34.27518427518427</v>
      </c>
      <c r="D5" s="45">
        <v>74.0333586050038</v>
      </c>
    </row>
    <row r="6" ht="15.75" customHeight="1">
      <c r="A6" s="44">
        <v>10202.0</v>
      </c>
      <c r="B6" s="38" t="s">
        <v>32</v>
      </c>
      <c r="C6" s="45">
        <v>50.1820664542558</v>
      </c>
      <c r="D6" s="45">
        <v>68.34915875395635</v>
      </c>
    </row>
    <row r="7" ht="15.75" customHeight="1">
      <c r="A7" s="44">
        <v>10301.0</v>
      </c>
      <c r="B7" s="38" t="s">
        <v>471</v>
      </c>
      <c r="C7" s="45">
        <v>42.111832251622566</v>
      </c>
      <c r="D7" s="45">
        <v>66.85105511165744</v>
      </c>
    </row>
    <row r="8" ht="15.75" customHeight="1">
      <c r="A8" s="44">
        <v>10302.0</v>
      </c>
      <c r="B8" s="38" t="s">
        <v>34</v>
      </c>
      <c r="C8" s="45">
        <v>42.703232125367286</v>
      </c>
      <c r="D8" s="45">
        <v>69.18164616840113</v>
      </c>
    </row>
    <row r="9" ht="15.75" customHeight="1">
      <c r="A9" s="44">
        <v>10303.0</v>
      </c>
      <c r="B9" s="38" t="s">
        <v>474</v>
      </c>
      <c r="C9" s="45">
        <v>46.87039764359352</v>
      </c>
      <c r="D9" s="45">
        <v>69.54145156392347</v>
      </c>
    </row>
    <row r="10" ht="15.75" customHeight="1">
      <c r="A10" s="44">
        <v>10304.0</v>
      </c>
      <c r="B10" s="38" t="s">
        <v>36</v>
      </c>
      <c r="C10" s="45">
        <v>39.9604743083004</v>
      </c>
      <c r="D10" s="45">
        <v>68.78923766816143</v>
      </c>
    </row>
    <row r="11" ht="15.75" customHeight="1">
      <c r="A11" s="44">
        <v>10401.0</v>
      </c>
      <c r="B11" s="38" t="s">
        <v>38</v>
      </c>
      <c r="C11" s="45">
        <v>53.201692524682656</v>
      </c>
      <c r="D11" s="45">
        <v>68.6094674556213</v>
      </c>
    </row>
    <row r="12" ht="15.75" customHeight="1">
      <c r="A12" s="44">
        <v>10402.0</v>
      </c>
      <c r="B12" s="38" t="s">
        <v>37</v>
      </c>
      <c r="C12" s="45">
        <v>43.070362473347544</v>
      </c>
      <c r="D12" s="45">
        <v>72.8923476005188</v>
      </c>
    </row>
    <row r="13" ht="15.75" customHeight="1">
      <c r="A13" s="44">
        <v>10403.0</v>
      </c>
      <c r="B13" s="38" t="s">
        <v>39</v>
      </c>
      <c r="C13" s="45">
        <v>36.5721434528774</v>
      </c>
      <c r="D13" s="45">
        <v>70.0</v>
      </c>
    </row>
    <row r="14" ht="15.75" customHeight="1">
      <c r="A14" s="44">
        <v>10404.0</v>
      </c>
      <c r="B14" s="38" t="s">
        <v>481</v>
      </c>
      <c r="C14" s="45">
        <v>46.462931522354275</v>
      </c>
      <c r="D14" s="45">
        <v>64.86101211689237</v>
      </c>
    </row>
    <row r="15" ht="15.75" customHeight="1">
      <c r="A15" s="44">
        <v>10405.0</v>
      </c>
      <c r="B15" s="38" t="s">
        <v>41</v>
      </c>
      <c r="C15" s="45">
        <v>51.581027667984195</v>
      </c>
      <c r="D15" s="45">
        <v>64.6720919100048</v>
      </c>
    </row>
    <row r="16" ht="15.75" customHeight="1">
      <c r="A16" s="44">
        <v>10501.0</v>
      </c>
      <c r="B16" s="38" t="s">
        <v>43</v>
      </c>
      <c r="C16" s="45">
        <v>48.6659422914403</v>
      </c>
      <c r="D16" s="45">
        <v>67.93821670957173</v>
      </c>
    </row>
    <row r="17" ht="15.75" customHeight="1">
      <c r="A17" s="44">
        <v>10502.0</v>
      </c>
      <c r="B17" s="38" t="s">
        <v>484</v>
      </c>
      <c r="C17" s="45">
        <v>46.65127020785219</v>
      </c>
      <c r="D17" s="45">
        <v>61.92739844425238</v>
      </c>
    </row>
    <row r="18" ht="15.75" customHeight="1">
      <c r="A18" s="44">
        <v>10601.0</v>
      </c>
      <c r="B18" s="38" t="s">
        <v>46</v>
      </c>
      <c r="C18" s="45">
        <v>44.92318559067632</v>
      </c>
      <c r="D18" s="45">
        <v>73.09141384096768</v>
      </c>
    </row>
    <row r="19" ht="15.75" customHeight="1">
      <c r="A19" s="44">
        <v>10602.0</v>
      </c>
      <c r="B19" s="38" t="s">
        <v>45</v>
      </c>
      <c r="C19" s="45">
        <v>41.07142857142857</v>
      </c>
      <c r="D19" s="45">
        <v>73.47130761994356</v>
      </c>
    </row>
    <row r="20" ht="15.75" customHeight="1">
      <c r="A20" s="44">
        <v>10701.0</v>
      </c>
      <c r="B20" s="38" t="s">
        <v>48</v>
      </c>
      <c r="C20" s="45">
        <v>48.346573064843895</v>
      </c>
      <c r="D20" s="45">
        <v>72.49273255813954</v>
      </c>
    </row>
    <row r="21" ht="15.75" customHeight="1">
      <c r="A21" s="44">
        <v>10702.0</v>
      </c>
      <c r="B21" s="38" t="s">
        <v>49</v>
      </c>
      <c r="C21" s="45">
        <v>53.38302752293578</v>
      </c>
      <c r="D21" s="45">
        <v>74.17490014715156</v>
      </c>
    </row>
    <row r="22" ht="15.75" customHeight="1">
      <c r="A22" s="44">
        <v>10703.0</v>
      </c>
      <c r="B22" s="38" t="s">
        <v>50</v>
      </c>
      <c r="C22" s="45">
        <v>48.40971700475833</v>
      </c>
      <c r="D22" s="45">
        <v>73.31692740376164</v>
      </c>
    </row>
    <row r="23" ht="15.75" customHeight="1">
      <c r="A23" s="44">
        <v>10704.0</v>
      </c>
      <c r="B23" s="38" t="s">
        <v>51</v>
      </c>
      <c r="C23" s="45">
        <v>47.251461988304094</v>
      </c>
      <c r="D23" s="45">
        <v>72.83225680172245</v>
      </c>
    </row>
    <row r="24" ht="15.75" customHeight="1">
      <c r="A24" s="44">
        <v>10801.0</v>
      </c>
      <c r="B24" s="38" t="s">
        <v>53</v>
      </c>
      <c r="C24" s="45">
        <v>44.88085886357685</v>
      </c>
      <c r="D24" s="45">
        <v>64.36849925705795</v>
      </c>
    </row>
    <row r="25" ht="15.75" customHeight="1">
      <c r="A25" s="44">
        <v>10901.0</v>
      </c>
      <c r="B25" s="38" t="s">
        <v>55</v>
      </c>
      <c r="C25" s="45">
        <v>48.54838709677419</v>
      </c>
      <c r="D25" s="45">
        <v>66.45414418832762</v>
      </c>
    </row>
    <row r="26" ht="15.75" customHeight="1">
      <c r="A26" s="44">
        <v>10902.0</v>
      </c>
      <c r="B26" s="38" t="s">
        <v>56</v>
      </c>
      <c r="C26" s="45">
        <v>53.901661352575935</v>
      </c>
      <c r="D26" s="45">
        <v>76.49888971132495</v>
      </c>
    </row>
    <row r="27" ht="15.75" customHeight="1">
      <c r="A27" s="44">
        <v>10903.0</v>
      </c>
      <c r="B27" s="38" t="s">
        <v>57</v>
      </c>
      <c r="C27" s="45">
        <v>56.9262577532736</v>
      </c>
      <c r="D27" s="45">
        <v>63.21297749869178</v>
      </c>
    </row>
    <row r="28" ht="15.75" customHeight="1">
      <c r="A28" s="44">
        <v>11001.0</v>
      </c>
      <c r="B28" s="38" t="s">
        <v>489</v>
      </c>
      <c r="C28" s="45">
        <v>41.46103896103896</v>
      </c>
      <c r="D28" s="45">
        <v>61.99519230769231</v>
      </c>
    </row>
    <row r="29" ht="15.75" customHeight="1">
      <c r="A29" s="44">
        <v>11002.0</v>
      </c>
      <c r="B29" s="38" t="s">
        <v>490</v>
      </c>
      <c r="C29" s="45">
        <v>41.426611796982165</v>
      </c>
      <c r="D29" s="45">
        <v>65.97671410090557</v>
      </c>
    </row>
    <row r="30" ht="15.75" customHeight="1">
      <c r="A30" s="44">
        <v>11003.0</v>
      </c>
      <c r="B30" s="38" t="s">
        <v>61</v>
      </c>
      <c r="C30" s="45">
        <v>44.27083333333333</v>
      </c>
      <c r="D30" s="45">
        <v>59.585720581754074</v>
      </c>
    </row>
    <row r="31" ht="15.75" customHeight="1">
      <c r="A31" s="44">
        <v>20101.0</v>
      </c>
      <c r="B31" s="38" t="s">
        <v>64</v>
      </c>
      <c r="C31" s="45">
        <v>56.91410911440921</v>
      </c>
      <c r="D31" s="45">
        <v>65.44411732912818</v>
      </c>
    </row>
    <row r="32" ht="15.75" customHeight="1">
      <c r="A32" s="44">
        <v>20102.0</v>
      </c>
      <c r="B32" s="38" t="s">
        <v>65</v>
      </c>
      <c r="C32" s="45">
        <v>74.64985994397759</v>
      </c>
      <c r="D32" s="45">
        <v>81.62627052384676</v>
      </c>
    </row>
    <row r="33" ht="15.75" customHeight="1">
      <c r="A33" s="44">
        <v>20103.0</v>
      </c>
      <c r="B33" s="38" t="s">
        <v>66</v>
      </c>
      <c r="C33" s="45">
        <v>74.2123287671233</v>
      </c>
      <c r="D33" s="45">
        <v>79.60594989561586</v>
      </c>
    </row>
    <row r="34" ht="15.75" customHeight="1">
      <c r="A34" s="44">
        <v>20104.0</v>
      </c>
      <c r="B34" s="38" t="s">
        <v>67</v>
      </c>
      <c r="C34" s="45">
        <v>62.23249027237354</v>
      </c>
      <c r="D34" s="45">
        <v>72.87976539589442</v>
      </c>
    </row>
    <row r="35" ht="15.75" customHeight="1">
      <c r="A35" s="44">
        <v>20105.0</v>
      </c>
      <c r="B35" s="38" t="s">
        <v>68</v>
      </c>
      <c r="C35" s="45">
        <v>55.26436987475534</v>
      </c>
      <c r="D35" s="45">
        <v>66.56650693671833</v>
      </c>
    </row>
    <row r="36" ht="15.75" customHeight="1">
      <c r="A36" s="44">
        <v>20201.0</v>
      </c>
      <c r="B36" s="38" t="s">
        <v>70</v>
      </c>
      <c r="C36" s="45">
        <v>66.57656135608492</v>
      </c>
      <c r="D36" s="45">
        <v>79.8248494800219</v>
      </c>
    </row>
    <row r="37" ht="15.75" customHeight="1">
      <c r="A37" s="44">
        <v>20202.0</v>
      </c>
      <c r="B37" s="38" t="s">
        <v>493</v>
      </c>
      <c r="C37" s="45">
        <v>74.84960217349116</v>
      </c>
      <c r="D37" s="45">
        <v>80.82408874801902</v>
      </c>
    </row>
    <row r="38" ht="15.75" customHeight="1">
      <c r="A38" s="44">
        <v>20203.0</v>
      </c>
      <c r="B38" s="38" t="s">
        <v>75</v>
      </c>
      <c r="C38" s="45">
        <v>62.49369005552751</v>
      </c>
      <c r="D38" s="45">
        <v>75.18987341772151</v>
      </c>
    </row>
    <row r="39" ht="15.75" customHeight="1">
      <c r="A39" s="44">
        <v>20204.0</v>
      </c>
      <c r="B39" s="38" t="s">
        <v>72</v>
      </c>
      <c r="C39" s="45">
        <v>72.21392291604421</v>
      </c>
      <c r="D39" s="45">
        <v>80.50139275766016</v>
      </c>
    </row>
    <row r="40" ht="15.75" customHeight="1">
      <c r="A40" s="44">
        <v>20205.0</v>
      </c>
      <c r="B40" s="38" t="s">
        <v>73</v>
      </c>
      <c r="C40" s="45">
        <v>62.92932160090832</v>
      </c>
      <c r="D40" s="45">
        <v>77.87465940054496</v>
      </c>
    </row>
    <row r="41" ht="15.75" customHeight="1">
      <c r="A41" s="44">
        <v>20206.0</v>
      </c>
      <c r="B41" s="38" t="s">
        <v>74</v>
      </c>
      <c r="C41" s="45">
        <v>57.13387806411062</v>
      </c>
      <c r="D41" s="45">
        <v>73.02798982188295</v>
      </c>
    </row>
    <row r="42" ht="15.75" customHeight="1">
      <c r="A42" s="44">
        <v>20301.0</v>
      </c>
      <c r="B42" s="38" t="s">
        <v>494</v>
      </c>
      <c r="C42" s="45">
        <v>69.28345626975764</v>
      </c>
      <c r="D42" s="45">
        <v>81.85584092792047</v>
      </c>
    </row>
    <row r="43" ht="15.75" customHeight="1">
      <c r="A43" s="44">
        <v>20302.0</v>
      </c>
      <c r="B43" s="38" t="s">
        <v>78</v>
      </c>
      <c r="C43" s="45">
        <v>71.9440353460972</v>
      </c>
      <c r="D43" s="45">
        <v>81.91186922530206</v>
      </c>
    </row>
    <row r="44" ht="15.75" customHeight="1">
      <c r="A44" s="44">
        <v>20303.0</v>
      </c>
      <c r="B44" s="38" t="s">
        <v>79</v>
      </c>
      <c r="C44" s="45">
        <v>69.83069664168748</v>
      </c>
      <c r="D44" s="45">
        <v>79.6756996890271</v>
      </c>
    </row>
    <row r="45" ht="15.75" customHeight="1">
      <c r="A45" s="44">
        <v>20304.0</v>
      </c>
      <c r="B45" s="38" t="s">
        <v>80</v>
      </c>
      <c r="C45" s="45">
        <v>63.949402670414614</v>
      </c>
      <c r="D45" s="45">
        <v>84.9624060150376</v>
      </c>
    </row>
    <row r="46" ht="15.75" customHeight="1">
      <c r="A46" s="44">
        <v>20305.0</v>
      </c>
      <c r="B46" s="38" t="s">
        <v>81</v>
      </c>
      <c r="C46" s="45">
        <v>57.67284991568297</v>
      </c>
      <c r="D46" s="45">
        <v>76.40218878248974</v>
      </c>
    </row>
    <row r="47" ht="15.75" customHeight="1">
      <c r="A47" s="44">
        <v>20306.0</v>
      </c>
      <c r="B47" s="38" t="s">
        <v>495</v>
      </c>
      <c r="C47" s="45">
        <v>60.96224116930572</v>
      </c>
      <c r="D47" s="45">
        <v>81.58896289248335</v>
      </c>
    </row>
    <row r="48" ht="15.75" customHeight="1">
      <c r="A48" s="44">
        <v>20307.0</v>
      </c>
      <c r="B48" s="38" t="s">
        <v>83</v>
      </c>
      <c r="C48" s="45">
        <v>61.502347417840376</v>
      </c>
      <c r="D48" s="45">
        <v>82.2174226061915</v>
      </c>
    </row>
    <row r="49" ht="15.75" customHeight="1">
      <c r="A49" s="44">
        <v>20308.0</v>
      </c>
      <c r="B49" s="38" t="s">
        <v>84</v>
      </c>
      <c r="C49" s="45">
        <v>70.92702169625247</v>
      </c>
      <c r="D49" s="45">
        <v>84.94736842105263</v>
      </c>
    </row>
    <row r="50" ht="15.75" customHeight="1">
      <c r="A50" s="44">
        <v>20401.0</v>
      </c>
      <c r="B50" s="38" t="s">
        <v>86</v>
      </c>
      <c r="C50" s="45">
        <v>77.05802968960865</v>
      </c>
      <c r="D50" s="45">
        <v>81.3247470101196</v>
      </c>
    </row>
    <row r="51" ht="15.75" customHeight="1">
      <c r="A51" s="44">
        <v>20402.0</v>
      </c>
      <c r="B51" s="38" t="s">
        <v>87</v>
      </c>
      <c r="C51" s="45">
        <v>77.23840345199568</v>
      </c>
      <c r="D51" s="45">
        <v>83.52601156069365</v>
      </c>
    </row>
    <row r="52" ht="15.75" customHeight="1">
      <c r="A52" s="44">
        <v>20403.0</v>
      </c>
      <c r="B52" s="38" t="s">
        <v>88</v>
      </c>
      <c r="C52" s="45">
        <v>72.0045428733674</v>
      </c>
      <c r="D52" s="45">
        <v>79.50023873945568</v>
      </c>
    </row>
    <row r="53" ht="15.75" customHeight="1">
      <c r="A53" s="44">
        <v>20404.0</v>
      </c>
      <c r="B53" s="38" t="s">
        <v>89</v>
      </c>
      <c r="C53" s="45">
        <v>76.90380761523046</v>
      </c>
      <c r="D53" s="45">
        <v>89.69667790081849</v>
      </c>
    </row>
    <row r="54" ht="15.75" customHeight="1">
      <c r="A54" s="44">
        <v>20405.0</v>
      </c>
      <c r="B54" s="38" t="s">
        <v>90</v>
      </c>
      <c r="C54" s="45">
        <v>72.36525918297289</v>
      </c>
      <c r="D54" s="45">
        <v>80.58338243959929</v>
      </c>
    </row>
    <row r="55" ht="15.75" customHeight="1">
      <c r="A55" s="44">
        <v>20501.0</v>
      </c>
      <c r="B55" s="38" t="s">
        <v>92</v>
      </c>
      <c r="C55" s="45">
        <v>73.85556915544676</v>
      </c>
      <c r="D55" s="45">
        <v>82.43024010382868</v>
      </c>
    </row>
    <row r="56" ht="15.75" customHeight="1">
      <c r="A56" s="44">
        <v>20502.0</v>
      </c>
      <c r="B56" s="38" t="s">
        <v>93</v>
      </c>
      <c r="C56" s="45">
        <v>74.49567723342939</v>
      </c>
      <c r="D56" s="45">
        <v>80.3921568627451</v>
      </c>
    </row>
    <row r="57" ht="15.75" customHeight="1">
      <c r="A57" s="44">
        <v>20503.0</v>
      </c>
      <c r="B57" s="38" t="s">
        <v>94</v>
      </c>
      <c r="C57" s="45">
        <v>62.10892236384704</v>
      </c>
      <c r="D57" s="45">
        <v>77.78850796716561</v>
      </c>
    </row>
    <row r="58" ht="15.75" customHeight="1">
      <c r="A58" s="44">
        <v>20601.0</v>
      </c>
      <c r="B58" s="38" t="s">
        <v>96</v>
      </c>
      <c r="C58" s="45">
        <v>64.54898157129001</v>
      </c>
      <c r="D58" s="45">
        <v>73.96269508945565</v>
      </c>
    </row>
    <row r="59" ht="15.75" customHeight="1">
      <c r="A59" s="44">
        <v>20602.0</v>
      </c>
      <c r="B59" s="38" t="s">
        <v>97</v>
      </c>
      <c r="C59" s="45">
        <v>59.06701708278581</v>
      </c>
      <c r="D59" s="45">
        <v>69.01327178303521</v>
      </c>
    </row>
    <row r="60" ht="15.75" customHeight="1">
      <c r="A60" s="44">
        <v>20603.0</v>
      </c>
      <c r="B60" s="38" t="s">
        <v>98</v>
      </c>
      <c r="C60" s="45">
        <v>62.931696085955494</v>
      </c>
      <c r="D60" s="45">
        <v>70.21806853582554</v>
      </c>
    </row>
    <row r="61" ht="15.75" customHeight="1">
      <c r="A61" s="44">
        <v>20604.0</v>
      </c>
      <c r="B61" s="38" t="s">
        <v>99</v>
      </c>
      <c r="C61" s="45">
        <v>78.54821235102925</v>
      </c>
      <c r="D61" s="45">
        <v>75.96017069701281</v>
      </c>
    </row>
    <row r="62" ht="15.75" customHeight="1">
      <c r="A62" s="44">
        <v>20605.0</v>
      </c>
      <c r="B62" s="38" t="s">
        <v>100</v>
      </c>
      <c r="C62" s="45">
        <v>75.03457814661134</v>
      </c>
      <c r="D62" s="45">
        <v>81.4756671899529</v>
      </c>
    </row>
    <row r="63" ht="15.75" customHeight="1">
      <c r="A63" s="44">
        <v>20606.0</v>
      </c>
      <c r="B63" s="38" t="s">
        <v>101</v>
      </c>
      <c r="C63" s="45">
        <v>54.5227698066126</v>
      </c>
      <c r="D63" s="45">
        <v>64.05256464603646</v>
      </c>
    </row>
    <row r="64" ht="15.75" customHeight="1">
      <c r="A64" s="44">
        <v>20607.0</v>
      </c>
      <c r="B64" s="38" t="s">
        <v>102</v>
      </c>
      <c r="C64" s="45">
        <v>51.881524641903376</v>
      </c>
      <c r="D64" s="45">
        <v>65.38054168558027</v>
      </c>
    </row>
    <row r="65" ht="15.75" customHeight="1">
      <c r="A65" s="44">
        <v>20608.0</v>
      </c>
      <c r="B65" s="38" t="s">
        <v>103</v>
      </c>
      <c r="C65" s="45">
        <v>69.08573461401637</v>
      </c>
      <c r="D65" s="45">
        <v>74.8315688161694</v>
      </c>
    </row>
    <row r="66" ht="15.75" customHeight="1">
      <c r="A66" s="44">
        <v>20701.0</v>
      </c>
      <c r="B66" s="38" t="s">
        <v>105</v>
      </c>
      <c r="C66" s="45">
        <v>59.10303434478159</v>
      </c>
      <c r="D66" s="45">
        <v>72.1609798775153</v>
      </c>
    </row>
    <row r="67" ht="15.75" customHeight="1">
      <c r="A67" s="44">
        <v>20702.0</v>
      </c>
      <c r="B67" s="38" t="s">
        <v>106</v>
      </c>
      <c r="C67" s="45">
        <v>59.02217741935484</v>
      </c>
      <c r="D67" s="45">
        <v>75.64604541895066</v>
      </c>
    </row>
    <row r="68" ht="15.75" customHeight="1">
      <c r="A68" s="44">
        <v>20801.0</v>
      </c>
      <c r="B68" s="38" t="s">
        <v>108</v>
      </c>
      <c r="C68" s="45">
        <v>56.33288680509042</v>
      </c>
      <c r="D68" s="45">
        <v>68.74058127018299</v>
      </c>
    </row>
    <row r="69" ht="15.75" customHeight="1">
      <c r="A69" s="44">
        <v>20802.0</v>
      </c>
      <c r="B69" s="38" t="s">
        <v>496</v>
      </c>
      <c r="C69" s="45">
        <v>61.8212478920742</v>
      </c>
      <c r="D69" s="45">
        <v>80.58823529411765</v>
      </c>
    </row>
    <row r="70" ht="15.75" customHeight="1">
      <c r="A70" s="44">
        <v>20803.0</v>
      </c>
      <c r="B70" s="38" t="s">
        <v>110</v>
      </c>
      <c r="C70" s="45">
        <v>57.666666666666664</v>
      </c>
      <c r="D70" s="45">
        <v>84.22825070159027</v>
      </c>
    </row>
    <row r="71" ht="15.75" customHeight="1">
      <c r="A71" s="44">
        <v>20804.0</v>
      </c>
      <c r="B71" s="38" t="s">
        <v>111</v>
      </c>
      <c r="C71" s="45">
        <v>68.74068554396423</v>
      </c>
      <c r="D71" s="45">
        <v>71.15191986644408</v>
      </c>
    </row>
    <row r="72" ht="15.75" customHeight="1">
      <c r="A72" s="44">
        <v>20805.0</v>
      </c>
      <c r="B72" s="38" t="s">
        <v>497</v>
      </c>
      <c r="C72" s="45">
        <v>69.8744769874477</v>
      </c>
      <c r="D72" s="45">
        <v>85.99592114208022</v>
      </c>
    </row>
    <row r="73" ht="15.75" customHeight="1">
      <c r="A73" s="44">
        <v>20806.0</v>
      </c>
      <c r="B73" s="38" t="s">
        <v>498</v>
      </c>
      <c r="C73" s="45">
        <v>68.50800206504904</v>
      </c>
      <c r="D73" s="45">
        <v>81.81084570690768</v>
      </c>
    </row>
    <row r="74" ht="15.75" customHeight="1">
      <c r="A74" s="44">
        <v>20807.0</v>
      </c>
      <c r="B74" s="38" t="s">
        <v>114</v>
      </c>
      <c r="C74" s="45">
        <v>72.46431254695717</v>
      </c>
      <c r="D74" s="45">
        <v>81.8659658344284</v>
      </c>
    </row>
    <row r="75" ht="15.75" customHeight="1">
      <c r="A75" s="44">
        <v>20901.0</v>
      </c>
      <c r="B75" s="38" t="s">
        <v>116</v>
      </c>
      <c r="C75" s="45">
        <v>73.44810863239573</v>
      </c>
      <c r="D75" s="45">
        <v>81.45678379071558</v>
      </c>
    </row>
    <row r="76" ht="15.75" customHeight="1">
      <c r="A76" s="44">
        <v>20902.0</v>
      </c>
      <c r="B76" s="38" t="s">
        <v>117</v>
      </c>
      <c r="C76" s="45">
        <v>77.03494682005643</v>
      </c>
      <c r="D76" s="45">
        <v>83.80213385063045</v>
      </c>
    </row>
    <row r="77" ht="15.75" customHeight="1">
      <c r="A77" s="44">
        <v>20903.0</v>
      </c>
      <c r="B77" s="38" t="s">
        <v>118</v>
      </c>
      <c r="C77" s="45">
        <v>69.26849203105844</v>
      </c>
      <c r="D77" s="45">
        <v>77.67180239667401</v>
      </c>
    </row>
    <row r="78" ht="15.75" customHeight="1">
      <c r="A78" s="44">
        <v>20904.0</v>
      </c>
      <c r="B78" s="38" t="s">
        <v>119</v>
      </c>
      <c r="C78" s="45">
        <v>58.78684807256236</v>
      </c>
      <c r="D78" s="45">
        <v>75.89442815249267</v>
      </c>
    </row>
    <row r="79" ht="15.75" customHeight="1">
      <c r="A79" s="44">
        <v>20905.0</v>
      </c>
      <c r="B79" s="38" t="s">
        <v>120</v>
      </c>
      <c r="C79" s="45">
        <v>70.72844134975898</v>
      </c>
      <c r="D79" s="45">
        <v>79.02460077686663</v>
      </c>
    </row>
    <row r="80" ht="15.75" customHeight="1">
      <c r="A80" s="44">
        <v>21001.0</v>
      </c>
      <c r="B80" s="38" t="s">
        <v>121</v>
      </c>
      <c r="C80" s="45">
        <v>64.49447932452912</v>
      </c>
      <c r="D80" s="45">
        <v>77.65676567656766</v>
      </c>
    </row>
    <row r="81" ht="15.75" customHeight="1">
      <c r="A81" s="44">
        <v>21002.0</v>
      </c>
      <c r="B81" s="38" t="s">
        <v>122</v>
      </c>
      <c r="C81" s="45">
        <v>51.18829981718464</v>
      </c>
      <c r="D81" s="45">
        <v>65.5061439438268</v>
      </c>
    </row>
    <row r="82" ht="15.75" customHeight="1">
      <c r="A82" s="44">
        <v>21003.0</v>
      </c>
      <c r="B82" s="38" t="s">
        <v>123</v>
      </c>
      <c r="C82" s="45">
        <v>74.5958429561201</v>
      </c>
      <c r="D82" s="45">
        <v>78.8855193328279</v>
      </c>
    </row>
    <row r="83" ht="15.75" customHeight="1">
      <c r="A83" s="44">
        <v>21004.0</v>
      </c>
      <c r="B83" s="38" t="s">
        <v>124</v>
      </c>
      <c r="C83" s="45">
        <v>49.25521350546177</v>
      </c>
      <c r="D83" s="45">
        <v>63.547784303256805</v>
      </c>
    </row>
    <row r="84" ht="15.75" customHeight="1">
      <c r="A84" s="44">
        <v>21005.0</v>
      </c>
      <c r="B84" s="38" t="s">
        <v>125</v>
      </c>
      <c r="C84" s="45">
        <v>65.70979158474243</v>
      </c>
      <c r="D84" s="45">
        <v>76.41629535327816</v>
      </c>
    </row>
    <row r="85" ht="15.75" customHeight="1">
      <c r="A85" s="44">
        <v>21006.0</v>
      </c>
      <c r="B85" s="38" t="s">
        <v>126</v>
      </c>
      <c r="C85" s="45">
        <v>61.8572141787319</v>
      </c>
      <c r="D85" s="45">
        <v>73.57512953367875</v>
      </c>
    </row>
    <row r="86" ht="15.75" customHeight="1">
      <c r="A86" s="44">
        <v>21101.0</v>
      </c>
      <c r="B86" s="38" t="s">
        <v>128</v>
      </c>
      <c r="C86" s="45">
        <v>80.41411042944785</v>
      </c>
      <c r="D86" s="45">
        <v>84.37271797867679</v>
      </c>
    </row>
    <row r="87" ht="15.75" customHeight="1">
      <c r="A87" s="44">
        <v>21102.0</v>
      </c>
      <c r="B87" s="38" t="s">
        <v>129</v>
      </c>
      <c r="C87" s="45">
        <v>75.14959521295319</v>
      </c>
      <c r="D87" s="45">
        <v>79.9973258457013</v>
      </c>
    </row>
    <row r="88" ht="15.75" customHeight="1">
      <c r="A88" s="44">
        <v>21103.0</v>
      </c>
      <c r="B88" s="38" t="s">
        <v>130</v>
      </c>
      <c r="C88" s="45">
        <v>61.38059701492538</v>
      </c>
      <c r="D88" s="45">
        <v>68.60805860805861</v>
      </c>
    </row>
    <row r="89" ht="15.75" customHeight="1">
      <c r="A89" s="44">
        <v>21104.0</v>
      </c>
      <c r="B89" s="38" t="s">
        <v>131</v>
      </c>
      <c r="C89" s="45">
        <v>70.36637931034483</v>
      </c>
      <c r="D89" s="45">
        <v>79.56733491901687</v>
      </c>
    </row>
    <row r="90" ht="15.75" customHeight="1">
      <c r="A90" s="44">
        <v>21105.0</v>
      </c>
      <c r="B90" s="38" t="s">
        <v>132</v>
      </c>
      <c r="C90" s="45">
        <v>84.56180139316378</v>
      </c>
      <c r="D90" s="45">
        <v>86.02886874790198</v>
      </c>
    </row>
    <row r="91" ht="15.75" customHeight="1">
      <c r="A91" s="44">
        <v>21201.0</v>
      </c>
      <c r="B91" s="38" t="s">
        <v>134</v>
      </c>
      <c r="C91" s="45">
        <v>63.00813008130082</v>
      </c>
      <c r="D91" s="45">
        <v>78.29008467631795</v>
      </c>
    </row>
    <row r="92" ht="15.75" customHeight="1">
      <c r="A92" s="44">
        <v>21202.0</v>
      </c>
      <c r="B92" s="38" t="s">
        <v>135</v>
      </c>
      <c r="C92" s="45">
        <v>63.464431549537935</v>
      </c>
      <c r="D92" s="45">
        <v>77.2509545296772</v>
      </c>
    </row>
    <row r="93" ht="15.75" customHeight="1">
      <c r="A93" s="44">
        <v>21203.0</v>
      </c>
      <c r="B93" s="38" t="s">
        <v>136</v>
      </c>
      <c r="C93" s="45">
        <v>64.95964783565664</v>
      </c>
      <c r="D93" s="45">
        <v>82.37423542628886</v>
      </c>
    </row>
    <row r="94" ht="15.75" customHeight="1">
      <c r="A94" s="44">
        <v>21204.0</v>
      </c>
      <c r="B94" s="38" t="s">
        <v>137</v>
      </c>
      <c r="C94" s="45">
        <v>61.128903122498</v>
      </c>
      <c r="D94" s="45">
        <v>76.81254082299151</v>
      </c>
    </row>
    <row r="95" ht="15.75" customHeight="1">
      <c r="A95" s="44">
        <v>21301.0</v>
      </c>
      <c r="B95" s="38" t="s">
        <v>499</v>
      </c>
      <c r="C95" s="45">
        <v>63.83490653340736</v>
      </c>
      <c r="D95" s="45">
        <v>78.01818487960936</v>
      </c>
    </row>
    <row r="96" ht="15.75" customHeight="1">
      <c r="A96" s="44">
        <v>21302.0</v>
      </c>
      <c r="B96" s="38" t="s">
        <v>140</v>
      </c>
      <c r="C96" s="45">
        <v>80.3193122505373</v>
      </c>
      <c r="D96" s="45">
        <v>84.59426479560707</v>
      </c>
    </row>
    <row r="97" ht="15.75" customHeight="1">
      <c r="A97" s="44">
        <v>21303.0</v>
      </c>
      <c r="B97" s="38" t="s">
        <v>141</v>
      </c>
      <c r="C97" s="45">
        <v>77.93581327498177</v>
      </c>
      <c r="D97" s="45">
        <v>82.39506172839506</v>
      </c>
    </row>
    <row r="98" ht="15.75" customHeight="1">
      <c r="A98" s="44">
        <v>21304.0</v>
      </c>
      <c r="B98" s="38" t="s">
        <v>142</v>
      </c>
      <c r="C98" s="45">
        <v>60.41572525982829</v>
      </c>
      <c r="D98" s="45">
        <v>78.43934911242604</v>
      </c>
    </row>
    <row r="99" ht="15.75" customHeight="1">
      <c r="A99" s="44">
        <v>21305.0</v>
      </c>
      <c r="B99" s="38" t="s">
        <v>143</v>
      </c>
      <c r="C99" s="45">
        <v>65.33300198807157</v>
      </c>
      <c r="D99" s="45">
        <v>76.68382188409039</v>
      </c>
    </row>
    <row r="100" ht="15.75" customHeight="1">
      <c r="A100" s="44">
        <v>21306.0</v>
      </c>
      <c r="B100" s="38" t="s">
        <v>144</v>
      </c>
      <c r="C100" s="45">
        <v>60.82152974504249</v>
      </c>
      <c r="D100" s="45">
        <v>75.52594670406732</v>
      </c>
    </row>
    <row r="101" ht="15.75" customHeight="1">
      <c r="A101" s="44">
        <v>21307.0</v>
      </c>
      <c r="B101" s="38" t="s">
        <v>145</v>
      </c>
      <c r="C101" s="45">
        <v>61.78776790381599</v>
      </c>
      <c r="D101" s="45">
        <v>71.0691823899371</v>
      </c>
    </row>
    <row r="102" ht="15.75" customHeight="1">
      <c r="A102" s="44">
        <v>21401.0</v>
      </c>
      <c r="B102" s="38" t="s">
        <v>147</v>
      </c>
      <c r="C102" s="45">
        <v>77.06827901489456</v>
      </c>
      <c r="D102" s="45">
        <v>78.95528373771806</v>
      </c>
    </row>
    <row r="103" ht="15.75" customHeight="1">
      <c r="A103" s="44">
        <v>21402.0</v>
      </c>
      <c r="B103" s="38" t="s">
        <v>148</v>
      </c>
      <c r="C103" s="45">
        <v>83.28296484809925</v>
      </c>
      <c r="D103" s="45">
        <v>85.50486689339745</v>
      </c>
    </row>
    <row r="104" ht="15.75" customHeight="1">
      <c r="A104" s="44">
        <v>21501.0</v>
      </c>
      <c r="B104" s="38" t="s">
        <v>150</v>
      </c>
      <c r="C104" s="45">
        <v>48.57253086419753</v>
      </c>
      <c r="D104" s="45">
        <v>69.12650602409639</v>
      </c>
    </row>
    <row r="105" ht="15.75" customHeight="1">
      <c r="A105" s="44">
        <v>21502.0</v>
      </c>
      <c r="B105" s="38" t="s">
        <v>151</v>
      </c>
      <c r="C105" s="45">
        <v>48.5357282311597</v>
      </c>
      <c r="D105" s="45">
        <v>65.70789389581336</v>
      </c>
    </row>
    <row r="106" ht="15.75" customHeight="1">
      <c r="A106" s="44">
        <v>21601.0</v>
      </c>
      <c r="B106" s="38" t="s">
        <v>500</v>
      </c>
      <c r="C106" s="45">
        <v>67.97819388480683</v>
      </c>
      <c r="D106" s="45">
        <v>78.62832718088207</v>
      </c>
    </row>
    <row r="107" ht="15.75" customHeight="1">
      <c r="A107" s="44">
        <v>21602.0</v>
      </c>
      <c r="B107" s="38" t="s">
        <v>154</v>
      </c>
      <c r="C107" s="45">
        <v>66.54960491659351</v>
      </c>
      <c r="D107" s="45">
        <v>71.9616742309632</v>
      </c>
    </row>
    <row r="108" ht="15.75" customHeight="1">
      <c r="A108" s="44">
        <v>21701.0</v>
      </c>
      <c r="B108" s="38" t="s">
        <v>156</v>
      </c>
      <c r="C108" s="45">
        <v>71.07223280789884</v>
      </c>
      <c r="D108" s="45">
        <v>77.28969279356876</v>
      </c>
    </row>
    <row r="109" ht="15.75" customHeight="1">
      <c r="A109" s="44">
        <v>21702.0</v>
      </c>
      <c r="B109" s="38" t="s">
        <v>157</v>
      </c>
      <c r="C109" s="45">
        <v>64.04358353510897</v>
      </c>
      <c r="D109" s="45">
        <v>78.34965034965035</v>
      </c>
    </row>
    <row r="110" ht="15.75" customHeight="1">
      <c r="A110" s="44">
        <v>21703.0</v>
      </c>
      <c r="B110" s="38" t="s">
        <v>158</v>
      </c>
      <c r="C110" s="45">
        <v>64.76602438065278</v>
      </c>
      <c r="D110" s="45">
        <v>74.91432488005483</v>
      </c>
    </row>
    <row r="111" ht="15.75" customHeight="1">
      <c r="A111" s="44">
        <v>21801.0</v>
      </c>
      <c r="B111" s="38" t="s">
        <v>160</v>
      </c>
      <c r="C111" s="45">
        <v>74.96136012364761</v>
      </c>
      <c r="D111" s="45">
        <v>85.72309589885909</v>
      </c>
    </row>
    <row r="112" ht="15.75" customHeight="1">
      <c r="A112" s="44">
        <v>21802.0</v>
      </c>
      <c r="B112" s="38" t="s">
        <v>161</v>
      </c>
      <c r="C112" s="45">
        <v>70.28897028897029</v>
      </c>
      <c r="D112" s="45">
        <v>82.17317487266553</v>
      </c>
    </row>
    <row r="113" ht="15.75" customHeight="1">
      <c r="A113" s="44">
        <v>21803.0</v>
      </c>
      <c r="B113" s="38" t="s">
        <v>162</v>
      </c>
      <c r="C113" s="45">
        <v>75.87253414264038</v>
      </c>
      <c r="D113" s="45">
        <v>80.62330623306234</v>
      </c>
    </row>
    <row r="114" ht="15.75" customHeight="1">
      <c r="A114" s="44">
        <v>21901.0</v>
      </c>
      <c r="B114" s="38" t="s">
        <v>164</v>
      </c>
      <c r="C114" s="45">
        <v>67.81674208144797</v>
      </c>
      <c r="D114" s="45">
        <v>84.58917076864823</v>
      </c>
    </row>
    <row r="115" ht="15.75" customHeight="1">
      <c r="A115" s="44">
        <v>21902.0</v>
      </c>
      <c r="B115" s="38" t="s">
        <v>165</v>
      </c>
      <c r="C115" s="45">
        <v>69.3293885601578</v>
      </c>
      <c r="D115" s="45">
        <v>81.11289459604066</v>
      </c>
    </row>
    <row r="116" ht="15.75" customHeight="1">
      <c r="A116" s="44">
        <v>22001.0</v>
      </c>
      <c r="B116" s="38" t="s">
        <v>166</v>
      </c>
      <c r="C116" s="45">
        <v>76.51723086306801</v>
      </c>
      <c r="D116" s="45">
        <v>79.13013665083018</v>
      </c>
    </row>
    <row r="117" ht="15.75" customHeight="1">
      <c r="A117" s="44">
        <v>22002.0</v>
      </c>
      <c r="B117" s="38" t="s">
        <v>167</v>
      </c>
      <c r="C117" s="45">
        <v>76.21052631578948</v>
      </c>
      <c r="D117" s="45">
        <v>79.34750946693853</v>
      </c>
    </row>
    <row r="118" ht="15.75" customHeight="1">
      <c r="A118" s="44">
        <v>30101.0</v>
      </c>
      <c r="B118" s="38" t="s">
        <v>168</v>
      </c>
      <c r="C118" s="45">
        <v>51.921596251822486</v>
      </c>
      <c r="D118" s="45">
        <v>62.08497272771516</v>
      </c>
    </row>
    <row r="119" ht="15.75" customHeight="1">
      <c r="A119" s="44">
        <v>30201.0</v>
      </c>
      <c r="B119" s="38" t="s">
        <v>171</v>
      </c>
      <c r="C119" s="45">
        <v>42.70391949152542</v>
      </c>
      <c r="D119" s="45">
        <v>69.85611510791368</v>
      </c>
    </row>
    <row r="120" ht="15.75" customHeight="1">
      <c r="A120" s="44">
        <v>30202.0</v>
      </c>
      <c r="B120" s="38" t="s">
        <v>172</v>
      </c>
      <c r="C120" s="45">
        <v>45.65493853327681</v>
      </c>
      <c r="D120" s="45">
        <v>67.48898678414096</v>
      </c>
    </row>
    <row r="121" ht="15.75" customHeight="1">
      <c r="A121" s="44">
        <v>30203.0</v>
      </c>
      <c r="B121" s="38" t="s">
        <v>173</v>
      </c>
      <c r="C121" s="45">
        <v>58.54748603351956</v>
      </c>
      <c r="D121" s="45">
        <v>72.60504201680672</v>
      </c>
    </row>
    <row r="122" ht="15.75" customHeight="1">
      <c r="A122" s="44">
        <v>30301.0</v>
      </c>
      <c r="B122" s="38" t="s">
        <v>501</v>
      </c>
      <c r="C122" s="45">
        <v>55.8355091383812</v>
      </c>
      <c r="D122" s="45">
        <v>70.98678661793646</v>
      </c>
    </row>
    <row r="123" ht="15.75" customHeight="1">
      <c r="A123" s="44">
        <v>30302.0</v>
      </c>
      <c r="B123" s="38" t="s">
        <v>175</v>
      </c>
      <c r="C123" s="45">
        <v>58.965437253537466</v>
      </c>
      <c r="D123" s="45">
        <v>72.3130167275524</v>
      </c>
    </row>
    <row r="124" ht="15.75" customHeight="1">
      <c r="A124" s="44">
        <v>30303.0</v>
      </c>
      <c r="B124" s="38" t="s">
        <v>176</v>
      </c>
      <c r="C124" s="45">
        <v>62.21596244131455</v>
      </c>
      <c r="D124" s="45">
        <v>76.82366944397211</v>
      </c>
    </row>
    <row r="125" ht="15.75" customHeight="1">
      <c r="A125" s="44">
        <v>30401.0</v>
      </c>
      <c r="B125" s="38" t="s">
        <v>178</v>
      </c>
      <c r="C125" s="45">
        <v>46.837146702557206</v>
      </c>
      <c r="D125" s="45">
        <v>66.01618277010948</v>
      </c>
    </row>
    <row r="126" ht="15.75" customHeight="1">
      <c r="A126" s="44">
        <v>30402.0</v>
      </c>
      <c r="B126" s="38" t="s">
        <v>179</v>
      </c>
      <c r="C126" s="45">
        <v>53.17872850859656</v>
      </c>
      <c r="D126" s="45">
        <v>75.53035844915874</v>
      </c>
    </row>
    <row r="127" ht="15.75" customHeight="1">
      <c r="A127" s="44">
        <v>30403.0</v>
      </c>
      <c r="B127" s="38" t="s">
        <v>180</v>
      </c>
      <c r="C127" s="45">
        <v>45.96523898199876</v>
      </c>
      <c r="D127" s="45">
        <v>64.54536959162695</v>
      </c>
    </row>
    <row r="128" ht="15.75" customHeight="1">
      <c r="A128" s="44">
        <v>30404.0</v>
      </c>
      <c r="B128" s="38" t="s">
        <v>181</v>
      </c>
      <c r="C128" s="45">
        <v>60.35805626598465</v>
      </c>
      <c r="D128" s="45">
        <v>80.05434782608695</v>
      </c>
    </row>
    <row r="129" ht="15.75" customHeight="1">
      <c r="A129" s="44">
        <v>30501.0</v>
      </c>
      <c r="B129" s="38" t="s">
        <v>182</v>
      </c>
      <c r="C129" s="45">
        <v>56.144067796610166</v>
      </c>
      <c r="D129" s="45">
        <v>73.8837783262284</v>
      </c>
    </row>
    <row r="130" ht="15.75" customHeight="1">
      <c r="A130" s="44">
        <v>30502.0</v>
      </c>
      <c r="B130" s="38" t="s">
        <v>183</v>
      </c>
      <c r="C130" s="45">
        <v>66.279407493465</v>
      </c>
      <c r="D130" s="45">
        <v>82.27163461538461</v>
      </c>
    </row>
    <row r="131" ht="15.75" customHeight="1">
      <c r="A131" s="44">
        <v>30601.0</v>
      </c>
      <c r="B131" s="38" t="s">
        <v>184</v>
      </c>
      <c r="C131" s="45">
        <v>63.59138533178113</v>
      </c>
      <c r="D131" s="45">
        <v>76.04039167686658</v>
      </c>
    </row>
    <row r="132" ht="15.75" customHeight="1">
      <c r="A132" s="44">
        <v>30602.0</v>
      </c>
      <c r="B132" s="38" t="s">
        <v>185</v>
      </c>
      <c r="C132" s="45">
        <v>71.75443537031822</v>
      </c>
      <c r="D132" s="45">
        <v>77.3819866782508</v>
      </c>
    </row>
    <row r="133" ht="15.75" customHeight="1">
      <c r="A133" s="44">
        <v>30701.0</v>
      </c>
      <c r="B133" s="38" t="s">
        <v>186</v>
      </c>
      <c r="C133" s="45">
        <v>56.27524523946913</v>
      </c>
      <c r="D133" s="45">
        <v>66.14184008762322</v>
      </c>
    </row>
    <row r="134" ht="15.75" customHeight="1">
      <c r="A134" s="44">
        <v>30702.0</v>
      </c>
      <c r="B134" s="38" t="s">
        <v>502</v>
      </c>
      <c r="C134" s="45">
        <v>44.50485436893204</v>
      </c>
      <c r="D134" s="45">
        <v>66.57663740715732</v>
      </c>
    </row>
    <row r="135" ht="15.75" customHeight="1">
      <c r="A135" s="44">
        <v>30703.0</v>
      </c>
      <c r="B135" s="38" t="s">
        <v>188</v>
      </c>
      <c r="C135" s="45">
        <v>51.763740771123864</v>
      </c>
      <c r="D135" s="45">
        <v>69.73094170403587</v>
      </c>
    </row>
    <row r="136" ht="15.75" customHeight="1">
      <c r="A136" s="44">
        <v>30801.0</v>
      </c>
      <c r="B136" s="38" t="s">
        <v>190</v>
      </c>
      <c r="C136" s="45">
        <v>49.822021831988614</v>
      </c>
      <c r="D136" s="45">
        <v>69.17079207920793</v>
      </c>
    </row>
    <row r="137" ht="15.75" customHeight="1">
      <c r="A137" s="44">
        <v>30802.0</v>
      </c>
      <c r="B137" s="38" t="s">
        <v>191</v>
      </c>
      <c r="C137" s="45">
        <v>52.52808988764045</v>
      </c>
      <c r="D137" s="45">
        <v>70.26439695762406</v>
      </c>
    </row>
    <row r="138" ht="15.75" customHeight="1">
      <c r="A138" s="44">
        <v>30803.0</v>
      </c>
      <c r="B138" s="38" t="s">
        <v>192</v>
      </c>
      <c r="C138" s="45">
        <v>41.363862618218015</v>
      </c>
      <c r="D138" s="45">
        <v>67.02059202059202</v>
      </c>
    </row>
    <row r="139" ht="15.75" customHeight="1">
      <c r="A139" s="44">
        <v>30901.0</v>
      </c>
      <c r="B139" s="38" t="s">
        <v>193</v>
      </c>
      <c r="C139" s="45">
        <v>50.483460559796434</v>
      </c>
      <c r="D139" s="45">
        <v>61.66291087108555</v>
      </c>
    </row>
    <row r="140" ht="15.75" customHeight="1">
      <c r="A140" s="44">
        <v>30902.0</v>
      </c>
      <c r="B140" s="38" t="s">
        <v>503</v>
      </c>
      <c r="C140" s="45">
        <v>51.063396072569134</v>
      </c>
      <c r="D140" s="45">
        <v>62.705076240108085</v>
      </c>
    </row>
    <row r="141" ht="15.75" customHeight="1">
      <c r="A141" s="44">
        <v>30903.0</v>
      </c>
      <c r="B141" s="38" t="s">
        <v>195</v>
      </c>
      <c r="C141" s="45">
        <v>52.865185483060216</v>
      </c>
      <c r="D141" s="45">
        <v>64.07452073023661</v>
      </c>
    </row>
    <row r="142" ht="15.75" customHeight="1">
      <c r="A142" s="44">
        <v>30904.0</v>
      </c>
      <c r="B142" s="38" t="s">
        <v>196</v>
      </c>
      <c r="C142" s="45">
        <v>49.157587031623706</v>
      </c>
      <c r="D142" s="45">
        <v>61.89291914973488</v>
      </c>
    </row>
    <row r="143" ht="15.75" customHeight="1">
      <c r="A143" s="44">
        <v>30905.0</v>
      </c>
      <c r="B143" s="38" t="s">
        <v>197</v>
      </c>
      <c r="C143" s="45">
        <v>49.19095477386934</v>
      </c>
      <c r="D143" s="45">
        <v>61.22340223059648</v>
      </c>
    </row>
    <row r="144" ht="15.75" customHeight="1">
      <c r="A144" s="44">
        <v>31001.0</v>
      </c>
      <c r="B144" s="38" t="s">
        <v>199</v>
      </c>
      <c r="C144" s="45">
        <v>48.70737160311113</v>
      </c>
      <c r="D144" s="45">
        <v>61.20207644226808</v>
      </c>
    </row>
    <row r="145" ht="15.75" customHeight="1">
      <c r="A145" s="44">
        <v>31002.0</v>
      </c>
      <c r="B145" s="38" t="s">
        <v>200</v>
      </c>
      <c r="C145" s="45">
        <v>62.3708956374287</v>
      </c>
      <c r="D145" s="45">
        <v>78.32112970711297</v>
      </c>
    </row>
    <row r="146" ht="15.75" customHeight="1">
      <c r="A146" s="44">
        <v>31003.0</v>
      </c>
      <c r="B146" s="38" t="s">
        <v>201</v>
      </c>
      <c r="C146" s="45">
        <v>61.87575537829345</v>
      </c>
      <c r="D146" s="45">
        <v>74.50808329677005</v>
      </c>
    </row>
    <row r="147" ht="15.75" customHeight="1">
      <c r="A147" s="44">
        <v>31101.0</v>
      </c>
      <c r="B147" s="38" t="s">
        <v>202</v>
      </c>
      <c r="C147" s="45">
        <v>64.69375379017586</v>
      </c>
      <c r="D147" s="45">
        <v>76.00405422526289</v>
      </c>
    </row>
    <row r="148" ht="15.75" customHeight="1">
      <c r="A148" s="44">
        <v>31201.0</v>
      </c>
      <c r="B148" s="38" t="s">
        <v>204</v>
      </c>
      <c r="C148" s="45">
        <v>63.64628820960698</v>
      </c>
      <c r="D148" s="45">
        <v>81.5281276238455</v>
      </c>
    </row>
    <row r="149" ht="15.75" customHeight="1">
      <c r="A149" s="44">
        <v>31202.0</v>
      </c>
      <c r="B149" s="38" t="s">
        <v>205</v>
      </c>
      <c r="C149" s="45">
        <v>65.18638573743922</v>
      </c>
      <c r="D149" s="45">
        <v>78.61979166666667</v>
      </c>
    </row>
    <row r="150" ht="15.75" customHeight="1">
      <c r="A150" s="44">
        <v>31203.0</v>
      </c>
      <c r="B150" s="38" t="s">
        <v>206</v>
      </c>
      <c r="C150" s="45">
        <v>68.188894654904</v>
      </c>
      <c r="D150" s="45">
        <v>76.66068222621185</v>
      </c>
    </row>
    <row r="151" ht="15.75" customHeight="1">
      <c r="A151" s="44">
        <v>31204.0</v>
      </c>
      <c r="B151" s="38" t="s">
        <v>207</v>
      </c>
      <c r="C151" s="45">
        <v>60.37996016546653</v>
      </c>
      <c r="D151" s="45">
        <v>71.96695337256678</v>
      </c>
    </row>
    <row r="152" ht="15.75" customHeight="1">
      <c r="A152" s="44">
        <v>31205.0</v>
      </c>
      <c r="B152" s="38" t="s">
        <v>208</v>
      </c>
      <c r="C152" s="45">
        <v>60.07493755203996</v>
      </c>
      <c r="D152" s="45">
        <v>73.11532002239224</v>
      </c>
    </row>
    <row r="153" ht="15.75" customHeight="1">
      <c r="A153" s="44">
        <v>31206.0</v>
      </c>
      <c r="B153" s="38" t="s">
        <v>209</v>
      </c>
      <c r="C153" s="45">
        <v>55.70771589167093</v>
      </c>
      <c r="D153" s="45">
        <v>69.0228141896347</v>
      </c>
    </row>
    <row r="154" ht="15.75" customHeight="1">
      <c r="A154" s="44">
        <v>31301.0</v>
      </c>
      <c r="B154" s="38" t="s">
        <v>210</v>
      </c>
      <c r="C154" s="45">
        <v>54.37129390299529</v>
      </c>
      <c r="D154" s="45">
        <v>73.52386479036704</v>
      </c>
    </row>
    <row r="155" ht="15.75" customHeight="1">
      <c r="A155" s="44">
        <v>31302.0</v>
      </c>
      <c r="B155" s="38" t="s">
        <v>211</v>
      </c>
      <c r="C155" s="45">
        <v>59.0778097982709</v>
      </c>
      <c r="D155" s="45">
        <v>67.98780487804879</v>
      </c>
    </row>
    <row r="156" ht="15.75" customHeight="1">
      <c r="A156" s="44">
        <v>31303.0</v>
      </c>
      <c r="B156" s="38" t="s">
        <v>212</v>
      </c>
      <c r="C156" s="45">
        <v>54.04040404040404</v>
      </c>
      <c r="D156" s="45">
        <v>74.15078707539354</v>
      </c>
    </row>
    <row r="157" ht="15.75" customHeight="1">
      <c r="A157" s="44">
        <v>31304.0</v>
      </c>
      <c r="B157" s="38" t="s">
        <v>213</v>
      </c>
      <c r="C157" s="45">
        <v>68.52941176470588</v>
      </c>
      <c r="D157" s="45">
        <v>74.1849886277483</v>
      </c>
    </row>
    <row r="158" ht="15.75" customHeight="1">
      <c r="A158" s="44">
        <v>31401.0</v>
      </c>
      <c r="B158" s="38" t="s">
        <v>214</v>
      </c>
      <c r="C158" s="45">
        <v>54.045696615701765</v>
      </c>
      <c r="D158" s="45">
        <v>69.41446772958295</v>
      </c>
    </row>
    <row r="159" ht="15.75" customHeight="1">
      <c r="A159" s="44">
        <v>31402.0</v>
      </c>
      <c r="B159" s="38" t="s">
        <v>215</v>
      </c>
      <c r="C159" s="45">
        <v>49.07934382323401</v>
      </c>
      <c r="D159" s="45">
        <v>72.9897547345545</v>
      </c>
    </row>
    <row r="160" ht="15.75" customHeight="1">
      <c r="A160" s="44">
        <v>31403.0</v>
      </c>
      <c r="B160" s="38" t="s">
        <v>216</v>
      </c>
      <c r="C160" s="45">
        <v>50.06627532664268</v>
      </c>
      <c r="D160" s="45">
        <v>70.51181102362204</v>
      </c>
    </row>
    <row r="161" ht="15.75" customHeight="1">
      <c r="A161" s="44">
        <v>31404.0</v>
      </c>
      <c r="B161" s="38" t="s">
        <v>217</v>
      </c>
      <c r="C161" s="45">
        <v>44.701348747591524</v>
      </c>
      <c r="D161" s="45">
        <v>73.02231237322515</v>
      </c>
    </row>
    <row r="162" ht="15.75" customHeight="1">
      <c r="A162" s="44">
        <v>31405.0</v>
      </c>
      <c r="B162" s="38" t="s">
        <v>504</v>
      </c>
      <c r="C162" s="45">
        <v>56.018957345971565</v>
      </c>
      <c r="D162" s="45">
        <v>69.49965729952022</v>
      </c>
    </row>
    <row r="163" ht="15.75" customHeight="1">
      <c r="A163" s="44">
        <v>31501.0</v>
      </c>
      <c r="B163" s="38" t="s">
        <v>505</v>
      </c>
      <c r="C163" s="45">
        <v>76.26633986928104</v>
      </c>
      <c r="D163" s="45">
        <v>74.31041580897488</v>
      </c>
    </row>
    <row r="164" ht="15.75" customHeight="1">
      <c r="A164" s="44">
        <v>31601.0</v>
      </c>
      <c r="B164" s="38" t="s">
        <v>220</v>
      </c>
      <c r="C164" s="45">
        <v>60.475279978148045</v>
      </c>
      <c r="D164" s="45">
        <v>79.45124649653341</v>
      </c>
    </row>
    <row r="165" ht="15.75" customHeight="1">
      <c r="A165" s="44">
        <v>31602.0</v>
      </c>
      <c r="B165" s="38" t="s">
        <v>221</v>
      </c>
      <c r="C165" s="45">
        <v>59.65076395385095</v>
      </c>
      <c r="D165" s="45">
        <v>72.87234042553192</v>
      </c>
    </row>
    <row r="166" ht="15.75" customHeight="1">
      <c r="A166" s="44">
        <v>40101.0</v>
      </c>
      <c r="B166" s="38" t="s">
        <v>222</v>
      </c>
      <c r="C166" s="45">
        <v>49.12625796004331</v>
      </c>
      <c r="D166" s="45">
        <v>59.92183624950827</v>
      </c>
    </row>
    <row r="167" ht="15.75" customHeight="1">
      <c r="A167" s="44">
        <v>40102.0</v>
      </c>
      <c r="B167" s="38" t="s">
        <v>223</v>
      </c>
      <c r="C167" s="45">
        <v>57.203647416413375</v>
      </c>
      <c r="D167" s="45">
        <v>70.18173122907699</v>
      </c>
    </row>
    <row r="168" ht="15.75" customHeight="1">
      <c r="A168" s="44">
        <v>40103.0</v>
      </c>
      <c r="B168" s="38" t="s">
        <v>224</v>
      </c>
      <c r="C168" s="45">
        <v>74.68581687612208</v>
      </c>
      <c r="D168" s="45">
        <v>79.55253469272161</v>
      </c>
    </row>
    <row r="169" ht="15.75" customHeight="1">
      <c r="A169" s="44">
        <v>40104.0</v>
      </c>
      <c r="B169" s="38" t="s">
        <v>506</v>
      </c>
      <c r="C169" s="45">
        <v>66.09938733832539</v>
      </c>
      <c r="D169" s="45">
        <v>77.41066618782546</v>
      </c>
    </row>
    <row r="170" ht="15.75" customHeight="1">
      <c r="A170" s="44">
        <v>40201.0</v>
      </c>
      <c r="B170" s="38" t="s">
        <v>227</v>
      </c>
      <c r="C170" s="45">
        <v>62.05757919719327</v>
      </c>
      <c r="D170" s="45">
        <v>71.79900008473858</v>
      </c>
    </row>
    <row r="171" ht="15.75" customHeight="1">
      <c r="A171" s="44">
        <v>40202.0</v>
      </c>
      <c r="B171" s="38" t="s">
        <v>228</v>
      </c>
      <c r="C171" s="45">
        <v>72.4837074583635</v>
      </c>
      <c r="D171" s="45">
        <v>74.29956896551724</v>
      </c>
    </row>
    <row r="172" ht="15.75" customHeight="1">
      <c r="A172" s="44">
        <v>40301.0</v>
      </c>
      <c r="B172" s="38" t="s">
        <v>230</v>
      </c>
      <c r="C172" s="45">
        <v>56.0239068889588</v>
      </c>
      <c r="D172" s="45">
        <v>71.1345555171221</v>
      </c>
    </row>
    <row r="173" ht="15.75" customHeight="1">
      <c r="A173" s="44">
        <v>40302.0</v>
      </c>
      <c r="B173" s="38" t="s">
        <v>231</v>
      </c>
      <c r="C173" s="45">
        <v>65.76168929110105</v>
      </c>
      <c r="D173" s="45">
        <v>76.19047619047619</v>
      </c>
    </row>
    <row r="174" ht="15.75" customHeight="1">
      <c r="A174" s="44">
        <v>40401.0</v>
      </c>
      <c r="B174" s="38" t="s">
        <v>233</v>
      </c>
      <c r="C174" s="45">
        <v>59.5352016404648</v>
      </c>
      <c r="D174" s="45">
        <v>79.23608289313287</v>
      </c>
    </row>
    <row r="175" ht="15.75" customHeight="1">
      <c r="A175" s="44">
        <v>40402.0</v>
      </c>
      <c r="B175" s="38" t="s">
        <v>234</v>
      </c>
      <c r="C175" s="45">
        <v>67.5194660734149</v>
      </c>
      <c r="D175" s="45">
        <v>78.23809523809524</v>
      </c>
    </row>
    <row r="176" ht="15.75" customHeight="1">
      <c r="A176" s="44">
        <v>40501.0</v>
      </c>
      <c r="B176" s="38" t="s">
        <v>236</v>
      </c>
      <c r="C176" s="45">
        <v>54.330708661417326</v>
      </c>
      <c r="D176" s="45">
        <v>68.391994478951</v>
      </c>
    </row>
    <row r="177" ht="15.75" customHeight="1">
      <c r="A177" s="44">
        <v>40502.0</v>
      </c>
      <c r="B177" s="38" t="s">
        <v>237</v>
      </c>
      <c r="C177" s="45">
        <v>57.30843528654218</v>
      </c>
      <c r="D177" s="45">
        <v>67.65899864682002</v>
      </c>
    </row>
    <row r="178" ht="15.75" customHeight="1">
      <c r="A178" s="44">
        <v>40503.0</v>
      </c>
      <c r="B178" s="38" t="s">
        <v>238</v>
      </c>
      <c r="C178" s="45">
        <v>42.816901408450704</v>
      </c>
      <c r="D178" s="45">
        <v>78.82352941176471</v>
      </c>
    </row>
    <row r="179" ht="15.75" customHeight="1">
      <c r="A179" s="44">
        <v>40504.0</v>
      </c>
      <c r="B179" s="38" t="s">
        <v>239</v>
      </c>
      <c r="C179" s="45">
        <v>57.738095238095234</v>
      </c>
      <c r="D179" s="45">
        <v>67.3469387755102</v>
      </c>
    </row>
    <row r="180" ht="15.75" customHeight="1">
      <c r="A180" s="44">
        <v>40505.0</v>
      </c>
      <c r="B180" s="38" t="s">
        <v>240</v>
      </c>
      <c r="C180" s="45">
        <v>47.63406940063091</v>
      </c>
      <c r="D180" s="45">
        <v>69.5345557122708</v>
      </c>
    </row>
    <row r="181" ht="15.75" customHeight="1">
      <c r="A181" s="44">
        <v>40601.0</v>
      </c>
      <c r="B181" s="38" t="s">
        <v>241</v>
      </c>
      <c r="C181" s="45">
        <v>52.69546590503391</v>
      </c>
      <c r="D181" s="45">
        <v>60.95804633688166</v>
      </c>
    </row>
    <row r="182" ht="15.75" customHeight="1">
      <c r="A182" s="44">
        <v>40602.0</v>
      </c>
      <c r="B182" s="38" t="s">
        <v>242</v>
      </c>
      <c r="C182" s="45">
        <v>60.10314111579934</v>
      </c>
      <c r="D182" s="45">
        <v>70.85828343313374</v>
      </c>
    </row>
    <row r="183" ht="15.75" customHeight="1">
      <c r="A183" s="44">
        <v>40603.0</v>
      </c>
      <c r="B183" s="38" t="s">
        <v>243</v>
      </c>
      <c r="C183" s="45">
        <v>50.04739336492891</v>
      </c>
      <c r="D183" s="45">
        <v>58.14497272018706</v>
      </c>
    </row>
    <row r="184" ht="15.75" customHeight="1">
      <c r="A184" s="44">
        <v>40701.0</v>
      </c>
      <c r="B184" s="38" t="s">
        <v>245</v>
      </c>
      <c r="C184" s="45">
        <v>39.204690288044866</v>
      </c>
      <c r="D184" s="45">
        <v>51.676445934618606</v>
      </c>
    </row>
    <row r="185" ht="15.75" customHeight="1">
      <c r="A185" s="44">
        <v>40702.0</v>
      </c>
      <c r="B185" s="38" t="s">
        <v>246</v>
      </c>
      <c r="C185" s="45">
        <v>51.39353400222966</v>
      </c>
      <c r="D185" s="45">
        <v>62.27412957249889</v>
      </c>
    </row>
    <row r="186" ht="15.75" customHeight="1">
      <c r="A186" s="44">
        <v>40801.0</v>
      </c>
      <c r="B186" s="38" t="s">
        <v>507</v>
      </c>
      <c r="C186" s="45">
        <v>71.93331674545908</v>
      </c>
      <c r="D186" s="45">
        <v>72.2861250898634</v>
      </c>
    </row>
    <row r="187" ht="15.75" customHeight="1">
      <c r="A187" s="44">
        <v>40802.0</v>
      </c>
      <c r="B187" s="38" t="s">
        <v>249</v>
      </c>
      <c r="C187" s="45">
        <v>57.49741468459152</v>
      </c>
      <c r="D187" s="45">
        <v>71.08108108108108</v>
      </c>
    </row>
    <row r="188" ht="15.75" customHeight="1">
      <c r="A188" s="44">
        <v>40901.0</v>
      </c>
      <c r="B188" s="38" t="s">
        <v>250</v>
      </c>
      <c r="C188" s="45">
        <v>47.95454545454545</v>
      </c>
      <c r="D188" s="45">
        <v>68.88848528877588</v>
      </c>
    </row>
    <row r="189" ht="15.75" customHeight="1">
      <c r="A189" s="44">
        <v>40902.0</v>
      </c>
      <c r="B189" s="38" t="s">
        <v>251</v>
      </c>
      <c r="C189" s="45">
        <v>50.17667844522968</v>
      </c>
      <c r="D189" s="45">
        <v>56.018518518518526</v>
      </c>
    </row>
    <row r="190" ht="15.75" customHeight="1">
      <c r="A190" s="44">
        <v>40903.0</v>
      </c>
      <c r="B190" s="38" t="s">
        <v>508</v>
      </c>
      <c r="C190" s="45">
        <v>47.269890795631824</v>
      </c>
      <c r="D190" s="45">
        <v>58.50515463917526</v>
      </c>
    </row>
    <row r="191" ht="15.75" customHeight="1">
      <c r="A191" s="44">
        <v>41001.0</v>
      </c>
      <c r="B191" s="38" t="s">
        <v>254</v>
      </c>
      <c r="C191" s="45">
        <v>69.37299035369774</v>
      </c>
      <c r="D191" s="45">
        <v>76.42810242941562</v>
      </c>
    </row>
    <row r="192" ht="15.75" customHeight="1">
      <c r="A192" s="44">
        <v>41101.0</v>
      </c>
      <c r="B192" s="38" t="s">
        <v>256</v>
      </c>
      <c r="C192" s="45">
        <v>61.958874458874455</v>
      </c>
      <c r="D192" s="45">
        <v>72.86089238845145</v>
      </c>
    </row>
    <row r="193" ht="15.75" customHeight="1">
      <c r="A193" s="44">
        <v>41201.0</v>
      </c>
      <c r="B193" s="38" t="s">
        <v>509</v>
      </c>
      <c r="C193" s="45">
        <v>60.0</v>
      </c>
      <c r="D193" s="45">
        <v>74.37943262411348</v>
      </c>
    </row>
    <row r="194" ht="15.75" customHeight="1">
      <c r="A194" s="44">
        <v>41202.0</v>
      </c>
      <c r="B194" s="38" t="s">
        <v>259</v>
      </c>
      <c r="C194" s="45">
        <v>65.00691562932226</v>
      </c>
      <c r="D194" s="45">
        <v>76.83823529411765</v>
      </c>
    </row>
    <row r="195" ht="15.75" customHeight="1">
      <c r="A195" s="44">
        <v>41301.0</v>
      </c>
      <c r="B195" s="38" t="s">
        <v>260</v>
      </c>
      <c r="C195" s="45">
        <v>69.0841715193224</v>
      </c>
      <c r="D195" s="45">
        <v>80.14343343792022</v>
      </c>
    </row>
    <row r="196" ht="15.75" customHeight="1">
      <c r="A196" s="44">
        <v>41401.0</v>
      </c>
      <c r="B196" s="38" t="s">
        <v>262</v>
      </c>
      <c r="C196" s="45">
        <v>61.669699727024565</v>
      </c>
      <c r="D196" s="45">
        <v>69.15012268570155</v>
      </c>
    </row>
    <row r="197" ht="15.75" customHeight="1">
      <c r="A197" s="44">
        <v>41501.0</v>
      </c>
      <c r="B197" s="38" t="s">
        <v>264</v>
      </c>
      <c r="C197" s="45">
        <v>63.33333333333333</v>
      </c>
      <c r="D197" s="45">
        <v>61.64079822616409</v>
      </c>
    </row>
    <row r="198" ht="15.75" customHeight="1">
      <c r="A198" s="44">
        <v>41502.0</v>
      </c>
      <c r="B198" s="38" t="s">
        <v>265</v>
      </c>
      <c r="C198" s="45">
        <v>59.375</v>
      </c>
      <c r="D198" s="45">
        <v>70.49180327868852</v>
      </c>
    </row>
    <row r="199" ht="15.75" customHeight="1">
      <c r="A199" s="44">
        <v>41503.0</v>
      </c>
      <c r="B199" s="38" t="s">
        <v>229</v>
      </c>
      <c r="C199" s="45">
        <v>51.83946488294314</v>
      </c>
      <c r="D199" s="45">
        <v>69.9228791773779</v>
      </c>
    </row>
    <row r="200" ht="15.75" customHeight="1">
      <c r="A200" s="44">
        <v>41601.0</v>
      </c>
      <c r="B200" s="38" t="s">
        <v>510</v>
      </c>
      <c r="C200" s="45">
        <v>67.3202614379085</v>
      </c>
      <c r="D200" s="45">
        <v>79.19890760127446</v>
      </c>
    </row>
    <row r="201" ht="15.75" customHeight="1">
      <c r="A201" s="44">
        <v>50101.0</v>
      </c>
      <c r="B201" s="38" t="s">
        <v>268</v>
      </c>
      <c r="C201" s="45">
        <v>43.35034524166917</v>
      </c>
      <c r="D201" s="45">
        <v>56.07840293890178</v>
      </c>
    </row>
    <row r="202" ht="15.75" customHeight="1">
      <c r="A202" s="44">
        <v>50102.0</v>
      </c>
      <c r="B202" s="38" t="s">
        <v>270</v>
      </c>
      <c r="C202" s="45">
        <v>57.95718654434251</v>
      </c>
      <c r="D202" s="45">
        <v>71.02698650674662</v>
      </c>
    </row>
    <row r="203" ht="15.75" customHeight="1">
      <c r="A203" s="44">
        <v>50103.0</v>
      </c>
      <c r="B203" s="38" t="s">
        <v>271</v>
      </c>
      <c r="C203" s="45">
        <v>52.875695732838594</v>
      </c>
      <c r="D203" s="45">
        <v>68.77272727272728</v>
      </c>
    </row>
    <row r="204" ht="15.75" customHeight="1">
      <c r="A204" s="44">
        <v>50104.0</v>
      </c>
      <c r="B204" s="38" t="s">
        <v>511</v>
      </c>
      <c r="C204" s="45">
        <v>57.091775923718714</v>
      </c>
      <c r="D204" s="45">
        <v>72.1868365180467</v>
      </c>
    </row>
    <row r="205" ht="15.75" customHeight="1">
      <c r="A205" s="44">
        <v>50201.0</v>
      </c>
      <c r="B205" s="38" t="s">
        <v>274</v>
      </c>
      <c r="C205" s="45">
        <v>53.53776715783884</v>
      </c>
      <c r="D205" s="45">
        <v>68.19650937297996</v>
      </c>
    </row>
    <row r="206" ht="15.75" customHeight="1">
      <c r="A206" s="44">
        <v>50202.0</v>
      </c>
      <c r="B206" s="38" t="s">
        <v>275</v>
      </c>
      <c r="C206" s="45">
        <v>59.31636633847297</v>
      </c>
      <c r="D206" s="45">
        <v>70.2416918429003</v>
      </c>
    </row>
    <row r="207" ht="15.75" customHeight="1">
      <c r="A207" s="44">
        <v>50203.0</v>
      </c>
      <c r="B207" s="38" t="s">
        <v>276</v>
      </c>
      <c r="C207" s="45">
        <v>47.00657671706556</v>
      </c>
      <c r="D207" s="45">
        <v>58.337429343819124</v>
      </c>
    </row>
    <row r="208" ht="15.75" customHeight="1">
      <c r="A208" s="44">
        <v>50204.0</v>
      </c>
      <c r="B208" s="38" t="s">
        <v>512</v>
      </c>
      <c r="C208" s="45">
        <v>38.107416879795394</v>
      </c>
      <c r="D208" s="45">
        <v>58.82845188284519</v>
      </c>
    </row>
    <row r="209" ht="15.75" customHeight="1">
      <c r="A209" s="44">
        <v>50301.0</v>
      </c>
      <c r="B209" s="38" t="s">
        <v>279</v>
      </c>
      <c r="C209" s="45">
        <v>57.936371453138435</v>
      </c>
      <c r="D209" s="45">
        <v>73.82023462997266</v>
      </c>
    </row>
    <row r="210" ht="15.75" customHeight="1">
      <c r="A210" s="44">
        <v>50302.0</v>
      </c>
      <c r="B210" s="38" t="s">
        <v>280</v>
      </c>
      <c r="C210" s="45">
        <v>50.14852822036187</v>
      </c>
      <c r="D210" s="45">
        <v>66.74298797939325</v>
      </c>
    </row>
    <row r="211" ht="15.75" customHeight="1">
      <c r="A211" s="44">
        <v>50303.0</v>
      </c>
      <c r="B211" s="38" t="s">
        <v>281</v>
      </c>
      <c r="C211" s="45">
        <v>57.46509129967776</v>
      </c>
      <c r="D211" s="45">
        <v>69.88390621443205</v>
      </c>
    </row>
    <row r="212" ht="15.75" customHeight="1">
      <c r="A212" s="44">
        <v>50401.0</v>
      </c>
      <c r="B212" s="38" t="s">
        <v>282</v>
      </c>
      <c r="C212" s="45">
        <v>56.576063130206045</v>
      </c>
      <c r="D212" s="45">
        <v>66.1459547680112</v>
      </c>
    </row>
    <row r="213" ht="15.75" customHeight="1">
      <c r="A213" s="44">
        <v>50402.0</v>
      </c>
      <c r="B213" s="38" t="s">
        <v>283</v>
      </c>
      <c r="C213" s="45">
        <v>57.98173118747282</v>
      </c>
      <c r="D213" s="45">
        <v>77.53532462886781</v>
      </c>
    </row>
    <row r="214" ht="15.75" customHeight="1">
      <c r="A214" s="44">
        <v>50403.0</v>
      </c>
      <c r="B214" s="38" t="s">
        <v>284</v>
      </c>
      <c r="C214" s="45">
        <v>56.671629824762334</v>
      </c>
      <c r="D214" s="45">
        <v>72.82753375166382</v>
      </c>
    </row>
    <row r="215" ht="15.75" customHeight="1">
      <c r="A215" s="44">
        <v>50404.0</v>
      </c>
      <c r="B215" s="38" t="s">
        <v>285</v>
      </c>
      <c r="C215" s="45">
        <v>61.83456183456183</v>
      </c>
      <c r="D215" s="45">
        <v>71.98127156234598</v>
      </c>
    </row>
    <row r="216" ht="15.75" customHeight="1">
      <c r="A216" s="44">
        <v>50405.0</v>
      </c>
      <c r="B216" s="38" t="s">
        <v>286</v>
      </c>
      <c r="C216" s="45">
        <v>60.90187468333051</v>
      </c>
      <c r="D216" s="45">
        <v>74.31913116123643</v>
      </c>
    </row>
    <row r="217" ht="15.75" customHeight="1">
      <c r="A217" s="44">
        <v>50501.0</v>
      </c>
      <c r="B217" s="38" t="s">
        <v>513</v>
      </c>
      <c r="C217" s="45">
        <v>60.417328672810086</v>
      </c>
      <c r="D217" s="45">
        <v>77.05353022611907</v>
      </c>
    </row>
    <row r="218" ht="15.75" customHeight="1">
      <c r="A218" s="44">
        <v>50502.0</v>
      </c>
      <c r="B218" s="38" t="s">
        <v>289</v>
      </c>
      <c r="C218" s="45">
        <v>53.021499128413716</v>
      </c>
      <c r="D218" s="45">
        <v>77.90927021696253</v>
      </c>
    </row>
    <row r="219" ht="15.75" customHeight="1">
      <c r="A219" s="44">
        <v>50601.0</v>
      </c>
      <c r="B219" s="38" t="s">
        <v>291</v>
      </c>
      <c r="C219" s="45">
        <v>52.54593175853019</v>
      </c>
      <c r="D219" s="45">
        <v>69.58657767890249</v>
      </c>
    </row>
    <row r="220" ht="15.75" customHeight="1">
      <c r="A220" s="44">
        <v>50602.0</v>
      </c>
      <c r="B220" s="38" t="s">
        <v>292</v>
      </c>
      <c r="C220" s="45">
        <v>47.87788533134773</v>
      </c>
      <c r="D220" s="45">
        <v>71.08980827447023</v>
      </c>
    </row>
    <row r="221" ht="15.75" customHeight="1">
      <c r="A221" s="44">
        <v>50701.0</v>
      </c>
      <c r="B221" s="38" t="s">
        <v>514</v>
      </c>
      <c r="C221" s="45">
        <v>72.30987693278637</v>
      </c>
      <c r="D221" s="45">
        <v>79.32164193486221</v>
      </c>
    </row>
    <row r="222" ht="15.75" customHeight="1">
      <c r="A222" s="44">
        <v>50702.0</v>
      </c>
      <c r="B222" s="38" t="s">
        <v>295</v>
      </c>
      <c r="C222" s="45">
        <v>75.2833638025594</v>
      </c>
      <c r="D222" s="45">
        <v>78.81548974943053</v>
      </c>
    </row>
    <row r="223" ht="15.75" customHeight="1">
      <c r="A223" s="44">
        <v>50801.0</v>
      </c>
      <c r="B223" s="38" t="s">
        <v>297</v>
      </c>
      <c r="C223" s="45">
        <v>51.758368137521934</v>
      </c>
      <c r="D223" s="45">
        <v>63.24955012480409</v>
      </c>
    </row>
    <row r="224" ht="15.75" customHeight="1">
      <c r="A224" s="44">
        <v>50802.0</v>
      </c>
      <c r="B224" s="38" t="s">
        <v>298</v>
      </c>
      <c r="C224" s="45">
        <v>44.949776785714285</v>
      </c>
      <c r="D224" s="45">
        <v>54.66540999057493</v>
      </c>
    </row>
    <row r="225" ht="15.75" customHeight="1">
      <c r="A225" s="44">
        <v>50901.0</v>
      </c>
      <c r="B225" s="38" t="s">
        <v>515</v>
      </c>
      <c r="C225" s="45">
        <v>54.024452368823226</v>
      </c>
      <c r="D225" s="45">
        <v>64.73029045643153</v>
      </c>
    </row>
    <row r="226" ht="15.75" customHeight="1">
      <c r="A226" s="44">
        <v>50902.0</v>
      </c>
      <c r="B226" s="38" t="s">
        <v>301</v>
      </c>
      <c r="C226" s="45">
        <v>68.80466472303208</v>
      </c>
      <c r="D226" s="45">
        <v>68.64864864864865</v>
      </c>
    </row>
    <row r="227" ht="15.75" customHeight="1">
      <c r="A227" s="44">
        <v>51001.0</v>
      </c>
      <c r="B227" s="38" t="s">
        <v>516</v>
      </c>
      <c r="C227" s="45">
        <v>57.11462450592886</v>
      </c>
      <c r="D227" s="45">
        <v>68.48364717542121</v>
      </c>
    </row>
    <row r="228" ht="15.75" customHeight="1">
      <c r="A228" s="44">
        <v>51002.0</v>
      </c>
      <c r="B228" s="38" t="s">
        <v>304</v>
      </c>
      <c r="C228" s="45">
        <v>26.303317535545023</v>
      </c>
      <c r="D228" s="45">
        <v>69.48228882833789</v>
      </c>
    </row>
    <row r="229" ht="15.75" customHeight="1">
      <c r="A229" s="44">
        <v>51003.0</v>
      </c>
      <c r="B229" s="38" t="s">
        <v>305</v>
      </c>
      <c r="C229" s="45">
        <v>58.31099195710456</v>
      </c>
      <c r="D229" s="45">
        <v>57.45614035087719</v>
      </c>
    </row>
    <row r="230" ht="15.75" customHeight="1">
      <c r="A230" s="44">
        <v>51101.0</v>
      </c>
      <c r="B230" s="38" t="s">
        <v>307</v>
      </c>
      <c r="C230" s="45">
        <v>53.87830362630609</v>
      </c>
      <c r="D230" s="45">
        <v>73.84248210023866</v>
      </c>
    </row>
    <row r="231" ht="15.75" customHeight="1">
      <c r="A231" s="44">
        <v>51102.0</v>
      </c>
      <c r="B231" s="38" t="s">
        <v>308</v>
      </c>
      <c r="C231" s="45">
        <v>50.13428827215757</v>
      </c>
      <c r="D231" s="45">
        <v>63.76224968044312</v>
      </c>
    </row>
    <row r="232" ht="15.75" customHeight="1">
      <c r="A232" s="44">
        <v>51103.0</v>
      </c>
      <c r="B232" s="38" t="s">
        <v>309</v>
      </c>
      <c r="C232" s="45">
        <v>54.43474731073675</v>
      </c>
      <c r="D232" s="45">
        <v>74.21774539219889</v>
      </c>
    </row>
    <row r="233" ht="15.75" customHeight="1">
      <c r="A233" s="44">
        <v>51201.0</v>
      </c>
      <c r="B233" s="38" t="s">
        <v>311</v>
      </c>
      <c r="C233" s="45">
        <v>55.27902747200153</v>
      </c>
      <c r="D233" s="45">
        <v>66.38714733542321</v>
      </c>
    </row>
    <row r="234" ht="15.75" customHeight="1">
      <c r="A234" s="44">
        <v>51202.0</v>
      </c>
      <c r="B234" s="38" t="s">
        <v>312</v>
      </c>
      <c r="C234" s="45">
        <v>53.15518351577592</v>
      </c>
      <c r="D234" s="45">
        <v>69.87315010570825</v>
      </c>
    </row>
    <row r="235" ht="15.75" customHeight="1">
      <c r="A235" s="44">
        <v>51203.0</v>
      </c>
      <c r="B235" s="38" t="s">
        <v>313</v>
      </c>
      <c r="C235" s="45">
        <v>28.14723167336839</v>
      </c>
      <c r="D235" s="45">
        <v>52.625596726528755</v>
      </c>
    </row>
    <row r="236" ht="15.75" customHeight="1">
      <c r="A236" s="44">
        <v>51204.0</v>
      </c>
      <c r="B236" s="38" t="s">
        <v>314</v>
      </c>
      <c r="C236" s="45">
        <v>49.70731707317073</v>
      </c>
      <c r="D236" s="45">
        <v>68.19656930922578</v>
      </c>
    </row>
    <row r="237" ht="15.75" customHeight="1">
      <c r="A237" s="44">
        <v>51301.0</v>
      </c>
      <c r="B237" s="38" t="s">
        <v>316</v>
      </c>
      <c r="C237" s="45">
        <v>55.44401544401545</v>
      </c>
      <c r="D237" s="45">
        <v>80.95238095238095</v>
      </c>
    </row>
    <row r="238" ht="15.75" customHeight="1">
      <c r="A238" s="44">
        <v>51302.0</v>
      </c>
      <c r="B238" s="38" t="s">
        <v>317</v>
      </c>
      <c r="C238" s="45">
        <v>51.6243654822335</v>
      </c>
      <c r="D238" s="45">
        <v>81.42041851616995</v>
      </c>
    </row>
    <row r="239" ht="15.75" customHeight="1">
      <c r="A239" s="44">
        <v>51401.0</v>
      </c>
      <c r="B239" s="38" t="s">
        <v>319</v>
      </c>
      <c r="C239" s="45">
        <v>68.93408134642355</v>
      </c>
      <c r="D239" s="45">
        <v>65.94911937377691</v>
      </c>
    </row>
    <row r="240" ht="15.75" customHeight="1">
      <c r="A240" s="44">
        <v>51402.0</v>
      </c>
      <c r="B240" s="38" t="s">
        <v>320</v>
      </c>
      <c r="C240" s="45">
        <v>62.563237774030355</v>
      </c>
      <c r="D240" s="45">
        <v>68.61702127659575</v>
      </c>
    </row>
    <row r="241" ht="15.75" customHeight="1">
      <c r="A241" s="44">
        <v>51501.0</v>
      </c>
      <c r="B241" s="38" t="s">
        <v>322</v>
      </c>
      <c r="C241" s="45">
        <v>55.265051571120175</v>
      </c>
      <c r="D241" s="45">
        <v>66.34751387226635</v>
      </c>
    </row>
    <row r="242" ht="15.75" customHeight="1">
      <c r="A242" s="44">
        <v>51601.0</v>
      </c>
      <c r="B242" s="38" t="s">
        <v>324</v>
      </c>
      <c r="C242" s="45">
        <v>57.647058823529406</v>
      </c>
      <c r="D242" s="45">
        <v>61.71875</v>
      </c>
    </row>
    <row r="243" ht="15.75" customHeight="1">
      <c r="A243" s="44">
        <v>60101.0</v>
      </c>
      <c r="B243" s="38" t="s">
        <v>325</v>
      </c>
      <c r="C243" s="45">
        <v>55.02318584730907</v>
      </c>
      <c r="D243" s="45">
        <v>64.3473181093999</v>
      </c>
    </row>
    <row r="244" ht="15.75" customHeight="1">
      <c r="A244" s="44">
        <v>60201.0</v>
      </c>
      <c r="B244" s="38" t="s">
        <v>327</v>
      </c>
      <c r="C244" s="45">
        <v>52.91756715035505</v>
      </c>
      <c r="D244" s="45">
        <v>67.41185296324082</v>
      </c>
    </row>
    <row r="245" ht="15.75" customHeight="1">
      <c r="A245" s="44">
        <v>60202.0</v>
      </c>
      <c r="B245" s="38" t="s">
        <v>328</v>
      </c>
      <c r="C245" s="45">
        <v>58.02936996684036</v>
      </c>
      <c r="D245" s="45">
        <v>64.65455069955286</v>
      </c>
    </row>
    <row r="246" ht="15.75" customHeight="1">
      <c r="A246" s="44">
        <v>60301.0</v>
      </c>
      <c r="B246" s="38" t="s">
        <v>330</v>
      </c>
      <c r="C246" s="45">
        <v>50.881388148011894</v>
      </c>
      <c r="D246" s="45">
        <v>62.51928461230787</v>
      </c>
    </row>
    <row r="247" ht="15.75" customHeight="1">
      <c r="A247" s="44">
        <v>60302.0</v>
      </c>
      <c r="B247" s="38" t="s">
        <v>331</v>
      </c>
      <c r="C247" s="45">
        <v>50.22563176895307</v>
      </c>
      <c r="D247" s="45">
        <v>64.33962264150944</v>
      </c>
    </row>
    <row r="248" ht="15.75" customHeight="1">
      <c r="A248" s="44">
        <v>60303.0</v>
      </c>
      <c r="B248" s="38" t="s">
        <v>332</v>
      </c>
      <c r="C248" s="45">
        <v>51.09478104379124</v>
      </c>
      <c r="D248" s="45">
        <v>61.26718863083097</v>
      </c>
    </row>
    <row r="249" ht="15.75" customHeight="1">
      <c r="A249" s="44">
        <v>60401.0</v>
      </c>
      <c r="B249" s="38" t="s">
        <v>334</v>
      </c>
      <c r="C249" s="45">
        <v>62.916209293816316</v>
      </c>
      <c r="D249" s="45">
        <v>68.33140400198445</v>
      </c>
    </row>
    <row r="250" ht="15.75" customHeight="1">
      <c r="A250" s="44">
        <v>60402.0</v>
      </c>
      <c r="B250" s="38" t="s">
        <v>335</v>
      </c>
      <c r="C250" s="45">
        <v>62.12765957446808</v>
      </c>
      <c r="D250" s="45">
        <v>72.45714285714286</v>
      </c>
    </row>
    <row r="251" ht="15.75" customHeight="1">
      <c r="A251" s="44">
        <v>60501.0</v>
      </c>
      <c r="B251" s="38" t="s">
        <v>517</v>
      </c>
      <c r="C251" s="45">
        <v>57.39288555517672</v>
      </c>
      <c r="D251" s="45">
        <v>68.8121357559136</v>
      </c>
    </row>
    <row r="252" ht="15.75" customHeight="1">
      <c r="A252" s="44">
        <v>60502.0</v>
      </c>
      <c r="B252" s="38" t="s">
        <v>338</v>
      </c>
      <c r="C252" s="45">
        <v>48.85156828846629</v>
      </c>
      <c r="D252" s="45">
        <v>71.89174705251877</v>
      </c>
    </row>
    <row r="253" ht="15.75" customHeight="1">
      <c r="A253" s="44">
        <v>60601.0</v>
      </c>
      <c r="B253" s="38" t="s">
        <v>209</v>
      </c>
      <c r="C253" s="45">
        <v>48.41044564291796</v>
      </c>
      <c r="D253" s="45">
        <v>67.43144935646335</v>
      </c>
    </row>
    <row r="254" ht="15.75" customHeight="1">
      <c r="A254" s="44">
        <v>70101.0</v>
      </c>
      <c r="B254" s="38" t="s">
        <v>342</v>
      </c>
      <c r="C254" s="45">
        <v>54.673555748312694</v>
      </c>
      <c r="D254" s="45">
        <v>63.58178460435918</v>
      </c>
    </row>
    <row r="255" ht="15.75" customHeight="1">
      <c r="A255" s="44">
        <v>70102.0</v>
      </c>
      <c r="B255" s="38" t="s">
        <v>343</v>
      </c>
      <c r="C255" s="45">
        <v>46.163028649386085</v>
      </c>
      <c r="D255" s="45">
        <v>60.58748558596832</v>
      </c>
    </row>
    <row r="256" ht="15.75" customHeight="1">
      <c r="A256" s="44">
        <v>70103.0</v>
      </c>
      <c r="B256" s="38" t="s">
        <v>344</v>
      </c>
      <c r="C256" s="45">
        <v>51.955189177763685</v>
      </c>
      <c r="D256" s="45">
        <v>60.63456232756459</v>
      </c>
    </row>
    <row r="257" ht="15.75" customHeight="1">
      <c r="A257" s="44">
        <v>70104.0</v>
      </c>
      <c r="B257" s="38" t="s">
        <v>345</v>
      </c>
      <c r="C257" s="45">
        <v>50.954248366013076</v>
      </c>
      <c r="D257" s="45">
        <v>63.53740690254648</v>
      </c>
    </row>
    <row r="258" ht="15.75" customHeight="1">
      <c r="A258" s="44">
        <v>70105.0</v>
      </c>
      <c r="B258" s="38" t="s">
        <v>346</v>
      </c>
      <c r="C258" s="45">
        <v>51.731537223579906</v>
      </c>
      <c r="D258" s="45">
        <v>63.07151845637584</v>
      </c>
    </row>
    <row r="259" ht="15.75" customHeight="1">
      <c r="A259" s="44">
        <v>70201.0</v>
      </c>
      <c r="B259" s="38" t="s">
        <v>347</v>
      </c>
      <c r="C259" s="45">
        <v>46.14042323677781</v>
      </c>
      <c r="D259" s="45">
        <v>60.101857027513816</v>
      </c>
    </row>
    <row r="260" ht="15.75" customHeight="1">
      <c r="A260" s="44">
        <v>70202.0</v>
      </c>
      <c r="B260" s="38" t="s">
        <v>348</v>
      </c>
      <c r="C260" s="45">
        <v>36.44155844155844</v>
      </c>
      <c r="D260" s="45">
        <v>46.54447115384615</v>
      </c>
    </row>
    <row r="261" ht="15.75" customHeight="1">
      <c r="A261" s="44">
        <v>70301.0</v>
      </c>
      <c r="B261" s="38" t="s">
        <v>518</v>
      </c>
      <c r="C261" s="45">
        <v>45.383264333207876</v>
      </c>
      <c r="D261" s="45">
        <v>59.726490473263674</v>
      </c>
    </row>
    <row r="262" ht="15.75" customHeight="1">
      <c r="A262" s="44">
        <v>70302.0</v>
      </c>
      <c r="B262" s="38" t="s">
        <v>519</v>
      </c>
      <c r="C262" s="45">
        <v>42.09341586944288</v>
      </c>
      <c r="D262" s="45">
        <v>60.17679057116953</v>
      </c>
    </row>
    <row r="263" ht="15.75" customHeight="1">
      <c r="A263" s="44">
        <v>70303.0</v>
      </c>
      <c r="B263" s="38" t="s">
        <v>352</v>
      </c>
      <c r="C263" s="45">
        <v>43.93329499712478</v>
      </c>
      <c r="D263" s="45">
        <v>59.56349206349206</v>
      </c>
    </row>
    <row r="264" ht="15.75" customHeight="1">
      <c r="A264" s="44">
        <v>70401.0</v>
      </c>
      <c r="B264" s="38" t="s">
        <v>354</v>
      </c>
      <c r="C264" s="45">
        <v>39.270440251572325</v>
      </c>
      <c r="D264" s="45">
        <v>58.50661625708885</v>
      </c>
    </row>
    <row r="265" ht="15.75" customHeight="1">
      <c r="A265" s="44">
        <v>70402.0</v>
      </c>
      <c r="B265" s="38" t="s">
        <v>355</v>
      </c>
      <c r="C265" s="45">
        <v>44.42682733470747</v>
      </c>
      <c r="D265" s="45">
        <v>57.72891368559239</v>
      </c>
    </row>
    <row r="266" ht="15.75" customHeight="1">
      <c r="A266" s="44">
        <v>70403.0</v>
      </c>
      <c r="B266" s="38" t="s">
        <v>356</v>
      </c>
      <c r="C266" s="45">
        <v>52.13862406596238</v>
      </c>
      <c r="D266" s="45">
        <v>68.5372384022731</v>
      </c>
    </row>
    <row r="267" ht="15.75" customHeight="1">
      <c r="A267" s="44">
        <v>70404.0</v>
      </c>
      <c r="B267" s="38" t="s">
        <v>357</v>
      </c>
      <c r="C267" s="45">
        <v>44.95751754710011</v>
      </c>
      <c r="D267" s="45">
        <v>54.7005795235029</v>
      </c>
    </row>
    <row r="268" ht="15.75" customHeight="1">
      <c r="A268" s="44">
        <v>70501.0</v>
      </c>
      <c r="B268" s="38" t="s">
        <v>520</v>
      </c>
      <c r="C268" s="45">
        <v>38.42439943476213</v>
      </c>
      <c r="D268" s="45">
        <v>64.3699240241027</v>
      </c>
    </row>
    <row r="269" ht="15.75" customHeight="1">
      <c r="A269" s="44">
        <v>70502.0</v>
      </c>
      <c r="B269" s="38" t="s">
        <v>360</v>
      </c>
      <c r="C269" s="45">
        <v>47.99963463646328</v>
      </c>
      <c r="D269" s="45">
        <v>54.71486156082733</v>
      </c>
    </row>
    <row r="270" ht="15.75" customHeight="1">
      <c r="A270" s="44">
        <v>70503.0</v>
      </c>
      <c r="B270" s="38" t="s">
        <v>361</v>
      </c>
      <c r="C270" s="45">
        <v>40.65804935370153</v>
      </c>
      <c r="D270" s="45">
        <v>52.745337284294926</v>
      </c>
    </row>
    <row r="271" ht="15.75" customHeight="1">
      <c r="A271" s="44">
        <v>70601.0</v>
      </c>
      <c r="B271" s="38" t="s">
        <v>363</v>
      </c>
      <c r="C271" s="45">
        <v>46.43803843605036</v>
      </c>
      <c r="D271" s="45">
        <v>57.965947096381875</v>
      </c>
    </row>
    <row r="272" ht="15.75" customHeight="1">
      <c r="A272" s="44">
        <v>70602.0</v>
      </c>
      <c r="B272" s="38" t="s">
        <v>521</v>
      </c>
      <c r="C272" s="45">
        <v>38.405665516615215</v>
      </c>
      <c r="D272" s="45">
        <v>53.97716977713354</v>
      </c>
    </row>
    <row r="273" ht="15.75" customHeight="1">
      <c r="A273" s="44">
        <v>70603.0</v>
      </c>
      <c r="B273" s="38" t="s">
        <v>365</v>
      </c>
      <c r="C273" s="45">
        <v>36.710875331564985</v>
      </c>
      <c r="D273" s="45">
        <v>49.54472415640064</v>
      </c>
    </row>
    <row r="274" ht="15.75" customHeight="1">
      <c r="A274" s="44">
        <v>70701.0</v>
      </c>
      <c r="B274" s="38" t="s">
        <v>367</v>
      </c>
      <c r="C274" s="45">
        <v>30.04513217279175</v>
      </c>
      <c r="D274" s="45">
        <v>61.84062850729517</v>
      </c>
    </row>
    <row r="275" ht="15.75" customHeight="1">
      <c r="A275" s="44">
        <v>70702.0</v>
      </c>
      <c r="B275" s="38" t="s">
        <v>522</v>
      </c>
      <c r="C275" s="45">
        <v>36.892370426011375</v>
      </c>
      <c r="D275" s="45">
        <v>51.15745169313182</v>
      </c>
    </row>
    <row r="276" ht="15.75" customHeight="1">
      <c r="A276" s="44">
        <v>70703.0</v>
      </c>
      <c r="B276" s="38" t="s">
        <v>369</v>
      </c>
      <c r="C276" s="45">
        <v>45.54481662915398</v>
      </c>
      <c r="D276" s="45">
        <v>55.096122865427986</v>
      </c>
    </row>
    <row r="277" ht="15.75" customHeight="1">
      <c r="A277" s="44">
        <v>70704.0</v>
      </c>
      <c r="B277" s="38" t="s">
        <v>370</v>
      </c>
      <c r="C277" s="45">
        <v>38.71366728509585</v>
      </c>
      <c r="D277" s="45">
        <v>55.21023765996343</v>
      </c>
    </row>
    <row r="278" ht="15.75" customHeight="1">
      <c r="A278" s="44">
        <v>70705.0</v>
      </c>
      <c r="B278" s="38" t="s">
        <v>523</v>
      </c>
      <c r="C278" s="45">
        <v>29.209528965890634</v>
      </c>
      <c r="D278" s="45">
        <v>54.706334957681456</v>
      </c>
    </row>
    <row r="279" ht="15.75" customHeight="1">
      <c r="A279" s="44">
        <v>70706.0</v>
      </c>
      <c r="B279" s="38" t="s">
        <v>372</v>
      </c>
      <c r="C279" s="45">
        <v>44.08432976714915</v>
      </c>
      <c r="D279" s="45">
        <v>57.263194086298775</v>
      </c>
    </row>
    <row r="280" ht="15.75" customHeight="1">
      <c r="A280" s="44">
        <v>70707.0</v>
      </c>
      <c r="B280" s="38" t="s">
        <v>373</v>
      </c>
      <c r="C280" s="45">
        <v>36.095017381228274</v>
      </c>
      <c r="D280" s="45">
        <v>56.020278833967055</v>
      </c>
    </row>
    <row r="281" ht="15.75" customHeight="1">
      <c r="A281" s="44">
        <v>70801.0</v>
      </c>
      <c r="B281" s="38" t="s">
        <v>375</v>
      </c>
      <c r="C281" s="45">
        <v>55.323624595469255</v>
      </c>
      <c r="D281" s="45">
        <v>69.4062449441838</v>
      </c>
    </row>
    <row r="282" ht="15.75" customHeight="1">
      <c r="A282" s="44">
        <v>70802.0</v>
      </c>
      <c r="B282" s="38" t="s">
        <v>376</v>
      </c>
      <c r="C282" s="45">
        <v>46.50856389986825</v>
      </c>
      <c r="D282" s="45">
        <v>63.2996632996633</v>
      </c>
    </row>
    <row r="283" ht="15.75" customHeight="1">
      <c r="A283" s="44">
        <v>70803.0</v>
      </c>
      <c r="B283" s="38" t="s">
        <v>524</v>
      </c>
      <c r="C283" s="45">
        <v>64.29308565531475</v>
      </c>
      <c r="D283" s="45">
        <v>72.80788177339902</v>
      </c>
    </row>
    <row r="284" ht="15.75" customHeight="1">
      <c r="A284" s="44">
        <v>70804.0</v>
      </c>
      <c r="B284" s="38" t="s">
        <v>378</v>
      </c>
      <c r="C284" s="45">
        <v>54.00516795865633</v>
      </c>
      <c r="D284" s="45">
        <v>68.4640522875817</v>
      </c>
    </row>
    <row r="285" ht="15.75" customHeight="1">
      <c r="A285" s="44">
        <v>70805.0</v>
      </c>
      <c r="B285" s="38" t="s">
        <v>379</v>
      </c>
      <c r="C285" s="45">
        <v>59.38375350140056</v>
      </c>
      <c r="D285" s="45">
        <v>65.07246376811594</v>
      </c>
    </row>
    <row r="286" ht="15.75" customHeight="1">
      <c r="A286" s="44">
        <v>70901.0</v>
      </c>
      <c r="B286" s="38" t="s">
        <v>381</v>
      </c>
      <c r="C286" s="45">
        <v>56.08983587676361</v>
      </c>
      <c r="D286" s="45">
        <v>69.19575113808801</v>
      </c>
    </row>
    <row r="287" ht="15.75" customHeight="1">
      <c r="A287" s="44">
        <v>70902.0</v>
      </c>
      <c r="B287" s="38" t="s">
        <v>525</v>
      </c>
      <c r="C287" s="45">
        <v>54.209650582362734</v>
      </c>
      <c r="D287" s="45">
        <v>65.82589972316211</v>
      </c>
    </row>
    <row r="288" ht="15.75" customHeight="1">
      <c r="A288" s="44">
        <v>70903.0</v>
      </c>
      <c r="B288" s="38" t="s">
        <v>383</v>
      </c>
      <c r="C288" s="45">
        <v>52.994831255700824</v>
      </c>
      <c r="D288" s="45">
        <v>64.38162544169612</v>
      </c>
    </row>
    <row r="289" ht="15.75" customHeight="1">
      <c r="A289" s="44">
        <v>70904.0</v>
      </c>
      <c r="B289" s="38" t="s">
        <v>384</v>
      </c>
      <c r="C289" s="45">
        <v>52.95774647887323</v>
      </c>
      <c r="D289" s="45">
        <v>61.99505358615004</v>
      </c>
    </row>
    <row r="290" ht="15.75" customHeight="1">
      <c r="A290" s="44">
        <v>71001.0</v>
      </c>
      <c r="B290" s="38" t="s">
        <v>386</v>
      </c>
      <c r="C290" s="45">
        <v>48.07632398753894</v>
      </c>
      <c r="D290" s="45">
        <v>60.07044060364331</v>
      </c>
    </row>
    <row r="291" ht="15.75" customHeight="1">
      <c r="A291" s="44">
        <v>71002.0</v>
      </c>
      <c r="B291" s="38" t="s">
        <v>387</v>
      </c>
      <c r="C291" s="45">
        <v>32.89414917373827</v>
      </c>
      <c r="D291" s="45">
        <v>49.6318407960199</v>
      </c>
    </row>
    <row r="292" ht="15.75" customHeight="1">
      <c r="A292" s="44">
        <v>71003.0</v>
      </c>
      <c r="B292" s="38" t="s">
        <v>388</v>
      </c>
      <c r="C292" s="45">
        <v>38.24915824915825</v>
      </c>
      <c r="D292" s="45">
        <v>52.625805566982045</v>
      </c>
    </row>
    <row r="293" ht="15.75" customHeight="1">
      <c r="A293" s="44">
        <v>71004.0</v>
      </c>
      <c r="B293" s="38" t="s">
        <v>389</v>
      </c>
      <c r="C293" s="45">
        <v>35.99467731204258</v>
      </c>
      <c r="D293" s="45">
        <v>58.237459733087896</v>
      </c>
    </row>
    <row r="294" ht="15.75" customHeight="1">
      <c r="A294" s="44">
        <v>71005.0</v>
      </c>
      <c r="B294" s="38" t="s">
        <v>288</v>
      </c>
      <c r="C294" s="45">
        <v>41.78821746542906</v>
      </c>
      <c r="D294" s="45">
        <v>58.315877670716375</v>
      </c>
    </row>
    <row r="295" ht="15.75" customHeight="1">
      <c r="A295" s="44">
        <v>71101.0</v>
      </c>
      <c r="B295" s="38" t="s">
        <v>391</v>
      </c>
      <c r="C295" s="45">
        <v>45.11542012927055</v>
      </c>
      <c r="D295" s="45">
        <v>58.165264492336064</v>
      </c>
    </row>
    <row r="296" ht="15.75" customHeight="1">
      <c r="A296" s="44">
        <v>71102.0</v>
      </c>
      <c r="B296" s="38" t="s">
        <v>392</v>
      </c>
      <c r="C296" s="45">
        <v>47.218726403221744</v>
      </c>
      <c r="D296" s="45">
        <v>57.47153700189753</v>
      </c>
    </row>
    <row r="297" ht="15.75" customHeight="1">
      <c r="A297" s="44">
        <v>71103.0</v>
      </c>
      <c r="B297" s="38" t="s">
        <v>395</v>
      </c>
      <c r="C297" s="45">
        <v>42.27156276686593</v>
      </c>
      <c r="D297" s="45">
        <v>60.06557824988046</v>
      </c>
    </row>
    <row r="298" ht="15.75" customHeight="1">
      <c r="A298" s="44">
        <v>71104.0</v>
      </c>
      <c r="B298" s="38" t="s">
        <v>393</v>
      </c>
      <c r="C298" s="45">
        <v>42.81115879828326</v>
      </c>
      <c r="D298" s="45">
        <v>60.40992448759439</v>
      </c>
    </row>
    <row r="299" ht="15.75" customHeight="1">
      <c r="A299" s="44">
        <v>71105.0</v>
      </c>
      <c r="B299" s="38" t="s">
        <v>394</v>
      </c>
      <c r="C299" s="45">
        <v>48.3533716675379</v>
      </c>
      <c r="D299" s="45">
        <v>54.06151419558359</v>
      </c>
    </row>
    <row r="300" ht="15.75" customHeight="1">
      <c r="A300" s="44">
        <v>71106.0</v>
      </c>
      <c r="B300" s="38" t="s">
        <v>396</v>
      </c>
      <c r="C300" s="45">
        <v>39.48896631823461</v>
      </c>
      <c r="D300" s="45">
        <v>54.163976759199485</v>
      </c>
    </row>
    <row r="301" ht="15.75" customHeight="1">
      <c r="A301" s="44">
        <v>71201.0</v>
      </c>
      <c r="B301" s="38" t="s">
        <v>398</v>
      </c>
      <c r="C301" s="45">
        <v>38.800626538375475</v>
      </c>
      <c r="D301" s="45">
        <v>55.12216991705896</v>
      </c>
    </row>
    <row r="302" ht="15.75" customHeight="1">
      <c r="A302" s="44">
        <v>71301.0</v>
      </c>
      <c r="B302" s="38" t="s">
        <v>400</v>
      </c>
      <c r="C302" s="45">
        <v>60.1223362273086</v>
      </c>
      <c r="D302" s="45">
        <v>72.83758016987346</v>
      </c>
    </row>
    <row r="303" ht="15.75" customHeight="1">
      <c r="A303" s="44">
        <v>71302.0</v>
      </c>
      <c r="B303" s="38" t="s">
        <v>401</v>
      </c>
      <c r="C303" s="45">
        <v>54.770477047704766</v>
      </c>
      <c r="D303" s="45">
        <v>67.93103448275862</v>
      </c>
    </row>
    <row r="304" ht="15.75" customHeight="1">
      <c r="A304" s="44">
        <v>71401.0</v>
      </c>
      <c r="B304" s="38" t="s">
        <v>526</v>
      </c>
      <c r="C304" s="45">
        <v>48.04845222072679</v>
      </c>
      <c r="D304" s="45">
        <v>61.287834972045495</v>
      </c>
    </row>
    <row r="305" ht="15.75" customHeight="1">
      <c r="A305" s="44">
        <v>71402.0</v>
      </c>
      <c r="B305" s="38" t="s">
        <v>404</v>
      </c>
      <c r="C305" s="45">
        <v>56.156848828956704</v>
      </c>
      <c r="D305" s="45">
        <v>64.02811170704642</v>
      </c>
    </row>
    <row r="306" ht="15.75" customHeight="1">
      <c r="A306" s="44">
        <v>71403.0</v>
      </c>
      <c r="B306" s="38" t="s">
        <v>405</v>
      </c>
      <c r="C306" s="45">
        <v>39.89189189189189</v>
      </c>
      <c r="D306" s="45">
        <v>60.929292929292934</v>
      </c>
    </row>
    <row r="307" ht="15.75" customHeight="1">
      <c r="A307" s="44">
        <v>71501.0</v>
      </c>
      <c r="B307" s="38" t="s">
        <v>407</v>
      </c>
      <c r="C307" s="45">
        <v>46.169950738916256</v>
      </c>
      <c r="D307" s="45">
        <v>60.646330413772276</v>
      </c>
    </row>
    <row r="308" ht="15.75" customHeight="1">
      <c r="A308" s="44">
        <v>71502.0</v>
      </c>
      <c r="B308" s="38" t="s">
        <v>408</v>
      </c>
      <c r="C308" s="45">
        <v>43.92119173474291</v>
      </c>
      <c r="D308" s="45">
        <v>52.13460572576595</v>
      </c>
    </row>
    <row r="309" ht="15.75" customHeight="1">
      <c r="A309" s="44">
        <v>71503.0</v>
      </c>
      <c r="B309" s="38" t="s">
        <v>338</v>
      </c>
      <c r="C309" s="45">
        <v>41.843604350077676</v>
      </c>
      <c r="D309" s="45">
        <v>62.99228181278449</v>
      </c>
    </row>
    <row r="310" ht="15.75" customHeight="1">
      <c r="A310" s="44">
        <v>80101.0</v>
      </c>
      <c r="B310" s="38" t="s">
        <v>410</v>
      </c>
      <c r="C310" s="45">
        <v>52.37429799351385</v>
      </c>
      <c r="D310" s="45">
        <v>61.353783040417696</v>
      </c>
    </row>
    <row r="311" ht="15.75" customHeight="1">
      <c r="A311" s="44">
        <v>80102.0</v>
      </c>
      <c r="B311" s="38" t="s">
        <v>392</v>
      </c>
      <c r="C311" s="45">
        <v>50.536864710093056</v>
      </c>
      <c r="D311" s="45">
        <v>66.26881162428646</v>
      </c>
    </row>
    <row r="312" ht="15.75" customHeight="1">
      <c r="A312" s="44">
        <v>80201.0</v>
      </c>
      <c r="B312" s="38" t="s">
        <v>412</v>
      </c>
      <c r="C312" s="45">
        <v>48.82196199425005</v>
      </c>
      <c r="D312" s="45">
        <v>61.88043380837143</v>
      </c>
    </row>
    <row r="313" ht="15.75" customHeight="1">
      <c r="A313" s="44">
        <v>80202.0</v>
      </c>
      <c r="B313" s="38" t="s">
        <v>413</v>
      </c>
      <c r="C313" s="45">
        <v>49.40605533825873</v>
      </c>
      <c r="D313" s="45">
        <v>60.078075207138305</v>
      </c>
    </row>
    <row r="314" ht="15.75" customHeight="1">
      <c r="A314" s="44">
        <v>80301.0</v>
      </c>
      <c r="B314" s="38" t="s">
        <v>415</v>
      </c>
      <c r="C314" s="45">
        <v>46.43564356435644</v>
      </c>
      <c r="D314" s="45">
        <v>58.4675014907573</v>
      </c>
    </row>
    <row r="315" ht="15.75" customHeight="1">
      <c r="A315" s="44">
        <v>80302.0</v>
      </c>
      <c r="B315" s="38" t="s">
        <v>416</v>
      </c>
      <c r="C315" s="45">
        <v>53.38511856091578</v>
      </c>
      <c r="D315" s="45">
        <v>64.63164297118527</v>
      </c>
    </row>
    <row r="316" ht="15.75" customHeight="1">
      <c r="A316" s="44">
        <v>80303.0</v>
      </c>
      <c r="B316" s="38" t="s">
        <v>364</v>
      </c>
      <c r="C316" s="45">
        <v>41.63165266106443</v>
      </c>
      <c r="D316" s="45">
        <v>56.67686034658511</v>
      </c>
    </row>
    <row r="317" ht="15.75" customHeight="1">
      <c r="A317" s="44">
        <v>80304.0</v>
      </c>
      <c r="B317" s="38" t="s">
        <v>527</v>
      </c>
      <c r="C317" s="45">
        <v>52.70751994567985</v>
      </c>
      <c r="D317" s="45">
        <v>70.29563585171282</v>
      </c>
    </row>
    <row r="318" ht="15.75" customHeight="1">
      <c r="A318" s="44">
        <v>80401.0</v>
      </c>
      <c r="B318" s="38" t="s">
        <v>528</v>
      </c>
      <c r="C318" s="45">
        <v>52.7536231884058</v>
      </c>
      <c r="D318" s="45">
        <v>59.90136570561456</v>
      </c>
    </row>
    <row r="319" ht="15.75" customHeight="1">
      <c r="A319" s="44">
        <v>80402.0</v>
      </c>
      <c r="B319" s="38" t="s">
        <v>420</v>
      </c>
      <c r="C319" s="45">
        <v>41.359015516318884</v>
      </c>
      <c r="D319" s="45">
        <v>55.55555555555556</v>
      </c>
    </row>
    <row r="320" ht="15.75" customHeight="1">
      <c r="A320" s="44">
        <v>80501.0</v>
      </c>
      <c r="B320" s="38" t="s">
        <v>350</v>
      </c>
      <c r="C320" s="45">
        <v>49.734794908062234</v>
      </c>
      <c r="D320" s="45">
        <v>54.67614278791795</v>
      </c>
    </row>
    <row r="321" ht="15.75" customHeight="1">
      <c r="A321" s="44">
        <v>80601.0</v>
      </c>
      <c r="B321" s="38" t="s">
        <v>423</v>
      </c>
      <c r="C321" s="45">
        <v>46.19140625</v>
      </c>
      <c r="D321" s="45">
        <v>57.02054794520548</v>
      </c>
    </row>
    <row r="322" ht="15.75" customHeight="1">
      <c r="A322" s="44">
        <v>80602.0</v>
      </c>
      <c r="B322" s="38" t="s">
        <v>424</v>
      </c>
      <c r="C322" s="45">
        <v>46.499302649930264</v>
      </c>
      <c r="D322" s="45">
        <v>63.98651901781416</v>
      </c>
    </row>
    <row r="323" ht="15.75" customHeight="1">
      <c r="A323" s="44">
        <v>80701.0</v>
      </c>
      <c r="B323" s="38" t="s">
        <v>426</v>
      </c>
      <c r="C323" s="45">
        <v>44.85514485514486</v>
      </c>
      <c r="D323" s="45">
        <v>60.547504025764894</v>
      </c>
    </row>
    <row r="324" ht="15.75" customHeight="1">
      <c r="A324" s="44">
        <v>80702.0</v>
      </c>
      <c r="B324" s="38" t="s">
        <v>395</v>
      </c>
      <c r="C324" s="45">
        <v>48.245010323468684</v>
      </c>
      <c r="D324" s="45">
        <v>59.67845659163987</v>
      </c>
    </row>
    <row r="325" ht="15.75" customHeight="1">
      <c r="A325" s="44">
        <v>80703.0</v>
      </c>
      <c r="B325" s="38" t="s">
        <v>427</v>
      </c>
      <c r="C325" s="45">
        <v>40.08620689655172</v>
      </c>
      <c r="D325" s="45">
        <v>59.38566552901023</v>
      </c>
    </row>
    <row r="326" ht="15.75" customHeight="1">
      <c r="A326" s="44">
        <v>80801.0</v>
      </c>
      <c r="B326" s="38" t="s">
        <v>429</v>
      </c>
      <c r="C326" s="45">
        <v>43.39460080413555</v>
      </c>
      <c r="D326" s="45">
        <v>57.17293233082707</v>
      </c>
    </row>
    <row r="327" ht="15.75" customHeight="1">
      <c r="A327" s="44">
        <v>80802.0</v>
      </c>
      <c r="B327" s="38" t="s">
        <v>430</v>
      </c>
      <c r="C327" s="45">
        <v>43.836440168370416</v>
      </c>
      <c r="D327" s="45">
        <v>61.02088167053365</v>
      </c>
    </row>
    <row r="328" ht="15.75" customHeight="1">
      <c r="A328" s="44">
        <v>80803.0</v>
      </c>
      <c r="B328" s="38" t="s">
        <v>431</v>
      </c>
      <c r="C328" s="45">
        <v>36.4321608040201</v>
      </c>
      <c r="D328" s="45">
        <v>54.19681620839363</v>
      </c>
    </row>
    <row r="329" ht="15.75" customHeight="1">
      <c r="A329" s="44">
        <v>80901.0</v>
      </c>
      <c r="B329" s="38" t="s">
        <v>529</v>
      </c>
      <c r="C329" s="45">
        <v>44.256348246674726</v>
      </c>
      <c r="D329" s="45">
        <v>55.873642645607106</v>
      </c>
    </row>
    <row r="330" ht="15.75" customHeight="1">
      <c r="A330" s="44">
        <v>90101.0</v>
      </c>
      <c r="B330" s="38" t="s">
        <v>436</v>
      </c>
      <c r="C330" s="45">
        <v>55.2302351477042</v>
      </c>
      <c r="D330" s="45">
        <v>63.10370849504097</v>
      </c>
    </row>
    <row r="331" ht="15.75" customHeight="1">
      <c r="A331" s="44">
        <v>90102.0</v>
      </c>
      <c r="B331" s="38" t="s">
        <v>437</v>
      </c>
      <c r="C331" s="45">
        <v>42.23363286264441</v>
      </c>
      <c r="D331" s="45">
        <v>61.62544169611307</v>
      </c>
    </row>
    <row r="332" ht="15.75" customHeight="1">
      <c r="A332" s="44">
        <v>90103.0</v>
      </c>
      <c r="B332" s="38" t="s">
        <v>438</v>
      </c>
      <c r="C332" s="45">
        <v>40.52173913043478</v>
      </c>
      <c r="D332" s="45">
        <v>72.81105990783409</v>
      </c>
    </row>
    <row r="333" ht="15.75" customHeight="1">
      <c r="A333" s="44">
        <v>90104.0</v>
      </c>
      <c r="B333" s="38" t="s">
        <v>439</v>
      </c>
      <c r="C333" s="45">
        <v>54.30157261794635</v>
      </c>
      <c r="D333" s="45">
        <v>69.80749746707193</v>
      </c>
    </row>
    <row r="334" ht="15.75" customHeight="1">
      <c r="A334" s="44">
        <v>90201.0</v>
      </c>
      <c r="B334" s="38" t="s">
        <v>441</v>
      </c>
      <c r="C334" s="45">
        <v>39.22305764411028</v>
      </c>
      <c r="D334" s="45">
        <v>56.25</v>
      </c>
    </row>
    <row r="335" ht="15.75" customHeight="1">
      <c r="A335" s="44">
        <v>90202.0</v>
      </c>
      <c r="B335" s="38" t="s">
        <v>288</v>
      </c>
      <c r="C335" s="45">
        <v>29.03225806451613</v>
      </c>
      <c r="D335" s="45">
        <v>63.63636363636363</v>
      </c>
    </row>
    <row r="336" ht="15.75" customHeight="1">
      <c r="A336" s="44">
        <v>90203.0</v>
      </c>
      <c r="B336" s="38" t="s">
        <v>442</v>
      </c>
      <c r="C336" s="45">
        <v>37.95975017349063</v>
      </c>
      <c r="D336" s="45">
        <v>57.19982277359327</v>
      </c>
    </row>
    <row r="337" ht="15.75" customHeight="1">
      <c r="A337" s="44">
        <v>90301.0</v>
      </c>
      <c r="B337" s="38" t="s">
        <v>444</v>
      </c>
      <c r="C337" s="45">
        <v>47.61904761904761</v>
      </c>
      <c r="D337" s="45">
        <v>59.22055916407795</v>
      </c>
    </row>
    <row r="338" ht="15.75" customHeight="1">
      <c r="A338" s="44">
        <v>90302.0</v>
      </c>
      <c r="B338" s="38" t="s">
        <v>337</v>
      </c>
      <c r="C338" s="45">
        <v>43.06032368808239</v>
      </c>
      <c r="D338" s="45">
        <v>63.980509745127435</v>
      </c>
    </row>
    <row r="339" ht="15.75" customHeight="1">
      <c r="A339" s="44">
        <v>90303.0</v>
      </c>
      <c r="B339" s="38" t="s">
        <v>445</v>
      </c>
      <c r="C339" s="45">
        <v>38.15973843998132</v>
      </c>
      <c r="D339" s="45">
        <v>60.99524332235639</v>
      </c>
    </row>
    <row r="340" ht="15.75" customHeight="1">
      <c r="A340" s="44">
        <v>90401.0</v>
      </c>
      <c r="B340" s="38" t="s">
        <v>530</v>
      </c>
      <c r="C340" s="45">
        <v>42.059336823734725</v>
      </c>
      <c r="D340" s="45">
        <v>55.51128818061088</v>
      </c>
    </row>
    <row r="341" ht="15.75" customHeight="1">
      <c r="A341" s="44">
        <v>90402.0</v>
      </c>
      <c r="B341" s="38" t="s">
        <v>107</v>
      </c>
      <c r="C341" s="45">
        <v>35.18518518518518</v>
      </c>
      <c r="D341" s="45">
        <v>58.57805255023184</v>
      </c>
    </row>
    <row r="342" ht="15.75" customHeight="1">
      <c r="A342" s="44">
        <v>90501.0</v>
      </c>
      <c r="B342" s="38" t="s">
        <v>448</v>
      </c>
      <c r="C342" s="45">
        <v>48.38056680161944</v>
      </c>
      <c r="D342" s="45">
        <v>59.60591133004927</v>
      </c>
    </row>
    <row r="343" ht="15.75" customHeight="1">
      <c r="A343" s="44">
        <v>90502.0</v>
      </c>
      <c r="B343" s="38" t="s">
        <v>531</v>
      </c>
      <c r="C343" s="45">
        <v>37.57142857142857</v>
      </c>
      <c r="D343" s="45">
        <v>62.67071320182094</v>
      </c>
    </row>
    <row r="344" ht="15.75" customHeight="1">
      <c r="A344" s="44">
        <v>90503.0</v>
      </c>
      <c r="B344" s="38" t="s">
        <v>450</v>
      </c>
      <c r="C344" s="45">
        <v>36.08247422680412</v>
      </c>
      <c r="D344" s="45">
        <v>58.30258302583026</v>
      </c>
    </row>
    <row r="345" ht="15.75" customHeight="1">
      <c r="A345" s="74"/>
      <c r="B345" s="77"/>
      <c r="C345" s="74"/>
      <c r="D345" s="74"/>
    </row>
    <row r="346" ht="15.75" customHeight="1">
      <c r="A346" s="74"/>
      <c r="B346" s="77"/>
      <c r="C346" s="74"/>
      <c r="D346" s="74"/>
    </row>
    <row r="347" ht="15.75" customHeight="1">
      <c r="A347" s="74"/>
      <c r="B347" s="77"/>
      <c r="C347" s="74"/>
      <c r="D347" s="74"/>
    </row>
    <row r="348" ht="15.75" customHeight="1">
      <c r="A348" s="74"/>
      <c r="B348" s="77"/>
      <c r="C348" s="74"/>
      <c r="D348" s="74"/>
    </row>
    <row r="349" ht="15.75" customHeight="1">
      <c r="A349" s="74"/>
      <c r="B349" s="77"/>
      <c r="C349" s="74"/>
      <c r="D349" s="74"/>
    </row>
    <row r="350" ht="15.75" customHeight="1">
      <c r="A350" s="74"/>
      <c r="B350" s="77"/>
      <c r="C350" s="74"/>
      <c r="D350" s="74"/>
    </row>
    <row r="351" ht="15.75" customHeight="1">
      <c r="A351" s="74"/>
      <c r="B351" s="77"/>
      <c r="C351" s="74"/>
      <c r="D351" s="74"/>
    </row>
    <row r="352" ht="15.75" customHeight="1">
      <c r="A352" s="74"/>
      <c r="B352" s="77"/>
      <c r="C352" s="74"/>
      <c r="D352" s="74"/>
    </row>
    <row r="353" ht="15.75" customHeight="1">
      <c r="A353" s="74"/>
      <c r="B353" s="77"/>
      <c r="C353" s="74"/>
      <c r="D353" s="74"/>
    </row>
    <row r="354" ht="15.75" customHeight="1">
      <c r="A354" s="74"/>
      <c r="B354" s="77"/>
      <c r="C354" s="74"/>
      <c r="D354" s="74"/>
    </row>
    <row r="355" ht="15.75" customHeight="1">
      <c r="A355" s="74"/>
      <c r="B355" s="77"/>
      <c r="C355" s="74"/>
      <c r="D355" s="74"/>
    </row>
    <row r="356" ht="15.75" customHeight="1">
      <c r="A356" s="74"/>
      <c r="B356" s="77"/>
      <c r="C356" s="74"/>
      <c r="D356" s="74"/>
    </row>
    <row r="357" ht="15.75" customHeight="1">
      <c r="A357" s="74"/>
      <c r="B357" s="77"/>
      <c r="C357" s="74"/>
      <c r="D357" s="74"/>
    </row>
    <row r="358" ht="15.75" customHeight="1">
      <c r="A358" s="74"/>
      <c r="B358" s="77"/>
      <c r="C358" s="74"/>
      <c r="D358" s="74"/>
    </row>
    <row r="359" ht="15.75" customHeight="1">
      <c r="A359" s="74"/>
      <c r="B359" s="77"/>
      <c r="C359" s="74"/>
      <c r="D359" s="74"/>
    </row>
    <row r="360" ht="15.75" customHeight="1">
      <c r="A360" s="74"/>
      <c r="B360" s="77"/>
      <c r="C360" s="74"/>
      <c r="D360" s="74"/>
    </row>
    <row r="361" ht="15.75" customHeight="1">
      <c r="A361" s="74"/>
      <c r="B361" s="77"/>
      <c r="C361" s="74"/>
      <c r="D361" s="74"/>
    </row>
    <row r="362" ht="15.75" customHeight="1">
      <c r="A362" s="74"/>
      <c r="B362" s="77"/>
      <c r="C362" s="74"/>
      <c r="D362" s="74"/>
    </row>
    <row r="363" ht="15.75" customHeight="1">
      <c r="A363" s="74"/>
      <c r="B363" s="77"/>
      <c r="C363" s="74"/>
      <c r="D363" s="74"/>
    </row>
    <row r="364" ht="15.75" customHeight="1">
      <c r="A364" s="74"/>
      <c r="B364" s="77"/>
      <c r="C364" s="74"/>
      <c r="D364" s="74"/>
    </row>
    <row r="365" ht="15.75" customHeight="1">
      <c r="A365" s="74"/>
      <c r="B365" s="77"/>
      <c r="C365" s="74"/>
      <c r="D365" s="74"/>
    </row>
    <row r="366" ht="15.75" customHeight="1">
      <c r="A366" s="74"/>
      <c r="B366" s="77"/>
      <c r="C366" s="74"/>
      <c r="D366" s="74"/>
    </row>
    <row r="367" ht="15.75" customHeight="1">
      <c r="A367" s="74"/>
      <c r="B367" s="77"/>
      <c r="C367" s="74"/>
      <c r="D367" s="74"/>
    </row>
    <row r="368" ht="15.75" customHeight="1">
      <c r="A368" s="74"/>
      <c r="B368" s="77"/>
      <c r="C368" s="74"/>
      <c r="D368" s="74"/>
    </row>
    <row r="369" ht="15.75" customHeight="1">
      <c r="A369" s="74"/>
      <c r="B369" s="77"/>
      <c r="C369" s="74"/>
      <c r="D369" s="74"/>
    </row>
    <row r="370" ht="15.75" customHeight="1">
      <c r="A370" s="74"/>
      <c r="B370" s="77"/>
      <c r="C370" s="74"/>
      <c r="D370" s="74"/>
    </row>
    <row r="371" ht="15.75" customHeight="1">
      <c r="A371" s="74"/>
      <c r="B371" s="77"/>
      <c r="C371" s="74"/>
      <c r="D371" s="74"/>
    </row>
    <row r="372" ht="15.75" customHeight="1">
      <c r="A372" s="74"/>
      <c r="B372" s="77"/>
      <c r="C372" s="74"/>
      <c r="D372" s="74"/>
    </row>
    <row r="373" ht="15.75" customHeight="1">
      <c r="A373" s="74"/>
      <c r="B373" s="77"/>
      <c r="C373" s="74"/>
      <c r="D373" s="74"/>
    </row>
    <row r="374" ht="15.75" customHeight="1">
      <c r="A374" s="74"/>
      <c r="B374" s="77"/>
      <c r="C374" s="74"/>
      <c r="D374" s="74"/>
    </row>
    <row r="375" ht="15.75" customHeight="1">
      <c r="A375" s="74"/>
      <c r="B375" s="77"/>
      <c r="C375" s="74"/>
      <c r="D375" s="74"/>
    </row>
    <row r="376" ht="15.75" customHeight="1">
      <c r="A376" s="74"/>
      <c r="B376" s="77"/>
      <c r="C376" s="74"/>
      <c r="D376" s="74"/>
    </row>
    <row r="377" ht="15.75" customHeight="1">
      <c r="A377" s="74"/>
      <c r="B377" s="77"/>
      <c r="C377" s="74"/>
      <c r="D377" s="74"/>
    </row>
    <row r="378" ht="15.75" customHeight="1">
      <c r="A378" s="74"/>
      <c r="B378" s="77"/>
      <c r="C378" s="74"/>
      <c r="D378" s="74"/>
    </row>
    <row r="379" ht="15.75" customHeight="1">
      <c r="A379" s="74"/>
      <c r="B379" s="77"/>
      <c r="C379" s="74"/>
      <c r="D379" s="74"/>
    </row>
    <row r="380" ht="15.75" customHeight="1">
      <c r="A380" s="74"/>
      <c r="B380" s="77"/>
      <c r="C380" s="74"/>
      <c r="D380" s="74"/>
    </row>
    <row r="381" ht="15.75" customHeight="1">
      <c r="A381" s="74"/>
      <c r="B381" s="77"/>
      <c r="C381" s="74"/>
      <c r="D381" s="74"/>
    </row>
    <row r="382" ht="15.75" customHeight="1">
      <c r="A382" s="74"/>
      <c r="B382" s="77"/>
      <c r="C382" s="74"/>
      <c r="D382" s="74"/>
    </row>
    <row r="383" ht="15.75" customHeight="1">
      <c r="A383" s="74"/>
      <c r="B383" s="77"/>
      <c r="C383" s="74"/>
      <c r="D383" s="74"/>
    </row>
    <row r="384" ht="15.75" customHeight="1">
      <c r="A384" s="74"/>
      <c r="B384" s="77"/>
      <c r="C384" s="74"/>
      <c r="D384" s="74"/>
    </row>
    <row r="385" ht="15.75" customHeight="1">
      <c r="A385" s="74"/>
      <c r="B385" s="77"/>
      <c r="C385" s="74"/>
      <c r="D385" s="74"/>
    </row>
    <row r="386" ht="15.75" customHeight="1">
      <c r="A386" s="74"/>
      <c r="B386" s="77"/>
      <c r="C386" s="74"/>
      <c r="D386" s="74"/>
    </row>
    <row r="387" ht="15.75" customHeight="1">
      <c r="A387" s="74"/>
      <c r="B387" s="77"/>
      <c r="C387" s="74"/>
      <c r="D387" s="74"/>
    </row>
    <row r="388" ht="15.75" customHeight="1">
      <c r="A388" s="74"/>
      <c r="B388" s="77"/>
      <c r="C388" s="74"/>
      <c r="D388" s="74"/>
    </row>
    <row r="389" ht="15.75" customHeight="1">
      <c r="A389" s="74"/>
      <c r="B389" s="77"/>
      <c r="C389" s="74"/>
      <c r="D389" s="74"/>
    </row>
    <row r="390" ht="15.75" customHeight="1">
      <c r="A390" s="74"/>
      <c r="B390" s="77"/>
      <c r="C390" s="74"/>
      <c r="D390" s="74"/>
    </row>
    <row r="391" ht="15.75" customHeight="1">
      <c r="A391" s="74"/>
      <c r="B391" s="77"/>
      <c r="C391" s="74"/>
      <c r="D391" s="74"/>
    </row>
    <row r="392" ht="15.75" customHeight="1">
      <c r="A392" s="74"/>
      <c r="B392" s="77"/>
      <c r="C392" s="74"/>
      <c r="D392" s="74"/>
    </row>
    <row r="393" ht="15.75" customHeight="1">
      <c r="A393" s="74"/>
      <c r="B393" s="77"/>
      <c r="C393" s="74"/>
      <c r="D393" s="74"/>
    </row>
    <row r="394" ht="15.75" customHeight="1">
      <c r="A394" s="74"/>
      <c r="B394" s="77"/>
      <c r="C394" s="74"/>
      <c r="D394" s="74"/>
    </row>
    <row r="395" ht="15.75" customHeight="1">
      <c r="A395" s="74"/>
      <c r="B395" s="77"/>
      <c r="C395" s="74"/>
      <c r="D395" s="74"/>
    </row>
    <row r="396" ht="15.75" customHeight="1">
      <c r="A396" s="74"/>
      <c r="B396" s="77"/>
      <c r="C396" s="74"/>
      <c r="D396" s="74"/>
    </row>
    <row r="397" ht="15.75" customHeight="1">
      <c r="A397" s="74"/>
      <c r="B397" s="77"/>
      <c r="C397" s="74"/>
      <c r="D397" s="74"/>
    </row>
    <row r="398" ht="15.75" customHeight="1">
      <c r="A398" s="74"/>
      <c r="B398" s="77"/>
      <c r="C398" s="74"/>
      <c r="D398" s="74"/>
    </row>
    <row r="399" ht="15.75" customHeight="1">
      <c r="A399" s="74"/>
      <c r="B399" s="77"/>
      <c r="C399" s="74"/>
      <c r="D399" s="74"/>
    </row>
    <row r="400" ht="15.75" customHeight="1">
      <c r="A400" s="74"/>
      <c r="B400" s="77"/>
      <c r="C400" s="74"/>
      <c r="D400" s="74"/>
    </row>
    <row r="401" ht="15.75" customHeight="1">
      <c r="A401" s="74"/>
      <c r="B401" s="77"/>
      <c r="C401" s="74"/>
      <c r="D401" s="74"/>
    </row>
    <row r="402" ht="15.75" customHeight="1">
      <c r="A402" s="74"/>
      <c r="B402" s="77"/>
      <c r="C402" s="74"/>
      <c r="D402" s="74"/>
    </row>
    <row r="403" ht="15.75" customHeight="1">
      <c r="A403" s="74"/>
      <c r="B403" s="77"/>
      <c r="C403" s="74"/>
      <c r="D403" s="74"/>
    </row>
    <row r="404" ht="15.75" customHeight="1">
      <c r="A404" s="74"/>
      <c r="B404" s="77"/>
      <c r="C404" s="74"/>
      <c r="D404" s="74"/>
    </row>
    <row r="405" ht="15.75" customHeight="1">
      <c r="A405" s="74"/>
      <c r="B405" s="77"/>
      <c r="C405" s="74"/>
      <c r="D405" s="74"/>
    </row>
    <row r="406" ht="15.75" customHeight="1">
      <c r="A406" s="74"/>
      <c r="B406" s="77"/>
      <c r="C406" s="74"/>
      <c r="D406" s="74"/>
    </row>
    <row r="407" ht="15.75" customHeight="1">
      <c r="A407" s="74"/>
      <c r="B407" s="77"/>
      <c r="C407" s="74"/>
      <c r="D407" s="74"/>
    </row>
    <row r="408" ht="15.75" customHeight="1">
      <c r="A408" s="74"/>
      <c r="B408" s="77"/>
      <c r="C408" s="74"/>
      <c r="D408" s="74"/>
    </row>
    <row r="409" ht="15.75" customHeight="1">
      <c r="A409" s="74"/>
      <c r="B409" s="77"/>
      <c r="C409" s="74"/>
      <c r="D409" s="74"/>
    </row>
    <row r="410" ht="15.75" customHeight="1">
      <c r="A410" s="74"/>
      <c r="B410" s="77"/>
      <c r="C410" s="74"/>
      <c r="D410" s="74"/>
    </row>
    <row r="411" ht="15.75" customHeight="1">
      <c r="A411" s="74"/>
      <c r="B411" s="77"/>
      <c r="C411" s="74"/>
      <c r="D411" s="74"/>
    </row>
    <row r="412" ht="15.75" customHeight="1">
      <c r="A412" s="74"/>
      <c r="B412" s="77"/>
      <c r="C412" s="74"/>
      <c r="D412" s="74"/>
    </row>
    <row r="413" ht="15.75" customHeight="1">
      <c r="A413" s="74"/>
      <c r="B413" s="77"/>
      <c r="C413" s="74"/>
      <c r="D413" s="74"/>
    </row>
    <row r="414" ht="15.75" customHeight="1">
      <c r="A414" s="74"/>
      <c r="B414" s="77"/>
      <c r="C414" s="74"/>
      <c r="D414" s="74"/>
    </row>
    <row r="415" ht="15.75" customHeight="1">
      <c r="A415" s="74"/>
      <c r="B415" s="77"/>
      <c r="C415" s="74"/>
      <c r="D415" s="74"/>
    </row>
    <row r="416" ht="15.75" customHeight="1">
      <c r="A416" s="74"/>
      <c r="B416" s="77"/>
      <c r="C416" s="74"/>
      <c r="D416" s="74"/>
    </row>
    <row r="417" ht="15.75" customHeight="1">
      <c r="A417" s="74"/>
      <c r="B417" s="77"/>
      <c r="C417" s="74"/>
      <c r="D417" s="74"/>
    </row>
    <row r="418" ht="15.75" customHeight="1">
      <c r="A418" s="74"/>
      <c r="B418" s="77"/>
      <c r="C418" s="74"/>
      <c r="D418" s="74"/>
    </row>
    <row r="419" ht="15.75" customHeight="1">
      <c r="A419" s="74"/>
      <c r="B419" s="77"/>
      <c r="C419" s="74"/>
      <c r="D419" s="74"/>
    </row>
    <row r="420" ht="15.75" customHeight="1">
      <c r="A420" s="74"/>
      <c r="B420" s="77"/>
      <c r="C420" s="74"/>
      <c r="D420" s="74"/>
    </row>
    <row r="421" ht="15.75" customHeight="1">
      <c r="A421" s="74"/>
      <c r="B421" s="77"/>
      <c r="C421" s="74"/>
      <c r="D421" s="74"/>
    </row>
    <row r="422" ht="15.75" customHeight="1">
      <c r="A422" s="74"/>
      <c r="B422" s="77"/>
      <c r="C422" s="74"/>
      <c r="D422" s="74"/>
    </row>
    <row r="423" ht="15.75" customHeight="1">
      <c r="A423" s="74"/>
      <c r="B423" s="77"/>
      <c r="C423" s="74"/>
      <c r="D423" s="74"/>
    </row>
    <row r="424" ht="15.75" customHeight="1">
      <c r="A424" s="74"/>
      <c r="B424" s="77"/>
      <c r="C424" s="74"/>
      <c r="D424" s="74"/>
    </row>
    <row r="425" ht="15.75" customHeight="1">
      <c r="A425" s="74"/>
      <c r="B425" s="77"/>
      <c r="C425" s="74"/>
      <c r="D425" s="74"/>
    </row>
    <row r="426" ht="15.75" customHeight="1">
      <c r="A426" s="74"/>
      <c r="B426" s="77"/>
      <c r="C426" s="74"/>
      <c r="D426" s="74"/>
    </row>
    <row r="427" ht="15.75" customHeight="1">
      <c r="A427" s="74"/>
      <c r="B427" s="77"/>
      <c r="C427" s="74"/>
      <c r="D427" s="74"/>
    </row>
    <row r="428" ht="15.75" customHeight="1">
      <c r="A428" s="74"/>
      <c r="B428" s="77"/>
      <c r="C428" s="74"/>
      <c r="D428" s="74"/>
    </row>
    <row r="429" ht="15.75" customHeight="1">
      <c r="A429" s="74"/>
      <c r="B429" s="77"/>
      <c r="C429" s="74"/>
      <c r="D429" s="74"/>
    </row>
    <row r="430" ht="15.75" customHeight="1">
      <c r="A430" s="74"/>
      <c r="B430" s="77"/>
      <c r="C430" s="74"/>
      <c r="D430" s="74"/>
    </row>
    <row r="431" ht="15.75" customHeight="1">
      <c r="A431" s="74"/>
      <c r="B431" s="77"/>
      <c r="C431" s="74"/>
      <c r="D431" s="74"/>
    </row>
    <row r="432" ht="15.75" customHeight="1">
      <c r="A432" s="74"/>
      <c r="B432" s="77"/>
      <c r="C432" s="74"/>
      <c r="D432" s="74"/>
    </row>
    <row r="433" ht="15.75" customHeight="1">
      <c r="A433" s="74"/>
      <c r="B433" s="77"/>
      <c r="C433" s="74"/>
      <c r="D433" s="74"/>
    </row>
    <row r="434" ht="15.75" customHeight="1">
      <c r="A434" s="74"/>
      <c r="B434" s="77"/>
      <c r="C434" s="74"/>
      <c r="D434" s="74"/>
    </row>
    <row r="435" ht="15.75" customHeight="1">
      <c r="A435" s="74"/>
      <c r="B435" s="77"/>
      <c r="C435" s="74"/>
      <c r="D435" s="74"/>
    </row>
    <row r="436" ht="15.75" customHeight="1">
      <c r="A436" s="74"/>
      <c r="B436" s="77"/>
      <c r="C436" s="74"/>
      <c r="D436" s="74"/>
    </row>
    <row r="437" ht="15.75" customHeight="1">
      <c r="A437" s="74"/>
      <c r="B437" s="77"/>
      <c r="C437" s="74"/>
      <c r="D437" s="74"/>
    </row>
    <row r="438" ht="15.75" customHeight="1">
      <c r="A438" s="74"/>
      <c r="B438" s="77"/>
      <c r="C438" s="74"/>
      <c r="D438" s="74"/>
    </row>
    <row r="439" ht="15.75" customHeight="1">
      <c r="A439" s="74"/>
      <c r="B439" s="77"/>
      <c r="C439" s="74"/>
      <c r="D439" s="74"/>
    </row>
    <row r="440" ht="15.75" customHeight="1">
      <c r="A440" s="74"/>
      <c r="B440" s="77"/>
      <c r="C440" s="74"/>
      <c r="D440" s="74"/>
    </row>
    <row r="441" ht="15.75" customHeight="1">
      <c r="A441" s="74"/>
      <c r="B441" s="77"/>
      <c r="C441" s="74"/>
      <c r="D441" s="74"/>
    </row>
    <row r="442" ht="15.75" customHeight="1">
      <c r="A442" s="74"/>
      <c r="B442" s="77"/>
      <c r="C442" s="74"/>
      <c r="D442" s="74"/>
    </row>
    <row r="443" ht="15.75" customHeight="1">
      <c r="A443" s="74"/>
      <c r="B443" s="77"/>
      <c r="C443" s="74"/>
      <c r="D443" s="74"/>
    </row>
    <row r="444" ht="15.75" customHeight="1">
      <c r="A444" s="74"/>
      <c r="B444" s="77"/>
      <c r="C444" s="74"/>
      <c r="D444" s="74"/>
    </row>
    <row r="445" ht="15.75" customHeight="1">
      <c r="A445" s="74"/>
      <c r="B445" s="77"/>
      <c r="C445" s="74"/>
      <c r="D445" s="74"/>
    </row>
    <row r="446" ht="15.75" customHeight="1">
      <c r="A446" s="74"/>
      <c r="B446" s="77"/>
      <c r="C446" s="74"/>
      <c r="D446" s="74"/>
    </row>
    <row r="447" ht="15.75" customHeight="1">
      <c r="A447" s="74"/>
      <c r="B447" s="77"/>
      <c r="C447" s="74"/>
      <c r="D447" s="74"/>
    </row>
    <row r="448" ht="15.75" customHeight="1">
      <c r="A448" s="74"/>
      <c r="B448" s="77"/>
      <c r="C448" s="74"/>
      <c r="D448" s="74"/>
    </row>
    <row r="449" ht="15.75" customHeight="1">
      <c r="A449" s="74"/>
      <c r="B449" s="77"/>
      <c r="C449" s="74"/>
      <c r="D449" s="74"/>
    </row>
    <row r="450" ht="15.75" customHeight="1">
      <c r="A450" s="74"/>
      <c r="B450" s="77"/>
      <c r="C450" s="74"/>
      <c r="D450" s="74"/>
    </row>
    <row r="451" ht="15.75" customHeight="1">
      <c r="A451" s="74"/>
      <c r="B451" s="77"/>
      <c r="C451" s="74"/>
      <c r="D451" s="74"/>
    </row>
    <row r="452" ht="15.75" customHeight="1">
      <c r="A452" s="74"/>
      <c r="B452" s="77"/>
      <c r="C452" s="74"/>
      <c r="D452" s="74"/>
    </row>
    <row r="453" ht="15.75" customHeight="1">
      <c r="A453" s="74"/>
      <c r="B453" s="77"/>
      <c r="C453" s="74"/>
      <c r="D453" s="74"/>
    </row>
    <row r="454" ht="15.75" customHeight="1">
      <c r="A454" s="74"/>
      <c r="B454" s="77"/>
      <c r="C454" s="74"/>
      <c r="D454" s="74"/>
    </row>
    <row r="455" ht="15.75" customHeight="1">
      <c r="A455" s="74"/>
      <c r="B455" s="77"/>
      <c r="C455" s="74"/>
      <c r="D455" s="74"/>
    </row>
    <row r="456" ht="15.75" customHeight="1">
      <c r="A456" s="74"/>
      <c r="B456" s="77"/>
      <c r="C456" s="74"/>
      <c r="D456" s="74"/>
    </row>
    <row r="457" ht="15.75" customHeight="1">
      <c r="A457" s="74"/>
      <c r="B457" s="77"/>
      <c r="C457" s="74"/>
      <c r="D457" s="74"/>
    </row>
    <row r="458" ht="15.75" customHeight="1">
      <c r="A458" s="74"/>
      <c r="B458" s="77"/>
      <c r="C458" s="74"/>
      <c r="D458" s="74"/>
    </row>
    <row r="459" ht="15.75" customHeight="1">
      <c r="A459" s="74"/>
      <c r="B459" s="77"/>
      <c r="C459" s="74"/>
      <c r="D459" s="74"/>
    </row>
    <row r="460" ht="15.75" customHeight="1">
      <c r="A460" s="74"/>
      <c r="B460" s="77"/>
      <c r="C460" s="74"/>
      <c r="D460" s="74"/>
    </row>
    <row r="461" ht="15.75" customHeight="1">
      <c r="A461" s="74"/>
      <c r="B461" s="77"/>
      <c r="C461" s="74"/>
      <c r="D461" s="74"/>
    </row>
    <row r="462" ht="15.75" customHeight="1">
      <c r="A462" s="74"/>
      <c r="B462" s="77"/>
      <c r="C462" s="74"/>
      <c r="D462" s="74"/>
    </row>
    <row r="463" ht="15.75" customHeight="1">
      <c r="A463" s="74"/>
      <c r="B463" s="77"/>
      <c r="C463" s="74"/>
      <c r="D463" s="74"/>
    </row>
    <row r="464" ht="15.75" customHeight="1">
      <c r="A464" s="74"/>
      <c r="B464" s="77"/>
      <c r="C464" s="74"/>
      <c r="D464" s="74"/>
    </row>
    <row r="465" ht="15.75" customHeight="1">
      <c r="A465" s="74"/>
      <c r="B465" s="77"/>
      <c r="C465" s="74"/>
      <c r="D465" s="74"/>
    </row>
    <row r="466" ht="15.75" customHeight="1">
      <c r="A466" s="74"/>
      <c r="B466" s="77"/>
      <c r="C466" s="74"/>
      <c r="D466" s="74"/>
    </row>
    <row r="467" ht="15.75" customHeight="1">
      <c r="A467" s="74"/>
      <c r="B467" s="77"/>
      <c r="C467" s="74"/>
      <c r="D467" s="74"/>
    </row>
    <row r="468" ht="15.75" customHeight="1">
      <c r="A468" s="74"/>
      <c r="B468" s="77"/>
      <c r="C468" s="74"/>
      <c r="D468" s="74"/>
    </row>
    <row r="469" ht="15.75" customHeight="1">
      <c r="A469" s="74"/>
      <c r="B469" s="77"/>
      <c r="C469" s="74"/>
      <c r="D469" s="74"/>
    </row>
    <row r="470" ht="15.75" customHeight="1">
      <c r="A470" s="74"/>
      <c r="B470" s="77"/>
      <c r="C470" s="74"/>
      <c r="D470" s="74"/>
    </row>
    <row r="471" ht="15.75" customHeight="1">
      <c r="A471" s="74"/>
      <c r="B471" s="77"/>
      <c r="C471" s="74"/>
      <c r="D471" s="74"/>
    </row>
    <row r="472" ht="15.75" customHeight="1">
      <c r="A472" s="74"/>
      <c r="B472" s="77"/>
      <c r="C472" s="74"/>
      <c r="D472" s="74"/>
    </row>
    <row r="473" ht="15.75" customHeight="1">
      <c r="A473" s="74"/>
      <c r="B473" s="77"/>
      <c r="C473" s="74"/>
      <c r="D473" s="74"/>
    </row>
    <row r="474" ht="15.75" customHeight="1">
      <c r="A474" s="74"/>
      <c r="B474" s="77"/>
      <c r="C474" s="74"/>
      <c r="D474" s="74"/>
    </row>
    <row r="475" ht="15.75" customHeight="1">
      <c r="A475" s="74"/>
      <c r="B475" s="77"/>
      <c r="C475" s="74"/>
      <c r="D475" s="74"/>
    </row>
    <row r="476" ht="15.75" customHeight="1">
      <c r="A476" s="74"/>
      <c r="B476" s="77"/>
      <c r="C476" s="74"/>
      <c r="D476" s="74"/>
    </row>
    <row r="477" ht="15.75" customHeight="1">
      <c r="A477" s="74"/>
      <c r="B477" s="77"/>
      <c r="C477" s="74"/>
      <c r="D477" s="74"/>
    </row>
    <row r="478" ht="15.75" customHeight="1">
      <c r="A478" s="74"/>
      <c r="B478" s="77"/>
      <c r="C478" s="74"/>
      <c r="D478" s="74"/>
    </row>
    <row r="479" ht="15.75" customHeight="1">
      <c r="A479" s="74"/>
      <c r="B479" s="77"/>
      <c r="C479" s="74"/>
      <c r="D479" s="74"/>
    </row>
    <row r="480" ht="15.75" customHeight="1">
      <c r="A480" s="74"/>
      <c r="B480" s="77"/>
      <c r="C480" s="74"/>
      <c r="D480" s="74"/>
    </row>
    <row r="481" ht="15.75" customHeight="1">
      <c r="A481" s="74"/>
      <c r="B481" s="77"/>
      <c r="C481" s="74"/>
      <c r="D481" s="74"/>
    </row>
    <row r="482" ht="15.75" customHeight="1">
      <c r="A482" s="74"/>
      <c r="B482" s="77"/>
      <c r="C482" s="74"/>
      <c r="D482" s="74"/>
    </row>
    <row r="483" ht="15.75" customHeight="1">
      <c r="A483" s="74"/>
      <c r="B483" s="77"/>
      <c r="C483" s="74"/>
      <c r="D483" s="74"/>
    </row>
    <row r="484" ht="15.75" customHeight="1">
      <c r="A484" s="74"/>
      <c r="B484" s="77"/>
      <c r="C484" s="74"/>
      <c r="D484" s="74"/>
    </row>
    <row r="485" ht="15.75" customHeight="1">
      <c r="A485" s="74"/>
      <c r="B485" s="77"/>
      <c r="C485" s="74"/>
      <c r="D485" s="74"/>
    </row>
    <row r="486" ht="15.75" customHeight="1">
      <c r="A486" s="74"/>
      <c r="B486" s="77"/>
      <c r="C486" s="74"/>
      <c r="D486" s="74"/>
    </row>
    <row r="487" ht="15.75" customHeight="1">
      <c r="A487" s="74"/>
      <c r="B487" s="77"/>
      <c r="C487" s="74"/>
      <c r="D487" s="74"/>
    </row>
    <row r="488" ht="15.75" customHeight="1">
      <c r="A488" s="74"/>
      <c r="B488" s="77"/>
      <c r="C488" s="74"/>
      <c r="D488" s="74"/>
    </row>
    <row r="489" ht="15.75" customHeight="1">
      <c r="A489" s="74"/>
      <c r="B489" s="77"/>
      <c r="C489" s="74"/>
      <c r="D489" s="74"/>
    </row>
    <row r="490" ht="15.75" customHeight="1">
      <c r="A490" s="74"/>
      <c r="B490" s="77"/>
      <c r="C490" s="74"/>
      <c r="D490" s="74"/>
    </row>
    <row r="491" ht="15.75" customHeight="1">
      <c r="A491" s="74"/>
      <c r="B491" s="77"/>
      <c r="C491" s="74"/>
      <c r="D491" s="74"/>
    </row>
    <row r="492" ht="15.75" customHeight="1">
      <c r="A492" s="74"/>
      <c r="B492" s="77"/>
      <c r="C492" s="74"/>
      <c r="D492" s="74"/>
    </row>
    <row r="493" ht="15.75" customHeight="1">
      <c r="A493" s="74"/>
      <c r="B493" s="77"/>
      <c r="C493" s="74"/>
      <c r="D493" s="74"/>
    </row>
    <row r="494" ht="15.75" customHeight="1">
      <c r="A494" s="74"/>
      <c r="B494" s="77"/>
      <c r="C494" s="74"/>
      <c r="D494" s="74"/>
    </row>
    <row r="495" ht="15.75" customHeight="1">
      <c r="A495" s="74"/>
      <c r="B495" s="77"/>
      <c r="C495" s="74"/>
      <c r="D495" s="74"/>
    </row>
    <row r="496" ht="15.75" customHeight="1">
      <c r="A496" s="74"/>
      <c r="B496" s="77"/>
      <c r="C496" s="74"/>
      <c r="D496" s="74"/>
    </row>
    <row r="497" ht="15.75" customHeight="1">
      <c r="A497" s="74"/>
      <c r="B497" s="77"/>
      <c r="C497" s="74"/>
      <c r="D497" s="74"/>
    </row>
    <row r="498" ht="15.75" customHeight="1">
      <c r="A498" s="74"/>
      <c r="B498" s="77"/>
      <c r="C498" s="74"/>
      <c r="D498" s="74"/>
    </row>
    <row r="499" ht="15.75" customHeight="1">
      <c r="A499" s="74"/>
      <c r="B499" s="77"/>
      <c r="C499" s="74"/>
      <c r="D499" s="74"/>
    </row>
    <row r="500" ht="15.75" customHeight="1">
      <c r="A500" s="74"/>
      <c r="B500" s="77"/>
      <c r="C500" s="74"/>
      <c r="D500" s="74"/>
    </row>
    <row r="501" ht="15.75" customHeight="1">
      <c r="A501" s="74"/>
      <c r="B501" s="77"/>
      <c r="C501" s="74"/>
      <c r="D501" s="74"/>
    </row>
    <row r="502" ht="15.75" customHeight="1">
      <c r="A502" s="74"/>
      <c r="B502" s="77"/>
      <c r="C502" s="74"/>
      <c r="D502" s="74"/>
    </row>
    <row r="503" ht="15.75" customHeight="1">
      <c r="A503" s="74"/>
      <c r="B503" s="77"/>
      <c r="C503" s="74"/>
      <c r="D503" s="74"/>
    </row>
    <row r="504" ht="15.75" customHeight="1">
      <c r="A504" s="74"/>
      <c r="B504" s="77"/>
      <c r="C504" s="74"/>
      <c r="D504" s="74"/>
    </row>
    <row r="505" ht="15.75" customHeight="1">
      <c r="A505" s="74"/>
      <c r="B505" s="77"/>
      <c r="C505" s="74"/>
      <c r="D505" s="74"/>
    </row>
    <row r="506" ht="15.75" customHeight="1">
      <c r="A506" s="74"/>
      <c r="B506" s="77"/>
      <c r="C506" s="74"/>
      <c r="D506" s="74"/>
    </row>
    <row r="507" ht="15.75" customHeight="1">
      <c r="A507" s="74"/>
      <c r="B507" s="77"/>
      <c r="C507" s="74"/>
      <c r="D507" s="74"/>
    </row>
    <row r="508" ht="15.75" customHeight="1">
      <c r="A508" s="74"/>
      <c r="B508" s="77"/>
      <c r="C508" s="74"/>
      <c r="D508" s="74"/>
    </row>
    <row r="509" ht="15.75" customHeight="1">
      <c r="A509" s="74"/>
      <c r="B509" s="77"/>
      <c r="C509" s="74"/>
      <c r="D509" s="74"/>
    </row>
    <row r="510" ht="15.75" customHeight="1">
      <c r="A510" s="74"/>
      <c r="B510" s="77"/>
      <c r="C510" s="74"/>
      <c r="D510" s="74"/>
    </row>
    <row r="511" ht="15.75" customHeight="1">
      <c r="A511" s="74"/>
      <c r="B511" s="77"/>
      <c r="C511" s="74"/>
      <c r="D511" s="74"/>
    </row>
    <row r="512" ht="15.75" customHeight="1">
      <c r="A512" s="74"/>
      <c r="B512" s="77"/>
      <c r="C512" s="74"/>
      <c r="D512" s="74"/>
    </row>
    <row r="513" ht="15.75" customHeight="1">
      <c r="A513" s="74"/>
      <c r="B513" s="77"/>
      <c r="C513" s="74"/>
      <c r="D513" s="74"/>
    </row>
    <row r="514" ht="15.75" customHeight="1">
      <c r="A514" s="74"/>
      <c r="B514" s="77"/>
      <c r="C514" s="74"/>
      <c r="D514" s="74"/>
    </row>
    <row r="515" ht="15.75" customHeight="1">
      <c r="A515" s="74"/>
      <c r="B515" s="77"/>
      <c r="C515" s="74"/>
      <c r="D515" s="74"/>
    </row>
    <row r="516" ht="15.75" customHeight="1">
      <c r="A516" s="74"/>
      <c r="B516" s="77"/>
      <c r="C516" s="74"/>
      <c r="D516" s="74"/>
    </row>
    <row r="517" ht="15.75" customHeight="1">
      <c r="A517" s="74"/>
      <c r="B517" s="77"/>
      <c r="C517" s="74"/>
      <c r="D517" s="74"/>
    </row>
    <row r="518" ht="15.75" customHeight="1">
      <c r="A518" s="74"/>
      <c r="B518" s="77"/>
      <c r="C518" s="74"/>
      <c r="D518" s="74"/>
    </row>
    <row r="519" ht="15.75" customHeight="1">
      <c r="A519" s="74"/>
      <c r="B519" s="77"/>
      <c r="C519" s="74"/>
      <c r="D519" s="74"/>
    </row>
    <row r="520" ht="15.75" customHeight="1">
      <c r="A520" s="74"/>
      <c r="B520" s="77"/>
      <c r="C520" s="74"/>
      <c r="D520" s="74"/>
    </row>
    <row r="521" ht="15.75" customHeight="1">
      <c r="A521" s="74"/>
      <c r="B521" s="77"/>
      <c r="C521" s="74"/>
      <c r="D521" s="74"/>
    </row>
    <row r="522" ht="15.75" customHeight="1">
      <c r="A522" s="74"/>
      <c r="B522" s="77"/>
      <c r="C522" s="74"/>
      <c r="D522" s="74"/>
    </row>
    <row r="523" ht="15.75" customHeight="1">
      <c r="A523" s="74"/>
      <c r="B523" s="77"/>
      <c r="C523" s="74"/>
      <c r="D523" s="74"/>
    </row>
    <row r="524" ht="15.75" customHeight="1">
      <c r="A524" s="74"/>
      <c r="B524" s="77"/>
      <c r="C524" s="74"/>
      <c r="D524" s="74"/>
    </row>
    <row r="525" ht="15.75" customHeight="1">
      <c r="A525" s="74"/>
      <c r="B525" s="77"/>
      <c r="C525" s="74"/>
      <c r="D525" s="74"/>
    </row>
    <row r="526" ht="15.75" customHeight="1">
      <c r="A526" s="74"/>
      <c r="B526" s="77"/>
      <c r="C526" s="74"/>
      <c r="D526" s="74"/>
    </row>
    <row r="527" ht="15.75" customHeight="1">
      <c r="A527" s="74"/>
      <c r="B527" s="77"/>
      <c r="C527" s="74"/>
      <c r="D527" s="74"/>
    </row>
    <row r="528" ht="15.75" customHeight="1">
      <c r="A528" s="74"/>
      <c r="B528" s="77"/>
      <c r="C528" s="74"/>
      <c r="D528" s="74"/>
    </row>
    <row r="529" ht="15.75" customHeight="1">
      <c r="A529" s="74"/>
      <c r="B529" s="77"/>
      <c r="C529" s="74"/>
      <c r="D529" s="74"/>
    </row>
    <row r="530" ht="15.75" customHeight="1">
      <c r="A530" s="74"/>
      <c r="B530" s="77"/>
      <c r="C530" s="74"/>
      <c r="D530" s="74"/>
    </row>
    <row r="531" ht="15.75" customHeight="1">
      <c r="A531" s="74"/>
      <c r="B531" s="77"/>
      <c r="C531" s="74"/>
      <c r="D531" s="74"/>
    </row>
    <row r="532" ht="15.75" customHeight="1">
      <c r="A532" s="74"/>
      <c r="B532" s="77"/>
      <c r="C532" s="74"/>
      <c r="D532" s="74"/>
    </row>
    <row r="533" ht="15.75" customHeight="1">
      <c r="A533" s="74"/>
      <c r="B533" s="77"/>
      <c r="C533" s="74"/>
      <c r="D533" s="74"/>
    </row>
    <row r="534" ht="15.75" customHeight="1">
      <c r="A534" s="74"/>
      <c r="B534" s="77"/>
      <c r="C534" s="74"/>
      <c r="D534" s="74"/>
    </row>
    <row r="535" ht="15.75" customHeight="1">
      <c r="A535" s="74"/>
      <c r="B535" s="77"/>
      <c r="C535" s="74"/>
      <c r="D535" s="74"/>
    </row>
    <row r="536" ht="15.75" customHeight="1">
      <c r="A536" s="74"/>
      <c r="B536" s="77"/>
      <c r="C536" s="74"/>
      <c r="D536" s="74"/>
    </row>
    <row r="537" ht="15.75" customHeight="1">
      <c r="A537" s="74"/>
      <c r="B537" s="77"/>
      <c r="C537" s="74"/>
      <c r="D537" s="74"/>
    </row>
    <row r="538" ht="15.75" customHeight="1">
      <c r="A538" s="74"/>
      <c r="B538" s="77"/>
      <c r="C538" s="74"/>
      <c r="D538" s="74"/>
    </row>
    <row r="539" ht="15.75" customHeight="1">
      <c r="A539" s="74"/>
      <c r="B539" s="77"/>
      <c r="C539" s="74"/>
      <c r="D539" s="74"/>
    </row>
    <row r="540" ht="15.75" customHeight="1">
      <c r="A540" s="74"/>
      <c r="B540" s="77"/>
      <c r="C540" s="74"/>
      <c r="D540" s="74"/>
    </row>
    <row r="541" ht="15.75" customHeight="1">
      <c r="A541" s="74"/>
      <c r="B541" s="77"/>
      <c r="C541" s="74"/>
      <c r="D541" s="74"/>
    </row>
    <row r="542" ht="15.75" customHeight="1">
      <c r="A542" s="74"/>
      <c r="B542" s="77"/>
      <c r="C542" s="74"/>
      <c r="D542" s="74"/>
    </row>
    <row r="543" ht="15.75" customHeight="1">
      <c r="A543" s="74"/>
      <c r="B543" s="77"/>
      <c r="C543" s="74"/>
      <c r="D543" s="74"/>
    </row>
    <row r="544" ht="15.75" customHeight="1">
      <c r="A544" s="74"/>
      <c r="B544" s="77"/>
      <c r="C544" s="74"/>
      <c r="D544" s="74"/>
    </row>
    <row r="545" ht="15.75" customHeight="1">
      <c r="A545" s="74"/>
      <c r="B545" s="75"/>
      <c r="C545" s="74"/>
      <c r="D545" s="74"/>
    </row>
    <row r="546" ht="15.75" customHeight="1">
      <c r="A546" s="74"/>
      <c r="B546" s="75"/>
      <c r="C546" s="74"/>
      <c r="D546" s="74"/>
    </row>
    <row r="547" ht="15.75" customHeight="1">
      <c r="A547" s="74"/>
      <c r="B547" s="75"/>
      <c r="C547" s="74"/>
      <c r="D547" s="74"/>
    </row>
    <row r="548" ht="15.75" customHeight="1">
      <c r="A548" s="74"/>
      <c r="B548" s="75"/>
      <c r="C548" s="74"/>
      <c r="D548" s="74"/>
    </row>
    <row r="549" ht="15.75" customHeight="1">
      <c r="A549" s="74"/>
      <c r="B549" s="75"/>
      <c r="C549" s="74"/>
      <c r="D549" s="74"/>
    </row>
    <row r="550" ht="15.75" customHeight="1">
      <c r="A550" s="74"/>
      <c r="B550" s="75"/>
      <c r="C550" s="74"/>
      <c r="D550" s="74"/>
    </row>
    <row r="551" ht="15.75" customHeight="1">
      <c r="A551" s="74"/>
      <c r="B551" s="75"/>
      <c r="C551" s="74"/>
      <c r="D551" s="74"/>
    </row>
    <row r="552" ht="15.75" customHeight="1">
      <c r="A552" s="74"/>
      <c r="B552" s="75"/>
      <c r="C552" s="74"/>
      <c r="D552" s="74"/>
    </row>
    <row r="553" ht="15.75" customHeight="1">
      <c r="A553" s="74"/>
      <c r="B553" s="75"/>
      <c r="C553" s="74"/>
      <c r="D553" s="74"/>
    </row>
    <row r="554" ht="15.75" customHeight="1">
      <c r="A554" s="74"/>
      <c r="B554" s="75"/>
      <c r="C554" s="74"/>
      <c r="D554" s="74"/>
    </row>
    <row r="555" ht="15.75" customHeight="1">
      <c r="A555" s="74"/>
      <c r="B555" s="75"/>
      <c r="C555" s="74"/>
      <c r="D555" s="74"/>
    </row>
    <row r="556" ht="15.75" customHeight="1">
      <c r="A556" s="74"/>
      <c r="B556" s="75"/>
      <c r="C556" s="74"/>
      <c r="D556" s="74"/>
    </row>
    <row r="557" ht="15.75" customHeight="1">
      <c r="A557" s="74"/>
      <c r="B557" s="75"/>
      <c r="C557" s="74"/>
      <c r="D557" s="74"/>
    </row>
    <row r="558" ht="15.75" customHeight="1">
      <c r="A558" s="74"/>
      <c r="B558" s="75"/>
      <c r="C558" s="74"/>
      <c r="D558" s="74"/>
    </row>
    <row r="559" ht="15.75" customHeight="1">
      <c r="A559" s="74"/>
      <c r="B559" s="75"/>
      <c r="C559" s="74"/>
      <c r="D559" s="74"/>
    </row>
    <row r="560" ht="15.75" customHeight="1">
      <c r="A560" s="74"/>
      <c r="B560" s="75"/>
      <c r="C560" s="74"/>
      <c r="D560" s="74"/>
    </row>
    <row r="561" ht="15.75" customHeight="1">
      <c r="A561" s="74"/>
      <c r="B561" s="75"/>
      <c r="C561" s="74"/>
      <c r="D561" s="74"/>
    </row>
    <row r="562" ht="15.75" customHeight="1">
      <c r="A562" s="74"/>
      <c r="B562" s="75"/>
      <c r="C562" s="74"/>
      <c r="D562" s="74"/>
    </row>
    <row r="563" ht="15.75" customHeight="1">
      <c r="A563" s="74"/>
      <c r="B563" s="75"/>
      <c r="C563" s="74"/>
      <c r="D563" s="74"/>
    </row>
    <row r="564" ht="15.75" customHeight="1">
      <c r="A564" s="74"/>
      <c r="B564" s="75"/>
      <c r="C564" s="74"/>
      <c r="D564" s="74"/>
    </row>
    <row r="565" ht="15.75" customHeight="1">
      <c r="A565" s="74"/>
      <c r="B565" s="75"/>
      <c r="C565" s="74"/>
      <c r="D565" s="74"/>
    </row>
    <row r="566" ht="15.75" customHeight="1">
      <c r="A566" s="74"/>
      <c r="B566" s="75"/>
      <c r="C566" s="74"/>
      <c r="D566" s="74"/>
    </row>
    <row r="567" ht="15.75" customHeight="1">
      <c r="A567" s="74"/>
      <c r="B567" s="75"/>
      <c r="C567" s="74"/>
      <c r="D567" s="74"/>
    </row>
    <row r="568" ht="15.75" customHeight="1">
      <c r="A568" s="74"/>
      <c r="B568" s="75"/>
      <c r="C568" s="74"/>
      <c r="D568" s="74"/>
    </row>
    <row r="569" ht="15.75" customHeight="1">
      <c r="A569" s="74"/>
      <c r="B569" s="75"/>
      <c r="C569" s="74"/>
      <c r="D569" s="74"/>
    </row>
    <row r="570" ht="15.75" customHeight="1">
      <c r="A570" s="74"/>
      <c r="B570" s="75"/>
      <c r="C570" s="74"/>
      <c r="D570" s="74"/>
    </row>
    <row r="571" ht="15.75" customHeight="1">
      <c r="A571" s="74"/>
      <c r="B571" s="75"/>
      <c r="C571" s="74"/>
      <c r="D571" s="74"/>
    </row>
    <row r="572" ht="15.75" customHeight="1">
      <c r="A572" s="74"/>
      <c r="B572" s="75"/>
      <c r="C572" s="74"/>
      <c r="D572" s="74"/>
    </row>
    <row r="573" ht="15.75" customHeight="1">
      <c r="A573" s="74"/>
      <c r="B573" s="75"/>
      <c r="C573" s="74"/>
      <c r="D573" s="74"/>
    </row>
    <row r="574" ht="15.75" customHeight="1">
      <c r="A574" s="74"/>
      <c r="B574" s="75"/>
      <c r="C574" s="74"/>
      <c r="D574" s="74"/>
    </row>
    <row r="575" ht="15.75" customHeight="1">
      <c r="A575" s="74"/>
      <c r="B575" s="75"/>
      <c r="C575" s="74"/>
      <c r="D575" s="74"/>
    </row>
    <row r="576" ht="15.75" customHeight="1">
      <c r="A576" s="74"/>
      <c r="B576" s="75"/>
      <c r="C576" s="74"/>
      <c r="D576" s="74"/>
    </row>
    <row r="577" ht="15.75" customHeight="1">
      <c r="A577" s="74"/>
      <c r="B577" s="75"/>
      <c r="C577" s="74"/>
      <c r="D577" s="74"/>
    </row>
    <row r="578" ht="15.75" customHeight="1">
      <c r="A578" s="74"/>
      <c r="B578" s="75"/>
      <c r="C578" s="74"/>
      <c r="D578" s="74"/>
    </row>
    <row r="579" ht="15.75" customHeight="1">
      <c r="A579" s="74"/>
      <c r="B579" s="75"/>
      <c r="C579" s="74"/>
      <c r="D579" s="74"/>
    </row>
    <row r="580" ht="15.75" customHeight="1">
      <c r="A580" s="74"/>
      <c r="B580" s="75"/>
      <c r="C580" s="74"/>
      <c r="D580" s="74"/>
    </row>
    <row r="581" ht="15.75" customHeight="1">
      <c r="A581" s="74"/>
      <c r="B581" s="75"/>
      <c r="C581" s="74"/>
      <c r="D581" s="74"/>
    </row>
    <row r="582" ht="15.75" customHeight="1">
      <c r="A582" s="74"/>
      <c r="B582" s="75"/>
      <c r="C582" s="74"/>
      <c r="D582" s="74"/>
    </row>
    <row r="583" ht="15.75" customHeight="1">
      <c r="A583" s="74"/>
      <c r="B583" s="75"/>
      <c r="C583" s="74"/>
      <c r="D583" s="74"/>
    </row>
    <row r="584" ht="15.75" customHeight="1">
      <c r="A584" s="74"/>
      <c r="B584" s="75"/>
      <c r="C584" s="74"/>
      <c r="D584" s="74"/>
    </row>
    <row r="585" ht="15.75" customHeight="1">
      <c r="A585" s="74"/>
      <c r="B585" s="75"/>
      <c r="C585" s="74"/>
      <c r="D585" s="74"/>
    </row>
    <row r="586" ht="15.75" customHeight="1">
      <c r="A586" s="74"/>
      <c r="B586" s="75"/>
      <c r="C586" s="74"/>
      <c r="D586" s="74"/>
    </row>
    <row r="587" ht="15.75" customHeight="1">
      <c r="A587" s="74"/>
      <c r="B587" s="75"/>
      <c r="C587" s="74"/>
      <c r="D587" s="74"/>
    </row>
    <row r="588" ht="15.75" customHeight="1">
      <c r="A588" s="74"/>
      <c r="B588" s="75"/>
      <c r="C588" s="74"/>
      <c r="D588" s="74"/>
    </row>
    <row r="589" ht="15.75" customHeight="1">
      <c r="A589" s="74"/>
      <c r="B589" s="75"/>
      <c r="C589" s="74"/>
      <c r="D589" s="74"/>
    </row>
    <row r="590" ht="15.75" customHeight="1">
      <c r="A590" s="74"/>
      <c r="B590" s="75"/>
      <c r="C590" s="74"/>
      <c r="D590" s="74"/>
    </row>
    <row r="591" ht="15.75" customHeight="1">
      <c r="A591" s="74"/>
      <c r="B591" s="75"/>
      <c r="C591" s="74"/>
      <c r="D591" s="74"/>
    </row>
    <row r="592" ht="15.75" customHeight="1">
      <c r="A592" s="74"/>
      <c r="B592" s="75"/>
      <c r="C592" s="74"/>
      <c r="D592" s="74"/>
    </row>
    <row r="593" ht="15.75" customHeight="1">
      <c r="A593" s="74"/>
      <c r="B593" s="75"/>
      <c r="C593" s="74"/>
      <c r="D593" s="74"/>
    </row>
    <row r="594" ht="15.75" customHeight="1">
      <c r="A594" s="74"/>
      <c r="B594" s="75"/>
      <c r="C594" s="74"/>
      <c r="D594" s="74"/>
    </row>
    <row r="595" ht="15.75" customHeight="1">
      <c r="A595" s="74"/>
      <c r="B595" s="75"/>
      <c r="C595" s="74"/>
      <c r="D595" s="74"/>
    </row>
    <row r="596" ht="15.75" customHeight="1">
      <c r="A596" s="74"/>
      <c r="B596" s="75"/>
      <c r="C596" s="74"/>
      <c r="D596" s="74"/>
    </row>
    <row r="597" ht="15.75" customHeight="1">
      <c r="A597" s="74"/>
      <c r="B597" s="75"/>
      <c r="C597" s="74"/>
      <c r="D597" s="74"/>
    </row>
    <row r="598" ht="15.75" customHeight="1">
      <c r="A598" s="74"/>
      <c r="B598" s="75"/>
      <c r="C598" s="74"/>
      <c r="D598" s="74"/>
    </row>
    <row r="599" ht="15.75" customHeight="1">
      <c r="A599" s="74"/>
      <c r="B599" s="75"/>
      <c r="C599" s="74"/>
      <c r="D599" s="74"/>
    </row>
    <row r="600" ht="15.75" customHeight="1">
      <c r="A600" s="74"/>
      <c r="B600" s="75"/>
      <c r="C600" s="74"/>
      <c r="D600" s="74"/>
    </row>
    <row r="601" ht="15.75" customHeight="1">
      <c r="A601" s="74"/>
      <c r="B601" s="75"/>
      <c r="C601" s="74"/>
      <c r="D601" s="74"/>
    </row>
    <row r="602" ht="15.75" customHeight="1">
      <c r="A602" s="74"/>
      <c r="B602" s="75"/>
      <c r="C602" s="74"/>
      <c r="D602" s="74"/>
    </row>
    <row r="603" ht="15.75" customHeight="1">
      <c r="A603" s="74"/>
      <c r="B603" s="75"/>
      <c r="C603" s="74"/>
      <c r="D603" s="74"/>
    </row>
    <row r="604" ht="15.75" customHeight="1">
      <c r="A604" s="74"/>
      <c r="B604" s="75"/>
      <c r="C604" s="74"/>
      <c r="D604" s="74"/>
    </row>
    <row r="605" ht="15.75" customHeight="1">
      <c r="A605" s="74"/>
      <c r="B605" s="75"/>
      <c r="C605" s="74"/>
      <c r="D605" s="74"/>
    </row>
    <row r="606" ht="15.75" customHeight="1">
      <c r="A606" s="74"/>
      <c r="B606" s="75"/>
      <c r="C606" s="74"/>
      <c r="D606" s="74"/>
    </row>
    <row r="607" ht="15.75" customHeight="1">
      <c r="A607" s="74"/>
      <c r="B607" s="75"/>
      <c r="C607" s="74"/>
      <c r="D607" s="74"/>
    </row>
    <row r="608" ht="15.75" customHeight="1">
      <c r="A608" s="74"/>
      <c r="B608" s="75"/>
      <c r="C608" s="74"/>
      <c r="D608" s="74"/>
    </row>
    <row r="609" ht="15.75" customHeight="1">
      <c r="A609" s="74"/>
      <c r="B609" s="75"/>
      <c r="C609" s="74"/>
      <c r="D609" s="74"/>
    </row>
    <row r="610" ht="15.75" customHeight="1">
      <c r="A610" s="74"/>
      <c r="B610" s="75"/>
      <c r="C610" s="74"/>
      <c r="D610" s="74"/>
    </row>
    <row r="611" ht="15.75" customHeight="1">
      <c r="A611" s="74"/>
      <c r="B611" s="75"/>
      <c r="C611" s="74"/>
      <c r="D611" s="74"/>
    </row>
    <row r="612" ht="15.75" customHeight="1">
      <c r="A612" s="74"/>
      <c r="B612" s="75"/>
      <c r="C612" s="74"/>
      <c r="D612" s="74"/>
    </row>
    <row r="613" ht="15.75" customHeight="1">
      <c r="A613" s="74"/>
      <c r="B613" s="75"/>
      <c r="C613" s="74"/>
      <c r="D613" s="74"/>
    </row>
    <row r="614" ht="15.75" customHeight="1">
      <c r="A614" s="74"/>
      <c r="B614" s="75"/>
      <c r="C614" s="74"/>
      <c r="D614" s="74"/>
    </row>
    <row r="615" ht="15.75" customHeight="1">
      <c r="A615" s="74"/>
      <c r="B615" s="75"/>
      <c r="C615" s="74"/>
      <c r="D615" s="74"/>
    </row>
    <row r="616" ht="15.75" customHeight="1">
      <c r="A616" s="74"/>
      <c r="B616" s="75"/>
      <c r="C616" s="74"/>
      <c r="D616" s="74"/>
    </row>
    <row r="617" ht="15.75" customHeight="1">
      <c r="A617" s="74"/>
      <c r="B617" s="75"/>
      <c r="C617" s="74"/>
      <c r="D617" s="74"/>
    </row>
    <row r="618" ht="15.75" customHeight="1">
      <c r="A618" s="74"/>
      <c r="B618" s="75"/>
      <c r="C618" s="74"/>
      <c r="D618" s="74"/>
    </row>
    <row r="619" ht="15.75" customHeight="1">
      <c r="A619" s="74"/>
      <c r="B619" s="75"/>
      <c r="C619" s="74"/>
      <c r="D619" s="74"/>
    </row>
    <row r="620" ht="15.75" customHeight="1">
      <c r="A620" s="74"/>
      <c r="B620" s="75"/>
      <c r="C620" s="74"/>
      <c r="D620" s="74"/>
    </row>
    <row r="621" ht="15.75" customHeight="1">
      <c r="A621" s="74"/>
      <c r="B621" s="75"/>
      <c r="C621" s="74"/>
      <c r="D621" s="74"/>
    </row>
    <row r="622" ht="15.75" customHeight="1">
      <c r="A622" s="74"/>
      <c r="B622" s="75"/>
      <c r="C622" s="74"/>
      <c r="D622" s="74"/>
    </row>
    <row r="623" ht="15.75" customHeight="1">
      <c r="A623" s="74"/>
      <c r="B623" s="75"/>
      <c r="C623" s="74"/>
      <c r="D623" s="74"/>
    </row>
    <row r="624" ht="15.75" customHeight="1">
      <c r="A624" s="74"/>
      <c r="B624" s="75"/>
      <c r="C624" s="74"/>
      <c r="D624" s="74"/>
    </row>
    <row r="625" ht="15.75" customHeight="1">
      <c r="A625" s="74"/>
      <c r="B625" s="75"/>
      <c r="C625" s="74"/>
      <c r="D625" s="74"/>
    </row>
    <row r="626" ht="15.75" customHeight="1">
      <c r="A626" s="74"/>
      <c r="B626" s="75"/>
      <c r="C626" s="74"/>
      <c r="D626" s="74"/>
    </row>
    <row r="627" ht="15.75" customHeight="1">
      <c r="A627" s="74"/>
      <c r="B627" s="75"/>
      <c r="C627" s="74"/>
      <c r="D627" s="74"/>
    </row>
    <row r="628" ht="15.75" customHeight="1">
      <c r="A628" s="74"/>
      <c r="B628" s="75"/>
      <c r="C628" s="74"/>
      <c r="D628" s="74"/>
    </row>
    <row r="629" ht="15.75" customHeight="1">
      <c r="A629" s="74"/>
      <c r="B629" s="75"/>
      <c r="C629" s="74"/>
      <c r="D629" s="74"/>
    </row>
    <row r="630" ht="15.75" customHeight="1">
      <c r="A630" s="74"/>
      <c r="B630" s="75"/>
      <c r="C630" s="74"/>
      <c r="D630" s="74"/>
    </row>
    <row r="631" ht="15.75" customHeight="1">
      <c r="A631" s="74"/>
      <c r="B631" s="75"/>
      <c r="C631" s="74"/>
      <c r="D631" s="74"/>
    </row>
    <row r="632" ht="15.75" customHeight="1">
      <c r="A632" s="74"/>
      <c r="B632" s="75"/>
      <c r="C632" s="74"/>
      <c r="D632" s="74"/>
    </row>
    <row r="633" ht="15.75" customHeight="1">
      <c r="A633" s="74"/>
      <c r="B633" s="75"/>
      <c r="C633" s="74"/>
      <c r="D633" s="74"/>
    </row>
    <row r="634" ht="15.75" customHeight="1">
      <c r="A634" s="74"/>
      <c r="B634" s="75"/>
      <c r="C634" s="74"/>
      <c r="D634" s="74"/>
    </row>
    <row r="635" ht="15.75" customHeight="1">
      <c r="A635" s="74"/>
      <c r="B635" s="75"/>
      <c r="C635" s="74"/>
      <c r="D635" s="74"/>
    </row>
    <row r="636" ht="15.75" customHeight="1">
      <c r="A636" s="74"/>
      <c r="B636" s="75"/>
      <c r="C636" s="74"/>
      <c r="D636" s="74"/>
    </row>
    <row r="637" ht="15.75" customHeight="1">
      <c r="A637" s="74"/>
      <c r="B637" s="75"/>
      <c r="C637" s="74"/>
      <c r="D637" s="74"/>
    </row>
    <row r="638" ht="15.75" customHeight="1">
      <c r="A638" s="74"/>
      <c r="B638" s="75"/>
      <c r="C638" s="74"/>
      <c r="D638" s="74"/>
    </row>
    <row r="639" ht="15.75" customHeight="1">
      <c r="A639" s="74"/>
      <c r="B639" s="75"/>
      <c r="C639" s="74"/>
      <c r="D639" s="74"/>
    </row>
    <row r="640" ht="15.75" customHeight="1">
      <c r="A640" s="74"/>
      <c r="B640" s="75"/>
      <c r="C640" s="74"/>
      <c r="D640" s="74"/>
    </row>
    <row r="641" ht="15.75" customHeight="1">
      <c r="A641" s="74"/>
      <c r="B641" s="75"/>
      <c r="C641" s="74"/>
      <c r="D641" s="74"/>
    </row>
    <row r="642" ht="15.75" customHeight="1">
      <c r="A642" s="74"/>
      <c r="B642" s="75"/>
      <c r="C642" s="74"/>
      <c r="D642" s="74"/>
    </row>
    <row r="643" ht="15.75" customHeight="1">
      <c r="A643" s="74"/>
      <c r="B643" s="75"/>
      <c r="C643" s="74"/>
      <c r="D643" s="74"/>
    </row>
    <row r="644" ht="15.75" customHeight="1">
      <c r="A644" s="74"/>
      <c r="B644" s="75"/>
      <c r="C644" s="74"/>
      <c r="D644" s="74"/>
    </row>
    <row r="645" ht="15.75" customHeight="1">
      <c r="A645" s="74"/>
      <c r="B645" s="75"/>
      <c r="C645" s="74"/>
      <c r="D645" s="74"/>
    </row>
    <row r="646" ht="15.75" customHeight="1">
      <c r="A646" s="74"/>
      <c r="B646" s="75"/>
      <c r="C646" s="74"/>
      <c r="D646" s="74"/>
    </row>
    <row r="647" ht="15.75" customHeight="1">
      <c r="A647" s="74"/>
      <c r="B647" s="75"/>
      <c r="C647" s="74"/>
      <c r="D647" s="74"/>
    </row>
    <row r="648" ht="15.75" customHeight="1">
      <c r="A648" s="74"/>
      <c r="B648" s="75"/>
      <c r="C648" s="74"/>
      <c r="D648" s="74"/>
    </row>
    <row r="649" ht="15.75" customHeight="1">
      <c r="A649" s="74"/>
      <c r="B649" s="75"/>
      <c r="C649" s="74"/>
      <c r="D649" s="74"/>
    </row>
    <row r="650" ht="15.75" customHeight="1">
      <c r="A650" s="74"/>
      <c r="B650" s="75"/>
      <c r="C650" s="74"/>
      <c r="D650" s="74"/>
    </row>
    <row r="651" ht="15.75" customHeight="1">
      <c r="A651" s="74"/>
      <c r="B651" s="75"/>
      <c r="C651" s="74"/>
      <c r="D651" s="74"/>
    </row>
    <row r="652" ht="15.75" customHeight="1">
      <c r="A652" s="74"/>
      <c r="B652" s="75"/>
      <c r="C652" s="74"/>
      <c r="D652" s="74"/>
    </row>
    <row r="653" ht="15.75" customHeight="1">
      <c r="A653" s="74"/>
      <c r="B653" s="75"/>
      <c r="C653" s="74"/>
      <c r="D653" s="74"/>
    </row>
    <row r="654" ht="15.75" customHeight="1">
      <c r="A654" s="74"/>
      <c r="B654" s="75"/>
      <c r="C654" s="74"/>
      <c r="D654" s="74"/>
    </row>
    <row r="655" ht="15.75" customHeight="1">
      <c r="A655" s="74"/>
      <c r="B655" s="75"/>
      <c r="C655" s="74"/>
      <c r="D655" s="74"/>
    </row>
    <row r="656" ht="15.75" customHeight="1">
      <c r="A656" s="74"/>
      <c r="B656" s="75"/>
      <c r="C656" s="74"/>
      <c r="D656" s="74"/>
    </row>
    <row r="657" ht="15.75" customHeight="1">
      <c r="A657" s="74"/>
      <c r="B657" s="75"/>
      <c r="C657" s="74"/>
      <c r="D657" s="74"/>
    </row>
    <row r="658" ht="15.75" customHeight="1">
      <c r="A658" s="74"/>
      <c r="B658" s="75"/>
      <c r="C658" s="74"/>
      <c r="D658" s="74"/>
    </row>
    <row r="659" ht="15.75" customHeight="1">
      <c r="A659" s="74"/>
      <c r="B659" s="75"/>
      <c r="C659" s="74"/>
      <c r="D659" s="74"/>
    </row>
    <row r="660" ht="15.75" customHeight="1">
      <c r="A660" s="74"/>
      <c r="B660" s="75"/>
      <c r="C660" s="74"/>
      <c r="D660" s="74"/>
    </row>
    <row r="661" ht="15.75" customHeight="1">
      <c r="A661" s="74"/>
      <c r="B661" s="75"/>
      <c r="C661" s="74"/>
      <c r="D661" s="74"/>
    </row>
    <row r="662" ht="15.75" customHeight="1">
      <c r="A662" s="74"/>
      <c r="B662" s="75"/>
      <c r="C662" s="74"/>
      <c r="D662" s="74"/>
    </row>
    <row r="663" ht="15.75" customHeight="1">
      <c r="A663" s="74"/>
      <c r="B663" s="75"/>
      <c r="C663" s="74"/>
      <c r="D663" s="74"/>
    </row>
    <row r="664" ht="15.75" customHeight="1">
      <c r="A664" s="74"/>
      <c r="B664" s="75"/>
      <c r="C664" s="74"/>
      <c r="D664" s="74"/>
    </row>
    <row r="665" ht="15.75" customHeight="1">
      <c r="A665" s="74"/>
      <c r="B665" s="75"/>
      <c r="C665" s="74"/>
      <c r="D665" s="74"/>
    </row>
    <row r="666" ht="15.75" customHeight="1">
      <c r="A666" s="74"/>
      <c r="B666" s="75"/>
      <c r="C666" s="74"/>
      <c r="D666" s="74"/>
    </row>
    <row r="667" ht="15.75" customHeight="1">
      <c r="A667" s="74"/>
      <c r="B667" s="75"/>
      <c r="C667" s="74"/>
      <c r="D667" s="74"/>
    </row>
    <row r="668" ht="15.75" customHeight="1">
      <c r="A668" s="74"/>
      <c r="B668" s="75"/>
      <c r="C668" s="74"/>
      <c r="D668" s="74"/>
    </row>
    <row r="669" ht="15.75" customHeight="1">
      <c r="A669" s="74"/>
      <c r="B669" s="75"/>
      <c r="C669" s="74"/>
      <c r="D669" s="74"/>
    </row>
    <row r="670" ht="15.75" customHeight="1">
      <c r="A670" s="74"/>
      <c r="B670" s="75"/>
      <c r="C670" s="74"/>
      <c r="D670" s="74"/>
    </row>
    <row r="671" ht="15.75" customHeight="1">
      <c r="A671" s="74"/>
      <c r="B671" s="75"/>
      <c r="C671" s="74"/>
      <c r="D671" s="74"/>
    </row>
    <row r="672" ht="15.75" customHeight="1">
      <c r="A672" s="74"/>
      <c r="B672" s="75"/>
      <c r="C672" s="74"/>
      <c r="D672" s="74"/>
    </row>
    <row r="673" ht="15.75" customHeight="1">
      <c r="A673" s="74"/>
      <c r="B673" s="75"/>
      <c r="C673" s="74"/>
      <c r="D673" s="74"/>
    </row>
    <row r="674" ht="15.75" customHeight="1">
      <c r="A674" s="74"/>
      <c r="B674" s="75"/>
      <c r="C674" s="74"/>
      <c r="D674" s="74"/>
    </row>
    <row r="675" ht="15.75" customHeight="1">
      <c r="A675" s="74"/>
      <c r="B675" s="75"/>
      <c r="C675" s="74"/>
      <c r="D675" s="74"/>
    </row>
    <row r="676" ht="15.75" customHeight="1">
      <c r="A676" s="74"/>
      <c r="B676" s="75"/>
      <c r="C676" s="74"/>
      <c r="D676" s="74"/>
    </row>
    <row r="677" ht="15.75" customHeight="1">
      <c r="A677" s="74"/>
      <c r="B677" s="75"/>
      <c r="C677" s="74"/>
      <c r="D677" s="74"/>
    </row>
    <row r="678" ht="15.75" customHeight="1">
      <c r="A678" s="74"/>
      <c r="B678" s="75"/>
      <c r="C678" s="74"/>
      <c r="D678" s="74"/>
    </row>
    <row r="679" ht="15.75" customHeight="1">
      <c r="A679" s="74"/>
      <c r="B679" s="75"/>
      <c r="C679" s="74"/>
      <c r="D679" s="74"/>
    </row>
    <row r="680" ht="15.75" customHeight="1">
      <c r="A680" s="74"/>
      <c r="B680" s="75"/>
      <c r="C680" s="74"/>
      <c r="D680" s="74"/>
    </row>
    <row r="681" ht="15.75" customHeight="1">
      <c r="A681" s="74"/>
      <c r="B681" s="75"/>
      <c r="C681" s="74"/>
      <c r="D681" s="74"/>
    </row>
    <row r="682" ht="15.75" customHeight="1">
      <c r="A682" s="74"/>
      <c r="B682" s="75"/>
      <c r="C682" s="74"/>
      <c r="D682" s="74"/>
    </row>
    <row r="683" ht="15.75" customHeight="1">
      <c r="A683" s="74"/>
      <c r="B683" s="75"/>
      <c r="C683" s="74"/>
      <c r="D683" s="74"/>
    </row>
    <row r="684" ht="15.75" customHeight="1">
      <c r="A684" s="74"/>
      <c r="B684" s="75"/>
      <c r="C684" s="74"/>
      <c r="D684" s="74"/>
    </row>
    <row r="685" ht="15.75" customHeight="1">
      <c r="A685" s="74"/>
      <c r="B685" s="75"/>
      <c r="C685" s="74"/>
      <c r="D685" s="74"/>
    </row>
    <row r="686" ht="15.75" customHeight="1">
      <c r="A686" s="74"/>
      <c r="B686" s="75"/>
      <c r="C686" s="74"/>
      <c r="D686" s="74"/>
    </row>
    <row r="687" ht="15.75" customHeight="1">
      <c r="A687" s="74"/>
      <c r="B687" s="75"/>
      <c r="C687" s="74"/>
      <c r="D687" s="74"/>
    </row>
    <row r="688" ht="15.75" customHeight="1">
      <c r="A688" s="74"/>
      <c r="B688" s="75"/>
      <c r="C688" s="74"/>
      <c r="D688" s="74"/>
    </row>
    <row r="689" ht="15.75" customHeight="1">
      <c r="A689" s="74"/>
      <c r="B689" s="75"/>
      <c r="C689" s="74"/>
      <c r="D689" s="74"/>
    </row>
    <row r="690" ht="15.75" customHeight="1">
      <c r="A690" s="74"/>
      <c r="B690" s="75"/>
      <c r="C690" s="74"/>
      <c r="D690" s="74"/>
    </row>
    <row r="691" ht="15.75" customHeight="1">
      <c r="A691" s="74"/>
      <c r="B691" s="75"/>
      <c r="C691" s="74"/>
      <c r="D691" s="74"/>
    </row>
    <row r="692" ht="15.75" customHeight="1">
      <c r="A692" s="74"/>
      <c r="B692" s="75"/>
      <c r="C692" s="74"/>
      <c r="D692" s="74"/>
    </row>
    <row r="693" ht="15.75" customHeight="1">
      <c r="A693" s="74"/>
      <c r="B693" s="75"/>
      <c r="C693" s="74"/>
      <c r="D693" s="74"/>
    </row>
    <row r="694" ht="15.75" customHeight="1">
      <c r="A694" s="74"/>
      <c r="B694" s="75"/>
      <c r="C694" s="74"/>
      <c r="D694" s="74"/>
    </row>
    <row r="695" ht="15.75" customHeight="1">
      <c r="A695" s="74"/>
      <c r="B695" s="75"/>
      <c r="C695" s="74"/>
      <c r="D695" s="74"/>
    </row>
    <row r="696" ht="15.75" customHeight="1">
      <c r="A696" s="74"/>
      <c r="B696" s="75"/>
      <c r="C696" s="74"/>
      <c r="D696" s="74"/>
    </row>
    <row r="697" ht="15.75" customHeight="1">
      <c r="A697" s="74"/>
      <c r="B697" s="75"/>
      <c r="C697" s="74"/>
      <c r="D697" s="74"/>
    </row>
    <row r="698" ht="15.75" customHeight="1">
      <c r="A698" s="74"/>
      <c r="B698" s="75"/>
      <c r="C698" s="74"/>
      <c r="D698" s="74"/>
    </row>
    <row r="699" ht="15.75" customHeight="1">
      <c r="A699" s="74"/>
      <c r="B699" s="75"/>
      <c r="C699" s="74"/>
      <c r="D699" s="74"/>
    </row>
    <row r="700" ht="15.75" customHeight="1">
      <c r="A700" s="74"/>
      <c r="B700" s="75"/>
      <c r="C700" s="74"/>
      <c r="D700" s="74"/>
    </row>
    <row r="701" ht="15.75" customHeight="1">
      <c r="A701" s="74"/>
      <c r="B701" s="75"/>
      <c r="C701" s="74"/>
      <c r="D701" s="74"/>
    </row>
    <row r="702" ht="15.75" customHeight="1">
      <c r="A702" s="74"/>
      <c r="B702" s="75"/>
      <c r="C702" s="74"/>
      <c r="D702" s="74"/>
    </row>
    <row r="703" ht="15.75" customHeight="1">
      <c r="A703" s="74"/>
      <c r="B703" s="75"/>
      <c r="C703" s="74"/>
      <c r="D703" s="74"/>
    </row>
    <row r="704" ht="15.75" customHeight="1">
      <c r="A704" s="74"/>
      <c r="B704" s="75"/>
      <c r="C704" s="74"/>
      <c r="D704" s="74"/>
    </row>
    <row r="705" ht="15.75" customHeight="1">
      <c r="A705" s="74"/>
      <c r="B705" s="75"/>
      <c r="C705" s="74"/>
      <c r="D705" s="74"/>
    </row>
    <row r="706" ht="15.75" customHeight="1">
      <c r="A706" s="74"/>
      <c r="B706" s="75"/>
      <c r="C706" s="74"/>
      <c r="D706" s="74"/>
    </row>
    <row r="707" ht="15.75" customHeight="1">
      <c r="A707" s="74"/>
      <c r="B707" s="75"/>
      <c r="C707" s="74"/>
      <c r="D707" s="74"/>
    </row>
    <row r="708" ht="15.75" customHeight="1">
      <c r="A708" s="74"/>
      <c r="B708" s="75"/>
      <c r="C708" s="74"/>
      <c r="D708" s="74"/>
    </row>
    <row r="709" ht="15.75" customHeight="1">
      <c r="A709" s="74"/>
      <c r="B709" s="75"/>
      <c r="C709" s="74"/>
      <c r="D709" s="74"/>
    </row>
    <row r="710" ht="15.75" customHeight="1">
      <c r="A710" s="74"/>
      <c r="B710" s="75"/>
      <c r="C710" s="74"/>
      <c r="D710" s="74"/>
    </row>
    <row r="711" ht="15.75" customHeight="1">
      <c r="A711" s="74"/>
      <c r="B711" s="75"/>
      <c r="C711" s="74"/>
      <c r="D711" s="74"/>
    </row>
    <row r="712" ht="15.75" customHeight="1">
      <c r="A712" s="74"/>
      <c r="B712" s="75"/>
      <c r="C712" s="74"/>
      <c r="D712" s="74"/>
    </row>
    <row r="713" ht="15.75" customHeight="1">
      <c r="A713" s="74"/>
      <c r="B713" s="75"/>
      <c r="C713" s="74"/>
      <c r="D713" s="74"/>
    </row>
    <row r="714" ht="15.75" customHeight="1">
      <c r="A714" s="74"/>
      <c r="B714" s="75"/>
      <c r="C714" s="74"/>
      <c r="D714" s="74"/>
    </row>
    <row r="715" ht="15.75" customHeight="1">
      <c r="A715" s="74"/>
      <c r="B715" s="75"/>
      <c r="C715" s="74"/>
      <c r="D715" s="74"/>
    </row>
    <row r="716" ht="15.75" customHeight="1">
      <c r="A716" s="74"/>
      <c r="B716" s="75"/>
      <c r="C716" s="74"/>
      <c r="D716" s="74"/>
    </row>
    <row r="717" ht="15.75" customHeight="1">
      <c r="A717" s="74"/>
      <c r="B717" s="75"/>
      <c r="C717" s="74"/>
      <c r="D717" s="74"/>
    </row>
    <row r="718" ht="15.75" customHeight="1">
      <c r="A718" s="74"/>
      <c r="B718" s="75"/>
      <c r="C718" s="74"/>
      <c r="D718" s="74"/>
    </row>
    <row r="719" ht="15.75" customHeight="1">
      <c r="A719" s="74"/>
      <c r="B719" s="75"/>
      <c r="C719" s="74"/>
      <c r="D719" s="74"/>
    </row>
    <row r="720" ht="15.75" customHeight="1">
      <c r="A720" s="74"/>
      <c r="B720" s="75"/>
      <c r="C720" s="74"/>
      <c r="D720" s="74"/>
    </row>
    <row r="721" ht="15.75" customHeight="1">
      <c r="A721" s="74"/>
      <c r="B721" s="75"/>
      <c r="C721" s="74"/>
      <c r="D721" s="74"/>
    </row>
    <row r="722" ht="15.75" customHeight="1">
      <c r="A722" s="74"/>
      <c r="B722" s="75"/>
      <c r="C722" s="74"/>
      <c r="D722" s="74"/>
    </row>
    <row r="723" ht="15.75" customHeight="1">
      <c r="A723" s="74"/>
      <c r="B723" s="75"/>
      <c r="C723" s="74"/>
      <c r="D723" s="74"/>
    </row>
    <row r="724" ht="15.75" customHeight="1">
      <c r="A724" s="74"/>
      <c r="B724" s="75"/>
      <c r="C724" s="74"/>
      <c r="D724" s="74"/>
    </row>
    <row r="725" ht="15.75" customHeight="1">
      <c r="A725" s="74"/>
      <c r="B725" s="75"/>
      <c r="C725" s="74"/>
      <c r="D725" s="74"/>
    </row>
    <row r="726" ht="15.75" customHeight="1">
      <c r="A726" s="74"/>
      <c r="B726" s="75"/>
      <c r="C726" s="74"/>
      <c r="D726" s="74"/>
    </row>
    <row r="727" ht="15.75" customHeight="1">
      <c r="A727" s="74"/>
      <c r="B727" s="75"/>
      <c r="C727" s="74"/>
      <c r="D727" s="74"/>
    </row>
    <row r="728" ht="15.75" customHeight="1">
      <c r="A728" s="74"/>
      <c r="B728" s="75"/>
      <c r="C728" s="74"/>
      <c r="D728" s="74"/>
    </row>
    <row r="729" ht="15.75" customHeight="1">
      <c r="A729" s="74"/>
      <c r="B729" s="75"/>
      <c r="C729" s="74"/>
      <c r="D729" s="74"/>
    </row>
    <row r="730" ht="15.75" customHeight="1">
      <c r="A730" s="74"/>
      <c r="B730" s="75"/>
      <c r="C730" s="74"/>
      <c r="D730" s="74"/>
    </row>
    <row r="731" ht="15.75" customHeight="1">
      <c r="A731" s="74"/>
      <c r="B731" s="75"/>
      <c r="C731" s="74"/>
      <c r="D731" s="74"/>
    </row>
    <row r="732" ht="15.75" customHeight="1">
      <c r="A732" s="74"/>
      <c r="B732" s="75"/>
      <c r="C732" s="74"/>
      <c r="D732" s="74"/>
    </row>
    <row r="733" ht="15.75" customHeight="1">
      <c r="A733" s="74"/>
      <c r="B733" s="75"/>
      <c r="C733" s="74"/>
      <c r="D733" s="74"/>
    </row>
    <row r="734" ht="15.75" customHeight="1">
      <c r="A734" s="74"/>
      <c r="B734" s="75"/>
      <c r="C734" s="74"/>
      <c r="D734" s="74"/>
    </row>
    <row r="735" ht="15.75" customHeight="1">
      <c r="A735" s="74"/>
      <c r="B735" s="75"/>
      <c r="C735" s="74"/>
      <c r="D735" s="74"/>
    </row>
    <row r="736" ht="15.75" customHeight="1">
      <c r="A736" s="74"/>
      <c r="B736" s="75"/>
      <c r="C736" s="74"/>
      <c r="D736" s="74"/>
    </row>
    <row r="737" ht="15.75" customHeight="1">
      <c r="A737" s="74"/>
      <c r="B737" s="75"/>
      <c r="C737" s="74"/>
      <c r="D737" s="74"/>
    </row>
    <row r="738" ht="15.75" customHeight="1">
      <c r="A738" s="74"/>
      <c r="B738" s="75"/>
      <c r="C738" s="74"/>
      <c r="D738" s="74"/>
    </row>
    <row r="739" ht="15.75" customHeight="1">
      <c r="A739" s="74"/>
      <c r="B739" s="75"/>
      <c r="C739" s="74"/>
      <c r="D739" s="74"/>
    </row>
    <row r="740" ht="15.75" customHeight="1">
      <c r="A740" s="74"/>
      <c r="B740" s="75"/>
      <c r="C740" s="74"/>
      <c r="D740" s="74"/>
    </row>
    <row r="741" ht="15.75" customHeight="1">
      <c r="A741" s="74"/>
      <c r="B741" s="75"/>
      <c r="C741" s="74"/>
      <c r="D741" s="74"/>
    </row>
    <row r="742" ht="15.75" customHeight="1">
      <c r="A742" s="74"/>
      <c r="B742" s="75"/>
      <c r="C742" s="74"/>
      <c r="D742" s="74"/>
    </row>
    <row r="743" ht="15.75" customHeight="1">
      <c r="A743" s="74"/>
      <c r="B743" s="75"/>
      <c r="C743" s="74"/>
      <c r="D743" s="74"/>
    </row>
    <row r="744" ht="15.75" customHeight="1">
      <c r="A744" s="74"/>
      <c r="B744" s="75"/>
      <c r="C744" s="74"/>
      <c r="D744" s="74"/>
    </row>
    <row r="745" ht="15.75" customHeight="1">
      <c r="A745" s="74"/>
      <c r="B745" s="75"/>
      <c r="C745" s="74"/>
      <c r="D745" s="74"/>
    </row>
    <row r="746" ht="15.75" customHeight="1">
      <c r="A746" s="74"/>
      <c r="B746" s="75"/>
      <c r="C746" s="74"/>
      <c r="D746" s="74"/>
    </row>
    <row r="747" ht="15.75" customHeight="1">
      <c r="A747" s="74"/>
      <c r="B747" s="75"/>
      <c r="C747" s="74"/>
      <c r="D747" s="74"/>
    </row>
    <row r="748" ht="15.75" customHeight="1">
      <c r="A748" s="74"/>
      <c r="B748" s="75"/>
      <c r="C748" s="74"/>
      <c r="D748" s="74"/>
    </row>
    <row r="749" ht="15.75" customHeight="1">
      <c r="A749" s="74"/>
      <c r="B749" s="75"/>
      <c r="C749" s="74"/>
      <c r="D749" s="74"/>
    </row>
    <row r="750" ht="15.75" customHeight="1">
      <c r="A750" s="74"/>
      <c r="B750" s="75"/>
      <c r="C750" s="74"/>
      <c r="D750" s="74"/>
    </row>
    <row r="751" ht="15.75" customHeight="1">
      <c r="A751" s="74"/>
      <c r="B751" s="75"/>
      <c r="C751" s="74"/>
      <c r="D751" s="74"/>
    </row>
    <row r="752" ht="15.75" customHeight="1">
      <c r="A752" s="74"/>
      <c r="B752" s="75"/>
      <c r="C752" s="74"/>
      <c r="D752" s="74"/>
    </row>
    <row r="753" ht="15.75" customHeight="1">
      <c r="A753" s="74"/>
      <c r="B753" s="75"/>
      <c r="C753" s="74"/>
      <c r="D753" s="74"/>
    </row>
    <row r="754" ht="15.75" customHeight="1">
      <c r="A754" s="74"/>
      <c r="B754" s="75"/>
      <c r="C754" s="74"/>
      <c r="D754" s="74"/>
    </row>
    <row r="755" ht="15.75" customHeight="1">
      <c r="A755" s="74"/>
      <c r="B755" s="75"/>
      <c r="C755" s="74"/>
      <c r="D755" s="74"/>
    </row>
    <row r="756" ht="15.75" customHeight="1">
      <c r="A756" s="74"/>
      <c r="B756" s="75"/>
      <c r="C756" s="74"/>
      <c r="D756" s="74"/>
    </row>
    <row r="757" ht="15.75" customHeight="1">
      <c r="A757" s="74"/>
      <c r="B757" s="75"/>
      <c r="C757" s="74"/>
      <c r="D757" s="74"/>
    </row>
    <row r="758" ht="15.75" customHeight="1">
      <c r="A758" s="74"/>
      <c r="B758" s="75"/>
      <c r="C758" s="74"/>
      <c r="D758" s="74"/>
    </row>
    <row r="759" ht="15.75" customHeight="1">
      <c r="A759" s="74"/>
      <c r="B759" s="75"/>
      <c r="C759" s="74"/>
      <c r="D759" s="74"/>
    </row>
    <row r="760" ht="15.75" customHeight="1">
      <c r="A760" s="74"/>
      <c r="B760" s="75"/>
      <c r="C760" s="74"/>
      <c r="D760" s="74"/>
    </row>
    <row r="761" ht="15.75" customHeight="1">
      <c r="A761" s="74"/>
      <c r="B761" s="75"/>
      <c r="C761" s="74"/>
      <c r="D761" s="74"/>
    </row>
    <row r="762" ht="15.75" customHeight="1">
      <c r="A762" s="74"/>
      <c r="B762" s="75"/>
      <c r="C762" s="74"/>
      <c r="D762" s="74"/>
    </row>
    <row r="763" ht="15.75" customHeight="1">
      <c r="A763" s="74"/>
      <c r="B763" s="75"/>
      <c r="C763" s="74"/>
      <c r="D763" s="74"/>
    </row>
    <row r="764" ht="15.75" customHeight="1">
      <c r="A764" s="74"/>
      <c r="B764" s="75"/>
      <c r="C764" s="74"/>
      <c r="D764" s="74"/>
    </row>
    <row r="765" ht="15.75" customHeight="1">
      <c r="A765" s="74"/>
      <c r="B765" s="75"/>
      <c r="C765" s="74"/>
      <c r="D765" s="74"/>
    </row>
    <row r="766" ht="15.75" customHeight="1">
      <c r="A766" s="74"/>
      <c r="B766" s="75"/>
      <c r="C766" s="74"/>
      <c r="D766" s="74"/>
    </row>
    <row r="767" ht="15.75" customHeight="1">
      <c r="A767" s="74"/>
      <c r="B767" s="75"/>
      <c r="C767" s="74"/>
      <c r="D767" s="74"/>
    </row>
    <row r="768" ht="15.75" customHeight="1">
      <c r="A768" s="74"/>
      <c r="B768" s="75"/>
      <c r="C768" s="74"/>
      <c r="D768" s="74"/>
    </row>
    <row r="769" ht="15.75" customHeight="1">
      <c r="A769" s="74"/>
      <c r="B769" s="75"/>
      <c r="C769" s="74"/>
      <c r="D769" s="74"/>
    </row>
    <row r="770" ht="15.75" customHeight="1">
      <c r="A770" s="74"/>
      <c r="B770" s="75"/>
      <c r="C770" s="74"/>
      <c r="D770" s="74"/>
    </row>
    <row r="771" ht="15.75" customHeight="1">
      <c r="A771" s="74"/>
      <c r="B771" s="75"/>
      <c r="C771" s="74"/>
      <c r="D771" s="74"/>
    </row>
    <row r="772" ht="15.75" customHeight="1">
      <c r="A772" s="74"/>
      <c r="B772" s="75"/>
      <c r="C772" s="74"/>
      <c r="D772" s="74"/>
    </row>
    <row r="773" ht="15.75" customHeight="1">
      <c r="A773" s="74"/>
      <c r="B773" s="75"/>
      <c r="C773" s="74"/>
      <c r="D773" s="74"/>
    </row>
    <row r="774" ht="15.75" customHeight="1">
      <c r="A774" s="74"/>
      <c r="B774" s="75"/>
      <c r="C774" s="74"/>
      <c r="D774" s="74"/>
    </row>
    <row r="775" ht="15.75" customHeight="1">
      <c r="A775" s="74"/>
      <c r="B775" s="75"/>
      <c r="C775" s="74"/>
      <c r="D775" s="74"/>
    </row>
    <row r="776" ht="15.75" customHeight="1">
      <c r="A776" s="74"/>
      <c r="B776" s="75"/>
      <c r="C776" s="74"/>
      <c r="D776" s="74"/>
    </row>
    <row r="777" ht="15.75" customHeight="1">
      <c r="A777" s="74"/>
      <c r="B777" s="75"/>
      <c r="C777" s="74"/>
      <c r="D777" s="74"/>
    </row>
    <row r="778" ht="15.75" customHeight="1">
      <c r="A778" s="74"/>
      <c r="B778" s="75"/>
      <c r="C778" s="74"/>
      <c r="D778" s="74"/>
    </row>
    <row r="779" ht="15.75" customHeight="1">
      <c r="A779" s="74"/>
      <c r="B779" s="75"/>
      <c r="C779" s="74"/>
      <c r="D779" s="74"/>
    </row>
    <row r="780" ht="15.75" customHeight="1">
      <c r="A780" s="74"/>
      <c r="B780" s="75"/>
      <c r="C780" s="74"/>
      <c r="D780" s="74"/>
    </row>
    <row r="781" ht="15.75" customHeight="1">
      <c r="A781" s="74"/>
      <c r="B781" s="75"/>
      <c r="C781" s="74"/>
      <c r="D781" s="74"/>
    </row>
    <row r="782" ht="15.75" customHeight="1">
      <c r="A782" s="74"/>
      <c r="B782" s="75"/>
      <c r="C782" s="74"/>
      <c r="D782" s="74"/>
    </row>
    <row r="783" ht="15.75" customHeight="1">
      <c r="A783" s="74"/>
      <c r="B783" s="75"/>
      <c r="C783" s="74"/>
      <c r="D783" s="74"/>
    </row>
    <row r="784" ht="15.75" customHeight="1">
      <c r="A784" s="74"/>
      <c r="B784" s="75"/>
      <c r="C784" s="74"/>
      <c r="D784" s="74"/>
    </row>
    <row r="785" ht="15.75" customHeight="1">
      <c r="A785" s="74"/>
      <c r="B785" s="75"/>
      <c r="C785" s="74"/>
      <c r="D785" s="74"/>
    </row>
    <row r="786" ht="15.75" customHeight="1">
      <c r="A786" s="74"/>
      <c r="B786" s="75"/>
      <c r="C786" s="74"/>
      <c r="D786" s="74"/>
    </row>
    <row r="787" ht="15.75" customHeight="1">
      <c r="A787" s="74"/>
      <c r="B787" s="75"/>
      <c r="C787" s="74"/>
      <c r="D787" s="74"/>
    </row>
    <row r="788" ht="15.75" customHeight="1">
      <c r="A788" s="74"/>
      <c r="B788" s="75"/>
      <c r="C788" s="74"/>
      <c r="D788" s="74"/>
    </row>
    <row r="789" ht="15.75" customHeight="1">
      <c r="A789" s="74"/>
      <c r="B789" s="75"/>
      <c r="C789" s="74"/>
      <c r="D789" s="74"/>
    </row>
    <row r="790" ht="15.75" customHeight="1">
      <c r="A790" s="74"/>
      <c r="B790" s="75"/>
      <c r="C790" s="74"/>
      <c r="D790" s="74"/>
    </row>
    <row r="791" ht="15.75" customHeight="1">
      <c r="A791" s="74"/>
      <c r="B791" s="75"/>
      <c r="C791" s="74"/>
      <c r="D791" s="74"/>
    </row>
    <row r="792" ht="15.75" customHeight="1">
      <c r="A792" s="74"/>
      <c r="B792" s="75"/>
      <c r="C792" s="74"/>
      <c r="D792" s="74"/>
    </row>
    <row r="793" ht="15.75" customHeight="1">
      <c r="A793" s="74"/>
      <c r="B793" s="75"/>
      <c r="C793" s="74"/>
      <c r="D793" s="74"/>
    </row>
    <row r="794" ht="15.75" customHeight="1">
      <c r="A794" s="74"/>
      <c r="B794" s="75"/>
      <c r="C794" s="74"/>
      <c r="D794" s="74"/>
    </row>
    <row r="795" ht="15.75" customHeight="1">
      <c r="A795" s="74"/>
      <c r="B795" s="75"/>
      <c r="C795" s="74"/>
      <c r="D795" s="74"/>
    </row>
    <row r="796" ht="15.75" customHeight="1">
      <c r="A796" s="74"/>
      <c r="B796" s="75"/>
      <c r="C796" s="74"/>
      <c r="D796" s="74"/>
    </row>
    <row r="797" ht="15.75" customHeight="1">
      <c r="A797" s="74"/>
      <c r="B797" s="75"/>
      <c r="C797" s="74"/>
      <c r="D797" s="74"/>
    </row>
    <row r="798" ht="15.75" customHeight="1">
      <c r="A798" s="74"/>
      <c r="B798" s="75"/>
      <c r="C798" s="74"/>
      <c r="D798" s="74"/>
    </row>
    <row r="799" ht="15.75" customHeight="1">
      <c r="A799" s="74"/>
      <c r="B799" s="75"/>
      <c r="C799" s="74"/>
      <c r="D799" s="74"/>
    </row>
    <row r="800" ht="15.75" customHeight="1">
      <c r="A800" s="74"/>
      <c r="B800" s="75"/>
      <c r="C800" s="74"/>
      <c r="D800" s="74"/>
    </row>
    <row r="801" ht="15.75" customHeight="1">
      <c r="A801" s="74"/>
      <c r="B801" s="75"/>
      <c r="C801" s="74"/>
      <c r="D801" s="74"/>
    </row>
    <row r="802" ht="15.75" customHeight="1">
      <c r="A802" s="74"/>
      <c r="B802" s="75"/>
      <c r="C802" s="74"/>
      <c r="D802" s="74"/>
    </row>
    <row r="803" ht="15.75" customHeight="1">
      <c r="A803" s="74"/>
      <c r="B803" s="75"/>
      <c r="C803" s="74"/>
      <c r="D803" s="74"/>
    </row>
    <row r="804" ht="15.75" customHeight="1">
      <c r="A804" s="74"/>
      <c r="B804" s="75"/>
      <c r="C804" s="74"/>
      <c r="D804" s="74"/>
    </row>
    <row r="805" ht="15.75" customHeight="1">
      <c r="A805" s="74"/>
      <c r="B805" s="75"/>
      <c r="C805" s="74"/>
      <c r="D805" s="74"/>
    </row>
    <row r="806" ht="15.75" customHeight="1">
      <c r="A806" s="74"/>
      <c r="B806" s="75"/>
      <c r="C806" s="74"/>
      <c r="D806" s="74"/>
    </row>
    <row r="807" ht="15.75" customHeight="1">
      <c r="A807" s="74"/>
      <c r="B807" s="75"/>
      <c r="C807" s="74"/>
      <c r="D807" s="74"/>
    </row>
    <row r="808" ht="15.75" customHeight="1">
      <c r="A808" s="74"/>
      <c r="B808" s="75"/>
      <c r="C808" s="74"/>
      <c r="D808" s="74"/>
    </row>
    <row r="809" ht="15.75" customHeight="1">
      <c r="A809" s="74"/>
      <c r="B809" s="75"/>
      <c r="C809" s="74"/>
      <c r="D809" s="74"/>
    </row>
    <row r="810" ht="15.75" customHeight="1">
      <c r="A810" s="74"/>
      <c r="B810" s="75"/>
      <c r="C810" s="74"/>
      <c r="D810" s="74"/>
    </row>
    <row r="811" ht="15.75" customHeight="1">
      <c r="A811" s="74"/>
      <c r="B811" s="75"/>
      <c r="C811" s="74"/>
      <c r="D811" s="74"/>
    </row>
    <row r="812" ht="15.75" customHeight="1">
      <c r="A812" s="74"/>
      <c r="B812" s="75"/>
      <c r="C812" s="74"/>
      <c r="D812" s="74"/>
    </row>
    <row r="813" ht="15.75" customHeight="1">
      <c r="A813" s="74"/>
      <c r="B813" s="75"/>
      <c r="C813" s="74"/>
      <c r="D813" s="74"/>
    </row>
    <row r="814" ht="15.75" customHeight="1">
      <c r="A814" s="74"/>
      <c r="B814" s="75"/>
      <c r="C814" s="74"/>
      <c r="D814" s="74"/>
    </row>
    <row r="815" ht="15.75" customHeight="1">
      <c r="A815" s="74"/>
      <c r="B815" s="75"/>
      <c r="C815" s="74"/>
      <c r="D815" s="74"/>
    </row>
    <row r="816" ht="15.75" customHeight="1">
      <c r="A816" s="74"/>
      <c r="B816" s="75"/>
      <c r="C816" s="74"/>
      <c r="D816" s="74"/>
    </row>
    <row r="817" ht="15.75" customHeight="1">
      <c r="A817" s="74"/>
      <c r="B817" s="75"/>
      <c r="C817" s="74"/>
      <c r="D817" s="74"/>
    </row>
    <row r="818" ht="15.75" customHeight="1">
      <c r="A818" s="74"/>
      <c r="B818" s="75"/>
      <c r="C818" s="74"/>
      <c r="D818" s="74"/>
    </row>
    <row r="819" ht="15.75" customHeight="1">
      <c r="A819" s="74"/>
      <c r="B819" s="75"/>
      <c r="C819" s="74"/>
      <c r="D819" s="74"/>
    </row>
    <row r="820" ht="15.75" customHeight="1">
      <c r="A820" s="74"/>
      <c r="B820" s="75"/>
      <c r="C820" s="74"/>
      <c r="D820" s="74"/>
    </row>
    <row r="821" ht="15.75" customHeight="1">
      <c r="A821" s="74"/>
      <c r="B821" s="75"/>
      <c r="C821" s="74"/>
      <c r="D821" s="74"/>
    </row>
    <row r="822" ht="15.75" customHeight="1">
      <c r="A822" s="74"/>
      <c r="B822" s="75"/>
      <c r="C822" s="74"/>
      <c r="D822" s="74"/>
    </row>
    <row r="823" ht="15.75" customHeight="1">
      <c r="A823" s="74"/>
      <c r="B823" s="75"/>
      <c r="C823" s="74"/>
      <c r="D823" s="74"/>
    </row>
    <row r="824" ht="15.75" customHeight="1">
      <c r="A824" s="74"/>
      <c r="B824" s="75"/>
      <c r="C824" s="74"/>
      <c r="D824" s="74"/>
    </row>
    <row r="825" ht="15.75" customHeight="1">
      <c r="A825" s="74"/>
      <c r="B825" s="75"/>
      <c r="C825" s="74"/>
      <c r="D825" s="74"/>
    </row>
    <row r="826" ht="15.75" customHeight="1">
      <c r="A826" s="74"/>
      <c r="B826" s="75"/>
      <c r="C826" s="74"/>
      <c r="D826" s="74"/>
    </row>
    <row r="827" ht="15.75" customHeight="1">
      <c r="A827" s="74"/>
      <c r="B827" s="75"/>
      <c r="C827" s="74"/>
      <c r="D827" s="74"/>
    </row>
    <row r="828" ht="15.75" customHeight="1">
      <c r="A828" s="74"/>
      <c r="B828" s="75"/>
      <c r="C828" s="74"/>
      <c r="D828" s="74"/>
    </row>
    <row r="829" ht="15.75" customHeight="1">
      <c r="A829" s="74"/>
      <c r="B829" s="75"/>
      <c r="C829" s="74"/>
      <c r="D829" s="74"/>
    </row>
    <row r="830" ht="15.75" customHeight="1">
      <c r="A830" s="74"/>
      <c r="B830" s="75"/>
      <c r="C830" s="74"/>
      <c r="D830" s="74"/>
    </row>
    <row r="831" ht="15.75" customHeight="1">
      <c r="A831" s="74"/>
      <c r="B831" s="75"/>
      <c r="C831" s="74"/>
      <c r="D831" s="74"/>
    </row>
    <row r="832" ht="15.75" customHeight="1">
      <c r="A832" s="74"/>
      <c r="B832" s="75"/>
      <c r="C832" s="74"/>
      <c r="D832" s="74"/>
    </row>
    <row r="833" ht="15.75" customHeight="1">
      <c r="A833" s="74"/>
      <c r="B833" s="75"/>
      <c r="C833" s="74"/>
      <c r="D833" s="74"/>
    </row>
    <row r="834" ht="15.75" customHeight="1">
      <c r="A834" s="74"/>
      <c r="B834" s="75"/>
      <c r="C834" s="74"/>
      <c r="D834" s="74"/>
    </row>
    <row r="835" ht="15.75" customHeight="1">
      <c r="A835" s="74"/>
      <c r="B835" s="75"/>
      <c r="C835" s="74"/>
      <c r="D835" s="74"/>
    </row>
    <row r="836" ht="15.75" customHeight="1">
      <c r="A836" s="74"/>
      <c r="B836" s="75"/>
      <c r="C836" s="74"/>
      <c r="D836" s="74"/>
    </row>
    <row r="837" ht="15.75" customHeight="1">
      <c r="A837" s="74"/>
      <c r="B837" s="75"/>
      <c r="C837" s="74"/>
      <c r="D837" s="74"/>
    </row>
    <row r="838" ht="15.75" customHeight="1">
      <c r="A838" s="74"/>
      <c r="B838" s="75"/>
      <c r="C838" s="74"/>
      <c r="D838" s="74"/>
    </row>
    <row r="839" ht="15.75" customHeight="1">
      <c r="A839" s="74"/>
      <c r="B839" s="75"/>
      <c r="C839" s="74"/>
      <c r="D839" s="74"/>
    </row>
    <row r="840" ht="15.75" customHeight="1">
      <c r="A840" s="74"/>
      <c r="B840" s="75"/>
      <c r="C840" s="74"/>
      <c r="D840" s="74"/>
    </row>
    <row r="841" ht="15.75" customHeight="1">
      <c r="A841" s="74"/>
      <c r="B841" s="75"/>
      <c r="C841" s="74"/>
      <c r="D841" s="74"/>
    </row>
    <row r="842" ht="15.75" customHeight="1">
      <c r="A842" s="74"/>
      <c r="B842" s="75"/>
      <c r="C842" s="74"/>
      <c r="D842" s="74"/>
    </row>
    <row r="843" ht="15.75" customHeight="1">
      <c r="A843" s="74"/>
      <c r="B843" s="75"/>
      <c r="C843" s="74"/>
      <c r="D843" s="74"/>
    </row>
    <row r="844" ht="15.75" customHeight="1">
      <c r="A844" s="74"/>
      <c r="B844" s="75"/>
      <c r="C844" s="74"/>
      <c r="D844" s="74"/>
    </row>
    <row r="845" ht="15.75" customHeight="1">
      <c r="A845" s="74"/>
      <c r="B845" s="75"/>
      <c r="C845" s="74"/>
      <c r="D845" s="74"/>
    </row>
    <row r="846" ht="15.75" customHeight="1">
      <c r="A846" s="74"/>
      <c r="B846" s="75"/>
      <c r="C846" s="74"/>
      <c r="D846" s="74"/>
    </row>
    <row r="847" ht="15.75" customHeight="1">
      <c r="A847" s="74"/>
      <c r="B847" s="75"/>
      <c r="C847" s="74"/>
      <c r="D847" s="74"/>
    </row>
    <row r="848" ht="15.75" customHeight="1">
      <c r="A848" s="74"/>
      <c r="B848" s="75"/>
      <c r="C848" s="74"/>
      <c r="D848" s="74"/>
    </row>
    <row r="849" ht="15.75" customHeight="1">
      <c r="A849" s="74"/>
      <c r="B849" s="75"/>
      <c r="C849" s="74"/>
      <c r="D849" s="74"/>
    </row>
    <row r="850" ht="15.75" customHeight="1">
      <c r="A850" s="74"/>
      <c r="B850" s="75"/>
      <c r="C850" s="74"/>
      <c r="D850" s="74"/>
    </row>
    <row r="851" ht="15.75" customHeight="1">
      <c r="A851" s="74"/>
      <c r="B851" s="75"/>
      <c r="C851" s="74"/>
      <c r="D851" s="74"/>
    </row>
    <row r="852" ht="15.75" customHeight="1">
      <c r="A852" s="74"/>
      <c r="B852" s="75"/>
      <c r="C852" s="74"/>
      <c r="D852" s="74"/>
    </row>
    <row r="853" ht="15.75" customHeight="1">
      <c r="A853" s="74"/>
      <c r="B853" s="75"/>
      <c r="C853" s="74"/>
      <c r="D853" s="74"/>
    </row>
    <row r="854" ht="15.75" customHeight="1">
      <c r="A854" s="74"/>
      <c r="B854" s="75"/>
      <c r="C854" s="74"/>
      <c r="D854" s="74"/>
    </row>
    <row r="855" ht="15.75" customHeight="1">
      <c r="A855" s="74"/>
      <c r="B855" s="75"/>
      <c r="C855" s="74"/>
      <c r="D855" s="74"/>
    </row>
    <row r="856" ht="15.75" customHeight="1">
      <c r="A856" s="74"/>
      <c r="B856" s="75"/>
      <c r="C856" s="74"/>
      <c r="D856" s="74"/>
    </row>
    <row r="857" ht="15.75" customHeight="1">
      <c r="A857" s="74"/>
      <c r="B857" s="75"/>
      <c r="C857" s="74"/>
      <c r="D857" s="74"/>
    </row>
    <row r="858" ht="15.75" customHeight="1">
      <c r="A858" s="74"/>
      <c r="B858" s="75"/>
      <c r="C858" s="74"/>
      <c r="D858" s="74"/>
    </row>
    <row r="859" ht="15.75" customHeight="1">
      <c r="A859" s="74"/>
      <c r="B859" s="75"/>
      <c r="C859" s="74"/>
      <c r="D859" s="74"/>
    </row>
    <row r="860" ht="15.75" customHeight="1">
      <c r="A860" s="74"/>
      <c r="B860" s="75"/>
      <c r="C860" s="74"/>
      <c r="D860" s="74"/>
    </row>
    <row r="861" ht="15.75" customHeight="1">
      <c r="A861" s="74"/>
      <c r="B861" s="75"/>
      <c r="C861" s="74"/>
      <c r="D861" s="74"/>
    </row>
    <row r="862" ht="15.75" customHeight="1">
      <c r="A862" s="74"/>
      <c r="B862" s="75"/>
      <c r="C862" s="74"/>
      <c r="D862" s="74"/>
    </row>
    <row r="863" ht="15.75" customHeight="1">
      <c r="A863" s="74"/>
      <c r="B863" s="75"/>
      <c r="C863" s="74"/>
      <c r="D863" s="74"/>
    </row>
    <row r="864" ht="15.75" customHeight="1">
      <c r="A864" s="74"/>
      <c r="B864" s="75"/>
      <c r="C864" s="74"/>
      <c r="D864" s="74"/>
    </row>
    <row r="865" ht="15.75" customHeight="1">
      <c r="A865" s="74"/>
      <c r="B865" s="75"/>
      <c r="C865" s="74"/>
      <c r="D865" s="74"/>
    </row>
    <row r="866" ht="15.75" customHeight="1">
      <c r="A866" s="74"/>
      <c r="B866" s="75"/>
      <c r="C866" s="74"/>
      <c r="D866" s="74"/>
    </row>
    <row r="867" ht="15.75" customHeight="1">
      <c r="A867" s="74"/>
      <c r="B867" s="75"/>
      <c r="C867" s="74"/>
      <c r="D867" s="74"/>
    </row>
    <row r="868" ht="15.75" customHeight="1">
      <c r="A868" s="74"/>
      <c r="B868" s="75"/>
      <c r="C868" s="74"/>
      <c r="D868" s="74"/>
    </row>
    <row r="869" ht="15.75" customHeight="1">
      <c r="A869" s="74"/>
      <c r="B869" s="75"/>
      <c r="C869" s="74"/>
      <c r="D869" s="74"/>
    </row>
    <row r="870" ht="15.75" customHeight="1">
      <c r="A870" s="74"/>
      <c r="B870" s="75"/>
      <c r="C870" s="74"/>
      <c r="D870" s="74"/>
    </row>
    <row r="871" ht="15.75" customHeight="1">
      <c r="A871" s="74"/>
      <c r="B871" s="75"/>
      <c r="C871" s="74"/>
      <c r="D871" s="74"/>
    </row>
    <row r="872" ht="15.75" customHeight="1">
      <c r="A872" s="74"/>
      <c r="B872" s="75"/>
      <c r="C872" s="74"/>
      <c r="D872" s="74"/>
    </row>
    <row r="873" ht="15.75" customHeight="1">
      <c r="A873" s="74"/>
      <c r="B873" s="75"/>
      <c r="C873" s="74"/>
      <c r="D873" s="74"/>
    </row>
    <row r="874" ht="15.75" customHeight="1">
      <c r="A874" s="74"/>
      <c r="B874" s="75"/>
      <c r="C874" s="74"/>
      <c r="D874" s="74"/>
    </row>
    <row r="875" ht="15.75" customHeight="1">
      <c r="A875" s="74"/>
      <c r="B875" s="75"/>
      <c r="C875" s="74"/>
      <c r="D875" s="74"/>
    </row>
    <row r="876" ht="15.75" customHeight="1">
      <c r="A876" s="74"/>
      <c r="B876" s="75"/>
      <c r="C876" s="74"/>
      <c r="D876" s="74"/>
    </row>
    <row r="877" ht="15.75" customHeight="1">
      <c r="A877" s="74"/>
      <c r="B877" s="75"/>
      <c r="C877" s="74"/>
      <c r="D877" s="74"/>
    </row>
    <row r="878" ht="15.75" customHeight="1">
      <c r="A878" s="74"/>
      <c r="B878" s="75"/>
      <c r="C878" s="74"/>
      <c r="D878" s="74"/>
    </row>
    <row r="879" ht="15.75" customHeight="1">
      <c r="A879" s="74"/>
      <c r="B879" s="75"/>
      <c r="C879" s="74"/>
      <c r="D879" s="74"/>
    </row>
    <row r="880" ht="15.75" customHeight="1">
      <c r="A880" s="74"/>
      <c r="B880" s="75"/>
      <c r="C880" s="74"/>
      <c r="D880" s="74"/>
    </row>
    <row r="881" ht="15.75" customHeight="1">
      <c r="A881" s="74"/>
      <c r="B881" s="75"/>
      <c r="C881" s="74"/>
      <c r="D881" s="74"/>
    </row>
    <row r="882" ht="15.75" customHeight="1">
      <c r="A882" s="74"/>
      <c r="B882" s="75"/>
      <c r="C882" s="74"/>
      <c r="D882" s="74"/>
    </row>
    <row r="883" ht="15.75" customHeight="1">
      <c r="A883" s="74"/>
      <c r="B883" s="75"/>
      <c r="C883" s="74"/>
      <c r="D883" s="74"/>
    </row>
    <row r="884" ht="15.75" customHeight="1">
      <c r="A884" s="74"/>
      <c r="B884" s="75"/>
      <c r="C884" s="74"/>
      <c r="D884" s="74"/>
    </row>
    <row r="885" ht="15.75" customHeight="1">
      <c r="A885" s="74"/>
      <c r="B885" s="75"/>
      <c r="C885" s="74"/>
      <c r="D885" s="74"/>
    </row>
    <row r="886" ht="15.75" customHeight="1">
      <c r="A886" s="74"/>
      <c r="B886" s="75"/>
      <c r="C886" s="74"/>
      <c r="D886" s="74"/>
    </row>
    <row r="887" ht="15.75" customHeight="1">
      <c r="A887" s="74"/>
      <c r="B887" s="75"/>
      <c r="C887" s="74"/>
      <c r="D887" s="74"/>
    </row>
    <row r="888" ht="15.75" customHeight="1">
      <c r="A888" s="74"/>
      <c r="B888" s="75"/>
      <c r="C888" s="74"/>
      <c r="D888" s="74"/>
    </row>
    <row r="889" ht="15.75" customHeight="1">
      <c r="A889" s="74"/>
      <c r="B889" s="75"/>
      <c r="C889" s="74"/>
      <c r="D889" s="74"/>
    </row>
    <row r="890" ht="15.75" customHeight="1">
      <c r="A890" s="74"/>
      <c r="B890" s="75"/>
      <c r="C890" s="74"/>
      <c r="D890" s="74"/>
    </row>
    <row r="891" ht="15.75" customHeight="1">
      <c r="A891" s="74"/>
      <c r="B891" s="75"/>
      <c r="C891" s="74"/>
      <c r="D891" s="74"/>
    </row>
    <row r="892" ht="15.75" customHeight="1">
      <c r="A892" s="74"/>
      <c r="B892" s="75"/>
      <c r="C892" s="74"/>
      <c r="D892" s="74"/>
    </row>
    <row r="893" ht="15.75" customHeight="1">
      <c r="A893" s="74"/>
      <c r="B893" s="75"/>
      <c r="C893" s="74"/>
      <c r="D893" s="74"/>
    </row>
    <row r="894" ht="15.75" customHeight="1">
      <c r="A894" s="74"/>
      <c r="B894" s="75"/>
      <c r="C894" s="74"/>
      <c r="D894" s="74"/>
    </row>
    <row r="895" ht="15.75" customHeight="1">
      <c r="A895" s="74"/>
      <c r="B895" s="75"/>
      <c r="C895" s="74"/>
      <c r="D895" s="74"/>
    </row>
    <row r="896" ht="15.75" customHeight="1">
      <c r="A896" s="74"/>
      <c r="B896" s="75"/>
      <c r="C896" s="74"/>
      <c r="D896" s="74"/>
    </row>
    <row r="897" ht="15.75" customHeight="1">
      <c r="A897" s="74"/>
      <c r="B897" s="75"/>
      <c r="C897" s="74"/>
      <c r="D897" s="74"/>
    </row>
    <row r="898" ht="15.75" customHeight="1">
      <c r="A898" s="74"/>
      <c r="B898" s="75"/>
      <c r="C898" s="74"/>
      <c r="D898" s="74"/>
    </row>
    <row r="899" ht="15.75" customHeight="1">
      <c r="A899" s="74"/>
      <c r="B899" s="75"/>
      <c r="C899" s="74"/>
      <c r="D899" s="74"/>
    </row>
    <row r="900" ht="15.75" customHeight="1">
      <c r="A900" s="74"/>
      <c r="B900" s="75"/>
      <c r="C900" s="74"/>
      <c r="D900" s="74"/>
    </row>
    <row r="901" ht="15.75" customHeight="1">
      <c r="A901" s="74"/>
      <c r="B901" s="75"/>
      <c r="C901" s="74"/>
      <c r="D901" s="74"/>
    </row>
    <row r="902" ht="15.75" customHeight="1">
      <c r="A902" s="74"/>
      <c r="B902" s="75"/>
      <c r="C902" s="74"/>
      <c r="D902" s="74"/>
    </row>
    <row r="903" ht="15.75" customHeight="1">
      <c r="A903" s="74"/>
      <c r="B903" s="75"/>
      <c r="C903" s="74"/>
      <c r="D903" s="74"/>
    </row>
    <row r="904" ht="15.75" customHeight="1">
      <c r="A904" s="74"/>
      <c r="B904" s="75"/>
      <c r="C904" s="74"/>
      <c r="D904" s="74"/>
    </row>
    <row r="905" ht="15.75" customHeight="1">
      <c r="A905" s="74"/>
      <c r="B905" s="75"/>
      <c r="C905" s="74"/>
      <c r="D905" s="74"/>
    </row>
    <row r="906" ht="15.75" customHeight="1">
      <c r="A906" s="74"/>
      <c r="B906" s="75"/>
      <c r="C906" s="74"/>
      <c r="D906" s="74"/>
    </row>
    <row r="907" ht="15.75" customHeight="1">
      <c r="A907" s="74"/>
      <c r="B907" s="75"/>
      <c r="C907" s="74"/>
      <c r="D907" s="74"/>
    </row>
    <row r="908" ht="15.75" customHeight="1">
      <c r="A908" s="74"/>
      <c r="B908" s="75"/>
      <c r="C908" s="74"/>
      <c r="D908" s="74"/>
    </row>
    <row r="909" ht="15.75" customHeight="1">
      <c r="A909" s="74"/>
      <c r="B909" s="75"/>
      <c r="C909" s="74"/>
      <c r="D909" s="74"/>
    </row>
    <row r="910" ht="15.75" customHeight="1">
      <c r="A910" s="74"/>
      <c r="B910" s="75"/>
      <c r="C910" s="74"/>
      <c r="D910" s="74"/>
    </row>
    <row r="911" ht="15.75" customHeight="1">
      <c r="A911" s="74"/>
      <c r="B911" s="75"/>
      <c r="C911" s="74"/>
      <c r="D911" s="74"/>
    </row>
    <row r="912" ht="15.75" customHeight="1">
      <c r="A912" s="74"/>
      <c r="B912" s="75"/>
      <c r="C912" s="74"/>
      <c r="D912" s="74"/>
    </row>
    <row r="913" ht="15.75" customHeight="1">
      <c r="A913" s="74"/>
      <c r="B913" s="75"/>
      <c r="C913" s="74"/>
      <c r="D913" s="74"/>
    </row>
    <row r="914" ht="15.75" customHeight="1">
      <c r="A914" s="74"/>
      <c r="B914" s="75"/>
      <c r="C914" s="74"/>
      <c r="D914" s="74"/>
    </row>
    <row r="915" ht="15.75" customHeight="1">
      <c r="A915" s="74"/>
      <c r="B915" s="75"/>
      <c r="C915" s="74"/>
      <c r="D915" s="74"/>
    </row>
    <row r="916" ht="15.75" customHeight="1">
      <c r="A916" s="74"/>
      <c r="B916" s="75"/>
      <c r="C916" s="74"/>
      <c r="D916" s="74"/>
    </row>
    <row r="917" ht="15.75" customHeight="1">
      <c r="A917" s="74"/>
      <c r="B917" s="75"/>
      <c r="C917" s="74"/>
      <c r="D917" s="74"/>
    </row>
    <row r="918" ht="15.75" customHeight="1">
      <c r="A918" s="74"/>
      <c r="B918" s="75"/>
      <c r="C918" s="74"/>
      <c r="D918" s="74"/>
    </row>
    <row r="919" ht="15.75" customHeight="1">
      <c r="A919" s="74"/>
      <c r="B919" s="75"/>
      <c r="C919" s="74"/>
      <c r="D919" s="74"/>
    </row>
    <row r="920" ht="15.75" customHeight="1">
      <c r="A920" s="74"/>
      <c r="B920" s="75"/>
      <c r="C920" s="74"/>
      <c r="D920" s="74"/>
    </row>
    <row r="921" ht="15.75" customHeight="1">
      <c r="A921" s="74"/>
      <c r="B921" s="75"/>
      <c r="C921" s="74"/>
      <c r="D921" s="74"/>
    </row>
    <row r="922" ht="15.75" customHeight="1">
      <c r="A922" s="74"/>
      <c r="B922" s="75"/>
      <c r="C922" s="74"/>
      <c r="D922" s="74"/>
    </row>
    <row r="923" ht="15.75" customHeight="1">
      <c r="A923" s="74"/>
      <c r="B923" s="75"/>
      <c r="C923" s="74"/>
      <c r="D923" s="74"/>
    </row>
    <row r="924" ht="15.75" customHeight="1">
      <c r="A924" s="74"/>
      <c r="B924" s="75"/>
      <c r="C924" s="74"/>
      <c r="D924" s="74"/>
    </row>
    <row r="925" ht="15.75" customHeight="1">
      <c r="A925" s="74"/>
      <c r="B925" s="75"/>
      <c r="C925" s="74"/>
      <c r="D925" s="74"/>
    </row>
    <row r="926" ht="15.75" customHeight="1">
      <c r="A926" s="74"/>
      <c r="B926" s="75"/>
      <c r="C926" s="74"/>
      <c r="D926" s="74"/>
    </row>
    <row r="927" ht="15.75" customHeight="1">
      <c r="A927" s="74"/>
      <c r="B927" s="75"/>
      <c r="C927" s="74"/>
      <c r="D927" s="74"/>
    </row>
    <row r="928" ht="15.75" customHeight="1">
      <c r="A928" s="74"/>
      <c r="B928" s="75"/>
      <c r="C928" s="74"/>
      <c r="D928" s="74"/>
    </row>
    <row r="929" ht="15.75" customHeight="1">
      <c r="A929" s="74"/>
      <c r="B929" s="75"/>
      <c r="C929" s="74"/>
      <c r="D929" s="74"/>
    </row>
    <row r="930" ht="15.75" customHeight="1">
      <c r="A930" s="74"/>
      <c r="B930" s="75"/>
      <c r="C930" s="74"/>
      <c r="D930" s="74"/>
    </row>
    <row r="931" ht="15.75" customHeight="1">
      <c r="A931" s="74"/>
      <c r="B931" s="75"/>
      <c r="C931" s="74"/>
      <c r="D931" s="74"/>
    </row>
    <row r="932" ht="15.75" customHeight="1">
      <c r="A932" s="74"/>
      <c r="B932" s="75"/>
      <c r="C932" s="74"/>
      <c r="D932" s="74"/>
    </row>
    <row r="933" ht="15.75" customHeight="1">
      <c r="A933" s="74"/>
      <c r="B933" s="75"/>
      <c r="C933" s="74"/>
      <c r="D933" s="74"/>
    </row>
    <row r="934" ht="15.75" customHeight="1">
      <c r="A934" s="74"/>
      <c r="B934" s="75"/>
      <c r="C934" s="74"/>
      <c r="D934" s="74"/>
    </row>
    <row r="935" ht="15.75" customHeight="1">
      <c r="A935" s="74"/>
      <c r="B935" s="75"/>
      <c r="C935" s="74"/>
      <c r="D935" s="74"/>
    </row>
    <row r="936" ht="15.75" customHeight="1">
      <c r="A936" s="74"/>
      <c r="B936" s="75"/>
      <c r="C936" s="74"/>
      <c r="D936" s="74"/>
    </row>
    <row r="937" ht="15.75" customHeight="1">
      <c r="A937" s="74"/>
      <c r="B937" s="75"/>
      <c r="C937" s="74"/>
      <c r="D937" s="74"/>
    </row>
    <row r="938" ht="15.75" customHeight="1">
      <c r="A938" s="74"/>
      <c r="B938" s="75"/>
      <c r="C938" s="74"/>
      <c r="D938" s="74"/>
    </row>
    <row r="939" ht="15.75" customHeight="1">
      <c r="A939" s="74"/>
      <c r="B939" s="75"/>
      <c r="C939" s="74"/>
      <c r="D939" s="74"/>
    </row>
    <row r="940" ht="15.75" customHeight="1">
      <c r="A940" s="74"/>
      <c r="B940" s="75"/>
      <c r="C940" s="74"/>
      <c r="D940" s="74"/>
    </row>
    <row r="941" ht="15.75" customHeight="1">
      <c r="A941" s="74"/>
      <c r="B941" s="75"/>
      <c r="C941" s="74"/>
      <c r="D941" s="74"/>
    </row>
    <row r="942" ht="15.75" customHeight="1">
      <c r="A942" s="74"/>
      <c r="B942" s="75"/>
      <c r="C942" s="74"/>
      <c r="D942" s="74"/>
    </row>
    <row r="943" ht="15.75" customHeight="1">
      <c r="A943" s="74"/>
      <c r="B943" s="75"/>
      <c r="C943" s="74"/>
      <c r="D943" s="74"/>
    </row>
    <row r="944" ht="15.75" customHeight="1">
      <c r="A944" s="74"/>
      <c r="B944" s="75"/>
      <c r="C944" s="74"/>
      <c r="D944" s="74"/>
    </row>
    <row r="945" ht="15.75" customHeight="1">
      <c r="A945" s="74"/>
      <c r="B945" s="75"/>
      <c r="C945" s="74"/>
      <c r="D945" s="74"/>
    </row>
    <row r="946" ht="15.75" customHeight="1">
      <c r="A946" s="74"/>
      <c r="B946" s="75"/>
      <c r="C946" s="74"/>
      <c r="D946" s="74"/>
    </row>
    <row r="947" ht="15.75" customHeight="1">
      <c r="A947" s="74"/>
      <c r="B947" s="75"/>
      <c r="C947" s="74"/>
      <c r="D947" s="74"/>
    </row>
    <row r="948" ht="15.75" customHeight="1">
      <c r="A948" s="74"/>
      <c r="B948" s="75"/>
      <c r="C948" s="74"/>
      <c r="D948" s="74"/>
    </row>
    <row r="949" ht="15.75" customHeight="1">
      <c r="A949" s="74"/>
      <c r="B949" s="75"/>
      <c r="C949" s="74"/>
      <c r="D949" s="74"/>
    </row>
    <row r="950" ht="15.75" customHeight="1">
      <c r="A950" s="74"/>
      <c r="B950" s="75"/>
      <c r="C950" s="74"/>
      <c r="D950" s="74"/>
    </row>
    <row r="951" ht="15.75" customHeight="1">
      <c r="A951" s="74"/>
      <c r="B951" s="75"/>
      <c r="C951" s="74"/>
      <c r="D951" s="74"/>
    </row>
    <row r="952" ht="15.75" customHeight="1">
      <c r="A952" s="74"/>
      <c r="B952" s="75"/>
      <c r="C952" s="74"/>
      <c r="D952" s="74"/>
    </row>
    <row r="953" ht="15.75" customHeight="1">
      <c r="A953" s="74"/>
      <c r="B953" s="75"/>
      <c r="C953" s="74"/>
      <c r="D953" s="74"/>
    </row>
    <row r="954" ht="15.75" customHeight="1">
      <c r="A954" s="74"/>
      <c r="B954" s="75"/>
      <c r="C954" s="74"/>
      <c r="D954" s="74"/>
    </row>
    <row r="955" ht="15.75" customHeight="1">
      <c r="A955" s="74"/>
      <c r="B955" s="75"/>
      <c r="C955" s="74"/>
      <c r="D955" s="74"/>
    </row>
    <row r="956" ht="15.75" customHeight="1">
      <c r="A956" s="74"/>
      <c r="B956" s="75"/>
      <c r="C956" s="74"/>
      <c r="D956" s="74"/>
    </row>
    <row r="957" ht="15.75" customHeight="1">
      <c r="A957" s="74"/>
      <c r="B957" s="75"/>
      <c r="C957" s="74"/>
      <c r="D957" s="74"/>
    </row>
    <row r="958" ht="15.75" customHeight="1">
      <c r="A958" s="74"/>
      <c r="B958" s="75"/>
      <c r="C958" s="74"/>
      <c r="D958" s="74"/>
    </row>
    <row r="959" ht="15.75" customHeight="1">
      <c r="A959" s="74"/>
      <c r="B959" s="75"/>
      <c r="C959" s="74"/>
      <c r="D959" s="74"/>
    </row>
    <row r="960" ht="15.75" customHeight="1">
      <c r="A960" s="74"/>
      <c r="B960" s="75"/>
      <c r="C960" s="74"/>
      <c r="D960" s="74"/>
    </row>
    <row r="961" ht="15.75" customHeight="1">
      <c r="A961" s="74"/>
      <c r="B961" s="75"/>
      <c r="C961" s="74"/>
      <c r="D961" s="74"/>
    </row>
    <row r="962" ht="15.75" customHeight="1">
      <c r="A962" s="74"/>
      <c r="B962" s="75"/>
      <c r="C962" s="74"/>
      <c r="D962" s="74"/>
    </row>
    <row r="963" ht="15.75" customHeight="1">
      <c r="A963" s="74"/>
      <c r="B963" s="75"/>
      <c r="C963" s="74"/>
      <c r="D963" s="74"/>
    </row>
    <row r="964" ht="15.75" customHeight="1">
      <c r="A964" s="74"/>
      <c r="B964" s="75"/>
      <c r="C964" s="74"/>
      <c r="D964" s="74"/>
    </row>
    <row r="965" ht="15.75" customHeight="1">
      <c r="A965" s="74"/>
      <c r="B965" s="75"/>
      <c r="C965" s="74"/>
      <c r="D965" s="74"/>
    </row>
    <row r="966" ht="15.75" customHeight="1">
      <c r="A966" s="74"/>
      <c r="B966" s="75"/>
      <c r="C966" s="74"/>
      <c r="D966" s="74"/>
    </row>
    <row r="967" ht="15.75" customHeight="1">
      <c r="A967" s="74"/>
      <c r="B967" s="75"/>
      <c r="C967" s="74"/>
      <c r="D967" s="74"/>
    </row>
    <row r="968" ht="15.75" customHeight="1">
      <c r="A968" s="74"/>
      <c r="B968" s="75"/>
      <c r="C968" s="74"/>
      <c r="D968" s="74"/>
    </row>
    <row r="969" ht="15.75" customHeight="1">
      <c r="A969" s="74"/>
      <c r="B969" s="75"/>
      <c r="C969" s="74"/>
      <c r="D969" s="74"/>
    </row>
    <row r="970" ht="15.75" customHeight="1">
      <c r="A970" s="74"/>
      <c r="B970" s="75"/>
      <c r="C970" s="74"/>
      <c r="D970" s="74"/>
    </row>
    <row r="971" ht="15.75" customHeight="1">
      <c r="A971" s="74"/>
      <c r="B971" s="75"/>
      <c r="C971" s="74"/>
      <c r="D971" s="74"/>
    </row>
    <row r="972" ht="15.75" customHeight="1">
      <c r="A972" s="74"/>
      <c r="B972" s="75"/>
      <c r="C972" s="74"/>
      <c r="D972" s="74"/>
    </row>
    <row r="973" ht="15.75" customHeight="1">
      <c r="A973" s="74"/>
      <c r="B973" s="75"/>
      <c r="C973" s="74"/>
      <c r="D973" s="74"/>
    </row>
    <row r="974" ht="15.75" customHeight="1">
      <c r="A974" s="74"/>
      <c r="B974" s="75"/>
      <c r="C974" s="74"/>
      <c r="D974" s="74"/>
    </row>
    <row r="975" ht="15.75" customHeight="1">
      <c r="A975" s="74"/>
      <c r="B975" s="75"/>
      <c r="C975" s="74"/>
      <c r="D975" s="74"/>
    </row>
    <row r="976" ht="15.75" customHeight="1">
      <c r="A976" s="74"/>
      <c r="B976" s="75"/>
      <c r="C976" s="74"/>
      <c r="D976" s="74"/>
    </row>
    <row r="977" ht="15.75" customHeight="1">
      <c r="A977" s="74"/>
      <c r="B977" s="75"/>
      <c r="C977" s="74"/>
      <c r="D977" s="74"/>
    </row>
    <row r="978" ht="15.75" customHeight="1">
      <c r="A978" s="74"/>
      <c r="B978" s="75"/>
      <c r="C978" s="74"/>
      <c r="D978" s="74"/>
    </row>
    <row r="979" ht="15.75" customHeight="1">
      <c r="A979" s="74"/>
      <c r="B979" s="75"/>
      <c r="C979" s="74"/>
      <c r="D979" s="74"/>
    </row>
    <row r="980" ht="15.75" customHeight="1">
      <c r="A980" s="74"/>
      <c r="B980" s="75"/>
      <c r="C980" s="74"/>
      <c r="D980" s="74"/>
    </row>
    <row r="981" ht="15.75" customHeight="1">
      <c r="A981" s="74"/>
      <c r="B981" s="75"/>
      <c r="C981" s="74"/>
      <c r="D981" s="74"/>
    </row>
    <row r="982" ht="15.75" customHeight="1">
      <c r="A982" s="74"/>
      <c r="B982" s="75"/>
      <c r="C982" s="74"/>
      <c r="D982" s="74"/>
    </row>
    <row r="983" ht="15.75" customHeight="1">
      <c r="A983" s="74"/>
      <c r="B983" s="75"/>
      <c r="C983" s="74"/>
      <c r="D983" s="74"/>
    </row>
    <row r="984" ht="15.75" customHeight="1">
      <c r="A984" s="74"/>
      <c r="B984" s="75"/>
      <c r="C984" s="74"/>
      <c r="D984" s="74"/>
    </row>
    <row r="985" ht="15.75" customHeight="1">
      <c r="A985" s="74"/>
      <c r="B985" s="75"/>
      <c r="C985" s="74"/>
      <c r="D985" s="74"/>
    </row>
    <row r="986" ht="15.75" customHeight="1">
      <c r="A986" s="74"/>
      <c r="B986" s="75"/>
      <c r="C986" s="74"/>
      <c r="D986" s="74"/>
    </row>
    <row r="987" ht="15.75" customHeight="1">
      <c r="A987" s="74"/>
      <c r="B987" s="75"/>
      <c r="C987" s="74"/>
      <c r="D987" s="74"/>
    </row>
    <row r="988" ht="15.75" customHeight="1">
      <c r="A988" s="74"/>
      <c r="B988" s="75"/>
      <c r="C988" s="74"/>
      <c r="D988" s="74"/>
    </row>
    <row r="989" ht="15.75" customHeight="1">
      <c r="A989" s="74"/>
      <c r="B989" s="75"/>
      <c r="C989" s="74"/>
      <c r="D989" s="74"/>
    </row>
    <row r="990" ht="15.75" customHeight="1">
      <c r="A990" s="74"/>
      <c r="B990" s="75"/>
      <c r="C990" s="74"/>
      <c r="D990" s="74"/>
    </row>
    <row r="991" ht="15.75" customHeight="1">
      <c r="A991" s="74"/>
      <c r="B991" s="75"/>
      <c r="C991" s="74"/>
      <c r="D991" s="74"/>
    </row>
    <row r="992" ht="15.75" customHeight="1">
      <c r="A992" s="74"/>
      <c r="B992" s="75"/>
      <c r="C992" s="74"/>
      <c r="D992" s="74"/>
    </row>
    <row r="993" ht="15.75" customHeight="1">
      <c r="A993" s="74"/>
      <c r="B993" s="75"/>
      <c r="C993" s="74"/>
      <c r="D993" s="74"/>
    </row>
    <row r="994" ht="15.75" customHeight="1">
      <c r="A994" s="74"/>
      <c r="B994" s="75"/>
      <c r="C994" s="74"/>
      <c r="D994" s="74"/>
    </row>
    <row r="995" ht="15.75" customHeight="1">
      <c r="A995" s="74"/>
      <c r="B995" s="75"/>
      <c r="C995" s="74"/>
      <c r="D995" s="74"/>
    </row>
    <row r="996" ht="15.75" customHeight="1">
      <c r="A996" s="74"/>
      <c r="B996" s="75"/>
      <c r="C996" s="74"/>
      <c r="D996" s="74"/>
    </row>
    <row r="997" ht="15.75" customHeight="1">
      <c r="A997" s="74"/>
      <c r="B997" s="75"/>
      <c r="C997" s="74"/>
      <c r="D997" s="74"/>
    </row>
    <row r="998" ht="15.75" customHeight="1">
      <c r="A998" s="74"/>
      <c r="B998" s="75"/>
      <c r="C998" s="74"/>
      <c r="D998" s="74"/>
    </row>
    <row r="999" ht="15.75" customHeight="1">
      <c r="A999" s="74"/>
      <c r="B999" s="75"/>
      <c r="C999" s="74"/>
      <c r="D999" s="74"/>
    </row>
    <row r="1000" ht="15.75" customHeight="1">
      <c r="A1000" s="74"/>
      <c r="B1000" s="75"/>
      <c r="C1000" s="74"/>
      <c r="D1000" s="74"/>
    </row>
    <row r="1001" ht="15.75" customHeight="1">
      <c r="A1001" s="74"/>
      <c r="B1001" s="75"/>
      <c r="C1001" s="74"/>
      <c r="D1001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4" width="18.63"/>
    <col customWidth="1" min="5" max="6" width="12.63"/>
  </cols>
  <sheetData>
    <row r="1" ht="15.75" customHeight="1">
      <c r="A1" s="37" t="s">
        <v>451</v>
      </c>
      <c r="B1" s="38" t="s">
        <v>453</v>
      </c>
      <c r="C1" s="40" t="s">
        <v>455</v>
      </c>
      <c r="D1" s="78" t="s">
        <v>457</v>
      </c>
    </row>
    <row r="2" ht="15.75" customHeight="1">
      <c r="A2" s="44">
        <v>10101.0</v>
      </c>
      <c r="B2" s="38" t="s">
        <v>28</v>
      </c>
      <c r="C2" s="45">
        <v>52369.0</v>
      </c>
      <c r="D2" s="45">
        <v>45355.0</v>
      </c>
    </row>
    <row r="3" ht="15.75" customHeight="1">
      <c r="A3" s="44">
        <v>10102.0</v>
      </c>
      <c r="B3" s="38" t="s">
        <v>29</v>
      </c>
      <c r="C3" s="45">
        <v>1794.0</v>
      </c>
      <c r="D3" s="45">
        <v>1007.0</v>
      </c>
    </row>
    <row r="4" ht="15.75" customHeight="1">
      <c r="A4" s="44">
        <v>10103.0</v>
      </c>
      <c r="B4" s="38" t="s">
        <v>30</v>
      </c>
      <c r="C4" s="45">
        <v>2680.0</v>
      </c>
      <c r="D4" s="45">
        <v>1104.0</v>
      </c>
    </row>
    <row r="5" ht="15.75" customHeight="1">
      <c r="A5" s="44">
        <v>10201.0</v>
      </c>
      <c r="B5" s="38" t="s">
        <v>467</v>
      </c>
      <c r="C5" s="45">
        <v>2140.0</v>
      </c>
      <c r="D5" s="45">
        <v>685.0</v>
      </c>
    </row>
    <row r="6" ht="15.75" customHeight="1">
      <c r="A6" s="44">
        <v>10202.0</v>
      </c>
      <c r="B6" s="38" t="s">
        <v>32</v>
      </c>
      <c r="C6" s="45">
        <v>2189.0</v>
      </c>
      <c r="D6" s="45">
        <v>1900.0</v>
      </c>
    </row>
    <row r="7" ht="15.75" customHeight="1">
      <c r="A7" s="44">
        <v>10301.0</v>
      </c>
      <c r="B7" s="38" t="s">
        <v>471</v>
      </c>
      <c r="C7" s="45">
        <v>2319.0</v>
      </c>
      <c r="D7" s="45">
        <v>1618.0</v>
      </c>
    </row>
    <row r="8" ht="15.75" customHeight="1">
      <c r="A8" s="44">
        <v>10302.0</v>
      </c>
      <c r="B8" s="38" t="s">
        <v>34</v>
      </c>
      <c r="C8" s="45">
        <v>2340.0</v>
      </c>
      <c r="D8" s="45">
        <v>1303.0</v>
      </c>
    </row>
    <row r="9" ht="15.75" customHeight="1">
      <c r="A9" s="44">
        <v>10303.0</v>
      </c>
      <c r="B9" s="38" t="s">
        <v>474</v>
      </c>
      <c r="C9" s="45">
        <v>1443.0</v>
      </c>
      <c r="D9" s="45">
        <v>1003.0</v>
      </c>
    </row>
    <row r="10" ht="15.75" customHeight="1">
      <c r="A10" s="44">
        <v>10304.0</v>
      </c>
      <c r="B10" s="38" t="s">
        <v>36</v>
      </c>
      <c r="C10" s="45">
        <v>1519.0</v>
      </c>
      <c r="D10" s="45">
        <v>1044.0</v>
      </c>
    </row>
    <row r="11" ht="15.75" customHeight="1">
      <c r="A11" s="44">
        <v>10401.0</v>
      </c>
      <c r="B11" s="38" t="s">
        <v>38</v>
      </c>
      <c r="C11" s="45">
        <v>1659.0</v>
      </c>
      <c r="D11" s="45">
        <v>1061.0</v>
      </c>
    </row>
    <row r="12" ht="15.75" customHeight="1">
      <c r="A12" s="44">
        <v>10402.0</v>
      </c>
      <c r="B12" s="38" t="s">
        <v>37</v>
      </c>
      <c r="C12" s="45">
        <v>1602.0</v>
      </c>
      <c r="D12" s="45">
        <v>836.0</v>
      </c>
    </row>
    <row r="13" ht="15.75" customHeight="1">
      <c r="A13" s="44">
        <v>10403.0</v>
      </c>
      <c r="B13" s="38" t="s">
        <v>39</v>
      </c>
      <c r="C13" s="45">
        <v>1521.0</v>
      </c>
      <c r="D13" s="45">
        <v>768.0</v>
      </c>
    </row>
    <row r="14" ht="15.75" customHeight="1">
      <c r="A14" s="44">
        <v>10404.0</v>
      </c>
      <c r="B14" s="38" t="s">
        <v>481</v>
      </c>
      <c r="C14" s="45">
        <v>946.0</v>
      </c>
      <c r="D14" s="45">
        <v>493.0</v>
      </c>
    </row>
    <row r="15" ht="15.75" customHeight="1">
      <c r="A15" s="44">
        <v>10405.0</v>
      </c>
      <c r="B15" s="38" t="s">
        <v>41</v>
      </c>
      <c r="C15" s="45">
        <v>735.0</v>
      </c>
      <c r="D15" s="45">
        <v>738.0</v>
      </c>
    </row>
    <row r="16" ht="15.75" customHeight="1">
      <c r="A16" s="44">
        <v>10501.0</v>
      </c>
      <c r="B16" s="38" t="s">
        <v>43</v>
      </c>
      <c r="C16" s="45">
        <v>4252.0</v>
      </c>
      <c r="D16" s="45">
        <v>2740.0</v>
      </c>
    </row>
    <row r="17" ht="15.75" customHeight="1">
      <c r="A17" s="44">
        <v>10502.0</v>
      </c>
      <c r="B17" s="38" t="s">
        <v>484</v>
      </c>
      <c r="C17" s="45">
        <v>1386.0</v>
      </c>
      <c r="D17" s="45">
        <v>881.0</v>
      </c>
    </row>
    <row r="18" ht="15.75" customHeight="1">
      <c r="A18" s="44">
        <v>10601.0</v>
      </c>
      <c r="B18" s="38" t="s">
        <v>46</v>
      </c>
      <c r="C18" s="45">
        <v>3119.0</v>
      </c>
      <c r="D18" s="45">
        <v>1357.0</v>
      </c>
    </row>
    <row r="19" ht="15.75" customHeight="1">
      <c r="A19" s="44">
        <v>10602.0</v>
      </c>
      <c r="B19" s="38" t="s">
        <v>45</v>
      </c>
      <c r="C19" s="45">
        <v>2112.0</v>
      </c>
      <c r="D19" s="45">
        <v>846.0</v>
      </c>
    </row>
    <row r="20" ht="15.75" customHeight="1">
      <c r="A20" s="44">
        <v>10701.0</v>
      </c>
      <c r="B20" s="38" t="s">
        <v>48</v>
      </c>
      <c r="C20" s="45">
        <v>2796.0</v>
      </c>
      <c r="D20" s="45">
        <v>1514.0</v>
      </c>
    </row>
    <row r="21" ht="15.75" customHeight="1">
      <c r="A21" s="44">
        <v>10702.0</v>
      </c>
      <c r="B21" s="38" t="s">
        <v>49</v>
      </c>
      <c r="C21" s="45">
        <v>4878.0</v>
      </c>
      <c r="D21" s="45">
        <v>2457.0</v>
      </c>
    </row>
    <row r="22" ht="15.75" customHeight="1">
      <c r="A22" s="44">
        <v>10703.0</v>
      </c>
      <c r="B22" s="38" t="s">
        <v>50</v>
      </c>
      <c r="C22" s="45">
        <v>2060.0</v>
      </c>
      <c r="D22" s="45">
        <v>1518.0</v>
      </c>
    </row>
    <row r="23" ht="15.75" customHeight="1">
      <c r="A23" s="44">
        <v>10704.0</v>
      </c>
      <c r="B23" s="38" t="s">
        <v>51</v>
      </c>
      <c r="C23" s="45">
        <v>2706.0</v>
      </c>
      <c r="D23" s="45">
        <v>1388.0</v>
      </c>
    </row>
    <row r="24" ht="15.75" customHeight="1">
      <c r="A24" s="44">
        <v>10801.0</v>
      </c>
      <c r="B24" s="38" t="s">
        <v>53</v>
      </c>
      <c r="C24" s="45">
        <v>2105.0</v>
      </c>
      <c r="D24" s="45">
        <v>1199.0</v>
      </c>
    </row>
    <row r="25" ht="15.75" customHeight="1">
      <c r="A25" s="44">
        <v>10901.0</v>
      </c>
      <c r="B25" s="38" t="s">
        <v>55</v>
      </c>
      <c r="C25" s="45">
        <v>638.0</v>
      </c>
      <c r="D25" s="45">
        <v>684.0</v>
      </c>
    </row>
    <row r="26" ht="15.75" customHeight="1">
      <c r="A26" s="44">
        <v>10902.0</v>
      </c>
      <c r="B26" s="38" t="s">
        <v>56</v>
      </c>
      <c r="C26" s="45">
        <v>2747.0</v>
      </c>
      <c r="D26" s="45">
        <v>1270.0</v>
      </c>
    </row>
    <row r="27" ht="15.75" customHeight="1">
      <c r="A27" s="44">
        <v>10903.0</v>
      </c>
      <c r="B27" s="38" t="s">
        <v>57</v>
      </c>
      <c r="C27" s="45">
        <v>625.0</v>
      </c>
      <c r="D27" s="45">
        <v>703.0</v>
      </c>
    </row>
    <row r="28" ht="15.75" customHeight="1">
      <c r="A28" s="44">
        <v>11001.0</v>
      </c>
      <c r="B28" s="38" t="s">
        <v>489</v>
      </c>
      <c r="C28" s="45">
        <v>1803.0</v>
      </c>
      <c r="D28" s="45">
        <v>1581.0</v>
      </c>
    </row>
    <row r="29" ht="15.75" customHeight="1">
      <c r="A29" s="44">
        <v>11002.0</v>
      </c>
      <c r="B29" s="38" t="s">
        <v>490</v>
      </c>
      <c r="C29" s="45">
        <v>427.0</v>
      </c>
      <c r="D29" s="45">
        <v>263.0</v>
      </c>
    </row>
    <row r="30" ht="15.75" customHeight="1">
      <c r="A30" s="44">
        <v>11003.0</v>
      </c>
      <c r="B30" s="38" t="s">
        <v>61</v>
      </c>
      <c r="C30" s="45">
        <v>1284.0</v>
      </c>
      <c r="D30" s="45">
        <v>917.0</v>
      </c>
    </row>
    <row r="31" ht="15.75" customHeight="1">
      <c r="A31" s="44">
        <v>20101.0</v>
      </c>
      <c r="B31" s="38" t="s">
        <v>64</v>
      </c>
      <c r="C31" s="45">
        <v>134674.0</v>
      </c>
      <c r="D31" s="45">
        <v>108690.0</v>
      </c>
    </row>
    <row r="32" ht="15.75" customHeight="1">
      <c r="A32" s="44">
        <v>20102.0</v>
      </c>
      <c r="B32" s="38" t="s">
        <v>65</v>
      </c>
      <c r="C32" s="45">
        <v>1448.0</v>
      </c>
      <c r="D32" s="45">
        <v>1410.0</v>
      </c>
    </row>
    <row r="33" ht="15.75" customHeight="1">
      <c r="A33" s="44">
        <v>20103.0</v>
      </c>
      <c r="B33" s="38" t="s">
        <v>66</v>
      </c>
      <c r="C33" s="45">
        <v>1506.0</v>
      </c>
      <c r="D33" s="45">
        <v>1563.0</v>
      </c>
    </row>
    <row r="34" ht="15.75" customHeight="1">
      <c r="A34" s="44">
        <v>20104.0</v>
      </c>
      <c r="B34" s="38" t="s">
        <v>67</v>
      </c>
      <c r="C34" s="45">
        <v>3106.0</v>
      </c>
      <c r="D34" s="45">
        <v>4624.0</v>
      </c>
    </row>
    <row r="35" ht="15.75" customHeight="1">
      <c r="A35" s="44">
        <v>20105.0</v>
      </c>
      <c r="B35" s="38" t="s">
        <v>68</v>
      </c>
      <c r="C35" s="45">
        <v>139874.0</v>
      </c>
      <c r="D35" s="45">
        <v>114494.0</v>
      </c>
    </row>
    <row r="36" ht="15.75" customHeight="1">
      <c r="A36" s="44">
        <v>20201.0</v>
      </c>
      <c r="B36" s="38" t="s">
        <v>70</v>
      </c>
      <c r="C36" s="45">
        <v>5935.0</v>
      </c>
      <c r="D36" s="45">
        <v>3686.0</v>
      </c>
    </row>
    <row r="37" ht="15.75" customHeight="1">
      <c r="A37" s="44">
        <v>20202.0</v>
      </c>
      <c r="B37" s="38" t="s">
        <v>493</v>
      </c>
      <c r="C37" s="45">
        <v>1296.0</v>
      </c>
      <c r="D37" s="45">
        <v>1210.0</v>
      </c>
    </row>
    <row r="38" ht="15.75" customHeight="1">
      <c r="A38" s="44">
        <v>20203.0</v>
      </c>
      <c r="B38" s="38" t="s">
        <v>75</v>
      </c>
      <c r="C38" s="45">
        <v>743.0</v>
      </c>
      <c r="D38" s="45">
        <v>686.0</v>
      </c>
    </row>
    <row r="39" ht="15.75" customHeight="1">
      <c r="A39" s="44">
        <v>20204.0</v>
      </c>
      <c r="B39" s="38" t="s">
        <v>72</v>
      </c>
      <c r="C39" s="45">
        <v>930.0</v>
      </c>
      <c r="D39" s="45">
        <v>700.0</v>
      </c>
    </row>
    <row r="40" ht="15.75" customHeight="1">
      <c r="A40" s="44">
        <v>20205.0</v>
      </c>
      <c r="B40" s="38" t="s">
        <v>73</v>
      </c>
      <c r="C40" s="45">
        <v>1306.0</v>
      </c>
      <c r="D40" s="45">
        <v>812.0</v>
      </c>
    </row>
    <row r="41" ht="15.75" customHeight="1">
      <c r="A41" s="44">
        <v>20206.0</v>
      </c>
      <c r="B41" s="38" t="s">
        <v>74</v>
      </c>
      <c r="C41" s="45">
        <v>682.0</v>
      </c>
      <c r="D41" s="45">
        <v>530.0</v>
      </c>
    </row>
    <row r="42" ht="15.75" customHeight="1">
      <c r="A42" s="44">
        <v>20301.0</v>
      </c>
      <c r="B42" s="38" t="s">
        <v>494</v>
      </c>
      <c r="C42" s="45">
        <v>1166.0</v>
      </c>
      <c r="D42" s="45">
        <v>876.0</v>
      </c>
    </row>
    <row r="43" ht="15.75" customHeight="1">
      <c r="A43" s="44">
        <v>20302.0</v>
      </c>
      <c r="B43" s="38" t="s">
        <v>78</v>
      </c>
      <c r="C43" s="45">
        <v>1524.0</v>
      </c>
      <c r="D43" s="45">
        <v>1018.0</v>
      </c>
    </row>
    <row r="44" ht="15.75" customHeight="1">
      <c r="A44" s="44">
        <v>20303.0</v>
      </c>
      <c r="B44" s="38" t="s">
        <v>79</v>
      </c>
      <c r="C44" s="45">
        <v>1087.0</v>
      </c>
      <c r="D44" s="45">
        <v>915.0</v>
      </c>
    </row>
    <row r="45" ht="15.75" customHeight="1">
      <c r="A45" s="44">
        <v>20304.0</v>
      </c>
      <c r="B45" s="38" t="s">
        <v>80</v>
      </c>
      <c r="C45" s="45">
        <v>513.0</v>
      </c>
      <c r="D45" s="45">
        <v>300.0</v>
      </c>
    </row>
    <row r="46" ht="15.75" customHeight="1">
      <c r="A46" s="44">
        <v>20305.0</v>
      </c>
      <c r="B46" s="38" t="s">
        <v>81</v>
      </c>
      <c r="C46" s="45">
        <v>502.0</v>
      </c>
      <c r="D46" s="45">
        <v>345.0</v>
      </c>
    </row>
    <row r="47" ht="15.75" customHeight="1">
      <c r="A47" s="44">
        <v>20306.0</v>
      </c>
      <c r="B47" s="38" t="s">
        <v>495</v>
      </c>
      <c r="C47" s="45">
        <v>641.0</v>
      </c>
      <c r="D47" s="45">
        <v>387.0</v>
      </c>
    </row>
    <row r="48" ht="15.75" customHeight="1">
      <c r="A48" s="44">
        <v>20307.0</v>
      </c>
      <c r="B48" s="38" t="s">
        <v>83</v>
      </c>
      <c r="C48" s="45">
        <v>82.0</v>
      </c>
      <c r="D48" s="45">
        <v>247.0</v>
      </c>
    </row>
    <row r="49" ht="15.75" customHeight="1">
      <c r="A49" s="44">
        <v>20308.0</v>
      </c>
      <c r="B49" s="38" t="s">
        <v>84</v>
      </c>
      <c r="C49" s="45">
        <v>737.0</v>
      </c>
      <c r="D49" s="45">
        <v>429.0</v>
      </c>
    </row>
    <row r="50" ht="15.75" customHeight="1">
      <c r="A50" s="44">
        <v>20401.0</v>
      </c>
      <c r="B50" s="38" t="s">
        <v>86</v>
      </c>
      <c r="C50" s="45">
        <v>1020.0</v>
      </c>
      <c r="D50" s="45">
        <v>1015.0</v>
      </c>
    </row>
    <row r="51" ht="15.75" customHeight="1">
      <c r="A51" s="44">
        <v>20402.0</v>
      </c>
      <c r="B51" s="38" t="s">
        <v>87</v>
      </c>
      <c r="C51" s="45">
        <v>1266.0</v>
      </c>
      <c r="D51" s="45">
        <v>1026.0</v>
      </c>
    </row>
    <row r="52" ht="15.75" customHeight="1">
      <c r="A52" s="44">
        <v>20403.0</v>
      </c>
      <c r="B52" s="38" t="s">
        <v>88</v>
      </c>
      <c r="C52" s="45">
        <v>1479.0</v>
      </c>
      <c r="D52" s="45">
        <v>1288.0</v>
      </c>
    </row>
    <row r="53" ht="15.75" customHeight="1">
      <c r="A53" s="44">
        <v>20404.0</v>
      </c>
      <c r="B53" s="38" t="s">
        <v>89</v>
      </c>
      <c r="C53" s="45">
        <v>461.0</v>
      </c>
      <c r="D53" s="45">
        <v>214.0</v>
      </c>
    </row>
    <row r="54" ht="15.75" customHeight="1">
      <c r="A54" s="44">
        <v>20405.0</v>
      </c>
      <c r="B54" s="38" t="s">
        <v>90</v>
      </c>
      <c r="C54" s="45">
        <v>805.0</v>
      </c>
      <c r="D54" s="45">
        <v>659.0</v>
      </c>
    </row>
    <row r="55" ht="15.75" customHeight="1">
      <c r="A55" s="44">
        <v>20501.0</v>
      </c>
      <c r="B55" s="38" t="s">
        <v>92</v>
      </c>
      <c r="C55" s="45">
        <v>1068.0</v>
      </c>
      <c r="D55" s="45">
        <v>1083.0</v>
      </c>
    </row>
    <row r="56" ht="15.75" customHeight="1">
      <c r="A56" s="44">
        <v>20502.0</v>
      </c>
      <c r="B56" s="38" t="s">
        <v>93</v>
      </c>
      <c r="C56" s="45">
        <v>708.0</v>
      </c>
      <c r="D56" s="45">
        <v>590.0</v>
      </c>
    </row>
    <row r="57" ht="15.75" customHeight="1">
      <c r="A57" s="44">
        <v>20503.0</v>
      </c>
      <c r="B57" s="38" t="s">
        <v>94</v>
      </c>
      <c r="C57" s="45">
        <v>654.0</v>
      </c>
      <c r="D57" s="45">
        <v>460.0</v>
      </c>
    </row>
    <row r="58" ht="15.75" customHeight="1">
      <c r="A58" s="44">
        <v>20601.0</v>
      </c>
      <c r="B58" s="38" t="s">
        <v>96</v>
      </c>
      <c r="C58" s="45">
        <v>2924.0</v>
      </c>
      <c r="D58" s="45">
        <v>2736.0</v>
      </c>
    </row>
    <row r="59" ht="15.75" customHeight="1">
      <c r="A59" s="44">
        <v>20602.0</v>
      </c>
      <c r="B59" s="38" t="s">
        <v>97</v>
      </c>
      <c r="C59" s="45">
        <v>1869.0</v>
      </c>
      <c r="D59" s="45">
        <v>1611.0</v>
      </c>
    </row>
    <row r="60" ht="15.75" customHeight="1">
      <c r="A60" s="44">
        <v>20603.0</v>
      </c>
      <c r="B60" s="38" t="s">
        <v>98</v>
      </c>
      <c r="C60" s="45">
        <v>966.0</v>
      </c>
      <c r="D60" s="45">
        <v>956.0</v>
      </c>
    </row>
    <row r="61" ht="15.75" customHeight="1">
      <c r="A61" s="44">
        <v>20604.0</v>
      </c>
      <c r="B61" s="38" t="s">
        <v>99</v>
      </c>
      <c r="C61" s="45">
        <v>198.0</v>
      </c>
      <c r="D61" s="45">
        <v>338.0</v>
      </c>
    </row>
    <row r="62" ht="15.75" customHeight="1">
      <c r="A62" s="44">
        <v>20605.0</v>
      </c>
      <c r="B62" s="38" t="s">
        <v>100</v>
      </c>
      <c r="C62" s="45">
        <v>361.0</v>
      </c>
      <c r="D62" s="45">
        <v>236.0</v>
      </c>
    </row>
    <row r="63" ht="15.75" customHeight="1">
      <c r="A63" s="44">
        <v>20606.0</v>
      </c>
      <c r="B63" s="38" t="s">
        <v>101</v>
      </c>
      <c r="C63" s="45">
        <v>1458.0</v>
      </c>
      <c r="D63" s="45">
        <v>848.0</v>
      </c>
    </row>
    <row r="64" ht="15.75" customHeight="1">
      <c r="A64" s="44">
        <v>20607.0</v>
      </c>
      <c r="B64" s="38" t="s">
        <v>102</v>
      </c>
      <c r="C64" s="45">
        <v>1982.0</v>
      </c>
      <c r="D64" s="45">
        <v>2288.0</v>
      </c>
    </row>
    <row r="65" ht="15.75" customHeight="1">
      <c r="A65" s="44">
        <v>20608.0</v>
      </c>
      <c r="B65" s="38" t="s">
        <v>103</v>
      </c>
      <c r="C65" s="45">
        <v>869.0</v>
      </c>
      <c r="D65" s="45">
        <v>1046.0</v>
      </c>
    </row>
    <row r="66" ht="15.75" customHeight="1">
      <c r="A66" s="44">
        <v>20701.0</v>
      </c>
      <c r="B66" s="38" t="s">
        <v>105</v>
      </c>
      <c r="C66" s="45">
        <v>2453.0</v>
      </c>
      <c r="D66" s="45">
        <v>1591.0</v>
      </c>
    </row>
    <row r="67" ht="15.75" customHeight="1">
      <c r="A67" s="44">
        <v>20702.0</v>
      </c>
      <c r="B67" s="38" t="s">
        <v>106</v>
      </c>
      <c r="C67" s="45">
        <v>813.0</v>
      </c>
      <c r="D67" s="45">
        <v>622.0</v>
      </c>
    </row>
    <row r="68" ht="15.75" customHeight="1">
      <c r="A68" s="44">
        <v>20801.0</v>
      </c>
      <c r="B68" s="38" t="s">
        <v>108</v>
      </c>
      <c r="C68" s="45">
        <v>13039.0</v>
      </c>
      <c r="D68" s="45">
        <v>13068.0</v>
      </c>
    </row>
    <row r="69" ht="15.75" customHeight="1">
      <c r="A69" s="44">
        <v>20802.0</v>
      </c>
      <c r="B69" s="38" t="s">
        <v>496</v>
      </c>
      <c r="C69" s="45">
        <v>1132.0</v>
      </c>
      <c r="D69" s="45">
        <v>660.0</v>
      </c>
    </row>
    <row r="70" ht="15.75" customHeight="1">
      <c r="A70" s="44">
        <v>20803.0</v>
      </c>
      <c r="B70" s="38" t="s">
        <v>110</v>
      </c>
      <c r="C70" s="45">
        <v>2032.0</v>
      </c>
      <c r="D70" s="45">
        <v>843.0</v>
      </c>
    </row>
    <row r="71" ht="15.75" customHeight="1">
      <c r="A71" s="44">
        <v>20804.0</v>
      </c>
      <c r="B71" s="38" t="s">
        <v>111</v>
      </c>
      <c r="C71" s="45">
        <v>839.0</v>
      </c>
      <c r="D71" s="45">
        <v>864.0</v>
      </c>
    </row>
    <row r="72" ht="15.75" customHeight="1">
      <c r="A72" s="44">
        <v>20805.0</v>
      </c>
      <c r="B72" s="38" t="s">
        <v>497</v>
      </c>
      <c r="C72" s="45">
        <v>720.0</v>
      </c>
      <c r="D72" s="45">
        <v>412.0</v>
      </c>
    </row>
    <row r="73" ht="15.75" customHeight="1">
      <c r="A73" s="44">
        <v>20806.0</v>
      </c>
      <c r="B73" s="38" t="s">
        <v>498</v>
      </c>
      <c r="C73" s="45">
        <v>1830.0</v>
      </c>
      <c r="D73" s="45">
        <v>1127.0</v>
      </c>
    </row>
    <row r="74" ht="15.75" customHeight="1">
      <c r="A74" s="44">
        <v>20807.0</v>
      </c>
      <c r="B74" s="38" t="s">
        <v>114</v>
      </c>
      <c r="C74" s="45">
        <v>733.0</v>
      </c>
      <c r="D74" s="45">
        <v>552.0</v>
      </c>
    </row>
    <row r="75" ht="15.75" customHeight="1">
      <c r="A75" s="44">
        <v>20901.0</v>
      </c>
      <c r="B75" s="38" t="s">
        <v>116</v>
      </c>
      <c r="C75" s="45">
        <v>1095.0</v>
      </c>
      <c r="D75" s="45">
        <v>723.0</v>
      </c>
    </row>
    <row r="76" ht="15.75" customHeight="1">
      <c r="A76" s="44">
        <v>20902.0</v>
      </c>
      <c r="B76" s="38" t="s">
        <v>117</v>
      </c>
      <c r="C76" s="45">
        <v>1058.0</v>
      </c>
      <c r="D76" s="45">
        <v>1002.0</v>
      </c>
    </row>
    <row r="77" ht="15.75" customHeight="1">
      <c r="A77" s="44">
        <v>20903.0</v>
      </c>
      <c r="B77" s="38" t="s">
        <v>118</v>
      </c>
      <c r="C77" s="45">
        <v>752.0</v>
      </c>
      <c r="D77" s="45">
        <v>913.0</v>
      </c>
    </row>
    <row r="78" ht="15.75" customHeight="1">
      <c r="A78" s="44">
        <v>20904.0</v>
      </c>
      <c r="B78" s="38" t="s">
        <v>119</v>
      </c>
      <c r="C78" s="45">
        <v>727.0</v>
      </c>
      <c r="D78" s="45">
        <v>411.0</v>
      </c>
    </row>
    <row r="79" ht="15.75" customHeight="1">
      <c r="A79" s="44">
        <v>20905.0</v>
      </c>
      <c r="B79" s="38" t="s">
        <v>120</v>
      </c>
      <c r="C79" s="45">
        <v>1093.0</v>
      </c>
      <c r="D79" s="45">
        <v>972.0</v>
      </c>
    </row>
    <row r="80" ht="15.75" customHeight="1">
      <c r="A80" s="44">
        <v>21001.0</v>
      </c>
      <c r="B80" s="38" t="s">
        <v>121</v>
      </c>
      <c r="C80" s="45">
        <v>1640.0</v>
      </c>
      <c r="D80" s="45">
        <v>1354.0</v>
      </c>
    </row>
    <row r="81" ht="15.75" customHeight="1">
      <c r="A81" s="44">
        <v>21002.0</v>
      </c>
      <c r="B81" s="38" t="s">
        <v>122</v>
      </c>
      <c r="C81" s="45">
        <v>1335.0</v>
      </c>
      <c r="D81" s="45">
        <v>1179.0</v>
      </c>
    </row>
    <row r="82" ht="15.75" customHeight="1">
      <c r="A82" s="44">
        <v>21003.0</v>
      </c>
      <c r="B82" s="38" t="s">
        <v>123</v>
      </c>
      <c r="C82" s="45">
        <v>880.0</v>
      </c>
      <c r="D82" s="45">
        <v>1114.0</v>
      </c>
    </row>
    <row r="83" ht="15.75" customHeight="1">
      <c r="A83" s="44">
        <v>21004.0</v>
      </c>
      <c r="B83" s="38" t="s">
        <v>124</v>
      </c>
      <c r="C83" s="45">
        <v>3066.0</v>
      </c>
      <c r="D83" s="45">
        <v>2731.0</v>
      </c>
    </row>
    <row r="84" ht="15.75" customHeight="1">
      <c r="A84" s="44">
        <v>21005.0</v>
      </c>
      <c r="B84" s="38" t="s">
        <v>125</v>
      </c>
      <c r="C84" s="45">
        <v>872.0</v>
      </c>
      <c r="D84" s="45">
        <v>741.0</v>
      </c>
    </row>
    <row r="85" ht="15.75" customHeight="1">
      <c r="A85" s="44">
        <v>21006.0</v>
      </c>
      <c r="B85" s="38" t="s">
        <v>126</v>
      </c>
      <c r="C85" s="45">
        <v>764.0</v>
      </c>
      <c r="D85" s="45">
        <v>714.0</v>
      </c>
    </row>
    <row r="86" ht="15.75" customHeight="1">
      <c r="A86" s="44">
        <v>21101.0</v>
      </c>
      <c r="B86" s="38" t="s">
        <v>128</v>
      </c>
      <c r="C86" s="45">
        <v>1277.0</v>
      </c>
      <c r="D86" s="45">
        <v>1070.0</v>
      </c>
    </row>
    <row r="87" ht="15.75" customHeight="1">
      <c r="A87" s="44">
        <v>21102.0</v>
      </c>
      <c r="B87" s="38" t="s">
        <v>129</v>
      </c>
      <c r="C87" s="45">
        <v>1412.0</v>
      </c>
      <c r="D87" s="45">
        <v>1496.0</v>
      </c>
    </row>
    <row r="88" ht="15.75" customHeight="1">
      <c r="A88" s="44">
        <v>21103.0</v>
      </c>
      <c r="B88" s="38" t="s">
        <v>130</v>
      </c>
      <c r="C88" s="45">
        <v>828.0</v>
      </c>
      <c r="D88" s="45">
        <v>857.0</v>
      </c>
    </row>
    <row r="89" ht="15.75" customHeight="1">
      <c r="A89" s="44">
        <v>21104.0</v>
      </c>
      <c r="B89" s="38" t="s">
        <v>131</v>
      </c>
      <c r="C89" s="45">
        <v>2200.0</v>
      </c>
      <c r="D89" s="45">
        <v>1804.0</v>
      </c>
    </row>
    <row r="90" ht="15.75" customHeight="1">
      <c r="A90" s="44">
        <v>21105.0</v>
      </c>
      <c r="B90" s="38" t="s">
        <v>132</v>
      </c>
      <c r="C90" s="45">
        <v>1906.0</v>
      </c>
      <c r="D90" s="45">
        <v>2081.0</v>
      </c>
    </row>
    <row r="91" ht="15.75" customHeight="1">
      <c r="A91" s="44">
        <v>21201.0</v>
      </c>
      <c r="B91" s="38" t="s">
        <v>134</v>
      </c>
      <c r="C91" s="45">
        <v>4277.0</v>
      </c>
      <c r="D91" s="45">
        <v>3974.0</v>
      </c>
    </row>
    <row r="92" ht="15.75" customHeight="1">
      <c r="A92" s="44">
        <v>21202.0</v>
      </c>
      <c r="B92" s="38" t="s">
        <v>135</v>
      </c>
      <c r="C92" s="45">
        <v>3400.0</v>
      </c>
      <c r="D92" s="45">
        <v>3277.0</v>
      </c>
    </row>
    <row r="93" ht="15.75" customHeight="1">
      <c r="A93" s="44">
        <v>21203.0</v>
      </c>
      <c r="B93" s="38" t="s">
        <v>136</v>
      </c>
      <c r="C93" s="45">
        <v>2388.0</v>
      </c>
      <c r="D93" s="45">
        <v>1412.0</v>
      </c>
    </row>
    <row r="94" ht="15.75" customHeight="1">
      <c r="A94" s="44">
        <v>21204.0</v>
      </c>
      <c r="B94" s="38" t="s">
        <v>137</v>
      </c>
      <c r="C94" s="45">
        <v>971.0</v>
      </c>
      <c r="D94" s="45">
        <v>710.0</v>
      </c>
    </row>
    <row r="95" ht="15.75" customHeight="1">
      <c r="A95" s="44">
        <v>21301.0</v>
      </c>
      <c r="B95" s="38" t="s">
        <v>499</v>
      </c>
      <c r="C95" s="45">
        <v>3908.0</v>
      </c>
      <c r="D95" s="45">
        <v>2611.0</v>
      </c>
    </row>
    <row r="96" ht="15.75" customHeight="1">
      <c r="A96" s="44">
        <v>21302.0</v>
      </c>
      <c r="B96" s="38" t="s">
        <v>140</v>
      </c>
      <c r="C96" s="45">
        <v>641.0</v>
      </c>
      <c r="D96" s="45">
        <v>505.0</v>
      </c>
    </row>
    <row r="97" ht="15.75" customHeight="1">
      <c r="A97" s="44">
        <v>21303.0</v>
      </c>
      <c r="B97" s="38" t="s">
        <v>141</v>
      </c>
      <c r="C97" s="45">
        <v>605.0</v>
      </c>
      <c r="D97" s="45">
        <v>713.0</v>
      </c>
    </row>
    <row r="98" ht="15.75" customHeight="1">
      <c r="A98" s="44">
        <v>21304.0</v>
      </c>
      <c r="B98" s="38" t="s">
        <v>142</v>
      </c>
      <c r="C98" s="45">
        <v>1752.0</v>
      </c>
      <c r="D98" s="45">
        <v>1166.0</v>
      </c>
    </row>
    <row r="99" ht="15.75" customHeight="1">
      <c r="A99" s="44">
        <v>21305.0</v>
      </c>
      <c r="B99" s="38" t="s">
        <v>143</v>
      </c>
      <c r="C99" s="45">
        <v>2790.0</v>
      </c>
      <c r="D99" s="45">
        <v>2084.0</v>
      </c>
    </row>
    <row r="100" ht="15.75" customHeight="1">
      <c r="A100" s="44">
        <v>21306.0</v>
      </c>
      <c r="B100" s="38" t="s">
        <v>144</v>
      </c>
      <c r="C100" s="45">
        <v>1383.0</v>
      </c>
      <c r="D100" s="45">
        <v>1047.0</v>
      </c>
    </row>
    <row r="101" ht="15.75" customHeight="1">
      <c r="A101" s="44">
        <v>21307.0</v>
      </c>
      <c r="B101" s="38" t="s">
        <v>145</v>
      </c>
      <c r="C101" s="45">
        <v>731.0</v>
      </c>
      <c r="D101" s="45">
        <v>598.0</v>
      </c>
    </row>
    <row r="102" ht="15.75" customHeight="1">
      <c r="A102" s="44">
        <v>21401.0</v>
      </c>
      <c r="B102" s="38" t="s">
        <v>147</v>
      </c>
      <c r="C102" s="45">
        <v>1555.0</v>
      </c>
      <c r="D102" s="45">
        <v>2099.0</v>
      </c>
    </row>
    <row r="103" ht="15.75" customHeight="1">
      <c r="A103" s="44">
        <v>21402.0</v>
      </c>
      <c r="B103" s="38" t="s">
        <v>148</v>
      </c>
      <c r="C103" s="45">
        <v>1051.0</v>
      </c>
      <c r="D103" s="45">
        <v>1236.0</v>
      </c>
    </row>
    <row r="104" ht="15.75" customHeight="1">
      <c r="A104" s="44">
        <v>21501.0</v>
      </c>
      <c r="B104" s="38" t="s">
        <v>150</v>
      </c>
      <c r="C104" s="45">
        <v>1333.0</v>
      </c>
      <c r="D104" s="45">
        <v>1025.0</v>
      </c>
    </row>
    <row r="105" ht="15.75" customHeight="1">
      <c r="A105" s="44">
        <v>21502.0</v>
      </c>
      <c r="B105" s="38" t="s">
        <v>151</v>
      </c>
      <c r="C105" s="45">
        <v>1318.0</v>
      </c>
      <c r="D105" s="45">
        <v>1073.0</v>
      </c>
    </row>
    <row r="106" ht="15.75" customHeight="1">
      <c r="A106" s="44">
        <v>21601.0</v>
      </c>
      <c r="B106" s="38" t="s">
        <v>500</v>
      </c>
      <c r="C106" s="45">
        <v>1351.0</v>
      </c>
      <c r="D106" s="45">
        <v>1100.0</v>
      </c>
    </row>
    <row r="107" ht="15.75" customHeight="1">
      <c r="A107" s="44">
        <v>21602.0</v>
      </c>
      <c r="B107" s="38" t="s">
        <v>154</v>
      </c>
      <c r="C107" s="45">
        <v>381.0</v>
      </c>
      <c r="D107" s="45">
        <v>556.0</v>
      </c>
    </row>
    <row r="108" ht="15.75" customHeight="1">
      <c r="A108" s="44">
        <v>21701.0</v>
      </c>
      <c r="B108" s="38" t="s">
        <v>156</v>
      </c>
      <c r="C108" s="45">
        <v>1670.0</v>
      </c>
      <c r="D108" s="45">
        <v>1582.0</v>
      </c>
    </row>
    <row r="109" ht="15.75" customHeight="1">
      <c r="A109" s="44">
        <v>21702.0</v>
      </c>
      <c r="B109" s="38" t="s">
        <v>157</v>
      </c>
      <c r="C109" s="45">
        <v>891.0</v>
      </c>
      <c r="D109" s="45">
        <v>774.0</v>
      </c>
    </row>
    <row r="110" ht="15.75" customHeight="1">
      <c r="A110" s="44">
        <v>21703.0</v>
      </c>
      <c r="B110" s="38" t="s">
        <v>158</v>
      </c>
      <c r="C110" s="45">
        <v>896.0</v>
      </c>
      <c r="D110" s="45">
        <v>732.0</v>
      </c>
    </row>
    <row r="111" ht="15.75" customHeight="1">
      <c r="A111" s="44">
        <v>21801.0</v>
      </c>
      <c r="B111" s="38" t="s">
        <v>160</v>
      </c>
      <c r="C111" s="45">
        <v>810.0</v>
      </c>
      <c r="D111" s="45">
        <v>463.0</v>
      </c>
    </row>
    <row r="112" ht="15.75" customHeight="1">
      <c r="A112" s="44">
        <v>21802.0</v>
      </c>
      <c r="B112" s="38" t="s">
        <v>161</v>
      </c>
      <c r="C112" s="45">
        <v>730.0</v>
      </c>
      <c r="D112" s="45">
        <v>420.0</v>
      </c>
    </row>
    <row r="113" ht="15.75" customHeight="1">
      <c r="A113" s="44">
        <v>21803.0</v>
      </c>
      <c r="B113" s="38" t="s">
        <v>162</v>
      </c>
      <c r="C113" s="45">
        <v>159.0</v>
      </c>
      <c r="D113" s="45">
        <v>143.0</v>
      </c>
    </row>
    <row r="114" ht="15.75" customHeight="1">
      <c r="A114" s="44">
        <v>21901.0</v>
      </c>
      <c r="B114" s="38" t="s">
        <v>164</v>
      </c>
      <c r="C114" s="45">
        <v>569.0</v>
      </c>
      <c r="D114" s="45">
        <v>407.0</v>
      </c>
    </row>
    <row r="115" ht="15.75" customHeight="1">
      <c r="A115" s="44">
        <v>21902.0</v>
      </c>
      <c r="B115" s="38" t="s">
        <v>165</v>
      </c>
      <c r="C115" s="45">
        <v>311.0</v>
      </c>
      <c r="D115" s="45">
        <v>353.0</v>
      </c>
    </row>
    <row r="116" ht="15.75" customHeight="1">
      <c r="A116" s="44">
        <v>22001.0</v>
      </c>
      <c r="B116" s="38" t="s">
        <v>166</v>
      </c>
      <c r="C116" s="45">
        <v>3850.0</v>
      </c>
      <c r="D116" s="45">
        <v>4261.0</v>
      </c>
    </row>
    <row r="117" ht="15.75" customHeight="1">
      <c r="A117" s="44">
        <v>22002.0</v>
      </c>
      <c r="B117" s="38" t="s">
        <v>167</v>
      </c>
      <c r="C117" s="45">
        <v>791.0</v>
      </c>
      <c r="D117" s="45">
        <v>709.0</v>
      </c>
    </row>
    <row r="118" ht="15.75" customHeight="1">
      <c r="A118" s="44">
        <v>30101.0</v>
      </c>
      <c r="B118" s="38" t="s">
        <v>168</v>
      </c>
      <c r="C118" s="45">
        <v>117394.0</v>
      </c>
      <c r="D118" s="45">
        <v>101279.0</v>
      </c>
    </row>
    <row r="119" ht="15.75" customHeight="1">
      <c r="A119" s="44">
        <v>30201.0</v>
      </c>
      <c r="B119" s="38" t="s">
        <v>171</v>
      </c>
      <c r="C119" s="45">
        <v>4327.0</v>
      </c>
      <c r="D119" s="45">
        <v>2514.0</v>
      </c>
    </row>
    <row r="120" ht="15.75" customHeight="1">
      <c r="A120" s="44">
        <v>30202.0</v>
      </c>
      <c r="B120" s="38" t="s">
        <v>172</v>
      </c>
      <c r="C120" s="45">
        <v>1282.0</v>
      </c>
      <c r="D120" s="45">
        <v>738.0</v>
      </c>
    </row>
    <row r="121" ht="15.75" customHeight="1">
      <c r="A121" s="44">
        <v>30203.0</v>
      </c>
      <c r="B121" s="38" t="s">
        <v>173</v>
      </c>
      <c r="C121" s="45">
        <v>742.0</v>
      </c>
      <c r="D121" s="45">
        <v>652.0</v>
      </c>
    </row>
    <row r="122" ht="15.75" customHeight="1">
      <c r="A122" s="44">
        <v>30301.0</v>
      </c>
      <c r="B122" s="38" t="s">
        <v>501</v>
      </c>
      <c r="C122" s="45">
        <v>3383.0</v>
      </c>
      <c r="D122" s="45">
        <v>2064.0</v>
      </c>
    </row>
    <row r="123" ht="15.75" customHeight="1">
      <c r="A123" s="44">
        <v>30302.0</v>
      </c>
      <c r="B123" s="38" t="s">
        <v>175</v>
      </c>
      <c r="C123" s="45">
        <v>1769.0</v>
      </c>
      <c r="D123" s="45">
        <v>1440.0</v>
      </c>
    </row>
    <row r="124" ht="15.75" customHeight="1">
      <c r="A124" s="44">
        <v>30303.0</v>
      </c>
      <c r="B124" s="38" t="s">
        <v>176</v>
      </c>
      <c r="C124" s="45">
        <v>2012.0</v>
      </c>
      <c r="D124" s="45">
        <v>1363.0</v>
      </c>
    </row>
    <row r="125" ht="15.75" customHeight="1">
      <c r="A125" s="44">
        <v>30401.0</v>
      </c>
      <c r="B125" s="38" t="s">
        <v>178</v>
      </c>
      <c r="C125" s="45">
        <v>1580.0</v>
      </c>
      <c r="D125" s="45">
        <v>1428.0</v>
      </c>
    </row>
    <row r="126" ht="15.75" customHeight="1">
      <c r="A126" s="44">
        <v>30402.0</v>
      </c>
      <c r="B126" s="38" t="s">
        <v>179</v>
      </c>
      <c r="C126" s="45">
        <v>1171.0</v>
      </c>
      <c r="D126" s="45">
        <v>669.0</v>
      </c>
    </row>
    <row r="127" ht="15.75" customHeight="1">
      <c r="A127" s="44">
        <v>30403.0</v>
      </c>
      <c r="B127" s="38" t="s">
        <v>180</v>
      </c>
      <c r="C127" s="45">
        <v>3482.0</v>
      </c>
      <c r="D127" s="45">
        <v>3794.0</v>
      </c>
    </row>
    <row r="128" ht="15.75" customHeight="1">
      <c r="A128" s="44">
        <v>30404.0</v>
      </c>
      <c r="B128" s="38" t="s">
        <v>181</v>
      </c>
      <c r="C128" s="45">
        <v>620.0</v>
      </c>
      <c r="D128" s="45">
        <v>367.0</v>
      </c>
    </row>
    <row r="129" ht="15.75" customHeight="1">
      <c r="A129" s="44">
        <v>30501.0</v>
      </c>
      <c r="B129" s="38" t="s">
        <v>182</v>
      </c>
      <c r="C129" s="45">
        <v>1656.0</v>
      </c>
      <c r="D129" s="45">
        <v>1164.0</v>
      </c>
    </row>
    <row r="130" ht="15.75" customHeight="1">
      <c r="A130" s="44">
        <v>30502.0</v>
      </c>
      <c r="B130" s="38" t="s">
        <v>183</v>
      </c>
      <c r="C130" s="45">
        <v>1161.0</v>
      </c>
      <c r="D130" s="45">
        <v>590.0</v>
      </c>
    </row>
    <row r="131" ht="15.75" customHeight="1">
      <c r="A131" s="44">
        <v>30601.0</v>
      </c>
      <c r="B131" s="38" t="s">
        <v>184</v>
      </c>
      <c r="C131" s="45">
        <v>1251.0</v>
      </c>
      <c r="D131" s="45">
        <v>783.0</v>
      </c>
    </row>
    <row r="132" ht="15.75" customHeight="1">
      <c r="A132" s="44">
        <v>30602.0</v>
      </c>
      <c r="B132" s="38" t="s">
        <v>185</v>
      </c>
      <c r="C132" s="45">
        <v>1003.0</v>
      </c>
      <c r="D132" s="45">
        <v>781.0</v>
      </c>
    </row>
    <row r="133" ht="15.75" customHeight="1">
      <c r="A133" s="44">
        <v>30701.0</v>
      </c>
      <c r="B133" s="38" t="s">
        <v>186</v>
      </c>
      <c r="C133" s="45">
        <v>3031.0</v>
      </c>
      <c r="D133" s="45">
        <v>2473.0</v>
      </c>
    </row>
    <row r="134" ht="15.75" customHeight="1">
      <c r="A134" s="44">
        <v>30702.0</v>
      </c>
      <c r="B134" s="38" t="s">
        <v>502</v>
      </c>
      <c r="C134" s="45">
        <v>1429.0</v>
      </c>
      <c r="D134" s="45">
        <v>990.0</v>
      </c>
    </row>
    <row r="135" ht="15.75" customHeight="1">
      <c r="A135" s="44">
        <v>30703.0</v>
      </c>
      <c r="B135" s="38" t="s">
        <v>188</v>
      </c>
      <c r="C135" s="45">
        <v>588.0</v>
      </c>
      <c r="D135" s="45">
        <v>405.0</v>
      </c>
    </row>
    <row r="136" ht="15.75" customHeight="1">
      <c r="A136" s="44">
        <v>30801.0</v>
      </c>
      <c r="B136" s="38" t="s">
        <v>190</v>
      </c>
      <c r="C136" s="45">
        <v>4229.0</v>
      </c>
      <c r="D136" s="45">
        <v>2491.0</v>
      </c>
    </row>
    <row r="137" ht="15.75" customHeight="1">
      <c r="A137" s="44">
        <v>30802.0</v>
      </c>
      <c r="B137" s="38" t="s">
        <v>191</v>
      </c>
      <c r="C137" s="45">
        <v>1352.0</v>
      </c>
      <c r="D137" s="45">
        <v>821.0</v>
      </c>
    </row>
    <row r="138" ht="15.75" customHeight="1">
      <c r="A138" s="44">
        <v>30803.0</v>
      </c>
      <c r="B138" s="38" t="s">
        <v>192</v>
      </c>
      <c r="C138" s="45">
        <v>1178.0</v>
      </c>
      <c r="D138" s="45">
        <v>1025.0</v>
      </c>
    </row>
    <row r="139" ht="15.75" customHeight="1">
      <c r="A139" s="44">
        <v>30901.0</v>
      </c>
      <c r="B139" s="38" t="s">
        <v>193</v>
      </c>
      <c r="C139" s="45">
        <v>25298.0</v>
      </c>
      <c r="D139" s="45">
        <v>24668.0</v>
      </c>
    </row>
    <row r="140" ht="15.75" customHeight="1">
      <c r="A140" s="44">
        <v>30902.0</v>
      </c>
      <c r="B140" s="38" t="s">
        <v>503</v>
      </c>
      <c r="C140" s="45">
        <v>7202.0</v>
      </c>
      <c r="D140" s="45">
        <v>7729.0</v>
      </c>
    </row>
    <row r="141" ht="15.75" customHeight="1">
      <c r="A141" s="44">
        <v>30903.0</v>
      </c>
      <c r="B141" s="38" t="s">
        <v>195</v>
      </c>
      <c r="C141" s="45">
        <v>9377.0</v>
      </c>
      <c r="D141" s="45">
        <v>8639.0</v>
      </c>
    </row>
    <row r="142" ht="15.75" customHeight="1">
      <c r="A142" s="44">
        <v>30904.0</v>
      </c>
      <c r="B142" s="38" t="s">
        <v>196</v>
      </c>
      <c r="C142" s="45">
        <v>9566.0</v>
      </c>
      <c r="D142" s="45">
        <v>8121.0</v>
      </c>
    </row>
    <row r="143" ht="15.75" customHeight="1">
      <c r="A143" s="44">
        <v>30905.0</v>
      </c>
      <c r="B143" s="38" t="s">
        <v>197</v>
      </c>
      <c r="C143" s="45">
        <v>10111.0</v>
      </c>
      <c r="D143" s="45">
        <v>10187.0</v>
      </c>
    </row>
    <row r="144" ht="15.75" customHeight="1">
      <c r="A144" s="44">
        <v>31001.0</v>
      </c>
      <c r="B144" s="38" t="s">
        <v>199</v>
      </c>
      <c r="C144" s="45">
        <v>32578.0</v>
      </c>
      <c r="D144" s="45">
        <v>32960.0</v>
      </c>
    </row>
    <row r="145" ht="15.75" customHeight="1">
      <c r="A145" s="44">
        <v>31002.0</v>
      </c>
      <c r="B145" s="38" t="s">
        <v>200</v>
      </c>
      <c r="C145" s="45">
        <v>2441.0</v>
      </c>
      <c r="D145" s="45">
        <v>1658.0</v>
      </c>
    </row>
    <row r="146" ht="15.75" customHeight="1">
      <c r="A146" s="44">
        <v>31003.0</v>
      </c>
      <c r="B146" s="38" t="s">
        <v>201</v>
      </c>
      <c r="C146" s="45">
        <v>7886.0</v>
      </c>
      <c r="D146" s="45">
        <v>7553.0</v>
      </c>
    </row>
    <row r="147" ht="15.75" customHeight="1">
      <c r="A147" s="44">
        <v>31101.0</v>
      </c>
      <c r="B147" s="38" t="s">
        <v>202</v>
      </c>
      <c r="C147" s="45">
        <v>2911.0</v>
      </c>
      <c r="D147" s="45">
        <v>1894.0</v>
      </c>
    </row>
    <row r="148" ht="15.75" customHeight="1">
      <c r="A148" s="44">
        <v>31201.0</v>
      </c>
      <c r="B148" s="38" t="s">
        <v>204</v>
      </c>
      <c r="C148" s="45">
        <v>1665.0</v>
      </c>
      <c r="D148" s="45">
        <v>880.0</v>
      </c>
    </row>
    <row r="149" ht="15.75" customHeight="1">
      <c r="A149" s="44">
        <v>31202.0</v>
      </c>
      <c r="B149" s="38" t="s">
        <v>205</v>
      </c>
      <c r="C149" s="45">
        <v>1074.0</v>
      </c>
      <c r="D149" s="45">
        <v>821.0</v>
      </c>
    </row>
    <row r="150" ht="15.75" customHeight="1">
      <c r="A150" s="44">
        <v>31203.0</v>
      </c>
      <c r="B150" s="38" t="s">
        <v>206</v>
      </c>
      <c r="C150" s="45">
        <v>1226.0</v>
      </c>
      <c r="D150" s="45">
        <v>1040.0</v>
      </c>
    </row>
    <row r="151" ht="15.75" customHeight="1">
      <c r="A151" s="44">
        <v>31204.0</v>
      </c>
      <c r="B151" s="38" t="s">
        <v>207</v>
      </c>
      <c r="C151" s="45">
        <v>2586.0</v>
      </c>
      <c r="D151" s="45">
        <v>2477.0</v>
      </c>
    </row>
    <row r="152" ht="15.75" customHeight="1">
      <c r="A152" s="44">
        <v>31205.0</v>
      </c>
      <c r="B152" s="38" t="s">
        <v>208</v>
      </c>
      <c r="C152" s="45">
        <v>5754.0</v>
      </c>
      <c r="D152" s="45">
        <v>5763.0</v>
      </c>
    </row>
    <row r="153" ht="15.75" customHeight="1">
      <c r="A153" s="44">
        <v>31206.0</v>
      </c>
      <c r="B153" s="38" t="s">
        <v>209</v>
      </c>
      <c r="C153" s="45">
        <v>4334.0</v>
      </c>
      <c r="D153" s="45">
        <v>4698.0</v>
      </c>
    </row>
    <row r="154" ht="15.75" customHeight="1">
      <c r="A154" s="44">
        <v>31301.0</v>
      </c>
      <c r="B154" s="38" t="s">
        <v>210</v>
      </c>
      <c r="C154" s="45">
        <v>3001.0</v>
      </c>
      <c r="D154" s="45">
        <v>1825.0</v>
      </c>
    </row>
    <row r="155" ht="15.75" customHeight="1">
      <c r="A155" s="44">
        <v>31302.0</v>
      </c>
      <c r="B155" s="38" t="s">
        <v>211</v>
      </c>
      <c r="C155" s="45">
        <v>710.0</v>
      </c>
      <c r="D155" s="45">
        <v>525.0</v>
      </c>
    </row>
    <row r="156" ht="15.75" customHeight="1">
      <c r="A156" s="44">
        <v>31303.0</v>
      </c>
      <c r="B156" s="38" t="s">
        <v>212</v>
      </c>
      <c r="C156" s="45">
        <v>546.0</v>
      </c>
      <c r="D156" s="45">
        <v>312.0</v>
      </c>
    </row>
    <row r="157" ht="15.75" customHeight="1">
      <c r="A157" s="44">
        <v>31304.0</v>
      </c>
      <c r="B157" s="38" t="s">
        <v>213</v>
      </c>
      <c r="C157" s="45">
        <v>749.0</v>
      </c>
      <c r="D157" s="45">
        <v>681.0</v>
      </c>
    </row>
    <row r="158" ht="15.75" customHeight="1">
      <c r="A158" s="44">
        <v>31401.0</v>
      </c>
      <c r="B158" s="38" t="s">
        <v>214</v>
      </c>
      <c r="C158" s="45">
        <v>5350.0</v>
      </c>
      <c r="D158" s="45">
        <v>4393.0</v>
      </c>
    </row>
    <row r="159" ht="15.75" customHeight="1">
      <c r="A159" s="44">
        <v>31402.0</v>
      </c>
      <c r="B159" s="38" t="s">
        <v>215</v>
      </c>
      <c r="C159" s="45">
        <v>1521.0</v>
      </c>
      <c r="D159" s="45">
        <v>870.0</v>
      </c>
    </row>
    <row r="160" ht="15.75" customHeight="1">
      <c r="A160" s="44">
        <v>31403.0</v>
      </c>
      <c r="B160" s="38" t="s">
        <v>216</v>
      </c>
      <c r="C160" s="45">
        <v>2637.0</v>
      </c>
      <c r="D160" s="45">
        <v>1498.0</v>
      </c>
    </row>
    <row r="161" ht="15.75" customHeight="1">
      <c r="A161" s="44">
        <v>31404.0</v>
      </c>
      <c r="B161" s="38" t="s">
        <v>217</v>
      </c>
      <c r="C161" s="45">
        <v>287.0</v>
      </c>
      <c r="D161" s="45">
        <v>133.0</v>
      </c>
    </row>
    <row r="162" ht="15.75" customHeight="1">
      <c r="A162" s="44">
        <v>31405.0</v>
      </c>
      <c r="B162" s="38" t="s">
        <v>504</v>
      </c>
      <c r="C162" s="45">
        <v>464.0</v>
      </c>
      <c r="D162" s="45">
        <v>445.0</v>
      </c>
    </row>
    <row r="163" ht="15.75" customHeight="1">
      <c r="A163" s="44">
        <v>31501.0</v>
      </c>
      <c r="B163" s="38" t="s">
        <v>505</v>
      </c>
      <c r="C163" s="45">
        <v>581.0</v>
      </c>
      <c r="D163" s="45">
        <v>624.0</v>
      </c>
    </row>
    <row r="164" ht="15.75" customHeight="1">
      <c r="A164" s="44">
        <v>31601.0</v>
      </c>
      <c r="B164" s="38" t="s">
        <v>220</v>
      </c>
      <c r="C164" s="45">
        <v>2894.0</v>
      </c>
      <c r="D164" s="45">
        <v>1393.0</v>
      </c>
    </row>
    <row r="165" ht="15.75" customHeight="1">
      <c r="A165" s="44">
        <v>31602.0</v>
      </c>
      <c r="B165" s="38" t="s">
        <v>221</v>
      </c>
      <c r="C165" s="45">
        <v>2588.0</v>
      </c>
      <c r="D165" s="45">
        <v>2448.0</v>
      </c>
    </row>
    <row r="166" ht="15.75" customHeight="1">
      <c r="A166" s="44">
        <v>40101.0</v>
      </c>
      <c r="B166" s="38" t="s">
        <v>222</v>
      </c>
      <c r="C166" s="45">
        <v>51209.0</v>
      </c>
      <c r="D166" s="45">
        <v>46865.0</v>
      </c>
    </row>
    <row r="167" ht="15.75" customHeight="1">
      <c r="A167" s="44">
        <v>40102.0</v>
      </c>
      <c r="B167" s="38" t="s">
        <v>223</v>
      </c>
      <c r="C167" s="45">
        <v>3520.0</v>
      </c>
      <c r="D167" s="45">
        <v>2494.0</v>
      </c>
    </row>
    <row r="168" ht="15.75" customHeight="1">
      <c r="A168" s="44">
        <v>40103.0</v>
      </c>
      <c r="B168" s="38" t="s">
        <v>224</v>
      </c>
      <c r="C168" s="45">
        <v>846.0</v>
      </c>
      <c r="D168" s="45">
        <v>722.0</v>
      </c>
    </row>
    <row r="169" ht="15.75" customHeight="1">
      <c r="A169" s="44">
        <v>40104.0</v>
      </c>
      <c r="B169" s="38" t="s">
        <v>506</v>
      </c>
      <c r="C169" s="45">
        <v>1494.0</v>
      </c>
      <c r="D169" s="45">
        <v>1258.0</v>
      </c>
    </row>
    <row r="170" ht="15.75" customHeight="1">
      <c r="A170" s="44">
        <v>40201.0</v>
      </c>
      <c r="B170" s="38" t="s">
        <v>227</v>
      </c>
      <c r="C170" s="45">
        <v>3677.0</v>
      </c>
      <c r="D170" s="45">
        <v>3328.0</v>
      </c>
    </row>
    <row r="171" ht="15.75" customHeight="1">
      <c r="A171" s="44">
        <v>40202.0</v>
      </c>
      <c r="B171" s="38" t="s">
        <v>228</v>
      </c>
      <c r="C171" s="45">
        <v>380.0</v>
      </c>
      <c r="D171" s="45">
        <v>477.0</v>
      </c>
    </row>
    <row r="172" ht="15.75" customHeight="1">
      <c r="A172" s="44">
        <v>40301.0</v>
      </c>
      <c r="B172" s="38" t="s">
        <v>230</v>
      </c>
      <c r="C172" s="45">
        <v>1398.0</v>
      </c>
      <c r="D172" s="45">
        <v>1669.0</v>
      </c>
    </row>
    <row r="173" ht="15.75" customHeight="1">
      <c r="A173" s="44">
        <v>40302.0</v>
      </c>
      <c r="B173" s="38" t="s">
        <v>231</v>
      </c>
      <c r="C173" s="45">
        <v>227.0</v>
      </c>
      <c r="D173" s="45">
        <v>210.0</v>
      </c>
    </row>
    <row r="174" ht="15.75" customHeight="1">
      <c r="A174" s="44">
        <v>40401.0</v>
      </c>
      <c r="B174" s="38" t="s">
        <v>233</v>
      </c>
      <c r="C174" s="45">
        <v>592.0</v>
      </c>
      <c r="D174" s="45">
        <v>511.0</v>
      </c>
    </row>
    <row r="175" ht="15.75" customHeight="1">
      <c r="A175" s="44">
        <v>40402.0</v>
      </c>
      <c r="B175" s="38" t="s">
        <v>234</v>
      </c>
      <c r="C175" s="45">
        <v>584.0</v>
      </c>
      <c r="D175" s="45">
        <v>457.0</v>
      </c>
    </row>
    <row r="176" ht="15.75" customHeight="1">
      <c r="A176" s="44">
        <v>40501.0</v>
      </c>
      <c r="B176" s="38" t="s">
        <v>236</v>
      </c>
      <c r="C176" s="45">
        <v>116.0</v>
      </c>
      <c r="D176" s="45">
        <v>458.0</v>
      </c>
    </row>
    <row r="177" ht="15.75" customHeight="1">
      <c r="A177" s="44">
        <v>40502.0</v>
      </c>
      <c r="B177" s="38" t="s">
        <v>237</v>
      </c>
      <c r="C177" s="45">
        <v>663.0</v>
      </c>
      <c r="D177" s="45">
        <v>478.0</v>
      </c>
    </row>
    <row r="178" ht="15.75" customHeight="1">
      <c r="A178" s="44">
        <v>40503.0</v>
      </c>
      <c r="B178" s="38" t="s">
        <v>238</v>
      </c>
      <c r="C178" s="45">
        <v>406.0</v>
      </c>
      <c r="D178" s="45">
        <v>108.0</v>
      </c>
    </row>
    <row r="179" ht="15.75" customHeight="1">
      <c r="A179" s="44">
        <v>40504.0</v>
      </c>
      <c r="B179" s="38" t="s">
        <v>239</v>
      </c>
      <c r="C179" s="45">
        <v>71.0</v>
      </c>
      <c r="D179" s="45">
        <v>96.0</v>
      </c>
    </row>
    <row r="180" ht="15.75" customHeight="1">
      <c r="A180" s="44">
        <v>40505.0</v>
      </c>
      <c r="B180" s="38" t="s">
        <v>240</v>
      </c>
      <c r="C180" s="45">
        <v>498.0</v>
      </c>
      <c r="D180" s="45">
        <v>432.0</v>
      </c>
    </row>
    <row r="181" ht="15.75" customHeight="1">
      <c r="A181" s="44">
        <v>40601.0</v>
      </c>
      <c r="B181" s="38" t="s">
        <v>241</v>
      </c>
      <c r="C181" s="45">
        <v>1325.0</v>
      </c>
      <c r="D181" s="45">
        <v>1247.0</v>
      </c>
    </row>
    <row r="182" ht="15.75" customHeight="1">
      <c r="A182" s="44">
        <v>40602.0</v>
      </c>
      <c r="B182" s="38" t="s">
        <v>242</v>
      </c>
      <c r="C182" s="45">
        <v>851.0</v>
      </c>
      <c r="D182" s="45">
        <v>438.0</v>
      </c>
    </row>
    <row r="183" ht="15.75" customHeight="1">
      <c r="A183" s="44">
        <v>40603.0</v>
      </c>
      <c r="B183" s="38" t="s">
        <v>243</v>
      </c>
      <c r="C183" s="45">
        <v>527.0</v>
      </c>
      <c r="D183" s="45">
        <v>537.0</v>
      </c>
    </row>
    <row r="184" ht="15.75" customHeight="1">
      <c r="A184" s="44">
        <v>40701.0</v>
      </c>
      <c r="B184" s="38" t="s">
        <v>245</v>
      </c>
      <c r="C184" s="45">
        <v>4770.0</v>
      </c>
      <c r="D184" s="45">
        <v>3459.0</v>
      </c>
    </row>
    <row r="185" ht="15.75" customHeight="1">
      <c r="A185" s="44">
        <v>40702.0</v>
      </c>
      <c r="B185" s="38" t="s">
        <v>246</v>
      </c>
      <c r="C185" s="45">
        <v>872.0</v>
      </c>
      <c r="D185" s="45">
        <v>856.0</v>
      </c>
    </row>
    <row r="186" ht="15.75" customHeight="1">
      <c r="A186" s="44">
        <v>40801.0</v>
      </c>
      <c r="B186" s="38" t="s">
        <v>507</v>
      </c>
      <c r="C186" s="45">
        <v>1128.0</v>
      </c>
      <c r="D186" s="45">
        <v>1542.0</v>
      </c>
    </row>
    <row r="187" ht="15.75" customHeight="1">
      <c r="A187" s="44">
        <v>40802.0</v>
      </c>
      <c r="B187" s="38" t="s">
        <v>249</v>
      </c>
      <c r="C187" s="45">
        <v>411.0</v>
      </c>
      <c r="D187" s="45">
        <v>321.0</v>
      </c>
    </row>
    <row r="188" ht="15.75" customHeight="1">
      <c r="A188" s="44">
        <v>40901.0</v>
      </c>
      <c r="B188" s="38" t="s">
        <v>250</v>
      </c>
      <c r="C188" s="45">
        <v>1374.0</v>
      </c>
      <c r="D188" s="45">
        <v>1713.0</v>
      </c>
    </row>
    <row r="189" ht="15.75" customHeight="1">
      <c r="A189" s="44">
        <v>40902.0</v>
      </c>
      <c r="B189" s="38" t="s">
        <v>251</v>
      </c>
      <c r="C189" s="45">
        <v>141.0</v>
      </c>
      <c r="D189" s="45">
        <v>190.0</v>
      </c>
    </row>
    <row r="190" ht="15.75" customHeight="1">
      <c r="A190" s="44">
        <v>40903.0</v>
      </c>
      <c r="B190" s="38" t="s">
        <v>508</v>
      </c>
      <c r="C190" s="45">
        <v>338.0</v>
      </c>
      <c r="D190" s="45">
        <v>322.0</v>
      </c>
    </row>
    <row r="191" ht="15.75" customHeight="1">
      <c r="A191" s="44">
        <v>41001.0</v>
      </c>
      <c r="B191" s="38" t="s">
        <v>254</v>
      </c>
      <c r="C191" s="45">
        <v>1143.0</v>
      </c>
      <c r="D191" s="45">
        <v>1077.0</v>
      </c>
    </row>
    <row r="192" ht="15.75" customHeight="1">
      <c r="A192" s="44">
        <v>41101.0</v>
      </c>
      <c r="B192" s="38" t="s">
        <v>256</v>
      </c>
      <c r="C192" s="45">
        <v>703.0</v>
      </c>
      <c r="D192" s="45">
        <v>517.0</v>
      </c>
    </row>
    <row r="193" ht="15.75" customHeight="1">
      <c r="A193" s="44">
        <v>41201.0</v>
      </c>
      <c r="B193" s="38" t="s">
        <v>509</v>
      </c>
      <c r="C193" s="45">
        <v>794.0</v>
      </c>
      <c r="D193" s="45">
        <v>578.0</v>
      </c>
    </row>
    <row r="194" ht="15.75" customHeight="1">
      <c r="A194" s="44">
        <v>41202.0</v>
      </c>
      <c r="B194" s="38" t="s">
        <v>259</v>
      </c>
      <c r="C194" s="45">
        <v>253.0</v>
      </c>
      <c r="D194" s="45">
        <v>252.0</v>
      </c>
    </row>
    <row r="195" ht="15.75" customHeight="1">
      <c r="A195" s="44">
        <v>41301.0</v>
      </c>
      <c r="B195" s="38" t="s">
        <v>260</v>
      </c>
      <c r="C195" s="45">
        <v>584.0</v>
      </c>
      <c r="D195" s="45">
        <v>443.0</v>
      </c>
    </row>
    <row r="196" ht="15.75" customHeight="1">
      <c r="A196" s="44">
        <v>41401.0</v>
      </c>
      <c r="B196" s="38" t="s">
        <v>262</v>
      </c>
      <c r="C196" s="45">
        <v>1685.0</v>
      </c>
      <c r="D196" s="45">
        <v>1383.0</v>
      </c>
    </row>
    <row r="197" ht="15.75" customHeight="1">
      <c r="A197" s="44">
        <v>41501.0</v>
      </c>
      <c r="B197" s="38" t="s">
        <v>264</v>
      </c>
      <c r="C197" s="45">
        <v>66.0</v>
      </c>
      <c r="D197" s="45">
        <v>173.0</v>
      </c>
    </row>
    <row r="198" ht="15.75" customHeight="1">
      <c r="A198" s="44">
        <v>41502.0</v>
      </c>
      <c r="B198" s="38" t="s">
        <v>265</v>
      </c>
      <c r="C198" s="45">
        <v>91.0</v>
      </c>
      <c r="D198" s="45">
        <v>108.0</v>
      </c>
    </row>
    <row r="199" ht="15.75" customHeight="1">
      <c r="A199" s="44">
        <v>41503.0</v>
      </c>
      <c r="B199" s="38" t="s">
        <v>229</v>
      </c>
      <c r="C199" s="45">
        <v>144.0</v>
      </c>
      <c r="D199" s="45">
        <v>117.0</v>
      </c>
    </row>
    <row r="200" ht="15.75" customHeight="1">
      <c r="A200" s="44">
        <v>41601.0</v>
      </c>
      <c r="B200" s="38" t="s">
        <v>510</v>
      </c>
      <c r="C200" s="45">
        <v>650.0</v>
      </c>
      <c r="D200" s="45">
        <v>457.0</v>
      </c>
    </row>
    <row r="201" ht="15.75" customHeight="1">
      <c r="A201" s="44">
        <v>50101.0</v>
      </c>
      <c r="B201" s="38" t="s">
        <v>268</v>
      </c>
      <c r="C201" s="45">
        <v>39627.0</v>
      </c>
      <c r="D201" s="45">
        <v>36346.0</v>
      </c>
    </row>
    <row r="202" ht="15.75" customHeight="1">
      <c r="A202" s="44">
        <v>50102.0</v>
      </c>
      <c r="B202" s="38" t="s">
        <v>270</v>
      </c>
      <c r="C202" s="45">
        <v>3437.0</v>
      </c>
      <c r="D202" s="45">
        <v>2319.0</v>
      </c>
    </row>
    <row r="203" ht="15.75" customHeight="1">
      <c r="A203" s="44">
        <v>50103.0</v>
      </c>
      <c r="B203" s="38" t="s">
        <v>271</v>
      </c>
      <c r="C203" s="45">
        <v>1524.0</v>
      </c>
      <c r="D203" s="45">
        <v>1374.0</v>
      </c>
    </row>
    <row r="204" ht="15.75" customHeight="1">
      <c r="A204" s="44">
        <v>50104.0</v>
      </c>
      <c r="B204" s="38" t="s">
        <v>511</v>
      </c>
      <c r="C204" s="45">
        <v>360.0</v>
      </c>
      <c r="D204" s="45">
        <v>262.0</v>
      </c>
    </row>
    <row r="205" ht="15.75" customHeight="1">
      <c r="A205" s="44">
        <v>50201.0</v>
      </c>
      <c r="B205" s="38" t="s">
        <v>274</v>
      </c>
      <c r="C205" s="45">
        <v>3500.0</v>
      </c>
      <c r="D205" s="45">
        <v>2460.0</v>
      </c>
    </row>
    <row r="206" ht="15.75" customHeight="1">
      <c r="A206" s="44">
        <v>50202.0</v>
      </c>
      <c r="B206" s="38" t="s">
        <v>275</v>
      </c>
      <c r="C206" s="45">
        <v>2190.0</v>
      </c>
      <c r="D206" s="45">
        <v>1576.0</v>
      </c>
    </row>
    <row r="207" ht="15.75" customHeight="1">
      <c r="A207" s="44">
        <v>50203.0</v>
      </c>
      <c r="B207" s="38" t="s">
        <v>276</v>
      </c>
      <c r="C207" s="45">
        <v>7816.0</v>
      </c>
      <c r="D207" s="45">
        <v>6781.0</v>
      </c>
    </row>
    <row r="208" ht="15.75" customHeight="1">
      <c r="A208" s="44">
        <v>50204.0</v>
      </c>
      <c r="B208" s="38" t="s">
        <v>512</v>
      </c>
      <c r="C208" s="45">
        <v>1452.0</v>
      </c>
      <c r="D208" s="45">
        <v>984.0</v>
      </c>
    </row>
    <row r="209" ht="15.75" customHeight="1">
      <c r="A209" s="44">
        <v>50301.0</v>
      </c>
      <c r="B209" s="38" t="s">
        <v>279</v>
      </c>
      <c r="C209" s="45">
        <v>4892.0</v>
      </c>
      <c r="D209" s="45">
        <v>2968.0</v>
      </c>
    </row>
    <row r="210" ht="15.75" customHeight="1">
      <c r="A210" s="44">
        <v>50302.0</v>
      </c>
      <c r="B210" s="38" t="s">
        <v>280</v>
      </c>
      <c r="C210" s="45">
        <v>1846.0</v>
      </c>
      <c r="D210" s="45">
        <v>1162.0</v>
      </c>
    </row>
    <row r="211" ht="15.75" customHeight="1">
      <c r="A211" s="44">
        <v>50303.0</v>
      </c>
      <c r="B211" s="38" t="s">
        <v>281</v>
      </c>
      <c r="C211" s="45">
        <v>1584.0</v>
      </c>
      <c r="D211" s="45">
        <v>1323.0</v>
      </c>
    </row>
    <row r="212" ht="15.75" customHeight="1">
      <c r="A212" s="44">
        <v>50401.0</v>
      </c>
      <c r="B212" s="38" t="s">
        <v>282</v>
      </c>
      <c r="C212" s="45">
        <v>1981.0</v>
      </c>
      <c r="D212" s="45">
        <v>1452.0</v>
      </c>
    </row>
    <row r="213" ht="15.75" customHeight="1">
      <c r="A213" s="44">
        <v>50402.0</v>
      </c>
      <c r="B213" s="38" t="s">
        <v>283</v>
      </c>
      <c r="C213" s="45">
        <v>2898.0</v>
      </c>
      <c r="D213" s="45">
        <v>1256.0</v>
      </c>
    </row>
    <row r="214" ht="15.75" customHeight="1">
      <c r="A214" s="44">
        <v>50403.0</v>
      </c>
      <c r="B214" s="38" t="s">
        <v>284</v>
      </c>
      <c r="C214" s="45">
        <v>3783.0</v>
      </c>
      <c r="D214" s="45">
        <v>2858.0</v>
      </c>
    </row>
    <row r="215" ht="15.75" customHeight="1">
      <c r="A215" s="44">
        <v>50404.0</v>
      </c>
      <c r="B215" s="38" t="s">
        <v>285</v>
      </c>
      <c r="C215" s="45">
        <v>1864.0</v>
      </c>
      <c r="D215" s="45">
        <v>1137.0</v>
      </c>
    </row>
    <row r="216" ht="15.75" customHeight="1">
      <c r="A216" s="44">
        <v>50405.0</v>
      </c>
      <c r="B216" s="38" t="s">
        <v>286</v>
      </c>
      <c r="C216" s="45">
        <v>2315.0</v>
      </c>
      <c r="D216" s="45">
        <v>1537.0</v>
      </c>
    </row>
    <row r="217" ht="15.75" customHeight="1">
      <c r="A217" s="44">
        <v>50501.0</v>
      </c>
      <c r="B217" s="38" t="s">
        <v>513</v>
      </c>
      <c r="C217" s="45">
        <v>3737.0</v>
      </c>
      <c r="D217" s="45">
        <v>1989.0</v>
      </c>
    </row>
    <row r="218" ht="15.75" customHeight="1">
      <c r="A218" s="44">
        <v>50502.0</v>
      </c>
      <c r="B218" s="38" t="s">
        <v>289</v>
      </c>
      <c r="C218" s="45">
        <v>1617.0</v>
      </c>
      <c r="D218" s="45">
        <v>784.0</v>
      </c>
    </row>
    <row r="219" ht="15.75" customHeight="1">
      <c r="A219" s="44">
        <v>50601.0</v>
      </c>
      <c r="B219" s="38" t="s">
        <v>291</v>
      </c>
      <c r="C219" s="45">
        <v>5424.0</v>
      </c>
      <c r="D219" s="45">
        <v>3281.0</v>
      </c>
    </row>
    <row r="220" ht="15.75" customHeight="1">
      <c r="A220" s="44">
        <v>50602.0</v>
      </c>
      <c r="B220" s="38" t="s">
        <v>292</v>
      </c>
      <c r="C220" s="45">
        <v>2100.0</v>
      </c>
      <c r="D220" s="45">
        <v>1146.0</v>
      </c>
    </row>
    <row r="221" ht="15.75" customHeight="1">
      <c r="A221" s="44">
        <v>50701.0</v>
      </c>
      <c r="B221" s="38" t="s">
        <v>514</v>
      </c>
      <c r="C221" s="45">
        <v>1755.0</v>
      </c>
      <c r="D221" s="45">
        <v>1073.0</v>
      </c>
    </row>
    <row r="222" ht="15.75" customHeight="1">
      <c r="A222" s="44">
        <v>50702.0</v>
      </c>
      <c r="B222" s="38" t="s">
        <v>295</v>
      </c>
      <c r="C222" s="45">
        <v>676.0</v>
      </c>
      <c r="D222" s="45">
        <v>558.0</v>
      </c>
    </row>
    <row r="223" ht="15.75" customHeight="1">
      <c r="A223" s="44">
        <v>50801.0</v>
      </c>
      <c r="B223" s="38" t="s">
        <v>297</v>
      </c>
      <c r="C223" s="45">
        <v>7970.0</v>
      </c>
      <c r="D223" s="45">
        <v>6331.0</v>
      </c>
    </row>
    <row r="224" ht="15.75" customHeight="1">
      <c r="A224" s="44">
        <v>50802.0</v>
      </c>
      <c r="B224" s="38" t="s">
        <v>298</v>
      </c>
      <c r="C224" s="45">
        <v>1973.0</v>
      </c>
      <c r="D224" s="45">
        <v>1443.0</v>
      </c>
    </row>
    <row r="225" ht="15.75" customHeight="1">
      <c r="A225" s="44">
        <v>50901.0</v>
      </c>
      <c r="B225" s="38" t="s">
        <v>515</v>
      </c>
      <c r="C225" s="45">
        <v>1805.0</v>
      </c>
      <c r="D225" s="45">
        <v>1445.0</v>
      </c>
    </row>
    <row r="226" ht="15.75" customHeight="1">
      <c r="A226" s="44">
        <v>50902.0</v>
      </c>
      <c r="B226" s="38" t="s">
        <v>301</v>
      </c>
      <c r="C226" s="45">
        <v>107.0</v>
      </c>
      <c r="D226" s="45">
        <v>174.0</v>
      </c>
    </row>
    <row r="227" ht="15.75" customHeight="1">
      <c r="A227" s="44">
        <v>51001.0</v>
      </c>
      <c r="B227" s="38" t="s">
        <v>516</v>
      </c>
      <c r="C227" s="45">
        <v>434.0</v>
      </c>
      <c r="D227" s="45">
        <v>318.0</v>
      </c>
    </row>
    <row r="228" ht="15.75" customHeight="1">
      <c r="A228" s="44">
        <v>51002.0</v>
      </c>
      <c r="B228" s="38" t="s">
        <v>304</v>
      </c>
      <c r="C228" s="45">
        <v>311.0</v>
      </c>
      <c r="D228" s="45">
        <v>112.0</v>
      </c>
    </row>
    <row r="229" ht="15.75" customHeight="1">
      <c r="A229" s="44">
        <v>51003.0</v>
      </c>
      <c r="B229" s="38" t="s">
        <v>305</v>
      </c>
      <c r="C229" s="45">
        <v>311.0</v>
      </c>
      <c r="D229" s="45">
        <v>291.0</v>
      </c>
    </row>
    <row r="230" ht="15.75" customHeight="1">
      <c r="A230" s="44">
        <v>51101.0</v>
      </c>
      <c r="B230" s="38" t="s">
        <v>307</v>
      </c>
      <c r="C230" s="45">
        <v>3752.0</v>
      </c>
      <c r="D230" s="45">
        <v>1644.0</v>
      </c>
    </row>
    <row r="231" ht="15.75" customHeight="1">
      <c r="A231" s="44">
        <v>51102.0</v>
      </c>
      <c r="B231" s="38" t="s">
        <v>308</v>
      </c>
      <c r="C231" s="45">
        <v>2228.0</v>
      </c>
      <c r="D231" s="45">
        <v>1701.0</v>
      </c>
    </row>
    <row r="232" ht="15.75" customHeight="1">
      <c r="A232" s="44">
        <v>51103.0</v>
      </c>
      <c r="B232" s="38" t="s">
        <v>309</v>
      </c>
      <c r="C232" s="45">
        <v>2245.0</v>
      </c>
      <c r="D232" s="45">
        <v>1203.0</v>
      </c>
    </row>
    <row r="233" ht="15.75" customHeight="1">
      <c r="A233" s="44">
        <v>51201.0</v>
      </c>
      <c r="B233" s="38" t="s">
        <v>311</v>
      </c>
      <c r="C233" s="45">
        <v>4672.0</v>
      </c>
      <c r="D233" s="45">
        <v>4289.0</v>
      </c>
    </row>
    <row r="234" ht="15.75" customHeight="1">
      <c r="A234" s="44">
        <v>51202.0</v>
      </c>
      <c r="B234" s="38" t="s">
        <v>312</v>
      </c>
      <c r="C234" s="45">
        <v>1455.0</v>
      </c>
      <c r="D234" s="45">
        <v>855.0</v>
      </c>
    </row>
    <row r="235" ht="15.75" customHeight="1">
      <c r="A235" s="44">
        <v>51203.0</v>
      </c>
      <c r="B235" s="38" t="s">
        <v>313</v>
      </c>
      <c r="C235" s="45">
        <v>2323.0</v>
      </c>
      <c r="D235" s="45">
        <v>2084.0</v>
      </c>
    </row>
    <row r="236" ht="15.75" customHeight="1">
      <c r="A236" s="44">
        <v>51204.0</v>
      </c>
      <c r="B236" s="38" t="s">
        <v>314</v>
      </c>
      <c r="C236" s="45">
        <v>1031.0</v>
      </c>
      <c r="D236" s="45">
        <v>686.0</v>
      </c>
    </row>
    <row r="237" ht="15.75" customHeight="1">
      <c r="A237" s="44">
        <v>51301.0</v>
      </c>
      <c r="B237" s="38" t="s">
        <v>316</v>
      </c>
      <c r="C237" s="45">
        <v>577.0</v>
      </c>
      <c r="D237" s="45">
        <v>224.0</v>
      </c>
    </row>
    <row r="238" ht="15.75" customHeight="1">
      <c r="A238" s="44">
        <v>51302.0</v>
      </c>
      <c r="B238" s="38" t="s">
        <v>317</v>
      </c>
      <c r="C238" s="45">
        <v>953.0</v>
      </c>
      <c r="D238" s="45">
        <v>293.0</v>
      </c>
    </row>
    <row r="239" ht="15.75" customHeight="1">
      <c r="A239" s="44">
        <v>51401.0</v>
      </c>
      <c r="B239" s="38" t="s">
        <v>319</v>
      </c>
      <c r="C239" s="45">
        <v>443.0</v>
      </c>
      <c r="D239" s="45">
        <v>522.0</v>
      </c>
    </row>
    <row r="240" ht="15.75" customHeight="1">
      <c r="A240" s="44">
        <v>51402.0</v>
      </c>
      <c r="B240" s="38" t="s">
        <v>320</v>
      </c>
      <c r="C240" s="45">
        <v>222.0</v>
      </c>
      <c r="D240" s="45">
        <v>177.0</v>
      </c>
    </row>
    <row r="241" ht="15.75" customHeight="1">
      <c r="A241" s="44">
        <v>51501.0</v>
      </c>
      <c r="B241" s="38" t="s">
        <v>322</v>
      </c>
      <c r="C241" s="45">
        <v>7460.0</v>
      </c>
      <c r="D241" s="45">
        <v>6186.0</v>
      </c>
    </row>
    <row r="242" ht="15.75" customHeight="1">
      <c r="A242" s="44">
        <v>51601.0</v>
      </c>
      <c r="B242" s="38" t="s">
        <v>324</v>
      </c>
      <c r="C242" s="45">
        <v>252.0</v>
      </c>
      <c r="D242" s="45">
        <v>294.0</v>
      </c>
    </row>
    <row r="243" ht="15.75" customHeight="1">
      <c r="A243" s="44">
        <v>60101.0</v>
      </c>
      <c r="B243" s="38" t="s">
        <v>325</v>
      </c>
      <c r="C243" s="45">
        <v>36178.0</v>
      </c>
      <c r="D243" s="45">
        <v>33567.0</v>
      </c>
    </row>
    <row r="244" ht="15.75" customHeight="1">
      <c r="A244" s="44">
        <v>60201.0</v>
      </c>
      <c r="B244" s="38" t="s">
        <v>327</v>
      </c>
      <c r="C244" s="45">
        <v>3050.0</v>
      </c>
      <c r="D244" s="45">
        <v>2172.0</v>
      </c>
    </row>
    <row r="245" ht="15.75" customHeight="1">
      <c r="A245" s="44">
        <v>60202.0</v>
      </c>
      <c r="B245" s="38" t="s">
        <v>328</v>
      </c>
      <c r="C245" s="45">
        <v>5316.0</v>
      </c>
      <c r="D245" s="45">
        <v>4901.0</v>
      </c>
    </row>
    <row r="246" ht="15.75" customHeight="1">
      <c r="A246" s="44">
        <v>60301.0</v>
      </c>
      <c r="B246" s="38" t="s">
        <v>330</v>
      </c>
      <c r="C246" s="45">
        <v>16022.0</v>
      </c>
      <c r="D246" s="45">
        <v>13119.0</v>
      </c>
    </row>
    <row r="247" ht="15.75" customHeight="1">
      <c r="A247" s="44">
        <v>60302.0</v>
      </c>
      <c r="B247" s="38" t="s">
        <v>331</v>
      </c>
      <c r="C247" s="45">
        <v>2206.0</v>
      </c>
      <c r="D247" s="45">
        <v>1890.0</v>
      </c>
    </row>
    <row r="248" ht="15.75" customHeight="1">
      <c r="A248" s="44">
        <v>60303.0</v>
      </c>
      <c r="B248" s="38" t="s">
        <v>332</v>
      </c>
      <c r="C248" s="45">
        <v>6522.0</v>
      </c>
      <c r="D248" s="45">
        <v>5887.0</v>
      </c>
    </row>
    <row r="249" ht="15.75" customHeight="1">
      <c r="A249" s="44">
        <v>60401.0</v>
      </c>
      <c r="B249" s="38" t="s">
        <v>334</v>
      </c>
      <c r="C249" s="45">
        <v>2027.0</v>
      </c>
      <c r="D249" s="45">
        <v>1915.0</v>
      </c>
    </row>
    <row r="250" ht="15.75" customHeight="1">
      <c r="A250" s="44">
        <v>60402.0</v>
      </c>
      <c r="B250" s="38" t="s">
        <v>335</v>
      </c>
      <c r="C250" s="45">
        <v>712.0</v>
      </c>
      <c r="D250" s="45">
        <v>482.0</v>
      </c>
    </row>
    <row r="251" ht="15.75" customHeight="1">
      <c r="A251" s="44">
        <v>60501.0</v>
      </c>
      <c r="B251" s="38" t="s">
        <v>517</v>
      </c>
      <c r="C251" s="45">
        <v>3749.0</v>
      </c>
      <c r="D251" s="45">
        <v>3639.0</v>
      </c>
    </row>
    <row r="252" ht="15.75" customHeight="1">
      <c r="A252" s="44">
        <v>60502.0</v>
      </c>
      <c r="B252" s="38" t="s">
        <v>338</v>
      </c>
      <c r="C252" s="45">
        <v>2071.0</v>
      </c>
      <c r="D252" s="45">
        <v>1049.0</v>
      </c>
    </row>
    <row r="253" ht="15.75" customHeight="1">
      <c r="A253" s="44">
        <v>60601.0</v>
      </c>
      <c r="B253" s="38" t="s">
        <v>209</v>
      </c>
      <c r="C253" s="45">
        <v>3635.0</v>
      </c>
      <c r="D253" s="45">
        <v>2328.0</v>
      </c>
    </row>
    <row r="254" ht="15.75" customHeight="1">
      <c r="A254" s="44">
        <v>70101.0</v>
      </c>
      <c r="B254" s="38" t="s">
        <v>342</v>
      </c>
      <c r="C254" s="45">
        <v>240896.0</v>
      </c>
      <c r="D254" s="45">
        <v>211399.0</v>
      </c>
    </row>
    <row r="255" ht="15.75" customHeight="1">
      <c r="A255" s="44">
        <v>70102.0</v>
      </c>
      <c r="B255" s="38" t="s">
        <v>343</v>
      </c>
      <c r="C255" s="45">
        <v>9471.0</v>
      </c>
      <c r="D255" s="45">
        <v>12988.0</v>
      </c>
    </row>
    <row r="256" ht="15.75" customHeight="1">
      <c r="A256" s="44">
        <v>70103.0</v>
      </c>
      <c r="B256" s="38" t="s">
        <v>344</v>
      </c>
      <c r="C256" s="45">
        <v>2273.0</v>
      </c>
      <c r="D256" s="45">
        <v>3139.0</v>
      </c>
    </row>
    <row r="257" ht="15.75" customHeight="1">
      <c r="A257" s="44">
        <v>70104.0</v>
      </c>
      <c r="B257" s="38" t="s">
        <v>345</v>
      </c>
      <c r="C257" s="45">
        <v>15008.0</v>
      </c>
      <c r="D257" s="45">
        <v>18457.0</v>
      </c>
    </row>
    <row r="258" ht="15.75" customHeight="1">
      <c r="A258" s="44">
        <v>70105.0</v>
      </c>
      <c r="B258" s="38" t="s">
        <v>346</v>
      </c>
      <c r="C258" s="45">
        <v>8098.0</v>
      </c>
      <c r="D258" s="45">
        <v>7043.0</v>
      </c>
    </row>
    <row r="259" ht="15.75" customHeight="1">
      <c r="A259" s="44">
        <v>70201.0</v>
      </c>
      <c r="B259" s="38" t="s">
        <v>347</v>
      </c>
      <c r="C259" s="45">
        <v>16976.0</v>
      </c>
      <c r="D259" s="45">
        <v>19272.0</v>
      </c>
    </row>
    <row r="260" ht="15.75" customHeight="1">
      <c r="A260" s="44">
        <v>70202.0</v>
      </c>
      <c r="B260" s="38" t="s">
        <v>348</v>
      </c>
      <c r="C260" s="45">
        <v>2447.0</v>
      </c>
      <c r="D260" s="45">
        <v>1779.0</v>
      </c>
    </row>
    <row r="261" ht="15.75" customHeight="1">
      <c r="A261" s="44">
        <v>70301.0</v>
      </c>
      <c r="B261" s="38" t="s">
        <v>518</v>
      </c>
      <c r="C261" s="45">
        <v>8707.0</v>
      </c>
      <c r="D261" s="45">
        <v>7863.0</v>
      </c>
    </row>
    <row r="262" ht="15.75" customHeight="1">
      <c r="A262" s="44">
        <v>70302.0</v>
      </c>
      <c r="B262" s="38" t="s">
        <v>519</v>
      </c>
      <c r="C262" s="45">
        <v>2058.0</v>
      </c>
      <c r="D262" s="45">
        <v>1757.0</v>
      </c>
    </row>
    <row r="263" ht="15.75" customHeight="1">
      <c r="A263" s="44">
        <v>70303.0</v>
      </c>
      <c r="B263" s="38" t="s">
        <v>352</v>
      </c>
      <c r="C263" s="45">
        <v>975.0</v>
      </c>
      <c r="D263" s="45">
        <v>1019.0</v>
      </c>
    </row>
    <row r="264" ht="15.75" customHeight="1">
      <c r="A264" s="44">
        <v>70401.0</v>
      </c>
      <c r="B264" s="38" t="s">
        <v>354</v>
      </c>
      <c r="C264" s="45">
        <v>2414.0</v>
      </c>
      <c r="D264" s="45">
        <v>1756.0</v>
      </c>
    </row>
    <row r="265" ht="15.75" customHeight="1">
      <c r="A265" s="44">
        <v>70402.0</v>
      </c>
      <c r="B265" s="38" t="s">
        <v>355</v>
      </c>
      <c r="C265" s="45">
        <v>3505.0</v>
      </c>
      <c r="D265" s="45">
        <v>2576.0</v>
      </c>
    </row>
    <row r="266" ht="15.75" customHeight="1">
      <c r="A266" s="44">
        <v>70403.0</v>
      </c>
      <c r="B266" s="38" t="s">
        <v>356</v>
      </c>
      <c r="C266" s="45">
        <v>7430.0</v>
      </c>
      <c r="D266" s="45">
        <v>5758.0</v>
      </c>
    </row>
    <row r="267" ht="15.75" customHeight="1">
      <c r="A267" s="44">
        <v>70404.0</v>
      </c>
      <c r="B267" s="38" t="s">
        <v>357</v>
      </c>
      <c r="C267" s="45">
        <v>1490.0</v>
      </c>
      <c r="D267" s="45">
        <v>1407.0</v>
      </c>
    </row>
    <row r="268" ht="15.75" customHeight="1">
      <c r="A268" s="44">
        <v>70501.0</v>
      </c>
      <c r="B268" s="38" t="s">
        <v>520</v>
      </c>
      <c r="C268" s="45">
        <v>5229.0</v>
      </c>
      <c r="D268" s="45">
        <v>4080.0</v>
      </c>
    </row>
    <row r="269" ht="15.75" customHeight="1">
      <c r="A269" s="44">
        <v>70502.0</v>
      </c>
      <c r="B269" s="38" t="s">
        <v>360</v>
      </c>
      <c r="C269" s="45">
        <v>5693.0</v>
      </c>
      <c r="D269" s="45">
        <v>6853.0</v>
      </c>
    </row>
    <row r="270" ht="15.75" customHeight="1">
      <c r="A270" s="44">
        <v>70503.0</v>
      </c>
      <c r="B270" s="38" t="s">
        <v>361</v>
      </c>
      <c r="C270" s="45">
        <v>3030.0</v>
      </c>
      <c r="D270" s="45">
        <v>2711.0</v>
      </c>
    </row>
    <row r="271" ht="15.75" customHeight="1">
      <c r="A271" s="44">
        <v>70601.0</v>
      </c>
      <c r="B271" s="38" t="s">
        <v>363</v>
      </c>
      <c r="C271" s="45">
        <v>3233.0</v>
      </c>
      <c r="D271" s="45">
        <v>2765.0</v>
      </c>
    </row>
    <row r="272" ht="15.75" customHeight="1">
      <c r="A272" s="44">
        <v>70602.0</v>
      </c>
      <c r="B272" s="38" t="s">
        <v>521</v>
      </c>
      <c r="C272" s="45">
        <v>3392.0</v>
      </c>
      <c r="D272" s="45">
        <v>2540.0</v>
      </c>
    </row>
    <row r="273" ht="15.75" customHeight="1">
      <c r="A273" s="44">
        <v>70603.0</v>
      </c>
      <c r="B273" s="38" t="s">
        <v>365</v>
      </c>
      <c r="C273" s="45">
        <v>1193.0</v>
      </c>
      <c r="D273" s="45">
        <v>942.0</v>
      </c>
    </row>
    <row r="274" ht="15.75" customHeight="1">
      <c r="A274" s="44">
        <v>70701.0</v>
      </c>
      <c r="B274" s="38" t="s">
        <v>367</v>
      </c>
      <c r="C274" s="45">
        <v>1085.0</v>
      </c>
      <c r="D274" s="45">
        <v>680.0</v>
      </c>
    </row>
    <row r="275" ht="15.75" customHeight="1">
      <c r="A275" s="44">
        <v>70702.0</v>
      </c>
      <c r="B275" s="38" t="s">
        <v>522</v>
      </c>
      <c r="C275" s="45">
        <v>5881.0</v>
      </c>
      <c r="D275" s="45">
        <v>5106.0</v>
      </c>
    </row>
    <row r="276" ht="15.75" customHeight="1">
      <c r="A276" s="44">
        <v>70703.0</v>
      </c>
      <c r="B276" s="38" t="s">
        <v>369</v>
      </c>
      <c r="C276" s="45">
        <v>4113.0</v>
      </c>
      <c r="D276" s="45">
        <v>4181.0</v>
      </c>
    </row>
    <row r="277" ht="15.75" customHeight="1">
      <c r="A277" s="44">
        <v>70704.0</v>
      </c>
      <c r="B277" s="38" t="s">
        <v>370</v>
      </c>
      <c r="C277" s="45">
        <v>991.0</v>
      </c>
      <c r="D277" s="45">
        <v>735.0</v>
      </c>
    </row>
    <row r="278" ht="15.75" customHeight="1">
      <c r="A278" s="44">
        <v>70705.0</v>
      </c>
      <c r="B278" s="38" t="s">
        <v>523</v>
      </c>
      <c r="C278" s="45">
        <v>2615.0</v>
      </c>
      <c r="D278" s="45">
        <v>1766.0</v>
      </c>
    </row>
    <row r="279" ht="15.75" customHeight="1">
      <c r="A279" s="44">
        <v>70706.0</v>
      </c>
      <c r="B279" s="38" t="s">
        <v>372</v>
      </c>
      <c r="C279" s="45">
        <v>7108.0</v>
      </c>
      <c r="D279" s="45">
        <v>4972.0</v>
      </c>
    </row>
    <row r="280" ht="15.75" customHeight="1">
      <c r="A280" s="44">
        <v>70707.0</v>
      </c>
      <c r="B280" s="38" t="s">
        <v>373</v>
      </c>
      <c r="C280" s="45">
        <v>1103.0</v>
      </c>
      <c r="D280" s="45">
        <v>694.0</v>
      </c>
    </row>
    <row r="281" ht="15.75" customHeight="1">
      <c r="A281" s="44">
        <v>70801.0</v>
      </c>
      <c r="B281" s="38" t="s">
        <v>375</v>
      </c>
      <c r="C281" s="45">
        <v>2761.0</v>
      </c>
      <c r="D281" s="45">
        <v>1891.0</v>
      </c>
    </row>
    <row r="282" ht="15.75" customHeight="1">
      <c r="A282" s="44">
        <v>70802.0</v>
      </c>
      <c r="B282" s="38" t="s">
        <v>376</v>
      </c>
      <c r="C282" s="45">
        <v>406.0</v>
      </c>
      <c r="D282" s="45">
        <v>327.0</v>
      </c>
    </row>
    <row r="283" ht="15.75" customHeight="1">
      <c r="A283" s="44">
        <v>70803.0</v>
      </c>
      <c r="B283" s="38" t="s">
        <v>524</v>
      </c>
      <c r="C283" s="45">
        <v>346.0</v>
      </c>
      <c r="D283" s="45">
        <v>276.0</v>
      </c>
    </row>
    <row r="284" ht="15.75" customHeight="1">
      <c r="A284" s="44">
        <v>70804.0</v>
      </c>
      <c r="B284" s="38" t="s">
        <v>378</v>
      </c>
      <c r="C284" s="45">
        <v>356.0</v>
      </c>
      <c r="D284" s="45">
        <v>193.0</v>
      </c>
    </row>
    <row r="285" ht="15.75" customHeight="1">
      <c r="A285" s="44">
        <v>70805.0</v>
      </c>
      <c r="B285" s="38" t="s">
        <v>379</v>
      </c>
      <c r="C285" s="45">
        <v>290.0</v>
      </c>
      <c r="D285" s="45">
        <v>241.0</v>
      </c>
    </row>
    <row r="286" ht="15.75" customHeight="1">
      <c r="A286" s="44">
        <v>70901.0</v>
      </c>
      <c r="B286" s="38" t="s">
        <v>381</v>
      </c>
      <c r="C286" s="45">
        <v>1525.0</v>
      </c>
      <c r="D286" s="45">
        <v>1218.0</v>
      </c>
    </row>
    <row r="287" ht="15.75" customHeight="1">
      <c r="A287" s="44">
        <v>70902.0</v>
      </c>
      <c r="B287" s="38" t="s">
        <v>525</v>
      </c>
      <c r="C287" s="45">
        <v>1376.0</v>
      </c>
      <c r="D287" s="45">
        <v>1111.0</v>
      </c>
    </row>
    <row r="288" ht="15.75" customHeight="1">
      <c r="A288" s="44">
        <v>70903.0</v>
      </c>
      <c r="B288" s="38" t="s">
        <v>383</v>
      </c>
      <c r="C288" s="45">
        <v>1546.0</v>
      </c>
      <c r="D288" s="45">
        <v>1512.0</v>
      </c>
    </row>
    <row r="289" ht="15.75" customHeight="1">
      <c r="A289" s="44">
        <v>70904.0</v>
      </c>
      <c r="B289" s="38" t="s">
        <v>384</v>
      </c>
      <c r="C289" s="45">
        <v>501.0</v>
      </c>
      <c r="D289" s="45">
        <v>461.0</v>
      </c>
    </row>
    <row r="290" ht="15.75" customHeight="1">
      <c r="A290" s="44">
        <v>71001.0</v>
      </c>
      <c r="B290" s="38" t="s">
        <v>386</v>
      </c>
      <c r="C290" s="45">
        <v>20001.0</v>
      </c>
      <c r="D290" s="45">
        <v>17119.0</v>
      </c>
    </row>
    <row r="291" ht="15.75" customHeight="1">
      <c r="A291" s="44">
        <v>71002.0</v>
      </c>
      <c r="B291" s="38" t="s">
        <v>387</v>
      </c>
      <c r="C291" s="45">
        <v>3005.0</v>
      </c>
      <c r="D291" s="45">
        <v>2531.0</v>
      </c>
    </row>
    <row r="292" ht="15.75" customHeight="1">
      <c r="A292" s="44">
        <v>71003.0</v>
      </c>
      <c r="B292" s="38" t="s">
        <v>388</v>
      </c>
      <c r="C292" s="45">
        <v>4585.0</v>
      </c>
      <c r="D292" s="45">
        <v>3455.0</v>
      </c>
    </row>
    <row r="293" ht="15.75" customHeight="1">
      <c r="A293" s="44">
        <v>71004.0</v>
      </c>
      <c r="B293" s="38" t="s">
        <v>389</v>
      </c>
      <c r="C293" s="45">
        <v>2886.0</v>
      </c>
      <c r="D293" s="45">
        <v>1815.0</v>
      </c>
    </row>
    <row r="294" ht="15.75" customHeight="1">
      <c r="A294" s="44">
        <v>71005.0</v>
      </c>
      <c r="B294" s="38" t="s">
        <v>288</v>
      </c>
      <c r="C294" s="45">
        <v>3073.0</v>
      </c>
      <c r="D294" s="45">
        <v>1990.0</v>
      </c>
    </row>
    <row r="295" ht="15.75" customHeight="1">
      <c r="A295" s="44">
        <v>71101.0</v>
      </c>
      <c r="B295" s="38" t="s">
        <v>391</v>
      </c>
      <c r="C295" s="45">
        <v>2972.0</v>
      </c>
      <c r="D295" s="45">
        <v>3630.0</v>
      </c>
    </row>
    <row r="296" ht="15.75" customHeight="1">
      <c r="A296" s="44">
        <v>71102.0</v>
      </c>
      <c r="B296" s="38" t="s">
        <v>392</v>
      </c>
      <c r="C296" s="45">
        <v>2097.0</v>
      </c>
      <c r="D296" s="45">
        <v>1793.0</v>
      </c>
    </row>
    <row r="297" ht="15.75" customHeight="1">
      <c r="A297" s="44">
        <v>71103.0</v>
      </c>
      <c r="B297" s="38" t="s">
        <v>395</v>
      </c>
      <c r="C297" s="45">
        <v>1352.0</v>
      </c>
      <c r="D297" s="45">
        <v>5846.0</v>
      </c>
    </row>
    <row r="298" ht="15.75" customHeight="1">
      <c r="A298" s="44">
        <v>71104.0</v>
      </c>
      <c r="B298" s="38" t="s">
        <v>393</v>
      </c>
      <c r="C298" s="45">
        <v>7995.0</v>
      </c>
      <c r="D298" s="45">
        <v>734.0</v>
      </c>
    </row>
    <row r="299" ht="15.75" customHeight="1">
      <c r="A299" s="44">
        <v>71105.0</v>
      </c>
      <c r="B299" s="38" t="s">
        <v>394</v>
      </c>
      <c r="C299" s="45">
        <v>988.0</v>
      </c>
      <c r="D299" s="45">
        <v>1165.0</v>
      </c>
    </row>
    <row r="300" ht="15.75" customHeight="1">
      <c r="A300" s="44">
        <v>71106.0</v>
      </c>
      <c r="B300" s="38" t="s">
        <v>396</v>
      </c>
      <c r="C300" s="45">
        <v>4168.0</v>
      </c>
      <c r="D300" s="45">
        <v>3550.0</v>
      </c>
    </row>
    <row r="301" ht="15.75" customHeight="1">
      <c r="A301" s="44">
        <v>71201.0</v>
      </c>
      <c r="B301" s="38" t="s">
        <v>398</v>
      </c>
      <c r="C301" s="45">
        <v>2735.0</v>
      </c>
      <c r="D301" s="45">
        <v>2002.0</v>
      </c>
    </row>
    <row r="302" ht="15.75" customHeight="1">
      <c r="A302" s="44">
        <v>71301.0</v>
      </c>
      <c r="B302" s="38" t="s">
        <v>400</v>
      </c>
      <c r="C302" s="45">
        <v>2021.0</v>
      </c>
      <c r="D302" s="45">
        <v>1567.0</v>
      </c>
    </row>
    <row r="303" ht="15.75" customHeight="1">
      <c r="A303" s="44">
        <v>71302.0</v>
      </c>
      <c r="B303" s="38" t="s">
        <v>401</v>
      </c>
      <c r="C303" s="45">
        <v>1005.0</v>
      </c>
      <c r="D303" s="45">
        <v>651.0</v>
      </c>
    </row>
    <row r="304" ht="15.75" customHeight="1">
      <c r="A304" s="44">
        <v>71401.0</v>
      </c>
      <c r="B304" s="38" t="s">
        <v>526</v>
      </c>
      <c r="C304" s="45">
        <v>3474.0</v>
      </c>
      <c r="D304" s="45">
        <v>2008.0</v>
      </c>
    </row>
    <row r="305" ht="15.75" customHeight="1">
      <c r="A305" s="44">
        <v>71402.0</v>
      </c>
      <c r="B305" s="38" t="s">
        <v>404</v>
      </c>
      <c r="C305" s="45">
        <v>2471.0</v>
      </c>
      <c r="D305" s="45">
        <v>1945.0</v>
      </c>
    </row>
    <row r="306" ht="15.75" customHeight="1">
      <c r="A306" s="44">
        <v>71403.0</v>
      </c>
      <c r="B306" s="38" t="s">
        <v>405</v>
      </c>
      <c r="C306" s="45">
        <v>1112.0</v>
      </c>
      <c r="D306" s="45">
        <v>967.0</v>
      </c>
    </row>
    <row r="307" ht="15.75" customHeight="1">
      <c r="A307" s="44">
        <v>71501.0</v>
      </c>
      <c r="B307" s="38" t="s">
        <v>407</v>
      </c>
      <c r="C307" s="45">
        <v>4371.0</v>
      </c>
      <c r="D307" s="45">
        <v>3909.0</v>
      </c>
    </row>
    <row r="308" ht="15.75" customHeight="1">
      <c r="A308" s="44">
        <v>71502.0</v>
      </c>
      <c r="B308" s="38" t="s">
        <v>408</v>
      </c>
      <c r="C308" s="45">
        <v>1167.0</v>
      </c>
      <c r="D308" s="45">
        <v>953.0</v>
      </c>
    </row>
    <row r="309" ht="15.75" customHeight="1">
      <c r="A309" s="44">
        <v>71503.0</v>
      </c>
      <c r="B309" s="38" t="s">
        <v>338</v>
      </c>
      <c r="C309" s="45">
        <v>2246.0</v>
      </c>
      <c r="D309" s="45">
        <v>1870.0</v>
      </c>
    </row>
    <row r="310" ht="15.75" customHeight="1">
      <c r="A310" s="44">
        <v>80101.0</v>
      </c>
      <c r="B310" s="38" t="s">
        <v>410</v>
      </c>
      <c r="C310" s="45">
        <v>18063.0</v>
      </c>
      <c r="D310" s="45">
        <v>16580.0</v>
      </c>
    </row>
    <row r="311" ht="15.75" customHeight="1">
      <c r="A311" s="44">
        <v>80102.0</v>
      </c>
      <c r="B311" s="38" t="s">
        <v>392</v>
      </c>
      <c r="C311" s="45">
        <v>691.0</v>
      </c>
      <c r="D311" s="45">
        <v>650.0</v>
      </c>
    </row>
    <row r="312" ht="15.75" customHeight="1">
      <c r="A312" s="44">
        <v>80201.0</v>
      </c>
      <c r="B312" s="38" t="s">
        <v>412</v>
      </c>
      <c r="C312" s="45">
        <v>14597.0</v>
      </c>
      <c r="D312" s="45">
        <v>12759.0</v>
      </c>
    </row>
    <row r="313" ht="15.75" customHeight="1">
      <c r="A313" s="44">
        <v>80202.0</v>
      </c>
      <c r="B313" s="38" t="s">
        <v>413</v>
      </c>
      <c r="C313" s="45">
        <v>6985.0</v>
      </c>
      <c r="D313" s="45">
        <v>5011.0</v>
      </c>
    </row>
    <row r="314" ht="15.75" customHeight="1">
      <c r="A314" s="44">
        <v>80301.0</v>
      </c>
      <c r="B314" s="38" t="s">
        <v>415</v>
      </c>
      <c r="C314" s="45">
        <v>2164.0</v>
      </c>
      <c r="D314" s="45">
        <v>1393.0</v>
      </c>
    </row>
    <row r="315" ht="15.75" customHeight="1">
      <c r="A315" s="44">
        <v>80302.0</v>
      </c>
      <c r="B315" s="38" t="s">
        <v>416</v>
      </c>
      <c r="C315" s="45">
        <v>5701.0</v>
      </c>
      <c r="D315" s="45">
        <v>4652.0</v>
      </c>
    </row>
    <row r="316" ht="15.75" customHeight="1">
      <c r="A316" s="44">
        <v>80303.0</v>
      </c>
      <c r="B316" s="38" t="s">
        <v>364</v>
      </c>
      <c r="C316" s="45">
        <v>1667.0</v>
      </c>
      <c r="D316" s="45">
        <v>1275.0</v>
      </c>
    </row>
    <row r="317" ht="15.75" customHeight="1">
      <c r="A317" s="44">
        <v>80304.0</v>
      </c>
      <c r="B317" s="38" t="s">
        <v>527</v>
      </c>
      <c r="C317" s="45">
        <v>2786.0</v>
      </c>
      <c r="D317" s="45">
        <v>1899.0</v>
      </c>
    </row>
    <row r="318" ht="15.75" customHeight="1">
      <c r="A318" s="44">
        <v>80401.0</v>
      </c>
      <c r="B318" s="38" t="s">
        <v>528</v>
      </c>
      <c r="C318" s="45">
        <v>2608.0</v>
      </c>
      <c r="D318" s="45">
        <v>2114.0</v>
      </c>
    </row>
    <row r="319" ht="15.75" customHeight="1">
      <c r="A319" s="44">
        <v>80402.0</v>
      </c>
      <c r="B319" s="38" t="s">
        <v>420</v>
      </c>
      <c r="C319" s="45">
        <v>1096.0</v>
      </c>
      <c r="D319" s="45">
        <v>1032.0</v>
      </c>
    </row>
    <row r="320" ht="15.75" customHeight="1">
      <c r="A320" s="44">
        <v>80501.0</v>
      </c>
      <c r="B320" s="38" t="s">
        <v>350</v>
      </c>
      <c r="C320" s="45">
        <v>2843.0</v>
      </c>
      <c r="D320" s="45">
        <v>2806.0</v>
      </c>
    </row>
    <row r="321" ht="15.75" customHeight="1">
      <c r="A321" s="44">
        <v>80601.0</v>
      </c>
      <c r="B321" s="38" t="s">
        <v>423</v>
      </c>
      <c r="C321" s="45">
        <v>551.0</v>
      </c>
      <c r="D321" s="45">
        <v>502.0</v>
      </c>
    </row>
    <row r="322" ht="15.75" customHeight="1">
      <c r="A322" s="44">
        <v>80602.0</v>
      </c>
      <c r="B322" s="38" t="s">
        <v>424</v>
      </c>
      <c r="C322" s="45">
        <v>1918.0</v>
      </c>
      <c r="D322" s="45">
        <v>1496.0</v>
      </c>
    </row>
    <row r="323" ht="15.75" customHeight="1">
      <c r="A323" s="44">
        <v>80701.0</v>
      </c>
      <c r="B323" s="38" t="s">
        <v>426</v>
      </c>
      <c r="C323" s="45">
        <v>1104.0</v>
      </c>
      <c r="D323" s="45">
        <v>735.0</v>
      </c>
    </row>
    <row r="324" ht="15.75" customHeight="1">
      <c r="A324" s="44">
        <v>80702.0</v>
      </c>
      <c r="B324" s="38" t="s">
        <v>395</v>
      </c>
      <c r="C324" s="45">
        <v>752.0</v>
      </c>
      <c r="D324" s="45">
        <v>627.0</v>
      </c>
    </row>
    <row r="325" ht="15.75" customHeight="1">
      <c r="A325" s="44">
        <v>80703.0</v>
      </c>
      <c r="B325" s="38" t="s">
        <v>427</v>
      </c>
      <c r="C325" s="45">
        <v>139.0</v>
      </c>
      <c r="D325" s="45">
        <v>119.0</v>
      </c>
    </row>
    <row r="326" ht="15.75" customHeight="1">
      <c r="A326" s="44">
        <v>80801.0</v>
      </c>
      <c r="B326" s="38" t="s">
        <v>429</v>
      </c>
      <c r="C326" s="45">
        <v>1971.0</v>
      </c>
      <c r="D326" s="45">
        <v>1424.0</v>
      </c>
    </row>
    <row r="327" ht="15.75" customHeight="1">
      <c r="A327" s="44">
        <v>80802.0</v>
      </c>
      <c r="B327" s="38" t="s">
        <v>430</v>
      </c>
      <c r="C327" s="45">
        <v>934.0</v>
      </c>
      <c r="D327" s="45">
        <v>840.0</v>
      </c>
    </row>
    <row r="328" ht="15.75" customHeight="1">
      <c r="A328" s="44">
        <v>80803.0</v>
      </c>
      <c r="B328" s="38" t="s">
        <v>431</v>
      </c>
      <c r="C328" s="45">
        <v>759.0</v>
      </c>
      <c r="D328" s="45">
        <v>633.0</v>
      </c>
    </row>
    <row r="329" ht="15.75" customHeight="1">
      <c r="A329" s="44">
        <v>80901.0</v>
      </c>
      <c r="B329" s="38" t="s">
        <v>529</v>
      </c>
      <c r="C329" s="45">
        <v>461.0</v>
      </c>
      <c r="D329" s="45">
        <v>447.0</v>
      </c>
    </row>
    <row r="330" ht="15.75" customHeight="1">
      <c r="A330" s="44">
        <v>90101.0</v>
      </c>
      <c r="B330" s="38" t="s">
        <v>436</v>
      </c>
      <c r="C330" s="45">
        <v>6835.0</v>
      </c>
      <c r="D330" s="45">
        <v>6845.0</v>
      </c>
    </row>
    <row r="331" ht="15.75" customHeight="1">
      <c r="A331" s="44">
        <v>90102.0</v>
      </c>
      <c r="B331" s="38" t="s">
        <v>437</v>
      </c>
      <c r="C331" s="45">
        <v>1350.0</v>
      </c>
      <c r="D331" s="45">
        <v>1086.0</v>
      </c>
    </row>
    <row r="332" ht="15.75" customHeight="1">
      <c r="A332" s="44">
        <v>90103.0</v>
      </c>
      <c r="B332" s="38" t="s">
        <v>438</v>
      </c>
      <c r="C332" s="45">
        <v>342.0</v>
      </c>
      <c r="D332" s="45">
        <v>177.0</v>
      </c>
    </row>
    <row r="333" ht="15.75" customHeight="1">
      <c r="A333" s="44">
        <v>90104.0</v>
      </c>
      <c r="B333" s="38" t="s">
        <v>439</v>
      </c>
      <c r="C333" s="45">
        <v>494.0</v>
      </c>
      <c r="D333" s="45">
        <v>298.0</v>
      </c>
    </row>
    <row r="334" ht="15.75" customHeight="1">
      <c r="A334" s="44">
        <v>90201.0</v>
      </c>
      <c r="B334" s="38" t="s">
        <v>441</v>
      </c>
      <c r="C334" s="45">
        <v>970.0</v>
      </c>
      <c r="D334" s="45">
        <v>896.0</v>
      </c>
    </row>
    <row r="335" ht="15.75" customHeight="1">
      <c r="A335" s="44">
        <v>90202.0</v>
      </c>
      <c r="B335" s="38" t="s">
        <v>288</v>
      </c>
      <c r="C335" s="45">
        <v>616.0</v>
      </c>
      <c r="D335" s="45">
        <v>328.0</v>
      </c>
    </row>
    <row r="336" ht="15.75" customHeight="1">
      <c r="A336" s="44">
        <v>90203.0</v>
      </c>
      <c r="B336" s="38" t="s">
        <v>442</v>
      </c>
      <c r="C336" s="45">
        <v>894.0</v>
      </c>
      <c r="D336" s="45">
        <v>966.0</v>
      </c>
    </row>
    <row r="337" ht="15.75" customHeight="1">
      <c r="A337" s="44">
        <v>90301.0</v>
      </c>
      <c r="B337" s="38" t="s">
        <v>444</v>
      </c>
      <c r="C337" s="45">
        <v>1144.0</v>
      </c>
      <c r="D337" s="45">
        <v>1444.0</v>
      </c>
    </row>
    <row r="338" ht="15.75" customHeight="1">
      <c r="A338" s="44">
        <v>90302.0</v>
      </c>
      <c r="B338" s="38" t="s">
        <v>337</v>
      </c>
      <c r="C338" s="45">
        <v>1161.0</v>
      </c>
      <c r="D338" s="45">
        <v>961.0</v>
      </c>
    </row>
    <row r="339" ht="15.75" customHeight="1">
      <c r="A339" s="44">
        <v>90303.0</v>
      </c>
      <c r="B339" s="38" t="s">
        <v>445</v>
      </c>
      <c r="C339" s="45">
        <v>1324.0</v>
      </c>
      <c r="D339" s="45">
        <v>1066.0</v>
      </c>
    </row>
    <row r="340" ht="15.75" customHeight="1">
      <c r="A340" s="44">
        <v>90401.0</v>
      </c>
      <c r="B340" s="38" t="s">
        <v>530</v>
      </c>
      <c r="C340" s="45">
        <v>332.0</v>
      </c>
      <c r="D340" s="45">
        <v>335.0</v>
      </c>
    </row>
    <row r="341" ht="15.75" customHeight="1">
      <c r="A341" s="44">
        <v>90402.0</v>
      </c>
      <c r="B341" s="38" t="s">
        <v>107</v>
      </c>
      <c r="C341" s="45">
        <v>245.0</v>
      </c>
      <c r="D341" s="45">
        <v>268.0</v>
      </c>
    </row>
    <row r="342" ht="15.75" customHeight="1">
      <c r="A342" s="44">
        <v>90501.0</v>
      </c>
      <c r="B342" s="38" t="s">
        <v>448</v>
      </c>
      <c r="C342" s="45">
        <v>255.0</v>
      </c>
      <c r="D342" s="45">
        <v>164.0</v>
      </c>
    </row>
    <row r="343" ht="15.75" customHeight="1">
      <c r="A343" s="44">
        <v>90502.0</v>
      </c>
      <c r="B343" s="38" t="s">
        <v>531</v>
      </c>
      <c r="C343" s="45">
        <v>437.0</v>
      </c>
      <c r="D343" s="45">
        <v>246.0</v>
      </c>
    </row>
    <row r="344" ht="15.75" customHeight="1">
      <c r="A344" s="44">
        <v>90503.0</v>
      </c>
      <c r="B344" s="38" t="s">
        <v>450</v>
      </c>
      <c r="C344" s="45">
        <v>310.0</v>
      </c>
      <c r="D344" s="45">
        <v>226.0</v>
      </c>
    </row>
    <row r="345" ht="15.75" customHeight="1">
      <c r="A345" s="74"/>
      <c r="B345" s="77"/>
      <c r="C345" s="75"/>
      <c r="D345" s="75"/>
    </row>
    <row r="346" ht="15.75" customHeight="1">
      <c r="A346" s="74"/>
      <c r="B346" s="77"/>
      <c r="C346" s="75"/>
      <c r="D346" s="75"/>
    </row>
    <row r="347" ht="15.75" customHeight="1">
      <c r="A347" s="74"/>
      <c r="B347" s="77"/>
      <c r="C347" s="75"/>
      <c r="D347" s="75"/>
    </row>
    <row r="348" ht="15.75" customHeight="1">
      <c r="A348" s="74"/>
      <c r="B348" s="77"/>
      <c r="C348" s="75"/>
      <c r="D348" s="75"/>
    </row>
    <row r="349" ht="15.75" customHeight="1">
      <c r="A349" s="74"/>
      <c r="B349" s="77"/>
      <c r="C349" s="75"/>
      <c r="D349" s="75"/>
    </row>
    <row r="350" ht="15.75" customHeight="1">
      <c r="A350" s="74"/>
      <c r="B350" s="77"/>
      <c r="C350" s="75"/>
      <c r="D350" s="75"/>
    </row>
    <row r="351" ht="15.75" customHeight="1">
      <c r="A351" s="74"/>
      <c r="B351" s="77"/>
      <c r="C351" s="75"/>
      <c r="D351" s="75"/>
    </row>
    <row r="352" ht="15.75" customHeight="1">
      <c r="A352" s="74"/>
      <c r="B352" s="77"/>
      <c r="C352" s="75"/>
      <c r="D352" s="75"/>
    </row>
    <row r="353" ht="15.75" customHeight="1">
      <c r="A353" s="74"/>
      <c r="B353" s="77"/>
      <c r="C353" s="75"/>
      <c r="D353" s="75"/>
    </row>
    <row r="354" ht="15.75" customHeight="1">
      <c r="A354" s="74"/>
      <c r="B354" s="77"/>
      <c r="C354" s="75"/>
      <c r="D354" s="75"/>
    </row>
    <row r="355" ht="15.75" customHeight="1">
      <c r="A355" s="74"/>
      <c r="B355" s="77"/>
      <c r="C355" s="75"/>
      <c r="D355" s="75"/>
    </row>
    <row r="356" ht="15.75" customHeight="1">
      <c r="A356" s="74"/>
      <c r="B356" s="77"/>
      <c r="C356" s="75"/>
      <c r="D356" s="75"/>
    </row>
    <row r="357" ht="15.75" customHeight="1">
      <c r="A357" s="74"/>
      <c r="B357" s="77"/>
      <c r="C357" s="75"/>
      <c r="D357" s="75"/>
    </row>
    <row r="358" ht="15.75" customHeight="1">
      <c r="A358" s="74"/>
      <c r="B358" s="77"/>
      <c r="C358" s="75"/>
      <c r="D358" s="75"/>
    </row>
    <row r="359" ht="15.75" customHeight="1">
      <c r="A359" s="74"/>
      <c r="B359" s="77"/>
      <c r="C359" s="75"/>
      <c r="D359" s="75"/>
    </row>
    <row r="360" ht="15.75" customHeight="1">
      <c r="A360" s="74"/>
      <c r="B360" s="77"/>
      <c r="C360" s="75"/>
      <c r="D360" s="75"/>
    </row>
    <row r="361" ht="15.75" customHeight="1">
      <c r="A361" s="74"/>
      <c r="B361" s="77"/>
      <c r="C361" s="75"/>
      <c r="D361" s="75"/>
    </row>
    <row r="362" ht="15.75" customHeight="1">
      <c r="A362" s="74"/>
      <c r="B362" s="77"/>
      <c r="C362" s="75"/>
      <c r="D362" s="75"/>
    </row>
    <row r="363" ht="15.75" customHeight="1">
      <c r="A363" s="74"/>
      <c r="B363" s="77"/>
      <c r="C363" s="75"/>
      <c r="D363" s="75"/>
    </row>
    <row r="364" ht="15.75" customHeight="1">
      <c r="A364" s="74"/>
      <c r="B364" s="77"/>
      <c r="C364" s="75"/>
      <c r="D364" s="75"/>
    </row>
    <row r="365" ht="15.75" customHeight="1">
      <c r="A365" s="74"/>
      <c r="B365" s="77"/>
      <c r="C365" s="75"/>
      <c r="D365" s="75"/>
    </row>
    <row r="366" ht="15.75" customHeight="1">
      <c r="A366" s="74"/>
      <c r="B366" s="77"/>
      <c r="C366" s="75"/>
      <c r="D366" s="75"/>
    </row>
    <row r="367" ht="15.75" customHeight="1">
      <c r="A367" s="74"/>
      <c r="B367" s="77"/>
      <c r="C367" s="75"/>
      <c r="D367" s="75"/>
    </row>
    <row r="368" ht="15.75" customHeight="1">
      <c r="A368" s="74"/>
      <c r="B368" s="77"/>
      <c r="C368" s="75"/>
      <c r="D368" s="75"/>
    </row>
    <row r="369" ht="15.75" customHeight="1">
      <c r="A369" s="74"/>
      <c r="B369" s="77"/>
      <c r="C369" s="75"/>
      <c r="D369" s="75"/>
    </row>
    <row r="370" ht="15.75" customHeight="1">
      <c r="A370" s="74"/>
      <c r="B370" s="77"/>
      <c r="C370" s="75"/>
      <c r="D370" s="75"/>
    </row>
    <row r="371" ht="15.75" customHeight="1">
      <c r="A371" s="74"/>
      <c r="B371" s="77"/>
      <c r="C371" s="75"/>
      <c r="D371" s="75"/>
    </row>
    <row r="372" ht="15.75" customHeight="1">
      <c r="A372" s="74"/>
      <c r="B372" s="77"/>
      <c r="C372" s="75"/>
      <c r="D372" s="75"/>
    </row>
    <row r="373" ht="15.75" customHeight="1">
      <c r="A373" s="74"/>
      <c r="B373" s="77"/>
      <c r="C373" s="75"/>
      <c r="D373" s="75"/>
    </row>
    <row r="374" ht="15.75" customHeight="1">
      <c r="A374" s="74"/>
      <c r="B374" s="77"/>
      <c r="C374" s="75"/>
      <c r="D374" s="75"/>
    </row>
    <row r="375" ht="15.75" customHeight="1">
      <c r="A375" s="74"/>
      <c r="B375" s="77"/>
      <c r="C375" s="75"/>
      <c r="D375" s="75"/>
    </row>
    <row r="376" ht="15.75" customHeight="1">
      <c r="A376" s="74"/>
      <c r="B376" s="77"/>
      <c r="C376" s="75"/>
      <c r="D376" s="75"/>
    </row>
    <row r="377" ht="15.75" customHeight="1">
      <c r="A377" s="74"/>
      <c r="B377" s="77"/>
      <c r="C377" s="75"/>
      <c r="D377" s="75"/>
    </row>
    <row r="378" ht="15.75" customHeight="1">
      <c r="A378" s="74"/>
      <c r="B378" s="77"/>
      <c r="C378" s="75"/>
      <c r="D378" s="75"/>
    </row>
    <row r="379" ht="15.75" customHeight="1">
      <c r="A379" s="74"/>
      <c r="B379" s="77"/>
      <c r="C379" s="75"/>
      <c r="D379" s="75"/>
    </row>
    <row r="380" ht="15.75" customHeight="1">
      <c r="A380" s="74"/>
      <c r="B380" s="77"/>
      <c r="C380" s="75"/>
      <c r="D380" s="75"/>
    </row>
    <row r="381" ht="15.75" customHeight="1">
      <c r="A381" s="74"/>
      <c r="B381" s="77"/>
      <c r="C381" s="75"/>
      <c r="D381" s="75"/>
    </row>
    <row r="382" ht="15.75" customHeight="1">
      <c r="A382" s="74"/>
      <c r="B382" s="77"/>
      <c r="C382" s="75"/>
      <c r="D382" s="75"/>
    </row>
    <row r="383" ht="15.75" customHeight="1">
      <c r="A383" s="74"/>
      <c r="B383" s="77"/>
      <c r="C383" s="75"/>
      <c r="D383" s="75"/>
    </row>
    <row r="384" ht="15.75" customHeight="1">
      <c r="A384" s="74"/>
      <c r="B384" s="77"/>
      <c r="C384" s="75"/>
      <c r="D384" s="75"/>
    </row>
    <row r="385" ht="15.75" customHeight="1">
      <c r="A385" s="74"/>
      <c r="B385" s="77"/>
      <c r="C385" s="75"/>
      <c r="D385" s="75"/>
    </row>
    <row r="386" ht="15.75" customHeight="1">
      <c r="A386" s="74"/>
      <c r="B386" s="77"/>
      <c r="C386" s="75"/>
      <c r="D386" s="75"/>
    </row>
    <row r="387" ht="15.75" customHeight="1">
      <c r="A387" s="74"/>
      <c r="B387" s="77"/>
      <c r="C387" s="75"/>
      <c r="D387" s="75"/>
    </row>
    <row r="388" ht="15.75" customHeight="1">
      <c r="A388" s="74"/>
      <c r="B388" s="77"/>
      <c r="C388" s="75"/>
      <c r="D388" s="75"/>
    </row>
    <row r="389" ht="15.75" customHeight="1">
      <c r="A389" s="74"/>
      <c r="B389" s="77"/>
      <c r="C389" s="75"/>
      <c r="D389" s="75"/>
    </row>
    <row r="390" ht="15.75" customHeight="1">
      <c r="A390" s="74"/>
      <c r="B390" s="77"/>
      <c r="C390" s="75"/>
      <c r="D390" s="75"/>
    </row>
    <row r="391" ht="15.75" customHeight="1">
      <c r="A391" s="74"/>
      <c r="B391" s="77"/>
      <c r="C391" s="75"/>
      <c r="D391" s="75"/>
    </row>
    <row r="392" ht="15.75" customHeight="1">
      <c r="A392" s="74"/>
      <c r="B392" s="77"/>
      <c r="C392" s="75"/>
      <c r="D392" s="75"/>
    </row>
    <row r="393" ht="15.75" customHeight="1">
      <c r="A393" s="74"/>
      <c r="B393" s="77"/>
      <c r="C393" s="75"/>
      <c r="D393" s="75"/>
    </row>
    <row r="394" ht="15.75" customHeight="1">
      <c r="A394" s="74"/>
      <c r="B394" s="77"/>
      <c r="C394" s="75"/>
      <c r="D394" s="75"/>
    </row>
    <row r="395" ht="15.75" customHeight="1">
      <c r="A395" s="74"/>
      <c r="B395" s="77"/>
      <c r="C395" s="75"/>
      <c r="D395" s="75"/>
    </row>
    <row r="396" ht="15.75" customHeight="1">
      <c r="A396" s="74"/>
      <c r="B396" s="77"/>
      <c r="C396" s="75"/>
      <c r="D396" s="75"/>
    </row>
    <row r="397" ht="15.75" customHeight="1">
      <c r="A397" s="74"/>
      <c r="B397" s="77"/>
      <c r="C397" s="75"/>
      <c r="D397" s="75"/>
    </row>
    <row r="398" ht="15.75" customHeight="1">
      <c r="A398" s="74"/>
      <c r="B398" s="77"/>
      <c r="C398" s="75"/>
      <c r="D398" s="75"/>
    </row>
    <row r="399" ht="15.75" customHeight="1">
      <c r="A399" s="74"/>
      <c r="B399" s="77"/>
      <c r="C399" s="75"/>
      <c r="D399" s="75"/>
    </row>
    <row r="400" ht="15.75" customHeight="1">
      <c r="A400" s="74"/>
      <c r="B400" s="77"/>
      <c r="C400" s="75"/>
      <c r="D400" s="75"/>
    </row>
    <row r="401" ht="15.75" customHeight="1">
      <c r="A401" s="74"/>
      <c r="B401" s="77"/>
      <c r="C401" s="75"/>
      <c r="D401" s="75"/>
    </row>
    <row r="402" ht="15.75" customHeight="1">
      <c r="A402" s="74"/>
      <c r="B402" s="77"/>
      <c r="C402" s="75"/>
      <c r="D402" s="75"/>
    </row>
    <row r="403" ht="15.75" customHeight="1">
      <c r="A403" s="74"/>
      <c r="B403" s="77"/>
      <c r="C403" s="75"/>
      <c r="D403" s="75"/>
    </row>
    <row r="404" ht="15.75" customHeight="1">
      <c r="A404" s="74"/>
      <c r="B404" s="77"/>
      <c r="C404" s="75"/>
      <c r="D404" s="75"/>
    </row>
    <row r="405" ht="15.75" customHeight="1">
      <c r="A405" s="74"/>
      <c r="B405" s="77"/>
      <c r="C405" s="75"/>
      <c r="D405" s="75"/>
    </row>
    <row r="406" ht="15.75" customHeight="1">
      <c r="A406" s="74"/>
      <c r="B406" s="77"/>
      <c r="C406" s="75"/>
      <c r="D406" s="75"/>
    </row>
    <row r="407" ht="15.75" customHeight="1">
      <c r="A407" s="74"/>
      <c r="B407" s="77"/>
      <c r="C407" s="75"/>
      <c r="D407" s="75"/>
    </row>
    <row r="408" ht="15.75" customHeight="1">
      <c r="A408" s="74"/>
      <c r="B408" s="77"/>
      <c r="C408" s="75"/>
      <c r="D408" s="75"/>
    </row>
    <row r="409" ht="15.75" customHeight="1">
      <c r="A409" s="74"/>
      <c r="B409" s="77"/>
      <c r="C409" s="75"/>
      <c r="D409" s="75"/>
    </row>
    <row r="410" ht="15.75" customHeight="1">
      <c r="A410" s="74"/>
      <c r="B410" s="77"/>
      <c r="C410" s="75"/>
      <c r="D410" s="75"/>
    </row>
    <row r="411" ht="15.75" customHeight="1">
      <c r="A411" s="74"/>
      <c r="B411" s="77"/>
      <c r="C411" s="75"/>
      <c r="D411" s="75"/>
    </row>
    <row r="412" ht="15.75" customHeight="1">
      <c r="A412" s="74"/>
      <c r="B412" s="77"/>
      <c r="C412" s="75"/>
      <c r="D412" s="75"/>
    </row>
    <row r="413" ht="15.75" customHeight="1">
      <c r="A413" s="74"/>
      <c r="B413" s="77"/>
      <c r="C413" s="75"/>
      <c r="D413" s="75"/>
    </row>
    <row r="414" ht="15.75" customHeight="1">
      <c r="A414" s="74"/>
      <c r="B414" s="77"/>
      <c r="C414" s="75"/>
      <c r="D414" s="75"/>
    </row>
    <row r="415" ht="15.75" customHeight="1">
      <c r="A415" s="74"/>
      <c r="B415" s="77"/>
      <c r="C415" s="75"/>
      <c r="D415" s="75"/>
    </row>
    <row r="416" ht="15.75" customHeight="1">
      <c r="A416" s="74"/>
      <c r="B416" s="77"/>
      <c r="C416" s="75"/>
      <c r="D416" s="75"/>
    </row>
    <row r="417" ht="15.75" customHeight="1">
      <c r="A417" s="74"/>
      <c r="B417" s="77"/>
      <c r="C417" s="75"/>
      <c r="D417" s="75"/>
    </row>
    <row r="418" ht="15.75" customHeight="1">
      <c r="A418" s="74"/>
      <c r="B418" s="77"/>
      <c r="C418" s="75"/>
      <c r="D418" s="75"/>
    </row>
    <row r="419" ht="15.75" customHeight="1">
      <c r="A419" s="74"/>
      <c r="B419" s="77"/>
      <c r="C419" s="75"/>
      <c r="D419" s="75"/>
    </row>
    <row r="420" ht="15.75" customHeight="1">
      <c r="A420" s="74"/>
      <c r="B420" s="77"/>
      <c r="C420" s="75"/>
      <c r="D420" s="75"/>
    </row>
    <row r="421" ht="15.75" customHeight="1">
      <c r="A421" s="74"/>
      <c r="B421" s="77"/>
      <c r="C421" s="75"/>
      <c r="D421" s="75"/>
    </row>
    <row r="422" ht="15.75" customHeight="1">
      <c r="A422" s="74"/>
      <c r="B422" s="77"/>
      <c r="C422" s="75"/>
      <c r="D422" s="75"/>
    </row>
    <row r="423" ht="15.75" customHeight="1">
      <c r="A423" s="74"/>
      <c r="B423" s="77"/>
      <c r="C423" s="75"/>
      <c r="D423" s="75"/>
    </row>
    <row r="424" ht="15.75" customHeight="1">
      <c r="A424" s="74"/>
      <c r="B424" s="77"/>
      <c r="C424" s="75"/>
      <c r="D424" s="75"/>
    </row>
    <row r="425" ht="15.75" customHeight="1">
      <c r="A425" s="74"/>
      <c r="B425" s="77"/>
      <c r="C425" s="75"/>
      <c r="D425" s="75"/>
    </row>
    <row r="426" ht="15.75" customHeight="1">
      <c r="A426" s="74"/>
      <c r="B426" s="77"/>
      <c r="C426" s="75"/>
      <c r="D426" s="75"/>
    </row>
    <row r="427" ht="15.75" customHeight="1">
      <c r="A427" s="74"/>
      <c r="B427" s="77"/>
      <c r="C427" s="75"/>
      <c r="D427" s="75"/>
    </row>
    <row r="428" ht="15.75" customHeight="1">
      <c r="A428" s="74"/>
      <c r="B428" s="77"/>
      <c r="C428" s="75"/>
      <c r="D428" s="75"/>
    </row>
    <row r="429" ht="15.75" customHeight="1">
      <c r="A429" s="74"/>
      <c r="B429" s="77"/>
      <c r="C429" s="75"/>
      <c r="D429" s="75"/>
    </row>
    <row r="430" ht="15.75" customHeight="1">
      <c r="A430" s="74"/>
      <c r="B430" s="77"/>
      <c r="C430" s="75"/>
      <c r="D430" s="75"/>
    </row>
    <row r="431" ht="15.75" customHeight="1">
      <c r="A431" s="74"/>
      <c r="B431" s="77"/>
      <c r="C431" s="75"/>
      <c r="D431" s="75"/>
    </row>
    <row r="432" ht="15.75" customHeight="1">
      <c r="A432" s="74"/>
      <c r="B432" s="77"/>
      <c r="C432" s="75"/>
      <c r="D432" s="75"/>
    </row>
    <row r="433" ht="15.75" customHeight="1">
      <c r="A433" s="74"/>
      <c r="B433" s="77"/>
      <c r="C433" s="75"/>
      <c r="D433" s="75"/>
    </row>
    <row r="434" ht="15.75" customHeight="1">
      <c r="A434" s="74"/>
      <c r="B434" s="77"/>
      <c r="C434" s="75"/>
      <c r="D434" s="75"/>
    </row>
    <row r="435" ht="15.75" customHeight="1">
      <c r="A435" s="74"/>
      <c r="B435" s="77"/>
      <c r="C435" s="75"/>
      <c r="D435" s="75"/>
    </row>
    <row r="436" ht="15.75" customHeight="1">
      <c r="A436" s="74"/>
      <c r="B436" s="77"/>
      <c r="C436" s="75"/>
      <c r="D436" s="75"/>
    </row>
    <row r="437" ht="15.75" customHeight="1">
      <c r="A437" s="74"/>
      <c r="B437" s="77"/>
      <c r="C437" s="75"/>
      <c r="D437" s="75"/>
    </row>
    <row r="438" ht="15.75" customHeight="1">
      <c r="A438" s="74"/>
      <c r="B438" s="77"/>
      <c r="C438" s="75"/>
      <c r="D438" s="75"/>
    </row>
    <row r="439" ht="15.75" customHeight="1">
      <c r="A439" s="74"/>
      <c r="B439" s="77"/>
      <c r="C439" s="75"/>
      <c r="D439" s="75"/>
    </row>
    <row r="440" ht="15.75" customHeight="1">
      <c r="A440" s="74"/>
      <c r="B440" s="77"/>
      <c r="C440" s="75"/>
      <c r="D440" s="75"/>
    </row>
    <row r="441" ht="15.75" customHeight="1">
      <c r="A441" s="74"/>
      <c r="B441" s="77"/>
      <c r="C441" s="75"/>
      <c r="D441" s="75"/>
    </row>
    <row r="442" ht="15.75" customHeight="1">
      <c r="A442" s="74"/>
      <c r="B442" s="77"/>
      <c r="C442" s="75"/>
      <c r="D442" s="75"/>
    </row>
    <row r="443" ht="15.75" customHeight="1">
      <c r="A443" s="74"/>
      <c r="B443" s="77"/>
      <c r="C443" s="75"/>
      <c r="D443" s="75"/>
    </row>
    <row r="444" ht="15.75" customHeight="1">
      <c r="A444" s="74"/>
      <c r="B444" s="77"/>
      <c r="C444" s="75"/>
      <c r="D444" s="75"/>
    </row>
    <row r="445" ht="15.75" customHeight="1">
      <c r="A445" s="74"/>
      <c r="B445" s="77"/>
      <c r="C445" s="75"/>
      <c r="D445" s="75"/>
    </row>
    <row r="446" ht="15.75" customHeight="1">
      <c r="A446" s="74"/>
      <c r="B446" s="77"/>
      <c r="C446" s="75"/>
      <c r="D446" s="75"/>
    </row>
    <row r="447" ht="15.75" customHeight="1">
      <c r="A447" s="74"/>
      <c r="B447" s="77"/>
      <c r="C447" s="75"/>
      <c r="D447" s="75"/>
    </row>
    <row r="448" ht="15.75" customHeight="1">
      <c r="A448" s="74"/>
      <c r="B448" s="77"/>
      <c r="C448" s="75"/>
      <c r="D448" s="75"/>
    </row>
    <row r="449" ht="15.75" customHeight="1">
      <c r="A449" s="74"/>
      <c r="B449" s="77"/>
      <c r="C449" s="75"/>
      <c r="D449" s="75"/>
    </row>
    <row r="450" ht="15.75" customHeight="1">
      <c r="A450" s="74"/>
      <c r="B450" s="77"/>
      <c r="C450" s="75"/>
      <c r="D450" s="75"/>
    </row>
    <row r="451" ht="15.75" customHeight="1">
      <c r="A451" s="74"/>
      <c r="B451" s="77"/>
      <c r="C451" s="75"/>
      <c r="D451" s="75"/>
    </row>
    <row r="452" ht="15.75" customHeight="1">
      <c r="A452" s="74"/>
      <c r="B452" s="77"/>
      <c r="C452" s="75"/>
      <c r="D452" s="75"/>
    </row>
    <row r="453" ht="15.75" customHeight="1">
      <c r="A453" s="74"/>
      <c r="B453" s="77"/>
      <c r="C453" s="75"/>
      <c r="D453" s="75"/>
    </row>
    <row r="454" ht="15.75" customHeight="1">
      <c r="A454" s="74"/>
      <c r="B454" s="77"/>
      <c r="C454" s="75"/>
      <c r="D454" s="75"/>
    </row>
    <row r="455" ht="15.75" customHeight="1">
      <c r="A455" s="74"/>
      <c r="B455" s="77"/>
      <c r="C455" s="75"/>
      <c r="D455" s="75"/>
    </row>
    <row r="456" ht="15.75" customHeight="1">
      <c r="A456" s="74"/>
      <c r="B456" s="77"/>
      <c r="C456" s="75"/>
      <c r="D456" s="75"/>
    </row>
    <row r="457" ht="15.75" customHeight="1">
      <c r="A457" s="74"/>
      <c r="B457" s="77"/>
      <c r="C457" s="75"/>
      <c r="D457" s="75"/>
    </row>
    <row r="458" ht="15.75" customHeight="1">
      <c r="A458" s="74"/>
      <c r="B458" s="77"/>
      <c r="C458" s="75"/>
      <c r="D458" s="75"/>
    </row>
    <row r="459" ht="15.75" customHeight="1">
      <c r="A459" s="74"/>
      <c r="B459" s="77"/>
      <c r="C459" s="75"/>
      <c r="D459" s="75"/>
    </row>
    <row r="460" ht="15.75" customHeight="1">
      <c r="A460" s="74"/>
      <c r="B460" s="77"/>
      <c r="C460" s="75"/>
      <c r="D460" s="75"/>
    </row>
    <row r="461" ht="15.75" customHeight="1">
      <c r="A461" s="74"/>
      <c r="B461" s="77"/>
      <c r="C461" s="75"/>
      <c r="D461" s="75"/>
    </row>
    <row r="462" ht="15.75" customHeight="1">
      <c r="A462" s="74"/>
      <c r="B462" s="77"/>
      <c r="C462" s="75"/>
      <c r="D462" s="75"/>
    </row>
    <row r="463" ht="15.75" customHeight="1">
      <c r="A463" s="74"/>
      <c r="B463" s="77"/>
      <c r="C463" s="75"/>
      <c r="D463" s="75"/>
    </row>
    <row r="464" ht="15.75" customHeight="1">
      <c r="A464" s="74"/>
      <c r="B464" s="77"/>
      <c r="C464" s="75"/>
      <c r="D464" s="75"/>
    </row>
    <row r="465" ht="15.75" customHeight="1">
      <c r="A465" s="74"/>
      <c r="B465" s="77"/>
      <c r="C465" s="75"/>
      <c r="D465" s="75"/>
    </row>
    <row r="466" ht="15.75" customHeight="1">
      <c r="A466" s="74"/>
      <c r="B466" s="77"/>
      <c r="C466" s="75"/>
      <c r="D466" s="75"/>
    </row>
    <row r="467" ht="15.75" customHeight="1">
      <c r="A467" s="74"/>
      <c r="B467" s="77"/>
      <c r="C467" s="75"/>
      <c r="D467" s="75"/>
    </row>
    <row r="468" ht="15.75" customHeight="1">
      <c r="A468" s="74"/>
      <c r="B468" s="77"/>
      <c r="C468" s="75"/>
      <c r="D468" s="75"/>
    </row>
    <row r="469" ht="15.75" customHeight="1">
      <c r="A469" s="74"/>
      <c r="B469" s="77"/>
      <c r="C469" s="75"/>
      <c r="D469" s="75"/>
    </row>
    <row r="470" ht="15.75" customHeight="1">
      <c r="A470" s="74"/>
      <c r="B470" s="77"/>
      <c r="C470" s="75"/>
      <c r="D470" s="75"/>
    </row>
    <row r="471" ht="15.75" customHeight="1">
      <c r="A471" s="74"/>
      <c r="B471" s="77"/>
      <c r="C471" s="75"/>
      <c r="D471" s="75"/>
    </row>
    <row r="472" ht="15.75" customHeight="1">
      <c r="A472" s="74"/>
      <c r="B472" s="77"/>
      <c r="C472" s="75"/>
      <c r="D472" s="75"/>
    </row>
    <row r="473" ht="15.75" customHeight="1">
      <c r="A473" s="74"/>
      <c r="B473" s="77"/>
      <c r="C473" s="75"/>
      <c r="D473" s="75"/>
    </row>
    <row r="474" ht="15.75" customHeight="1">
      <c r="A474" s="74"/>
      <c r="B474" s="77"/>
      <c r="C474" s="75"/>
      <c r="D474" s="75"/>
    </row>
    <row r="475" ht="15.75" customHeight="1">
      <c r="A475" s="74"/>
      <c r="B475" s="77"/>
      <c r="C475" s="75"/>
      <c r="D475" s="75"/>
    </row>
    <row r="476" ht="15.75" customHeight="1">
      <c r="A476" s="74"/>
      <c r="B476" s="77"/>
      <c r="C476" s="75"/>
      <c r="D476" s="75"/>
    </row>
    <row r="477" ht="15.75" customHeight="1">
      <c r="A477" s="74"/>
      <c r="B477" s="77"/>
      <c r="C477" s="75"/>
      <c r="D477" s="75"/>
    </row>
    <row r="478" ht="15.75" customHeight="1">
      <c r="A478" s="74"/>
      <c r="B478" s="77"/>
      <c r="C478" s="75"/>
      <c r="D478" s="75"/>
    </row>
    <row r="479" ht="15.75" customHeight="1">
      <c r="A479" s="74"/>
      <c r="B479" s="77"/>
      <c r="C479" s="75"/>
      <c r="D479" s="75"/>
    </row>
    <row r="480" ht="15.75" customHeight="1">
      <c r="A480" s="74"/>
      <c r="B480" s="77"/>
      <c r="C480" s="75"/>
      <c r="D480" s="75"/>
    </row>
    <row r="481" ht="15.75" customHeight="1">
      <c r="A481" s="74"/>
      <c r="B481" s="77"/>
      <c r="C481" s="75"/>
      <c r="D481" s="75"/>
    </row>
    <row r="482" ht="15.75" customHeight="1">
      <c r="A482" s="74"/>
      <c r="B482" s="77"/>
      <c r="C482" s="75"/>
      <c r="D482" s="75"/>
    </row>
    <row r="483" ht="15.75" customHeight="1">
      <c r="A483" s="74"/>
      <c r="B483" s="77"/>
      <c r="C483" s="75"/>
      <c r="D483" s="75"/>
    </row>
    <row r="484" ht="15.75" customHeight="1">
      <c r="A484" s="74"/>
      <c r="B484" s="77"/>
      <c r="C484" s="75"/>
      <c r="D484" s="75"/>
    </row>
    <row r="485" ht="15.75" customHeight="1">
      <c r="A485" s="74"/>
      <c r="B485" s="77"/>
      <c r="C485" s="75"/>
      <c r="D485" s="75"/>
    </row>
    <row r="486" ht="15.75" customHeight="1">
      <c r="A486" s="74"/>
      <c r="B486" s="77"/>
      <c r="C486" s="75"/>
      <c r="D486" s="75"/>
    </row>
    <row r="487" ht="15.75" customHeight="1">
      <c r="A487" s="74"/>
      <c r="B487" s="77"/>
      <c r="C487" s="75"/>
      <c r="D487" s="75"/>
    </row>
    <row r="488" ht="15.75" customHeight="1">
      <c r="A488" s="74"/>
      <c r="B488" s="77"/>
      <c r="C488" s="75"/>
      <c r="D488" s="75"/>
    </row>
    <row r="489" ht="15.75" customHeight="1">
      <c r="A489" s="74"/>
      <c r="B489" s="77"/>
      <c r="C489" s="75"/>
      <c r="D489" s="75"/>
    </row>
    <row r="490" ht="15.75" customHeight="1">
      <c r="A490" s="74"/>
      <c r="B490" s="77"/>
      <c r="C490" s="75"/>
      <c r="D490" s="75"/>
    </row>
    <row r="491" ht="15.75" customHeight="1">
      <c r="A491" s="74"/>
      <c r="B491" s="77"/>
      <c r="C491" s="75"/>
      <c r="D491" s="75"/>
    </row>
    <row r="492" ht="15.75" customHeight="1">
      <c r="A492" s="74"/>
      <c r="B492" s="77"/>
      <c r="C492" s="75"/>
      <c r="D492" s="75"/>
    </row>
    <row r="493" ht="15.75" customHeight="1">
      <c r="A493" s="74"/>
      <c r="B493" s="77"/>
      <c r="C493" s="75"/>
      <c r="D493" s="75"/>
    </row>
    <row r="494" ht="15.75" customHeight="1">
      <c r="A494" s="74"/>
      <c r="B494" s="77"/>
      <c r="C494" s="75"/>
      <c r="D494" s="75"/>
    </row>
    <row r="495" ht="15.75" customHeight="1">
      <c r="A495" s="74"/>
      <c r="B495" s="77"/>
      <c r="C495" s="75"/>
      <c r="D495" s="75"/>
    </row>
    <row r="496" ht="15.75" customHeight="1">
      <c r="A496" s="74"/>
      <c r="B496" s="77"/>
      <c r="C496" s="75"/>
      <c r="D496" s="75"/>
    </row>
    <row r="497" ht="15.75" customHeight="1">
      <c r="A497" s="74"/>
      <c r="B497" s="77"/>
      <c r="C497" s="75"/>
      <c r="D497" s="75"/>
    </row>
    <row r="498" ht="15.75" customHeight="1">
      <c r="A498" s="74"/>
      <c r="B498" s="77"/>
      <c r="C498" s="75"/>
      <c r="D498" s="75"/>
    </row>
    <row r="499" ht="15.75" customHeight="1">
      <c r="A499" s="74"/>
      <c r="B499" s="77"/>
      <c r="C499" s="75"/>
      <c r="D499" s="75"/>
    </row>
    <row r="500" ht="15.75" customHeight="1">
      <c r="A500" s="74"/>
      <c r="B500" s="77"/>
      <c r="C500" s="75"/>
      <c r="D500" s="75"/>
    </row>
    <row r="501" ht="15.75" customHeight="1">
      <c r="A501" s="74"/>
      <c r="B501" s="77"/>
      <c r="C501" s="75"/>
      <c r="D501" s="75"/>
    </row>
    <row r="502" ht="15.75" customHeight="1">
      <c r="A502" s="74"/>
      <c r="B502" s="77"/>
      <c r="C502" s="75"/>
      <c r="D502" s="75"/>
    </row>
    <row r="503" ht="15.75" customHeight="1">
      <c r="A503" s="74"/>
      <c r="B503" s="77"/>
      <c r="C503" s="75"/>
      <c r="D503" s="75"/>
    </row>
    <row r="504" ht="15.75" customHeight="1">
      <c r="A504" s="74"/>
      <c r="B504" s="77"/>
      <c r="C504" s="75"/>
      <c r="D504" s="75"/>
    </row>
    <row r="505" ht="15.75" customHeight="1">
      <c r="A505" s="74"/>
      <c r="B505" s="77"/>
      <c r="C505" s="75"/>
      <c r="D505" s="75"/>
    </row>
    <row r="506" ht="15.75" customHeight="1">
      <c r="A506" s="74"/>
      <c r="B506" s="77"/>
      <c r="C506" s="75"/>
      <c r="D506" s="75"/>
    </row>
    <row r="507" ht="15.75" customHeight="1">
      <c r="A507" s="74"/>
      <c r="B507" s="77"/>
      <c r="C507" s="75"/>
      <c r="D507" s="75"/>
    </row>
    <row r="508" ht="15.75" customHeight="1">
      <c r="A508" s="74"/>
      <c r="B508" s="77"/>
      <c r="C508" s="75"/>
      <c r="D508" s="75"/>
    </row>
    <row r="509" ht="15.75" customHeight="1">
      <c r="A509" s="74"/>
      <c r="B509" s="77"/>
      <c r="C509" s="75"/>
      <c r="D509" s="75"/>
    </row>
    <row r="510" ht="15.75" customHeight="1">
      <c r="A510" s="74"/>
      <c r="B510" s="77"/>
      <c r="C510" s="75"/>
      <c r="D510" s="75"/>
    </row>
    <row r="511" ht="15.75" customHeight="1">
      <c r="A511" s="74"/>
      <c r="B511" s="77"/>
      <c r="C511" s="75"/>
      <c r="D511" s="75"/>
    </row>
    <row r="512" ht="15.75" customHeight="1">
      <c r="A512" s="74"/>
      <c r="B512" s="77"/>
      <c r="C512" s="75"/>
      <c r="D512" s="75"/>
    </row>
    <row r="513" ht="15.75" customHeight="1">
      <c r="A513" s="74"/>
      <c r="B513" s="77"/>
      <c r="C513" s="75"/>
      <c r="D513" s="75"/>
    </row>
    <row r="514" ht="15.75" customHeight="1">
      <c r="A514" s="74"/>
      <c r="B514" s="77"/>
      <c r="C514" s="75"/>
      <c r="D514" s="75"/>
    </row>
    <row r="515" ht="15.75" customHeight="1">
      <c r="A515" s="74"/>
      <c r="B515" s="77"/>
      <c r="C515" s="75"/>
      <c r="D515" s="75"/>
    </row>
    <row r="516" ht="15.75" customHeight="1">
      <c r="A516" s="74"/>
      <c r="B516" s="77"/>
      <c r="C516" s="75"/>
      <c r="D516" s="75"/>
    </row>
    <row r="517" ht="15.75" customHeight="1">
      <c r="A517" s="74"/>
      <c r="B517" s="77"/>
      <c r="C517" s="75"/>
      <c r="D517" s="75"/>
    </row>
    <row r="518" ht="15.75" customHeight="1">
      <c r="A518" s="74"/>
      <c r="B518" s="77"/>
      <c r="C518" s="75"/>
      <c r="D518" s="75"/>
    </row>
    <row r="519" ht="15.75" customHeight="1">
      <c r="A519" s="74"/>
      <c r="B519" s="77"/>
      <c r="C519" s="75"/>
      <c r="D519" s="75"/>
    </row>
    <row r="520" ht="15.75" customHeight="1">
      <c r="A520" s="74"/>
      <c r="B520" s="77"/>
      <c r="C520" s="75"/>
      <c r="D520" s="75"/>
    </row>
    <row r="521" ht="15.75" customHeight="1">
      <c r="A521" s="74"/>
      <c r="B521" s="77"/>
      <c r="C521" s="75"/>
      <c r="D521" s="75"/>
    </row>
    <row r="522" ht="15.75" customHeight="1">
      <c r="A522" s="74"/>
      <c r="B522" s="77"/>
      <c r="C522" s="75"/>
      <c r="D522" s="75"/>
    </row>
    <row r="523" ht="15.75" customHeight="1">
      <c r="A523" s="74"/>
      <c r="B523" s="77"/>
      <c r="C523" s="75"/>
      <c r="D523" s="75"/>
    </row>
    <row r="524" ht="15.75" customHeight="1">
      <c r="A524" s="74"/>
      <c r="B524" s="77"/>
      <c r="C524" s="75"/>
      <c r="D524" s="75"/>
    </row>
    <row r="525" ht="15.75" customHeight="1">
      <c r="A525" s="74"/>
      <c r="B525" s="77"/>
      <c r="C525" s="75"/>
      <c r="D525" s="75"/>
    </row>
    <row r="526" ht="15.75" customHeight="1">
      <c r="A526" s="74"/>
      <c r="B526" s="77"/>
      <c r="C526" s="75"/>
      <c r="D526" s="75"/>
    </row>
    <row r="527" ht="15.75" customHeight="1">
      <c r="A527" s="74"/>
      <c r="B527" s="77"/>
      <c r="C527" s="75"/>
      <c r="D527" s="75"/>
    </row>
    <row r="528" ht="15.75" customHeight="1">
      <c r="A528" s="74"/>
      <c r="B528" s="77"/>
      <c r="C528" s="75"/>
      <c r="D528" s="75"/>
    </row>
    <row r="529" ht="15.75" customHeight="1">
      <c r="A529" s="74"/>
      <c r="B529" s="77"/>
      <c r="C529" s="75"/>
      <c r="D529" s="75"/>
    </row>
    <row r="530" ht="15.75" customHeight="1">
      <c r="A530" s="74"/>
      <c r="B530" s="77"/>
      <c r="C530" s="75"/>
      <c r="D530" s="75"/>
    </row>
    <row r="531" ht="15.75" customHeight="1">
      <c r="A531" s="74"/>
      <c r="B531" s="77"/>
      <c r="C531" s="75"/>
      <c r="D531" s="75"/>
    </row>
    <row r="532" ht="15.75" customHeight="1">
      <c r="A532" s="74"/>
      <c r="B532" s="77"/>
      <c r="C532" s="75"/>
      <c r="D532" s="75"/>
    </row>
    <row r="533" ht="15.75" customHeight="1">
      <c r="A533" s="74"/>
      <c r="B533" s="77"/>
      <c r="C533" s="75"/>
      <c r="D533" s="75"/>
    </row>
    <row r="534" ht="15.75" customHeight="1">
      <c r="A534" s="74"/>
      <c r="B534" s="77"/>
      <c r="C534" s="75"/>
      <c r="D534" s="75"/>
    </row>
    <row r="535" ht="15.75" customHeight="1">
      <c r="A535" s="74"/>
      <c r="B535" s="77"/>
      <c r="C535" s="75"/>
      <c r="D535" s="75"/>
    </row>
    <row r="536" ht="15.75" customHeight="1">
      <c r="A536" s="74"/>
      <c r="B536" s="77"/>
      <c r="C536" s="75"/>
      <c r="D536" s="75"/>
    </row>
    <row r="537" ht="15.75" customHeight="1">
      <c r="A537" s="74"/>
      <c r="B537" s="77"/>
      <c r="C537" s="75"/>
      <c r="D537" s="75"/>
    </row>
    <row r="538" ht="15.75" customHeight="1">
      <c r="A538" s="74"/>
      <c r="B538" s="77"/>
      <c r="C538" s="75"/>
      <c r="D538" s="75"/>
    </row>
    <row r="539" ht="15.75" customHeight="1">
      <c r="A539" s="74"/>
      <c r="B539" s="77"/>
      <c r="C539" s="75"/>
      <c r="D539" s="75"/>
    </row>
    <row r="540" ht="15.75" customHeight="1">
      <c r="A540" s="74"/>
      <c r="B540" s="77"/>
      <c r="C540" s="75"/>
      <c r="D540" s="75"/>
    </row>
    <row r="541" ht="15.75" customHeight="1">
      <c r="A541" s="74"/>
      <c r="B541" s="77"/>
      <c r="C541" s="75"/>
      <c r="D541" s="75"/>
    </row>
    <row r="542" ht="15.75" customHeight="1">
      <c r="A542" s="74"/>
      <c r="B542" s="77"/>
      <c r="C542" s="75"/>
      <c r="D542" s="75"/>
    </row>
    <row r="543" ht="15.75" customHeight="1">
      <c r="A543" s="74"/>
      <c r="B543" s="77"/>
      <c r="C543" s="75"/>
      <c r="D543" s="75"/>
    </row>
    <row r="544" ht="15.75" customHeight="1">
      <c r="A544" s="74"/>
      <c r="B544" s="77"/>
      <c r="C544" s="75"/>
      <c r="D544" s="75"/>
    </row>
    <row r="545" ht="15.75" customHeight="1">
      <c r="A545" s="74"/>
      <c r="B545" s="75"/>
      <c r="C545" s="75"/>
      <c r="D545" s="75"/>
    </row>
    <row r="546" ht="15.75" customHeight="1">
      <c r="A546" s="74"/>
      <c r="B546" s="75"/>
      <c r="C546" s="75"/>
      <c r="D546" s="75"/>
    </row>
    <row r="547" ht="15.75" customHeight="1">
      <c r="A547" s="74"/>
      <c r="B547" s="75"/>
      <c r="C547" s="75"/>
      <c r="D547" s="75"/>
    </row>
    <row r="548" ht="15.75" customHeight="1">
      <c r="A548" s="74"/>
      <c r="B548" s="75"/>
      <c r="C548" s="75"/>
      <c r="D548" s="75"/>
    </row>
    <row r="549" ht="15.75" customHeight="1">
      <c r="A549" s="74"/>
      <c r="B549" s="75"/>
      <c r="C549" s="75"/>
      <c r="D549" s="75"/>
    </row>
    <row r="550" ht="15.75" customHeight="1">
      <c r="A550" s="74"/>
      <c r="B550" s="75"/>
      <c r="C550" s="75"/>
      <c r="D550" s="75"/>
    </row>
    <row r="551" ht="15.75" customHeight="1">
      <c r="A551" s="74"/>
      <c r="B551" s="75"/>
      <c r="C551" s="75"/>
      <c r="D551" s="75"/>
    </row>
    <row r="552" ht="15.75" customHeight="1">
      <c r="A552" s="74"/>
      <c r="B552" s="75"/>
      <c r="C552" s="75"/>
      <c r="D552" s="75"/>
    </row>
    <row r="553" ht="15.75" customHeight="1">
      <c r="A553" s="74"/>
      <c r="B553" s="75"/>
      <c r="C553" s="75"/>
      <c r="D553" s="75"/>
    </row>
    <row r="554" ht="15.75" customHeight="1">
      <c r="A554" s="74"/>
      <c r="B554" s="75"/>
      <c r="C554" s="75"/>
      <c r="D554" s="75"/>
    </row>
    <row r="555" ht="15.75" customHeight="1">
      <c r="A555" s="74"/>
      <c r="B555" s="75"/>
      <c r="C555" s="75"/>
      <c r="D555" s="75"/>
    </row>
    <row r="556" ht="15.75" customHeight="1">
      <c r="A556" s="74"/>
      <c r="B556" s="75"/>
      <c r="C556" s="75"/>
      <c r="D556" s="75"/>
    </row>
    <row r="557" ht="15.75" customHeight="1">
      <c r="A557" s="74"/>
      <c r="B557" s="75"/>
      <c r="C557" s="75"/>
      <c r="D557" s="75"/>
    </row>
    <row r="558" ht="15.75" customHeight="1">
      <c r="A558" s="74"/>
      <c r="B558" s="75"/>
      <c r="C558" s="75"/>
      <c r="D558" s="75"/>
    </row>
    <row r="559" ht="15.75" customHeight="1">
      <c r="A559" s="74"/>
      <c r="B559" s="75"/>
      <c r="C559" s="75"/>
      <c r="D559" s="75"/>
    </row>
    <row r="560" ht="15.75" customHeight="1">
      <c r="A560" s="74"/>
      <c r="B560" s="75"/>
      <c r="C560" s="75"/>
      <c r="D560" s="75"/>
    </row>
    <row r="561" ht="15.75" customHeight="1">
      <c r="A561" s="74"/>
      <c r="B561" s="75"/>
      <c r="C561" s="75"/>
      <c r="D561" s="75"/>
    </row>
    <row r="562" ht="15.75" customHeight="1">
      <c r="A562" s="74"/>
      <c r="B562" s="75"/>
      <c r="C562" s="75"/>
      <c r="D562" s="75"/>
    </row>
    <row r="563" ht="15.75" customHeight="1">
      <c r="A563" s="74"/>
      <c r="B563" s="75"/>
      <c r="C563" s="75"/>
      <c r="D563" s="75"/>
    </row>
    <row r="564" ht="15.75" customHeight="1">
      <c r="A564" s="74"/>
      <c r="B564" s="75"/>
      <c r="C564" s="75"/>
      <c r="D564" s="75"/>
    </row>
    <row r="565" ht="15.75" customHeight="1">
      <c r="A565" s="74"/>
      <c r="B565" s="75"/>
      <c r="C565" s="75"/>
      <c r="D565" s="75"/>
    </row>
    <row r="566" ht="15.75" customHeight="1">
      <c r="A566" s="74"/>
      <c r="B566" s="75"/>
      <c r="C566" s="75"/>
      <c r="D566" s="75"/>
    </row>
    <row r="567" ht="15.75" customHeight="1">
      <c r="A567" s="74"/>
      <c r="B567" s="75"/>
      <c r="C567" s="75"/>
      <c r="D567" s="75"/>
    </row>
    <row r="568" ht="15.75" customHeight="1">
      <c r="A568" s="74"/>
      <c r="B568" s="75"/>
      <c r="C568" s="75"/>
      <c r="D568" s="75"/>
    </row>
    <row r="569" ht="15.75" customHeight="1">
      <c r="A569" s="74"/>
      <c r="B569" s="75"/>
      <c r="C569" s="75"/>
      <c r="D569" s="75"/>
    </row>
    <row r="570" ht="15.75" customHeight="1">
      <c r="A570" s="74"/>
      <c r="B570" s="75"/>
      <c r="C570" s="75"/>
      <c r="D570" s="75"/>
    </row>
    <row r="571" ht="15.75" customHeight="1">
      <c r="A571" s="74"/>
      <c r="B571" s="75"/>
      <c r="C571" s="75"/>
      <c r="D571" s="75"/>
    </row>
    <row r="572" ht="15.75" customHeight="1">
      <c r="A572" s="74"/>
      <c r="B572" s="75"/>
      <c r="C572" s="75"/>
      <c r="D572" s="75"/>
    </row>
    <row r="573" ht="15.75" customHeight="1">
      <c r="A573" s="74"/>
      <c r="B573" s="75"/>
      <c r="C573" s="75"/>
      <c r="D573" s="75"/>
    </row>
    <row r="574" ht="15.75" customHeight="1">
      <c r="A574" s="74"/>
      <c r="B574" s="75"/>
      <c r="C574" s="75"/>
      <c r="D574" s="75"/>
    </row>
    <row r="575" ht="15.75" customHeight="1">
      <c r="A575" s="74"/>
      <c r="B575" s="75"/>
      <c r="C575" s="75"/>
      <c r="D575" s="75"/>
    </row>
    <row r="576" ht="15.75" customHeight="1">
      <c r="A576" s="74"/>
      <c r="B576" s="75"/>
      <c r="C576" s="75"/>
      <c r="D576" s="75"/>
    </row>
    <row r="577" ht="15.75" customHeight="1">
      <c r="A577" s="74"/>
      <c r="B577" s="75"/>
      <c r="C577" s="75"/>
      <c r="D577" s="75"/>
    </row>
    <row r="578" ht="15.75" customHeight="1">
      <c r="A578" s="74"/>
      <c r="B578" s="75"/>
      <c r="C578" s="75"/>
      <c r="D578" s="75"/>
    </row>
    <row r="579" ht="15.75" customHeight="1">
      <c r="A579" s="74"/>
      <c r="B579" s="75"/>
      <c r="C579" s="75"/>
      <c r="D579" s="75"/>
    </row>
    <row r="580" ht="15.75" customHeight="1">
      <c r="A580" s="74"/>
      <c r="B580" s="75"/>
      <c r="C580" s="75"/>
      <c r="D580" s="75"/>
    </row>
    <row r="581" ht="15.75" customHeight="1">
      <c r="A581" s="74"/>
      <c r="B581" s="75"/>
      <c r="C581" s="75"/>
      <c r="D581" s="75"/>
    </row>
    <row r="582" ht="15.75" customHeight="1">
      <c r="A582" s="74"/>
      <c r="B582" s="75"/>
      <c r="C582" s="75"/>
      <c r="D582" s="75"/>
    </row>
    <row r="583" ht="15.75" customHeight="1">
      <c r="A583" s="74"/>
      <c r="B583" s="75"/>
      <c r="C583" s="75"/>
      <c r="D583" s="75"/>
    </row>
    <row r="584" ht="15.75" customHeight="1">
      <c r="A584" s="74"/>
      <c r="B584" s="75"/>
      <c r="C584" s="75"/>
      <c r="D584" s="75"/>
    </row>
    <row r="585" ht="15.75" customHeight="1">
      <c r="A585" s="74"/>
      <c r="B585" s="75"/>
      <c r="C585" s="75"/>
      <c r="D585" s="75"/>
    </row>
    <row r="586" ht="15.75" customHeight="1">
      <c r="A586" s="74"/>
      <c r="B586" s="75"/>
      <c r="C586" s="75"/>
      <c r="D586" s="75"/>
    </row>
    <row r="587" ht="15.75" customHeight="1">
      <c r="A587" s="74"/>
      <c r="B587" s="75"/>
      <c r="C587" s="75"/>
      <c r="D587" s="75"/>
    </row>
    <row r="588" ht="15.75" customHeight="1">
      <c r="A588" s="74"/>
      <c r="B588" s="75"/>
      <c r="C588" s="75"/>
      <c r="D588" s="75"/>
    </row>
    <row r="589" ht="15.75" customHeight="1">
      <c r="A589" s="74"/>
      <c r="B589" s="75"/>
      <c r="C589" s="75"/>
      <c r="D589" s="75"/>
    </row>
    <row r="590" ht="15.75" customHeight="1">
      <c r="A590" s="74"/>
      <c r="B590" s="75"/>
      <c r="C590" s="75"/>
      <c r="D590" s="75"/>
    </row>
    <row r="591" ht="15.75" customHeight="1">
      <c r="A591" s="74"/>
      <c r="B591" s="75"/>
      <c r="C591" s="75"/>
      <c r="D591" s="75"/>
    </row>
    <row r="592" ht="15.75" customHeight="1">
      <c r="A592" s="74"/>
      <c r="B592" s="75"/>
      <c r="C592" s="75"/>
      <c r="D592" s="75"/>
    </row>
    <row r="593" ht="15.75" customHeight="1">
      <c r="A593" s="74"/>
      <c r="B593" s="75"/>
      <c r="C593" s="75"/>
      <c r="D593" s="75"/>
    </row>
    <row r="594" ht="15.75" customHeight="1">
      <c r="A594" s="74"/>
      <c r="B594" s="75"/>
      <c r="C594" s="75"/>
      <c r="D594" s="75"/>
    </row>
    <row r="595" ht="15.75" customHeight="1">
      <c r="A595" s="74"/>
      <c r="B595" s="75"/>
      <c r="C595" s="75"/>
      <c r="D595" s="75"/>
    </row>
    <row r="596" ht="15.75" customHeight="1">
      <c r="A596" s="74"/>
      <c r="B596" s="75"/>
      <c r="C596" s="75"/>
      <c r="D596" s="75"/>
    </row>
    <row r="597" ht="15.75" customHeight="1">
      <c r="A597" s="74"/>
      <c r="B597" s="75"/>
      <c r="C597" s="75"/>
      <c r="D597" s="75"/>
    </row>
    <row r="598" ht="15.75" customHeight="1">
      <c r="A598" s="74"/>
      <c r="B598" s="75"/>
      <c r="C598" s="75"/>
      <c r="D598" s="75"/>
    </row>
    <row r="599" ht="15.75" customHeight="1">
      <c r="A599" s="74"/>
      <c r="B599" s="75"/>
      <c r="C599" s="75"/>
      <c r="D599" s="75"/>
    </row>
    <row r="600" ht="15.75" customHeight="1">
      <c r="A600" s="74"/>
      <c r="B600" s="75"/>
      <c r="C600" s="75"/>
      <c r="D600" s="75"/>
    </row>
    <row r="601" ht="15.75" customHeight="1">
      <c r="A601" s="74"/>
      <c r="B601" s="75"/>
      <c r="C601" s="75"/>
      <c r="D601" s="75"/>
    </row>
    <row r="602" ht="15.75" customHeight="1">
      <c r="A602" s="74"/>
      <c r="B602" s="75"/>
      <c r="C602" s="75"/>
      <c r="D602" s="75"/>
    </row>
    <row r="603" ht="15.75" customHeight="1">
      <c r="A603" s="74"/>
      <c r="B603" s="75"/>
      <c r="C603" s="75"/>
      <c r="D603" s="75"/>
    </row>
    <row r="604" ht="15.75" customHeight="1">
      <c r="A604" s="74"/>
      <c r="B604" s="75"/>
      <c r="C604" s="75"/>
      <c r="D604" s="75"/>
    </row>
    <row r="605" ht="15.75" customHeight="1">
      <c r="A605" s="74"/>
      <c r="B605" s="75"/>
      <c r="C605" s="75"/>
      <c r="D605" s="75"/>
    </row>
    <row r="606" ht="15.75" customHeight="1">
      <c r="A606" s="74"/>
      <c r="B606" s="75"/>
      <c r="C606" s="75"/>
      <c r="D606" s="75"/>
    </row>
    <row r="607" ht="15.75" customHeight="1">
      <c r="A607" s="74"/>
      <c r="B607" s="75"/>
      <c r="C607" s="75"/>
      <c r="D607" s="75"/>
    </row>
    <row r="608" ht="15.75" customHeight="1">
      <c r="A608" s="74"/>
      <c r="B608" s="75"/>
      <c r="C608" s="75"/>
      <c r="D608" s="75"/>
    </row>
    <row r="609" ht="15.75" customHeight="1">
      <c r="A609" s="74"/>
      <c r="B609" s="75"/>
      <c r="C609" s="75"/>
      <c r="D609" s="75"/>
    </row>
    <row r="610" ht="15.75" customHeight="1">
      <c r="A610" s="74"/>
      <c r="B610" s="75"/>
      <c r="C610" s="75"/>
      <c r="D610" s="75"/>
    </row>
    <row r="611" ht="15.75" customHeight="1">
      <c r="A611" s="74"/>
      <c r="B611" s="75"/>
      <c r="C611" s="75"/>
      <c r="D611" s="75"/>
    </row>
    <row r="612" ht="15.75" customHeight="1">
      <c r="A612" s="74"/>
      <c r="B612" s="75"/>
      <c r="C612" s="75"/>
      <c r="D612" s="75"/>
    </row>
    <row r="613" ht="15.75" customHeight="1">
      <c r="A613" s="74"/>
      <c r="B613" s="75"/>
      <c r="C613" s="75"/>
      <c r="D613" s="75"/>
    </row>
    <row r="614" ht="15.75" customHeight="1">
      <c r="A614" s="74"/>
      <c r="B614" s="75"/>
      <c r="C614" s="75"/>
      <c r="D614" s="75"/>
    </row>
    <row r="615" ht="15.75" customHeight="1">
      <c r="A615" s="74"/>
      <c r="B615" s="75"/>
      <c r="C615" s="75"/>
      <c r="D615" s="75"/>
    </row>
    <row r="616" ht="15.75" customHeight="1">
      <c r="A616" s="74"/>
      <c r="B616" s="75"/>
      <c r="C616" s="75"/>
      <c r="D616" s="75"/>
    </row>
    <row r="617" ht="15.75" customHeight="1">
      <c r="A617" s="74"/>
      <c r="B617" s="75"/>
      <c r="C617" s="75"/>
      <c r="D617" s="75"/>
    </row>
    <row r="618" ht="15.75" customHeight="1">
      <c r="A618" s="74"/>
      <c r="B618" s="75"/>
      <c r="C618" s="75"/>
      <c r="D618" s="75"/>
    </row>
    <row r="619" ht="15.75" customHeight="1">
      <c r="A619" s="74"/>
      <c r="B619" s="75"/>
      <c r="C619" s="75"/>
      <c r="D619" s="75"/>
    </row>
    <row r="620" ht="15.75" customHeight="1">
      <c r="A620" s="74"/>
      <c r="B620" s="75"/>
      <c r="C620" s="75"/>
      <c r="D620" s="75"/>
    </row>
    <row r="621" ht="15.75" customHeight="1">
      <c r="A621" s="74"/>
      <c r="B621" s="75"/>
      <c r="C621" s="75"/>
      <c r="D621" s="75"/>
    </row>
    <row r="622" ht="15.75" customHeight="1">
      <c r="A622" s="74"/>
      <c r="B622" s="75"/>
      <c r="C622" s="75"/>
      <c r="D622" s="75"/>
    </row>
    <row r="623" ht="15.75" customHeight="1">
      <c r="A623" s="74"/>
      <c r="B623" s="75"/>
      <c r="C623" s="75"/>
      <c r="D623" s="75"/>
    </row>
    <row r="624" ht="15.75" customHeight="1">
      <c r="A624" s="74"/>
      <c r="B624" s="75"/>
      <c r="C624" s="75"/>
      <c r="D624" s="75"/>
    </row>
    <row r="625" ht="15.75" customHeight="1">
      <c r="A625" s="74"/>
      <c r="B625" s="75"/>
      <c r="C625" s="75"/>
      <c r="D625" s="75"/>
    </row>
    <row r="626" ht="15.75" customHeight="1">
      <c r="A626" s="74"/>
      <c r="B626" s="75"/>
      <c r="C626" s="75"/>
      <c r="D626" s="75"/>
    </row>
    <row r="627" ht="15.75" customHeight="1">
      <c r="A627" s="74"/>
      <c r="B627" s="75"/>
      <c r="C627" s="75"/>
      <c r="D627" s="75"/>
    </row>
    <row r="628" ht="15.75" customHeight="1">
      <c r="A628" s="74"/>
      <c r="B628" s="75"/>
      <c r="C628" s="75"/>
      <c r="D628" s="75"/>
    </row>
    <row r="629" ht="15.75" customHeight="1">
      <c r="A629" s="74"/>
      <c r="B629" s="75"/>
      <c r="C629" s="75"/>
      <c r="D629" s="75"/>
    </row>
    <row r="630" ht="15.75" customHeight="1">
      <c r="A630" s="74"/>
      <c r="B630" s="75"/>
      <c r="C630" s="75"/>
      <c r="D630" s="75"/>
    </row>
    <row r="631" ht="15.75" customHeight="1">
      <c r="A631" s="74"/>
      <c r="B631" s="75"/>
      <c r="C631" s="75"/>
      <c r="D631" s="75"/>
    </row>
    <row r="632" ht="15.75" customHeight="1">
      <c r="A632" s="74"/>
      <c r="B632" s="75"/>
      <c r="C632" s="75"/>
      <c r="D632" s="75"/>
    </row>
    <row r="633" ht="15.75" customHeight="1">
      <c r="A633" s="74"/>
      <c r="B633" s="75"/>
      <c r="C633" s="75"/>
      <c r="D633" s="75"/>
    </row>
    <row r="634" ht="15.75" customHeight="1">
      <c r="A634" s="74"/>
      <c r="B634" s="75"/>
      <c r="C634" s="75"/>
      <c r="D634" s="75"/>
    </row>
    <row r="635" ht="15.75" customHeight="1">
      <c r="A635" s="74"/>
      <c r="B635" s="75"/>
      <c r="C635" s="75"/>
      <c r="D635" s="75"/>
    </row>
    <row r="636" ht="15.75" customHeight="1">
      <c r="A636" s="74"/>
      <c r="B636" s="75"/>
      <c r="C636" s="75"/>
      <c r="D636" s="75"/>
    </row>
    <row r="637" ht="15.75" customHeight="1">
      <c r="A637" s="74"/>
      <c r="B637" s="75"/>
      <c r="C637" s="75"/>
      <c r="D637" s="75"/>
    </row>
    <row r="638" ht="15.75" customHeight="1">
      <c r="A638" s="74"/>
      <c r="B638" s="75"/>
      <c r="C638" s="75"/>
      <c r="D638" s="75"/>
    </row>
    <row r="639" ht="15.75" customHeight="1">
      <c r="A639" s="74"/>
      <c r="B639" s="75"/>
      <c r="C639" s="75"/>
      <c r="D639" s="75"/>
    </row>
    <row r="640" ht="15.75" customHeight="1">
      <c r="A640" s="74"/>
      <c r="B640" s="75"/>
      <c r="C640" s="75"/>
      <c r="D640" s="75"/>
    </row>
    <row r="641" ht="15.75" customHeight="1">
      <c r="A641" s="74"/>
      <c r="B641" s="75"/>
      <c r="C641" s="75"/>
      <c r="D641" s="75"/>
    </row>
    <row r="642" ht="15.75" customHeight="1">
      <c r="A642" s="74"/>
      <c r="B642" s="75"/>
      <c r="C642" s="75"/>
      <c r="D642" s="75"/>
    </row>
    <row r="643" ht="15.75" customHeight="1">
      <c r="A643" s="74"/>
      <c r="B643" s="75"/>
      <c r="C643" s="75"/>
      <c r="D643" s="75"/>
    </row>
    <row r="644" ht="15.75" customHeight="1">
      <c r="A644" s="74"/>
      <c r="B644" s="75"/>
      <c r="C644" s="75"/>
      <c r="D644" s="75"/>
    </row>
    <row r="645" ht="15.75" customHeight="1">
      <c r="A645" s="74"/>
      <c r="B645" s="75"/>
      <c r="C645" s="75"/>
      <c r="D645" s="75"/>
    </row>
    <row r="646" ht="15.75" customHeight="1">
      <c r="A646" s="74"/>
      <c r="B646" s="75"/>
      <c r="C646" s="75"/>
      <c r="D646" s="75"/>
    </row>
    <row r="647" ht="15.75" customHeight="1">
      <c r="A647" s="74"/>
      <c r="B647" s="75"/>
      <c r="C647" s="75"/>
      <c r="D647" s="75"/>
    </row>
    <row r="648" ht="15.75" customHeight="1">
      <c r="A648" s="74"/>
      <c r="B648" s="75"/>
      <c r="C648" s="75"/>
      <c r="D648" s="75"/>
    </row>
    <row r="649" ht="15.75" customHeight="1">
      <c r="A649" s="74"/>
      <c r="B649" s="75"/>
      <c r="C649" s="75"/>
      <c r="D649" s="75"/>
    </row>
    <row r="650" ht="15.75" customHeight="1">
      <c r="A650" s="74"/>
      <c r="B650" s="75"/>
      <c r="C650" s="75"/>
      <c r="D650" s="75"/>
    </row>
    <row r="651" ht="15.75" customHeight="1">
      <c r="A651" s="74"/>
      <c r="B651" s="75"/>
      <c r="C651" s="75"/>
      <c r="D651" s="75"/>
    </row>
    <row r="652" ht="15.75" customHeight="1">
      <c r="A652" s="74"/>
      <c r="B652" s="75"/>
      <c r="C652" s="75"/>
      <c r="D652" s="75"/>
    </row>
    <row r="653" ht="15.75" customHeight="1">
      <c r="A653" s="74"/>
      <c r="B653" s="75"/>
      <c r="C653" s="75"/>
      <c r="D653" s="75"/>
    </row>
    <row r="654" ht="15.75" customHeight="1">
      <c r="A654" s="74"/>
      <c r="B654" s="75"/>
      <c r="C654" s="75"/>
      <c r="D654" s="75"/>
    </row>
    <row r="655" ht="15.75" customHeight="1">
      <c r="A655" s="74"/>
      <c r="B655" s="75"/>
      <c r="C655" s="75"/>
      <c r="D655" s="75"/>
    </row>
    <row r="656" ht="15.75" customHeight="1">
      <c r="A656" s="74"/>
      <c r="B656" s="75"/>
      <c r="C656" s="75"/>
      <c r="D656" s="75"/>
    </row>
    <row r="657" ht="15.75" customHeight="1">
      <c r="A657" s="74"/>
      <c r="B657" s="75"/>
      <c r="C657" s="75"/>
      <c r="D657" s="75"/>
    </row>
    <row r="658" ht="15.75" customHeight="1">
      <c r="A658" s="74"/>
      <c r="B658" s="75"/>
      <c r="C658" s="75"/>
      <c r="D658" s="75"/>
    </row>
    <row r="659" ht="15.75" customHeight="1">
      <c r="A659" s="74"/>
      <c r="B659" s="75"/>
      <c r="C659" s="75"/>
      <c r="D659" s="75"/>
    </row>
    <row r="660" ht="15.75" customHeight="1">
      <c r="A660" s="74"/>
      <c r="B660" s="75"/>
      <c r="C660" s="75"/>
      <c r="D660" s="75"/>
    </row>
    <row r="661" ht="15.75" customHeight="1">
      <c r="A661" s="74"/>
      <c r="B661" s="75"/>
      <c r="C661" s="75"/>
      <c r="D661" s="75"/>
    </row>
    <row r="662" ht="15.75" customHeight="1">
      <c r="A662" s="74"/>
      <c r="B662" s="75"/>
      <c r="C662" s="75"/>
      <c r="D662" s="75"/>
    </row>
    <row r="663" ht="15.75" customHeight="1">
      <c r="A663" s="74"/>
      <c r="B663" s="75"/>
      <c r="C663" s="75"/>
      <c r="D663" s="75"/>
    </row>
    <row r="664" ht="15.75" customHeight="1">
      <c r="A664" s="74"/>
      <c r="B664" s="75"/>
      <c r="C664" s="75"/>
      <c r="D664" s="75"/>
    </row>
    <row r="665" ht="15.75" customHeight="1">
      <c r="A665" s="74"/>
      <c r="B665" s="75"/>
      <c r="C665" s="75"/>
      <c r="D665" s="75"/>
    </row>
    <row r="666" ht="15.75" customHeight="1">
      <c r="A666" s="74"/>
      <c r="B666" s="75"/>
      <c r="C666" s="75"/>
      <c r="D666" s="75"/>
    </row>
    <row r="667" ht="15.75" customHeight="1">
      <c r="A667" s="74"/>
      <c r="B667" s="75"/>
      <c r="C667" s="75"/>
      <c r="D667" s="75"/>
    </row>
    <row r="668" ht="15.75" customHeight="1">
      <c r="A668" s="74"/>
      <c r="B668" s="75"/>
      <c r="C668" s="75"/>
      <c r="D668" s="75"/>
    </row>
    <row r="669" ht="15.75" customHeight="1">
      <c r="A669" s="74"/>
      <c r="B669" s="75"/>
      <c r="C669" s="75"/>
      <c r="D669" s="75"/>
    </row>
    <row r="670" ht="15.75" customHeight="1">
      <c r="A670" s="74"/>
      <c r="B670" s="75"/>
      <c r="C670" s="75"/>
      <c r="D670" s="75"/>
    </row>
    <row r="671" ht="15.75" customHeight="1">
      <c r="A671" s="74"/>
      <c r="B671" s="75"/>
      <c r="C671" s="75"/>
      <c r="D671" s="75"/>
    </row>
    <row r="672" ht="15.75" customHeight="1">
      <c r="A672" s="74"/>
      <c r="B672" s="75"/>
      <c r="C672" s="75"/>
      <c r="D672" s="75"/>
    </row>
    <row r="673" ht="15.75" customHeight="1">
      <c r="A673" s="74"/>
      <c r="B673" s="75"/>
      <c r="C673" s="75"/>
      <c r="D673" s="75"/>
    </row>
    <row r="674" ht="15.75" customHeight="1">
      <c r="A674" s="74"/>
      <c r="B674" s="75"/>
      <c r="C674" s="75"/>
      <c r="D674" s="75"/>
    </row>
    <row r="675" ht="15.75" customHeight="1">
      <c r="A675" s="74"/>
      <c r="B675" s="75"/>
      <c r="C675" s="75"/>
      <c r="D675" s="75"/>
    </row>
    <row r="676" ht="15.75" customHeight="1">
      <c r="A676" s="74"/>
      <c r="B676" s="75"/>
      <c r="C676" s="75"/>
      <c r="D676" s="75"/>
    </row>
    <row r="677" ht="15.75" customHeight="1">
      <c r="A677" s="74"/>
      <c r="B677" s="75"/>
      <c r="C677" s="75"/>
      <c r="D677" s="75"/>
    </row>
    <row r="678" ht="15.75" customHeight="1">
      <c r="A678" s="74"/>
      <c r="B678" s="75"/>
      <c r="C678" s="75"/>
      <c r="D678" s="75"/>
    </row>
    <row r="679" ht="15.75" customHeight="1">
      <c r="A679" s="74"/>
      <c r="B679" s="75"/>
      <c r="C679" s="75"/>
      <c r="D679" s="75"/>
    </row>
    <row r="680" ht="15.75" customHeight="1">
      <c r="A680" s="74"/>
      <c r="B680" s="75"/>
      <c r="C680" s="75"/>
      <c r="D680" s="75"/>
    </row>
    <row r="681" ht="15.75" customHeight="1">
      <c r="A681" s="74"/>
      <c r="B681" s="75"/>
      <c r="C681" s="75"/>
      <c r="D681" s="75"/>
    </row>
    <row r="682" ht="15.75" customHeight="1">
      <c r="A682" s="74"/>
      <c r="B682" s="75"/>
      <c r="C682" s="75"/>
      <c r="D682" s="75"/>
    </row>
    <row r="683" ht="15.75" customHeight="1">
      <c r="A683" s="74"/>
      <c r="B683" s="75"/>
      <c r="C683" s="75"/>
      <c r="D683" s="75"/>
    </row>
    <row r="684" ht="15.75" customHeight="1">
      <c r="A684" s="74"/>
      <c r="B684" s="75"/>
      <c r="C684" s="75"/>
      <c r="D684" s="75"/>
    </row>
    <row r="685" ht="15.75" customHeight="1">
      <c r="A685" s="74"/>
      <c r="B685" s="75"/>
      <c r="C685" s="75"/>
      <c r="D685" s="75"/>
    </row>
    <row r="686" ht="15.75" customHeight="1">
      <c r="A686" s="74"/>
      <c r="B686" s="75"/>
      <c r="C686" s="75"/>
      <c r="D686" s="75"/>
    </row>
    <row r="687" ht="15.75" customHeight="1">
      <c r="A687" s="74"/>
      <c r="B687" s="75"/>
      <c r="C687" s="75"/>
      <c r="D687" s="75"/>
    </row>
    <row r="688" ht="15.75" customHeight="1">
      <c r="A688" s="74"/>
      <c r="B688" s="75"/>
      <c r="C688" s="75"/>
      <c r="D688" s="75"/>
    </row>
    <row r="689" ht="15.75" customHeight="1">
      <c r="A689" s="74"/>
      <c r="B689" s="75"/>
      <c r="C689" s="75"/>
      <c r="D689" s="75"/>
    </row>
    <row r="690" ht="15.75" customHeight="1">
      <c r="A690" s="74"/>
      <c r="B690" s="75"/>
      <c r="C690" s="75"/>
      <c r="D690" s="75"/>
    </row>
    <row r="691" ht="15.75" customHeight="1">
      <c r="A691" s="74"/>
      <c r="B691" s="75"/>
      <c r="C691" s="75"/>
      <c r="D691" s="75"/>
    </row>
    <row r="692" ht="15.75" customHeight="1">
      <c r="A692" s="74"/>
      <c r="B692" s="75"/>
      <c r="C692" s="75"/>
      <c r="D692" s="75"/>
    </row>
    <row r="693" ht="15.75" customHeight="1">
      <c r="A693" s="74"/>
      <c r="B693" s="75"/>
      <c r="C693" s="75"/>
      <c r="D693" s="75"/>
    </row>
    <row r="694" ht="15.75" customHeight="1">
      <c r="A694" s="74"/>
      <c r="B694" s="75"/>
      <c r="C694" s="75"/>
      <c r="D694" s="75"/>
    </row>
    <row r="695" ht="15.75" customHeight="1">
      <c r="A695" s="74"/>
      <c r="B695" s="75"/>
      <c r="C695" s="75"/>
      <c r="D695" s="75"/>
    </row>
    <row r="696" ht="15.75" customHeight="1">
      <c r="A696" s="74"/>
      <c r="B696" s="75"/>
      <c r="C696" s="75"/>
      <c r="D696" s="75"/>
    </row>
    <row r="697" ht="15.75" customHeight="1">
      <c r="A697" s="74"/>
      <c r="B697" s="75"/>
      <c r="C697" s="75"/>
      <c r="D697" s="75"/>
    </row>
    <row r="698" ht="15.75" customHeight="1">
      <c r="A698" s="74"/>
      <c r="B698" s="75"/>
      <c r="C698" s="75"/>
      <c r="D698" s="75"/>
    </row>
    <row r="699" ht="15.75" customHeight="1">
      <c r="A699" s="74"/>
      <c r="B699" s="75"/>
      <c r="C699" s="75"/>
      <c r="D699" s="75"/>
    </row>
    <row r="700" ht="15.75" customHeight="1">
      <c r="A700" s="74"/>
      <c r="B700" s="75"/>
      <c r="C700" s="75"/>
      <c r="D700" s="75"/>
    </row>
    <row r="701" ht="15.75" customHeight="1">
      <c r="A701" s="74"/>
      <c r="B701" s="75"/>
      <c r="C701" s="75"/>
      <c r="D701" s="75"/>
    </row>
    <row r="702" ht="15.75" customHeight="1">
      <c r="A702" s="74"/>
      <c r="B702" s="75"/>
      <c r="C702" s="75"/>
      <c r="D702" s="75"/>
    </row>
    <row r="703" ht="15.75" customHeight="1">
      <c r="A703" s="74"/>
      <c r="B703" s="75"/>
      <c r="C703" s="75"/>
      <c r="D703" s="75"/>
    </row>
    <row r="704" ht="15.75" customHeight="1">
      <c r="A704" s="74"/>
      <c r="B704" s="75"/>
      <c r="C704" s="75"/>
      <c r="D704" s="75"/>
    </row>
    <row r="705" ht="15.75" customHeight="1">
      <c r="A705" s="74"/>
      <c r="B705" s="75"/>
      <c r="C705" s="75"/>
      <c r="D705" s="75"/>
    </row>
    <row r="706" ht="15.75" customHeight="1">
      <c r="A706" s="74"/>
      <c r="B706" s="75"/>
      <c r="C706" s="75"/>
      <c r="D706" s="75"/>
    </row>
    <row r="707" ht="15.75" customHeight="1">
      <c r="A707" s="74"/>
      <c r="B707" s="75"/>
      <c r="C707" s="75"/>
      <c r="D707" s="75"/>
    </row>
    <row r="708" ht="15.75" customHeight="1">
      <c r="A708" s="74"/>
      <c r="B708" s="75"/>
      <c r="C708" s="75"/>
      <c r="D708" s="75"/>
    </row>
    <row r="709" ht="15.75" customHeight="1">
      <c r="A709" s="74"/>
      <c r="B709" s="75"/>
      <c r="C709" s="75"/>
      <c r="D709" s="75"/>
    </row>
    <row r="710" ht="15.75" customHeight="1">
      <c r="A710" s="74"/>
      <c r="B710" s="75"/>
      <c r="C710" s="75"/>
      <c r="D710" s="75"/>
    </row>
    <row r="711" ht="15.75" customHeight="1">
      <c r="A711" s="74"/>
      <c r="B711" s="75"/>
      <c r="C711" s="75"/>
      <c r="D711" s="75"/>
    </row>
    <row r="712" ht="15.75" customHeight="1">
      <c r="A712" s="74"/>
      <c r="B712" s="75"/>
      <c r="C712" s="75"/>
      <c r="D712" s="75"/>
    </row>
    <row r="713" ht="15.75" customHeight="1">
      <c r="A713" s="74"/>
      <c r="B713" s="75"/>
      <c r="C713" s="75"/>
      <c r="D713" s="75"/>
    </row>
    <row r="714" ht="15.75" customHeight="1">
      <c r="A714" s="74"/>
      <c r="B714" s="75"/>
      <c r="C714" s="75"/>
      <c r="D714" s="75"/>
    </row>
    <row r="715" ht="15.75" customHeight="1">
      <c r="A715" s="74"/>
      <c r="B715" s="75"/>
      <c r="C715" s="75"/>
      <c r="D715" s="75"/>
    </row>
    <row r="716" ht="15.75" customHeight="1">
      <c r="A716" s="74"/>
      <c r="B716" s="75"/>
      <c r="C716" s="75"/>
      <c r="D716" s="75"/>
    </row>
    <row r="717" ht="15.75" customHeight="1">
      <c r="A717" s="74"/>
      <c r="B717" s="75"/>
      <c r="C717" s="75"/>
      <c r="D717" s="75"/>
    </row>
    <row r="718" ht="15.75" customHeight="1">
      <c r="A718" s="74"/>
      <c r="B718" s="75"/>
      <c r="C718" s="75"/>
      <c r="D718" s="75"/>
    </row>
    <row r="719" ht="15.75" customHeight="1">
      <c r="A719" s="74"/>
      <c r="B719" s="75"/>
      <c r="C719" s="75"/>
      <c r="D719" s="75"/>
    </row>
    <row r="720" ht="15.75" customHeight="1">
      <c r="A720" s="74"/>
      <c r="B720" s="75"/>
      <c r="C720" s="75"/>
      <c r="D720" s="75"/>
    </row>
    <row r="721" ht="15.75" customHeight="1">
      <c r="A721" s="74"/>
      <c r="B721" s="75"/>
      <c r="C721" s="75"/>
      <c r="D721" s="75"/>
    </row>
    <row r="722" ht="15.75" customHeight="1">
      <c r="A722" s="74"/>
      <c r="B722" s="75"/>
      <c r="C722" s="75"/>
      <c r="D722" s="75"/>
    </row>
    <row r="723" ht="15.75" customHeight="1">
      <c r="A723" s="74"/>
      <c r="B723" s="75"/>
      <c r="C723" s="75"/>
      <c r="D723" s="75"/>
    </row>
    <row r="724" ht="15.75" customHeight="1">
      <c r="A724" s="74"/>
      <c r="B724" s="75"/>
      <c r="C724" s="75"/>
      <c r="D724" s="75"/>
    </row>
    <row r="725" ht="15.75" customHeight="1">
      <c r="A725" s="74"/>
      <c r="B725" s="75"/>
      <c r="C725" s="75"/>
      <c r="D725" s="75"/>
    </row>
    <row r="726" ht="15.75" customHeight="1">
      <c r="A726" s="74"/>
      <c r="B726" s="75"/>
      <c r="C726" s="75"/>
      <c r="D726" s="75"/>
    </row>
    <row r="727" ht="15.75" customHeight="1">
      <c r="A727" s="74"/>
      <c r="B727" s="75"/>
      <c r="C727" s="75"/>
      <c r="D727" s="75"/>
    </row>
    <row r="728" ht="15.75" customHeight="1">
      <c r="A728" s="74"/>
      <c r="B728" s="75"/>
      <c r="C728" s="75"/>
      <c r="D728" s="75"/>
    </row>
    <row r="729" ht="15.75" customHeight="1">
      <c r="A729" s="74"/>
      <c r="B729" s="75"/>
      <c r="C729" s="75"/>
      <c r="D729" s="75"/>
    </row>
    <row r="730" ht="15.75" customHeight="1">
      <c r="A730" s="74"/>
      <c r="B730" s="75"/>
      <c r="C730" s="75"/>
      <c r="D730" s="75"/>
    </row>
    <row r="731" ht="15.75" customHeight="1">
      <c r="A731" s="74"/>
      <c r="B731" s="75"/>
      <c r="C731" s="75"/>
      <c r="D731" s="75"/>
    </row>
    <row r="732" ht="15.75" customHeight="1">
      <c r="A732" s="74"/>
      <c r="B732" s="75"/>
      <c r="C732" s="75"/>
      <c r="D732" s="75"/>
    </row>
    <row r="733" ht="15.75" customHeight="1">
      <c r="A733" s="74"/>
      <c r="B733" s="75"/>
      <c r="C733" s="75"/>
      <c r="D733" s="75"/>
    </row>
    <row r="734" ht="15.75" customHeight="1">
      <c r="A734" s="74"/>
      <c r="B734" s="75"/>
      <c r="C734" s="75"/>
      <c r="D734" s="75"/>
    </row>
    <row r="735" ht="15.75" customHeight="1">
      <c r="A735" s="74"/>
      <c r="B735" s="75"/>
      <c r="C735" s="75"/>
      <c r="D735" s="75"/>
    </row>
    <row r="736" ht="15.75" customHeight="1">
      <c r="A736" s="74"/>
      <c r="B736" s="75"/>
      <c r="C736" s="75"/>
      <c r="D736" s="75"/>
    </row>
    <row r="737" ht="15.75" customHeight="1">
      <c r="A737" s="74"/>
      <c r="B737" s="75"/>
      <c r="C737" s="75"/>
      <c r="D737" s="75"/>
    </row>
    <row r="738" ht="15.75" customHeight="1">
      <c r="A738" s="74"/>
      <c r="B738" s="75"/>
      <c r="C738" s="75"/>
      <c r="D738" s="75"/>
    </row>
    <row r="739" ht="15.75" customHeight="1">
      <c r="A739" s="74"/>
      <c r="B739" s="75"/>
      <c r="C739" s="75"/>
      <c r="D739" s="75"/>
    </row>
    <row r="740" ht="15.75" customHeight="1">
      <c r="A740" s="74"/>
      <c r="B740" s="75"/>
      <c r="C740" s="75"/>
      <c r="D740" s="75"/>
    </row>
    <row r="741" ht="15.75" customHeight="1">
      <c r="A741" s="74"/>
      <c r="B741" s="75"/>
      <c r="C741" s="75"/>
      <c r="D741" s="75"/>
    </row>
    <row r="742" ht="15.75" customHeight="1">
      <c r="A742" s="74"/>
      <c r="B742" s="75"/>
      <c r="C742" s="75"/>
      <c r="D742" s="75"/>
    </row>
    <row r="743" ht="15.75" customHeight="1">
      <c r="A743" s="74"/>
      <c r="B743" s="75"/>
      <c r="C743" s="75"/>
      <c r="D743" s="75"/>
    </row>
    <row r="744" ht="15.75" customHeight="1">
      <c r="A744" s="74"/>
      <c r="B744" s="75"/>
      <c r="C744" s="75"/>
      <c r="D744" s="75"/>
    </row>
    <row r="745" ht="15.75" customHeight="1">
      <c r="A745" s="74"/>
      <c r="B745" s="75"/>
      <c r="C745" s="75"/>
      <c r="D745" s="75"/>
    </row>
    <row r="746" ht="15.75" customHeight="1">
      <c r="A746" s="74"/>
      <c r="B746" s="75"/>
      <c r="C746" s="75"/>
      <c r="D746" s="75"/>
    </row>
    <row r="747" ht="15.75" customHeight="1">
      <c r="A747" s="74"/>
      <c r="B747" s="75"/>
      <c r="C747" s="75"/>
      <c r="D747" s="75"/>
    </row>
    <row r="748" ht="15.75" customHeight="1">
      <c r="A748" s="74"/>
      <c r="B748" s="75"/>
      <c r="C748" s="75"/>
      <c r="D748" s="75"/>
    </row>
    <row r="749" ht="15.75" customHeight="1">
      <c r="A749" s="74"/>
      <c r="B749" s="75"/>
      <c r="C749" s="75"/>
      <c r="D749" s="75"/>
    </row>
    <row r="750" ht="15.75" customHeight="1">
      <c r="A750" s="74"/>
      <c r="B750" s="75"/>
      <c r="C750" s="75"/>
      <c r="D750" s="75"/>
    </row>
    <row r="751" ht="15.75" customHeight="1">
      <c r="A751" s="74"/>
      <c r="B751" s="75"/>
      <c r="C751" s="75"/>
      <c r="D751" s="75"/>
    </row>
    <row r="752" ht="15.75" customHeight="1">
      <c r="A752" s="74"/>
      <c r="B752" s="75"/>
      <c r="C752" s="75"/>
      <c r="D752" s="75"/>
    </row>
    <row r="753" ht="15.75" customHeight="1">
      <c r="A753" s="74"/>
      <c r="B753" s="75"/>
      <c r="C753" s="75"/>
      <c r="D753" s="75"/>
    </row>
    <row r="754" ht="15.75" customHeight="1">
      <c r="A754" s="74"/>
      <c r="B754" s="75"/>
      <c r="C754" s="75"/>
      <c r="D754" s="75"/>
    </row>
    <row r="755" ht="15.75" customHeight="1">
      <c r="A755" s="74"/>
      <c r="B755" s="75"/>
      <c r="C755" s="75"/>
      <c r="D755" s="75"/>
    </row>
    <row r="756" ht="15.75" customHeight="1">
      <c r="A756" s="74"/>
      <c r="B756" s="75"/>
      <c r="C756" s="75"/>
      <c r="D756" s="75"/>
    </row>
    <row r="757" ht="15.75" customHeight="1">
      <c r="A757" s="74"/>
      <c r="B757" s="75"/>
      <c r="C757" s="75"/>
      <c r="D757" s="75"/>
    </row>
    <row r="758" ht="15.75" customHeight="1">
      <c r="A758" s="74"/>
      <c r="B758" s="75"/>
      <c r="C758" s="75"/>
      <c r="D758" s="75"/>
    </row>
    <row r="759" ht="15.75" customHeight="1">
      <c r="A759" s="74"/>
      <c r="B759" s="75"/>
      <c r="C759" s="75"/>
      <c r="D759" s="75"/>
    </row>
    <row r="760" ht="15.75" customHeight="1">
      <c r="A760" s="74"/>
      <c r="B760" s="75"/>
      <c r="C760" s="75"/>
      <c r="D760" s="75"/>
    </row>
    <row r="761" ht="15.75" customHeight="1">
      <c r="A761" s="74"/>
      <c r="B761" s="75"/>
      <c r="C761" s="75"/>
      <c r="D761" s="75"/>
    </row>
    <row r="762" ht="15.75" customHeight="1">
      <c r="A762" s="74"/>
      <c r="B762" s="75"/>
      <c r="C762" s="75"/>
      <c r="D762" s="75"/>
    </row>
    <row r="763" ht="15.75" customHeight="1">
      <c r="A763" s="74"/>
      <c r="B763" s="75"/>
      <c r="C763" s="75"/>
      <c r="D763" s="75"/>
    </row>
    <row r="764" ht="15.75" customHeight="1">
      <c r="A764" s="74"/>
      <c r="B764" s="75"/>
      <c r="C764" s="75"/>
      <c r="D764" s="75"/>
    </row>
    <row r="765" ht="15.75" customHeight="1">
      <c r="A765" s="74"/>
      <c r="B765" s="75"/>
      <c r="C765" s="75"/>
      <c r="D765" s="75"/>
    </row>
    <row r="766" ht="15.75" customHeight="1">
      <c r="A766" s="74"/>
      <c r="B766" s="75"/>
      <c r="C766" s="75"/>
      <c r="D766" s="75"/>
    </row>
    <row r="767" ht="15.75" customHeight="1">
      <c r="A767" s="74"/>
      <c r="B767" s="75"/>
      <c r="C767" s="75"/>
      <c r="D767" s="75"/>
    </row>
    <row r="768" ht="15.75" customHeight="1">
      <c r="A768" s="74"/>
      <c r="B768" s="75"/>
      <c r="C768" s="75"/>
      <c r="D768" s="75"/>
    </row>
    <row r="769" ht="15.75" customHeight="1">
      <c r="A769" s="74"/>
      <c r="B769" s="75"/>
      <c r="C769" s="75"/>
      <c r="D769" s="75"/>
    </row>
    <row r="770" ht="15.75" customHeight="1">
      <c r="A770" s="74"/>
      <c r="B770" s="75"/>
      <c r="C770" s="75"/>
      <c r="D770" s="75"/>
    </row>
    <row r="771" ht="15.75" customHeight="1">
      <c r="A771" s="74"/>
      <c r="B771" s="75"/>
      <c r="C771" s="75"/>
      <c r="D771" s="75"/>
    </row>
    <row r="772" ht="15.75" customHeight="1">
      <c r="A772" s="74"/>
      <c r="B772" s="75"/>
      <c r="C772" s="75"/>
      <c r="D772" s="75"/>
    </row>
    <row r="773" ht="15.75" customHeight="1">
      <c r="A773" s="74"/>
      <c r="B773" s="75"/>
      <c r="C773" s="75"/>
      <c r="D773" s="75"/>
    </row>
    <row r="774" ht="15.75" customHeight="1">
      <c r="A774" s="74"/>
      <c r="B774" s="75"/>
      <c r="C774" s="75"/>
      <c r="D774" s="75"/>
    </row>
    <row r="775" ht="15.75" customHeight="1">
      <c r="A775" s="74"/>
      <c r="B775" s="75"/>
      <c r="C775" s="75"/>
      <c r="D775" s="75"/>
    </row>
    <row r="776" ht="15.75" customHeight="1">
      <c r="A776" s="74"/>
      <c r="B776" s="75"/>
      <c r="C776" s="75"/>
      <c r="D776" s="75"/>
    </row>
    <row r="777" ht="15.75" customHeight="1">
      <c r="A777" s="74"/>
      <c r="B777" s="75"/>
      <c r="C777" s="75"/>
      <c r="D777" s="75"/>
    </row>
    <row r="778" ht="15.75" customHeight="1">
      <c r="A778" s="74"/>
      <c r="B778" s="75"/>
      <c r="C778" s="75"/>
      <c r="D778" s="75"/>
    </row>
    <row r="779" ht="15.75" customHeight="1">
      <c r="A779" s="74"/>
      <c r="B779" s="75"/>
      <c r="C779" s="75"/>
      <c r="D779" s="75"/>
    </row>
    <row r="780" ht="15.75" customHeight="1">
      <c r="A780" s="74"/>
      <c r="B780" s="75"/>
      <c r="C780" s="75"/>
      <c r="D780" s="75"/>
    </row>
    <row r="781" ht="15.75" customHeight="1">
      <c r="A781" s="74"/>
      <c r="B781" s="75"/>
      <c r="C781" s="75"/>
      <c r="D781" s="75"/>
    </row>
    <row r="782" ht="15.75" customHeight="1">
      <c r="A782" s="74"/>
      <c r="B782" s="75"/>
      <c r="C782" s="75"/>
      <c r="D782" s="75"/>
    </row>
    <row r="783" ht="15.75" customHeight="1">
      <c r="A783" s="74"/>
      <c r="B783" s="75"/>
      <c r="C783" s="75"/>
      <c r="D783" s="75"/>
    </row>
    <row r="784" ht="15.75" customHeight="1">
      <c r="A784" s="74"/>
      <c r="B784" s="75"/>
      <c r="C784" s="75"/>
      <c r="D784" s="75"/>
    </row>
    <row r="785" ht="15.75" customHeight="1">
      <c r="A785" s="74"/>
      <c r="B785" s="75"/>
      <c r="C785" s="75"/>
      <c r="D785" s="75"/>
    </row>
    <row r="786" ht="15.75" customHeight="1">
      <c r="A786" s="74"/>
      <c r="B786" s="75"/>
      <c r="C786" s="75"/>
      <c r="D786" s="75"/>
    </row>
    <row r="787" ht="15.75" customHeight="1">
      <c r="A787" s="74"/>
      <c r="B787" s="75"/>
      <c r="C787" s="75"/>
      <c r="D787" s="75"/>
    </row>
    <row r="788" ht="15.75" customHeight="1">
      <c r="A788" s="74"/>
      <c r="B788" s="75"/>
      <c r="C788" s="75"/>
      <c r="D788" s="75"/>
    </row>
    <row r="789" ht="15.75" customHeight="1">
      <c r="A789" s="74"/>
      <c r="B789" s="75"/>
      <c r="C789" s="75"/>
      <c r="D789" s="75"/>
    </row>
    <row r="790" ht="15.75" customHeight="1">
      <c r="A790" s="74"/>
      <c r="B790" s="75"/>
      <c r="C790" s="75"/>
      <c r="D790" s="75"/>
    </row>
    <row r="791" ht="15.75" customHeight="1">
      <c r="A791" s="74"/>
      <c r="B791" s="75"/>
      <c r="C791" s="75"/>
      <c r="D791" s="75"/>
    </row>
    <row r="792" ht="15.75" customHeight="1">
      <c r="A792" s="74"/>
      <c r="B792" s="75"/>
      <c r="C792" s="75"/>
      <c r="D792" s="75"/>
    </row>
    <row r="793" ht="15.75" customHeight="1">
      <c r="A793" s="74"/>
      <c r="B793" s="75"/>
      <c r="C793" s="75"/>
      <c r="D793" s="75"/>
    </row>
    <row r="794" ht="15.75" customHeight="1">
      <c r="A794" s="74"/>
      <c r="B794" s="75"/>
      <c r="C794" s="75"/>
      <c r="D794" s="75"/>
    </row>
    <row r="795" ht="15.75" customHeight="1">
      <c r="A795" s="74"/>
      <c r="B795" s="75"/>
      <c r="C795" s="75"/>
      <c r="D795" s="75"/>
    </row>
    <row r="796" ht="15.75" customHeight="1">
      <c r="A796" s="74"/>
      <c r="B796" s="75"/>
      <c r="C796" s="75"/>
      <c r="D796" s="75"/>
    </row>
    <row r="797" ht="15.75" customHeight="1">
      <c r="A797" s="74"/>
      <c r="B797" s="75"/>
      <c r="C797" s="75"/>
      <c r="D797" s="75"/>
    </row>
    <row r="798" ht="15.75" customHeight="1">
      <c r="A798" s="74"/>
      <c r="B798" s="75"/>
      <c r="C798" s="75"/>
      <c r="D798" s="75"/>
    </row>
    <row r="799" ht="15.75" customHeight="1">
      <c r="A799" s="74"/>
      <c r="B799" s="75"/>
      <c r="C799" s="75"/>
      <c r="D799" s="75"/>
    </row>
    <row r="800" ht="15.75" customHeight="1">
      <c r="A800" s="74"/>
      <c r="B800" s="75"/>
      <c r="C800" s="75"/>
      <c r="D800" s="75"/>
    </row>
    <row r="801" ht="15.75" customHeight="1">
      <c r="A801" s="74"/>
      <c r="B801" s="75"/>
      <c r="C801" s="75"/>
      <c r="D801" s="75"/>
    </row>
    <row r="802" ht="15.75" customHeight="1">
      <c r="A802" s="74"/>
      <c r="B802" s="75"/>
      <c r="C802" s="75"/>
      <c r="D802" s="75"/>
    </row>
    <row r="803" ht="15.75" customHeight="1">
      <c r="A803" s="74"/>
      <c r="B803" s="75"/>
      <c r="C803" s="75"/>
      <c r="D803" s="75"/>
    </row>
    <row r="804" ht="15.75" customHeight="1">
      <c r="A804" s="74"/>
      <c r="B804" s="75"/>
      <c r="C804" s="75"/>
      <c r="D804" s="75"/>
    </row>
    <row r="805" ht="15.75" customHeight="1">
      <c r="A805" s="74"/>
      <c r="B805" s="75"/>
      <c r="C805" s="75"/>
      <c r="D805" s="75"/>
    </row>
    <row r="806" ht="15.75" customHeight="1">
      <c r="A806" s="74"/>
      <c r="B806" s="75"/>
      <c r="C806" s="75"/>
      <c r="D806" s="75"/>
    </row>
    <row r="807" ht="15.75" customHeight="1">
      <c r="A807" s="74"/>
      <c r="B807" s="75"/>
      <c r="C807" s="75"/>
      <c r="D807" s="75"/>
    </row>
    <row r="808" ht="15.75" customHeight="1">
      <c r="A808" s="74"/>
      <c r="B808" s="75"/>
      <c r="C808" s="75"/>
      <c r="D808" s="75"/>
    </row>
    <row r="809" ht="15.75" customHeight="1">
      <c r="A809" s="74"/>
      <c r="B809" s="75"/>
      <c r="C809" s="75"/>
      <c r="D809" s="75"/>
    </row>
    <row r="810" ht="15.75" customHeight="1">
      <c r="A810" s="74"/>
      <c r="B810" s="75"/>
      <c r="C810" s="75"/>
      <c r="D810" s="75"/>
    </row>
    <row r="811" ht="15.75" customHeight="1">
      <c r="A811" s="74"/>
      <c r="B811" s="75"/>
      <c r="C811" s="75"/>
      <c r="D811" s="75"/>
    </row>
    <row r="812" ht="15.75" customHeight="1">
      <c r="A812" s="74"/>
      <c r="B812" s="75"/>
      <c r="C812" s="75"/>
      <c r="D812" s="75"/>
    </row>
    <row r="813" ht="15.75" customHeight="1">
      <c r="A813" s="74"/>
      <c r="B813" s="75"/>
      <c r="C813" s="75"/>
      <c r="D813" s="75"/>
    </row>
    <row r="814" ht="15.75" customHeight="1">
      <c r="A814" s="74"/>
      <c r="B814" s="75"/>
      <c r="C814" s="75"/>
      <c r="D814" s="75"/>
    </row>
    <row r="815" ht="15.75" customHeight="1">
      <c r="A815" s="74"/>
      <c r="B815" s="75"/>
      <c r="C815" s="75"/>
      <c r="D815" s="75"/>
    </row>
    <row r="816" ht="15.75" customHeight="1">
      <c r="A816" s="74"/>
      <c r="B816" s="75"/>
      <c r="C816" s="75"/>
      <c r="D816" s="75"/>
    </row>
    <row r="817" ht="15.75" customHeight="1">
      <c r="A817" s="74"/>
      <c r="B817" s="75"/>
      <c r="C817" s="75"/>
      <c r="D817" s="75"/>
    </row>
    <row r="818" ht="15.75" customHeight="1">
      <c r="A818" s="74"/>
      <c r="B818" s="75"/>
      <c r="C818" s="75"/>
      <c r="D818" s="75"/>
    </row>
    <row r="819" ht="15.75" customHeight="1">
      <c r="A819" s="74"/>
      <c r="B819" s="75"/>
      <c r="C819" s="75"/>
      <c r="D819" s="75"/>
    </row>
    <row r="820" ht="15.75" customHeight="1">
      <c r="A820" s="74"/>
      <c r="B820" s="75"/>
      <c r="C820" s="75"/>
      <c r="D820" s="75"/>
    </row>
    <row r="821" ht="15.75" customHeight="1">
      <c r="A821" s="74"/>
      <c r="B821" s="75"/>
      <c r="C821" s="75"/>
      <c r="D821" s="75"/>
    </row>
    <row r="822" ht="15.75" customHeight="1">
      <c r="A822" s="74"/>
      <c r="B822" s="75"/>
      <c r="C822" s="75"/>
      <c r="D822" s="75"/>
    </row>
    <row r="823" ht="15.75" customHeight="1">
      <c r="A823" s="74"/>
      <c r="B823" s="75"/>
      <c r="C823" s="75"/>
      <c r="D823" s="75"/>
    </row>
    <row r="824" ht="15.75" customHeight="1">
      <c r="A824" s="74"/>
      <c r="B824" s="75"/>
      <c r="C824" s="75"/>
      <c r="D824" s="75"/>
    </row>
    <row r="825" ht="15.75" customHeight="1">
      <c r="A825" s="74"/>
      <c r="B825" s="75"/>
      <c r="C825" s="75"/>
      <c r="D825" s="75"/>
    </row>
    <row r="826" ht="15.75" customHeight="1">
      <c r="A826" s="74"/>
      <c r="B826" s="75"/>
      <c r="C826" s="75"/>
      <c r="D826" s="75"/>
    </row>
    <row r="827" ht="15.75" customHeight="1">
      <c r="A827" s="74"/>
      <c r="B827" s="75"/>
      <c r="C827" s="75"/>
      <c r="D827" s="75"/>
    </row>
    <row r="828" ht="15.75" customHeight="1">
      <c r="A828" s="74"/>
      <c r="B828" s="75"/>
      <c r="C828" s="75"/>
      <c r="D828" s="75"/>
    </row>
    <row r="829" ht="15.75" customHeight="1">
      <c r="A829" s="74"/>
      <c r="B829" s="75"/>
      <c r="C829" s="75"/>
      <c r="D829" s="75"/>
    </row>
    <row r="830" ht="15.75" customHeight="1">
      <c r="A830" s="74"/>
      <c r="B830" s="75"/>
      <c r="C830" s="75"/>
      <c r="D830" s="75"/>
    </row>
    <row r="831" ht="15.75" customHeight="1">
      <c r="A831" s="74"/>
      <c r="B831" s="75"/>
      <c r="C831" s="75"/>
      <c r="D831" s="75"/>
    </row>
    <row r="832" ht="15.75" customHeight="1">
      <c r="A832" s="74"/>
      <c r="B832" s="75"/>
      <c r="C832" s="75"/>
      <c r="D832" s="75"/>
    </row>
    <row r="833" ht="15.75" customHeight="1">
      <c r="A833" s="74"/>
      <c r="B833" s="75"/>
      <c r="C833" s="75"/>
      <c r="D833" s="75"/>
    </row>
    <row r="834" ht="15.75" customHeight="1">
      <c r="A834" s="74"/>
      <c r="B834" s="75"/>
      <c r="C834" s="75"/>
      <c r="D834" s="75"/>
    </row>
    <row r="835" ht="15.75" customHeight="1">
      <c r="A835" s="74"/>
      <c r="B835" s="75"/>
      <c r="C835" s="75"/>
      <c r="D835" s="75"/>
    </row>
    <row r="836" ht="15.75" customHeight="1">
      <c r="A836" s="74"/>
      <c r="B836" s="75"/>
      <c r="C836" s="75"/>
      <c r="D836" s="75"/>
    </row>
    <row r="837" ht="15.75" customHeight="1">
      <c r="A837" s="74"/>
      <c r="B837" s="75"/>
      <c r="C837" s="75"/>
      <c r="D837" s="75"/>
    </row>
    <row r="838" ht="15.75" customHeight="1">
      <c r="A838" s="74"/>
      <c r="B838" s="75"/>
      <c r="C838" s="75"/>
      <c r="D838" s="75"/>
    </row>
    <row r="839" ht="15.75" customHeight="1">
      <c r="A839" s="74"/>
      <c r="B839" s="75"/>
      <c r="C839" s="75"/>
      <c r="D839" s="75"/>
    </row>
    <row r="840" ht="15.75" customHeight="1">
      <c r="A840" s="74"/>
      <c r="B840" s="75"/>
      <c r="C840" s="75"/>
      <c r="D840" s="75"/>
    </row>
    <row r="841" ht="15.75" customHeight="1">
      <c r="A841" s="74"/>
      <c r="B841" s="75"/>
      <c r="C841" s="75"/>
      <c r="D841" s="75"/>
    </row>
    <row r="842" ht="15.75" customHeight="1">
      <c r="A842" s="74"/>
      <c r="B842" s="75"/>
      <c r="C842" s="75"/>
      <c r="D842" s="75"/>
    </row>
    <row r="843" ht="15.75" customHeight="1">
      <c r="A843" s="74"/>
      <c r="B843" s="75"/>
      <c r="C843" s="75"/>
      <c r="D843" s="75"/>
    </row>
    <row r="844" ht="15.75" customHeight="1">
      <c r="A844" s="74"/>
      <c r="B844" s="75"/>
      <c r="C844" s="75"/>
      <c r="D844" s="75"/>
    </row>
    <row r="845" ht="15.75" customHeight="1">
      <c r="A845" s="74"/>
      <c r="B845" s="75"/>
      <c r="C845" s="75"/>
      <c r="D845" s="75"/>
    </row>
    <row r="846" ht="15.75" customHeight="1">
      <c r="A846" s="74"/>
      <c r="B846" s="75"/>
      <c r="C846" s="75"/>
      <c r="D846" s="75"/>
    </row>
    <row r="847" ht="15.75" customHeight="1">
      <c r="A847" s="74"/>
      <c r="B847" s="75"/>
      <c r="C847" s="75"/>
      <c r="D847" s="75"/>
    </row>
    <row r="848" ht="15.75" customHeight="1">
      <c r="A848" s="74"/>
      <c r="B848" s="75"/>
      <c r="C848" s="75"/>
      <c r="D848" s="75"/>
    </row>
    <row r="849" ht="15.75" customHeight="1">
      <c r="A849" s="74"/>
      <c r="B849" s="75"/>
      <c r="C849" s="75"/>
      <c r="D849" s="75"/>
    </row>
    <row r="850" ht="15.75" customHeight="1">
      <c r="A850" s="74"/>
      <c r="B850" s="75"/>
      <c r="C850" s="75"/>
      <c r="D850" s="75"/>
    </row>
    <row r="851" ht="15.75" customHeight="1">
      <c r="A851" s="74"/>
      <c r="B851" s="75"/>
      <c r="C851" s="75"/>
      <c r="D851" s="75"/>
    </row>
    <row r="852" ht="15.75" customHeight="1">
      <c r="A852" s="74"/>
      <c r="B852" s="75"/>
      <c r="C852" s="75"/>
      <c r="D852" s="75"/>
    </row>
    <row r="853" ht="15.75" customHeight="1">
      <c r="A853" s="74"/>
      <c r="B853" s="75"/>
      <c r="C853" s="75"/>
      <c r="D853" s="75"/>
    </row>
    <row r="854" ht="15.75" customHeight="1">
      <c r="A854" s="74"/>
      <c r="B854" s="75"/>
      <c r="C854" s="75"/>
      <c r="D854" s="75"/>
    </row>
    <row r="855" ht="15.75" customHeight="1">
      <c r="A855" s="74"/>
      <c r="B855" s="75"/>
      <c r="C855" s="75"/>
      <c r="D855" s="75"/>
    </row>
    <row r="856" ht="15.75" customHeight="1">
      <c r="A856" s="74"/>
      <c r="B856" s="75"/>
      <c r="C856" s="75"/>
      <c r="D856" s="75"/>
    </row>
    <row r="857" ht="15.75" customHeight="1">
      <c r="A857" s="74"/>
      <c r="B857" s="75"/>
      <c r="C857" s="75"/>
      <c r="D857" s="75"/>
    </row>
    <row r="858" ht="15.75" customHeight="1">
      <c r="A858" s="74"/>
      <c r="B858" s="75"/>
      <c r="C858" s="75"/>
      <c r="D858" s="75"/>
    </row>
    <row r="859" ht="15.75" customHeight="1">
      <c r="A859" s="74"/>
      <c r="B859" s="75"/>
      <c r="C859" s="75"/>
      <c r="D859" s="75"/>
    </row>
    <row r="860" ht="15.75" customHeight="1">
      <c r="A860" s="74"/>
      <c r="B860" s="75"/>
      <c r="C860" s="75"/>
      <c r="D860" s="75"/>
    </row>
    <row r="861" ht="15.75" customHeight="1">
      <c r="A861" s="74"/>
      <c r="B861" s="75"/>
      <c r="C861" s="75"/>
      <c r="D861" s="75"/>
    </row>
    <row r="862" ht="15.75" customHeight="1">
      <c r="A862" s="74"/>
      <c r="B862" s="75"/>
      <c r="C862" s="75"/>
      <c r="D862" s="75"/>
    </row>
    <row r="863" ht="15.75" customHeight="1">
      <c r="A863" s="74"/>
      <c r="B863" s="75"/>
      <c r="C863" s="75"/>
      <c r="D863" s="75"/>
    </row>
    <row r="864" ht="15.75" customHeight="1">
      <c r="A864" s="74"/>
      <c r="B864" s="75"/>
      <c r="C864" s="75"/>
      <c r="D864" s="75"/>
    </row>
    <row r="865" ht="15.75" customHeight="1">
      <c r="A865" s="74"/>
      <c r="B865" s="75"/>
      <c r="C865" s="75"/>
      <c r="D865" s="75"/>
    </row>
    <row r="866" ht="15.75" customHeight="1">
      <c r="A866" s="74"/>
      <c r="B866" s="75"/>
      <c r="C866" s="75"/>
      <c r="D866" s="75"/>
    </row>
    <row r="867" ht="15.75" customHeight="1">
      <c r="A867" s="74"/>
      <c r="B867" s="75"/>
      <c r="C867" s="75"/>
      <c r="D867" s="75"/>
    </row>
    <row r="868" ht="15.75" customHeight="1">
      <c r="A868" s="74"/>
      <c r="B868" s="75"/>
      <c r="C868" s="75"/>
      <c r="D868" s="75"/>
    </row>
    <row r="869" ht="15.75" customHeight="1">
      <c r="A869" s="74"/>
      <c r="B869" s="75"/>
      <c r="C869" s="75"/>
      <c r="D869" s="75"/>
    </row>
    <row r="870" ht="15.75" customHeight="1">
      <c r="A870" s="74"/>
      <c r="B870" s="75"/>
      <c r="C870" s="75"/>
      <c r="D870" s="75"/>
    </row>
    <row r="871" ht="15.75" customHeight="1">
      <c r="A871" s="74"/>
      <c r="B871" s="75"/>
      <c r="C871" s="75"/>
      <c r="D871" s="75"/>
    </row>
    <row r="872" ht="15.75" customHeight="1">
      <c r="A872" s="74"/>
      <c r="B872" s="75"/>
      <c r="C872" s="75"/>
      <c r="D872" s="75"/>
    </row>
    <row r="873" ht="15.75" customHeight="1">
      <c r="A873" s="74"/>
      <c r="B873" s="75"/>
      <c r="C873" s="75"/>
      <c r="D873" s="75"/>
    </row>
    <row r="874" ht="15.75" customHeight="1">
      <c r="A874" s="74"/>
      <c r="B874" s="75"/>
      <c r="C874" s="75"/>
      <c r="D874" s="75"/>
    </row>
    <row r="875" ht="15.75" customHeight="1">
      <c r="A875" s="74"/>
      <c r="B875" s="75"/>
      <c r="C875" s="75"/>
      <c r="D875" s="75"/>
    </row>
    <row r="876" ht="15.75" customHeight="1">
      <c r="A876" s="74"/>
      <c r="B876" s="75"/>
      <c r="C876" s="75"/>
      <c r="D876" s="75"/>
    </row>
    <row r="877" ht="15.75" customHeight="1">
      <c r="A877" s="74"/>
      <c r="B877" s="75"/>
      <c r="C877" s="75"/>
      <c r="D877" s="75"/>
    </row>
    <row r="878" ht="15.75" customHeight="1">
      <c r="A878" s="74"/>
      <c r="B878" s="75"/>
      <c r="C878" s="75"/>
      <c r="D878" s="75"/>
    </row>
    <row r="879" ht="15.75" customHeight="1">
      <c r="A879" s="74"/>
      <c r="B879" s="75"/>
      <c r="C879" s="75"/>
      <c r="D879" s="75"/>
    </row>
    <row r="880" ht="15.75" customHeight="1">
      <c r="A880" s="74"/>
      <c r="B880" s="75"/>
      <c r="C880" s="75"/>
      <c r="D880" s="75"/>
    </row>
    <row r="881" ht="15.75" customHeight="1">
      <c r="A881" s="74"/>
      <c r="B881" s="75"/>
      <c r="C881" s="75"/>
      <c r="D881" s="75"/>
    </row>
    <row r="882" ht="15.75" customHeight="1">
      <c r="A882" s="74"/>
      <c r="B882" s="75"/>
      <c r="C882" s="75"/>
      <c r="D882" s="75"/>
    </row>
    <row r="883" ht="15.75" customHeight="1">
      <c r="A883" s="74"/>
      <c r="B883" s="75"/>
      <c r="C883" s="75"/>
      <c r="D883" s="75"/>
    </row>
    <row r="884" ht="15.75" customHeight="1">
      <c r="A884" s="74"/>
      <c r="B884" s="75"/>
      <c r="C884" s="75"/>
      <c r="D884" s="75"/>
    </row>
    <row r="885" ht="15.75" customHeight="1">
      <c r="A885" s="74"/>
      <c r="B885" s="75"/>
      <c r="C885" s="75"/>
      <c r="D885" s="75"/>
    </row>
    <row r="886" ht="15.75" customHeight="1">
      <c r="A886" s="74"/>
      <c r="B886" s="75"/>
      <c r="C886" s="75"/>
      <c r="D886" s="75"/>
    </row>
    <row r="887" ht="15.75" customHeight="1">
      <c r="A887" s="74"/>
      <c r="B887" s="75"/>
      <c r="C887" s="75"/>
      <c r="D887" s="75"/>
    </row>
    <row r="888" ht="15.75" customHeight="1">
      <c r="A888" s="74"/>
      <c r="B888" s="75"/>
      <c r="C888" s="75"/>
      <c r="D888" s="75"/>
    </row>
    <row r="889" ht="15.75" customHeight="1">
      <c r="A889" s="74"/>
      <c r="B889" s="75"/>
      <c r="C889" s="75"/>
      <c r="D889" s="75"/>
    </row>
    <row r="890" ht="15.75" customHeight="1">
      <c r="A890" s="74"/>
      <c r="B890" s="75"/>
      <c r="C890" s="75"/>
      <c r="D890" s="75"/>
    </row>
    <row r="891" ht="15.75" customHeight="1">
      <c r="A891" s="74"/>
      <c r="B891" s="75"/>
      <c r="C891" s="75"/>
      <c r="D891" s="75"/>
    </row>
    <row r="892" ht="15.75" customHeight="1">
      <c r="A892" s="74"/>
      <c r="B892" s="75"/>
      <c r="C892" s="75"/>
      <c r="D892" s="75"/>
    </row>
    <row r="893" ht="15.75" customHeight="1">
      <c r="A893" s="74"/>
      <c r="B893" s="75"/>
      <c r="C893" s="75"/>
      <c r="D893" s="75"/>
    </row>
    <row r="894" ht="15.75" customHeight="1">
      <c r="A894" s="74"/>
      <c r="B894" s="75"/>
      <c r="C894" s="75"/>
      <c r="D894" s="75"/>
    </row>
    <row r="895" ht="15.75" customHeight="1">
      <c r="A895" s="74"/>
      <c r="B895" s="75"/>
      <c r="C895" s="75"/>
      <c r="D895" s="75"/>
    </row>
    <row r="896" ht="15.75" customHeight="1">
      <c r="A896" s="74"/>
      <c r="B896" s="75"/>
      <c r="C896" s="75"/>
      <c r="D896" s="75"/>
    </row>
    <row r="897" ht="15.75" customHeight="1">
      <c r="A897" s="74"/>
      <c r="B897" s="75"/>
      <c r="C897" s="75"/>
      <c r="D897" s="75"/>
    </row>
    <row r="898" ht="15.75" customHeight="1">
      <c r="A898" s="74"/>
      <c r="B898" s="75"/>
      <c r="C898" s="75"/>
      <c r="D898" s="75"/>
    </row>
    <row r="899" ht="15.75" customHeight="1">
      <c r="A899" s="74"/>
      <c r="B899" s="75"/>
      <c r="C899" s="75"/>
      <c r="D899" s="75"/>
    </row>
    <row r="900" ht="15.75" customHeight="1">
      <c r="A900" s="74"/>
      <c r="B900" s="75"/>
      <c r="C900" s="75"/>
      <c r="D900" s="75"/>
    </row>
    <row r="901" ht="15.75" customHeight="1">
      <c r="A901" s="74"/>
      <c r="B901" s="75"/>
      <c r="C901" s="75"/>
      <c r="D901" s="75"/>
    </row>
    <row r="902" ht="15.75" customHeight="1">
      <c r="A902" s="74"/>
      <c r="B902" s="75"/>
      <c r="C902" s="75"/>
      <c r="D902" s="75"/>
    </row>
    <row r="903" ht="15.75" customHeight="1">
      <c r="A903" s="74"/>
      <c r="B903" s="75"/>
      <c r="C903" s="75"/>
      <c r="D903" s="75"/>
    </row>
    <row r="904" ht="15.75" customHeight="1">
      <c r="A904" s="74"/>
      <c r="B904" s="75"/>
      <c r="C904" s="75"/>
      <c r="D904" s="75"/>
    </row>
    <row r="905" ht="15.75" customHeight="1">
      <c r="A905" s="74"/>
      <c r="B905" s="75"/>
      <c r="C905" s="75"/>
      <c r="D905" s="75"/>
    </row>
    <row r="906" ht="15.75" customHeight="1">
      <c r="A906" s="74"/>
      <c r="B906" s="75"/>
      <c r="C906" s="75"/>
      <c r="D906" s="75"/>
    </row>
    <row r="907" ht="15.75" customHeight="1">
      <c r="A907" s="74"/>
      <c r="B907" s="75"/>
      <c r="C907" s="75"/>
      <c r="D907" s="75"/>
    </row>
    <row r="908" ht="15.75" customHeight="1">
      <c r="A908" s="74"/>
      <c r="B908" s="75"/>
      <c r="C908" s="75"/>
      <c r="D908" s="75"/>
    </row>
    <row r="909" ht="15.75" customHeight="1">
      <c r="A909" s="74"/>
      <c r="B909" s="75"/>
      <c r="C909" s="75"/>
      <c r="D909" s="75"/>
    </row>
    <row r="910" ht="15.75" customHeight="1">
      <c r="A910" s="74"/>
      <c r="B910" s="75"/>
      <c r="C910" s="75"/>
      <c r="D910" s="75"/>
    </row>
    <row r="911" ht="15.75" customHeight="1">
      <c r="A911" s="74"/>
      <c r="B911" s="75"/>
      <c r="C911" s="75"/>
      <c r="D911" s="75"/>
    </row>
    <row r="912" ht="15.75" customHeight="1">
      <c r="A912" s="74"/>
      <c r="B912" s="75"/>
      <c r="C912" s="75"/>
      <c r="D912" s="75"/>
    </row>
    <row r="913" ht="15.75" customHeight="1">
      <c r="A913" s="74"/>
      <c r="B913" s="75"/>
      <c r="C913" s="75"/>
      <c r="D913" s="75"/>
    </row>
    <row r="914" ht="15.75" customHeight="1">
      <c r="A914" s="74"/>
      <c r="B914" s="75"/>
      <c r="C914" s="75"/>
      <c r="D914" s="75"/>
    </row>
    <row r="915" ht="15.75" customHeight="1">
      <c r="A915" s="74"/>
      <c r="B915" s="75"/>
      <c r="C915" s="75"/>
      <c r="D915" s="75"/>
    </row>
    <row r="916" ht="15.75" customHeight="1">
      <c r="A916" s="74"/>
      <c r="B916" s="75"/>
      <c r="C916" s="75"/>
      <c r="D916" s="75"/>
    </row>
    <row r="917" ht="15.75" customHeight="1">
      <c r="A917" s="74"/>
      <c r="B917" s="75"/>
      <c r="C917" s="75"/>
      <c r="D917" s="75"/>
    </row>
    <row r="918" ht="15.75" customHeight="1">
      <c r="A918" s="74"/>
      <c r="B918" s="75"/>
      <c r="C918" s="75"/>
      <c r="D918" s="75"/>
    </row>
    <row r="919" ht="15.75" customHeight="1">
      <c r="A919" s="74"/>
      <c r="B919" s="75"/>
      <c r="C919" s="75"/>
      <c r="D919" s="75"/>
    </row>
    <row r="920" ht="15.75" customHeight="1">
      <c r="A920" s="74"/>
      <c r="B920" s="75"/>
      <c r="C920" s="75"/>
      <c r="D920" s="75"/>
    </row>
    <row r="921" ht="15.75" customHeight="1">
      <c r="A921" s="74"/>
      <c r="B921" s="75"/>
      <c r="C921" s="75"/>
      <c r="D921" s="75"/>
    </row>
    <row r="922" ht="15.75" customHeight="1">
      <c r="A922" s="74"/>
      <c r="B922" s="75"/>
      <c r="C922" s="75"/>
      <c r="D922" s="75"/>
    </row>
    <row r="923" ht="15.75" customHeight="1">
      <c r="A923" s="74"/>
      <c r="B923" s="75"/>
      <c r="C923" s="75"/>
      <c r="D923" s="75"/>
    </row>
    <row r="924" ht="15.75" customHeight="1">
      <c r="A924" s="74"/>
      <c r="B924" s="75"/>
      <c r="C924" s="75"/>
      <c r="D924" s="75"/>
    </row>
    <row r="925" ht="15.75" customHeight="1">
      <c r="A925" s="74"/>
      <c r="B925" s="75"/>
      <c r="C925" s="75"/>
      <c r="D925" s="75"/>
    </row>
    <row r="926" ht="15.75" customHeight="1">
      <c r="A926" s="74"/>
      <c r="B926" s="75"/>
      <c r="C926" s="75"/>
      <c r="D926" s="75"/>
    </row>
    <row r="927" ht="15.75" customHeight="1">
      <c r="A927" s="74"/>
      <c r="B927" s="75"/>
      <c r="C927" s="75"/>
      <c r="D927" s="75"/>
    </row>
    <row r="928" ht="15.75" customHeight="1">
      <c r="A928" s="74"/>
      <c r="B928" s="75"/>
      <c r="C928" s="75"/>
      <c r="D928" s="75"/>
    </row>
    <row r="929" ht="15.75" customHeight="1">
      <c r="A929" s="74"/>
      <c r="B929" s="75"/>
      <c r="C929" s="75"/>
      <c r="D929" s="75"/>
    </row>
    <row r="930" ht="15.75" customHeight="1">
      <c r="A930" s="74"/>
      <c r="B930" s="75"/>
      <c r="C930" s="75"/>
      <c r="D930" s="75"/>
    </row>
    <row r="931" ht="15.75" customHeight="1">
      <c r="A931" s="74"/>
      <c r="B931" s="75"/>
      <c r="C931" s="75"/>
      <c r="D931" s="75"/>
    </row>
    <row r="932" ht="15.75" customHeight="1">
      <c r="A932" s="74"/>
      <c r="B932" s="75"/>
      <c r="C932" s="75"/>
      <c r="D932" s="75"/>
    </row>
    <row r="933" ht="15.75" customHeight="1">
      <c r="A933" s="74"/>
      <c r="B933" s="75"/>
      <c r="C933" s="75"/>
      <c r="D933" s="75"/>
    </row>
    <row r="934" ht="15.75" customHeight="1">
      <c r="A934" s="74"/>
      <c r="B934" s="75"/>
      <c r="C934" s="75"/>
      <c r="D934" s="75"/>
    </row>
    <row r="935" ht="15.75" customHeight="1">
      <c r="A935" s="74"/>
      <c r="B935" s="75"/>
      <c r="C935" s="75"/>
      <c r="D935" s="75"/>
    </row>
    <row r="936" ht="15.75" customHeight="1">
      <c r="A936" s="74"/>
      <c r="B936" s="75"/>
      <c r="C936" s="75"/>
      <c r="D936" s="75"/>
    </row>
    <row r="937" ht="15.75" customHeight="1">
      <c r="A937" s="74"/>
      <c r="B937" s="75"/>
      <c r="C937" s="75"/>
      <c r="D937" s="75"/>
    </row>
    <row r="938" ht="15.75" customHeight="1">
      <c r="A938" s="74"/>
      <c r="B938" s="75"/>
      <c r="C938" s="75"/>
      <c r="D938" s="75"/>
    </row>
    <row r="939" ht="15.75" customHeight="1">
      <c r="A939" s="74"/>
      <c r="B939" s="75"/>
      <c r="C939" s="75"/>
      <c r="D939" s="75"/>
    </row>
    <row r="940" ht="15.75" customHeight="1">
      <c r="A940" s="74"/>
      <c r="B940" s="75"/>
      <c r="C940" s="75"/>
      <c r="D940" s="75"/>
    </row>
    <row r="941" ht="15.75" customHeight="1">
      <c r="A941" s="74"/>
      <c r="B941" s="75"/>
      <c r="C941" s="75"/>
      <c r="D941" s="75"/>
    </row>
    <row r="942" ht="15.75" customHeight="1">
      <c r="A942" s="74"/>
      <c r="B942" s="75"/>
      <c r="C942" s="75"/>
      <c r="D942" s="75"/>
    </row>
    <row r="943" ht="15.75" customHeight="1">
      <c r="A943" s="74"/>
      <c r="B943" s="75"/>
      <c r="C943" s="75"/>
      <c r="D943" s="75"/>
    </row>
    <row r="944" ht="15.75" customHeight="1">
      <c r="A944" s="74"/>
      <c r="B944" s="75"/>
      <c r="C944" s="75"/>
      <c r="D944" s="75"/>
    </row>
    <row r="945" ht="15.75" customHeight="1">
      <c r="A945" s="74"/>
      <c r="B945" s="75"/>
      <c r="C945" s="75"/>
      <c r="D945" s="75"/>
    </row>
    <row r="946" ht="15.75" customHeight="1">
      <c r="A946" s="74"/>
      <c r="B946" s="75"/>
      <c r="C946" s="75"/>
      <c r="D946" s="75"/>
    </row>
    <row r="947" ht="15.75" customHeight="1">
      <c r="A947" s="74"/>
      <c r="B947" s="75"/>
      <c r="C947" s="75"/>
      <c r="D947" s="75"/>
    </row>
    <row r="948" ht="15.75" customHeight="1">
      <c r="A948" s="74"/>
      <c r="B948" s="75"/>
      <c r="C948" s="75"/>
      <c r="D948" s="75"/>
    </row>
    <row r="949" ht="15.75" customHeight="1">
      <c r="A949" s="74"/>
      <c r="B949" s="75"/>
      <c r="C949" s="75"/>
      <c r="D949" s="75"/>
    </row>
    <row r="950" ht="15.75" customHeight="1">
      <c r="A950" s="74"/>
      <c r="B950" s="75"/>
      <c r="C950" s="75"/>
      <c r="D950" s="75"/>
    </row>
    <row r="951" ht="15.75" customHeight="1">
      <c r="A951" s="74"/>
      <c r="B951" s="75"/>
      <c r="C951" s="75"/>
      <c r="D951" s="75"/>
    </row>
    <row r="952" ht="15.75" customHeight="1">
      <c r="A952" s="74"/>
      <c r="B952" s="75"/>
      <c r="C952" s="75"/>
      <c r="D952" s="75"/>
    </row>
    <row r="953" ht="15.75" customHeight="1">
      <c r="A953" s="74"/>
      <c r="B953" s="75"/>
      <c r="C953" s="75"/>
      <c r="D953" s="75"/>
    </row>
    <row r="954" ht="15.75" customHeight="1">
      <c r="A954" s="74"/>
      <c r="B954" s="75"/>
      <c r="C954" s="75"/>
      <c r="D954" s="75"/>
    </row>
    <row r="955" ht="15.75" customHeight="1">
      <c r="A955" s="74"/>
      <c r="B955" s="75"/>
      <c r="C955" s="75"/>
      <c r="D955" s="75"/>
    </row>
    <row r="956" ht="15.75" customHeight="1">
      <c r="A956" s="74"/>
      <c r="B956" s="75"/>
      <c r="C956" s="75"/>
      <c r="D956" s="75"/>
    </row>
    <row r="957" ht="15.75" customHeight="1">
      <c r="A957" s="74"/>
      <c r="B957" s="75"/>
      <c r="C957" s="75"/>
      <c r="D957" s="75"/>
    </row>
    <row r="958" ht="15.75" customHeight="1">
      <c r="A958" s="74"/>
      <c r="B958" s="75"/>
      <c r="C958" s="75"/>
      <c r="D958" s="75"/>
    </row>
    <row r="959" ht="15.75" customHeight="1">
      <c r="A959" s="74"/>
      <c r="B959" s="75"/>
      <c r="C959" s="75"/>
      <c r="D959" s="75"/>
    </row>
    <row r="960" ht="15.75" customHeight="1">
      <c r="A960" s="74"/>
      <c r="B960" s="75"/>
      <c r="C960" s="75"/>
      <c r="D960" s="75"/>
    </row>
    <row r="961" ht="15.75" customHeight="1">
      <c r="A961" s="74"/>
      <c r="B961" s="75"/>
      <c r="C961" s="75"/>
      <c r="D961" s="75"/>
    </row>
    <row r="962" ht="15.75" customHeight="1">
      <c r="A962" s="74"/>
      <c r="B962" s="75"/>
      <c r="C962" s="75"/>
      <c r="D962" s="75"/>
    </row>
    <row r="963" ht="15.75" customHeight="1">
      <c r="A963" s="74"/>
      <c r="B963" s="75"/>
      <c r="C963" s="75"/>
      <c r="D963" s="75"/>
    </row>
    <row r="964" ht="15.75" customHeight="1">
      <c r="A964" s="74"/>
      <c r="B964" s="75"/>
      <c r="C964" s="75"/>
      <c r="D964" s="75"/>
    </row>
    <row r="965" ht="15.75" customHeight="1">
      <c r="A965" s="74"/>
      <c r="B965" s="75"/>
      <c r="C965" s="75"/>
      <c r="D965" s="75"/>
    </row>
    <row r="966" ht="15.75" customHeight="1">
      <c r="A966" s="74"/>
      <c r="B966" s="75"/>
      <c r="C966" s="75"/>
      <c r="D966" s="75"/>
    </row>
    <row r="967" ht="15.75" customHeight="1">
      <c r="A967" s="74"/>
      <c r="B967" s="75"/>
      <c r="C967" s="75"/>
      <c r="D967" s="75"/>
    </row>
    <row r="968" ht="15.75" customHeight="1">
      <c r="A968" s="74"/>
      <c r="B968" s="75"/>
      <c r="C968" s="75"/>
      <c r="D968" s="75"/>
    </row>
    <row r="969" ht="15.75" customHeight="1">
      <c r="A969" s="74"/>
      <c r="B969" s="75"/>
      <c r="C969" s="75"/>
      <c r="D969" s="75"/>
    </row>
    <row r="970" ht="15.75" customHeight="1">
      <c r="A970" s="74"/>
      <c r="B970" s="75"/>
      <c r="C970" s="75"/>
      <c r="D970" s="75"/>
    </row>
    <row r="971" ht="15.75" customHeight="1">
      <c r="A971" s="74"/>
      <c r="B971" s="75"/>
      <c r="C971" s="75"/>
      <c r="D971" s="75"/>
    </row>
    <row r="972" ht="15.75" customHeight="1">
      <c r="A972" s="74"/>
      <c r="B972" s="75"/>
      <c r="C972" s="75"/>
      <c r="D972" s="75"/>
    </row>
    <row r="973" ht="15.75" customHeight="1">
      <c r="A973" s="74"/>
      <c r="B973" s="75"/>
      <c r="C973" s="75"/>
      <c r="D973" s="75"/>
    </row>
    <row r="974" ht="15.75" customHeight="1">
      <c r="A974" s="74"/>
      <c r="B974" s="75"/>
      <c r="C974" s="75"/>
      <c r="D974" s="75"/>
    </row>
    <row r="975" ht="15.75" customHeight="1">
      <c r="A975" s="74"/>
      <c r="B975" s="75"/>
      <c r="C975" s="75"/>
      <c r="D975" s="75"/>
    </row>
    <row r="976" ht="15.75" customHeight="1">
      <c r="A976" s="74"/>
      <c r="B976" s="75"/>
      <c r="C976" s="75"/>
      <c r="D976" s="75"/>
    </row>
    <row r="977" ht="15.75" customHeight="1">
      <c r="A977" s="74"/>
      <c r="B977" s="75"/>
      <c r="C977" s="75"/>
      <c r="D977" s="75"/>
    </row>
    <row r="978" ht="15.75" customHeight="1">
      <c r="A978" s="74"/>
      <c r="B978" s="75"/>
      <c r="C978" s="75"/>
      <c r="D978" s="75"/>
    </row>
    <row r="979" ht="15.75" customHeight="1">
      <c r="A979" s="74"/>
      <c r="B979" s="75"/>
      <c r="C979" s="75"/>
      <c r="D979" s="75"/>
    </row>
    <row r="980" ht="15.75" customHeight="1">
      <c r="A980" s="74"/>
      <c r="B980" s="75"/>
      <c r="C980" s="75"/>
      <c r="D980" s="75"/>
    </row>
    <row r="981" ht="15.75" customHeight="1">
      <c r="A981" s="74"/>
      <c r="B981" s="75"/>
      <c r="C981" s="75"/>
      <c r="D981" s="75"/>
    </row>
    <row r="982" ht="15.75" customHeight="1">
      <c r="A982" s="74"/>
      <c r="B982" s="75"/>
      <c r="C982" s="75"/>
      <c r="D982" s="75"/>
    </row>
    <row r="983" ht="15.75" customHeight="1">
      <c r="A983" s="74"/>
      <c r="B983" s="75"/>
      <c r="C983" s="75"/>
      <c r="D983" s="75"/>
    </row>
    <row r="984" ht="15.75" customHeight="1">
      <c r="A984" s="74"/>
      <c r="B984" s="75"/>
      <c r="C984" s="75"/>
      <c r="D984" s="75"/>
    </row>
    <row r="985" ht="15.75" customHeight="1">
      <c r="A985" s="74"/>
      <c r="B985" s="75"/>
      <c r="C985" s="75"/>
      <c r="D985" s="75"/>
    </row>
    <row r="986" ht="15.75" customHeight="1">
      <c r="A986" s="74"/>
      <c r="B986" s="75"/>
      <c r="C986" s="75"/>
      <c r="D986" s="75"/>
    </row>
    <row r="987" ht="15.75" customHeight="1">
      <c r="A987" s="74"/>
      <c r="B987" s="75"/>
      <c r="C987" s="75"/>
      <c r="D987" s="75"/>
    </row>
    <row r="988" ht="15.75" customHeight="1">
      <c r="A988" s="74"/>
      <c r="B988" s="75"/>
      <c r="C988" s="75"/>
      <c r="D988" s="75"/>
    </row>
    <row r="989" ht="15.75" customHeight="1">
      <c r="A989" s="74"/>
      <c r="B989" s="75"/>
      <c r="C989" s="75"/>
      <c r="D989" s="75"/>
    </row>
    <row r="990" ht="15.75" customHeight="1">
      <c r="A990" s="74"/>
      <c r="B990" s="75"/>
      <c r="C990" s="75"/>
      <c r="D990" s="75"/>
    </row>
    <row r="991" ht="15.75" customHeight="1">
      <c r="A991" s="74"/>
      <c r="B991" s="75"/>
      <c r="C991" s="75"/>
      <c r="D991" s="75"/>
    </row>
    <row r="992" ht="15.75" customHeight="1">
      <c r="A992" s="74"/>
      <c r="B992" s="75"/>
      <c r="C992" s="75"/>
      <c r="D992" s="75"/>
    </row>
    <row r="993" ht="15.75" customHeight="1">
      <c r="A993" s="74"/>
      <c r="B993" s="75"/>
      <c r="C993" s="75"/>
      <c r="D993" s="75"/>
    </row>
    <row r="994" ht="15.75" customHeight="1">
      <c r="A994" s="74"/>
      <c r="B994" s="75"/>
      <c r="C994" s="75"/>
      <c r="D994" s="75"/>
    </row>
    <row r="995" ht="15.75" customHeight="1">
      <c r="A995" s="74"/>
      <c r="B995" s="75"/>
      <c r="C995" s="75"/>
      <c r="D995" s="75"/>
    </row>
    <row r="996" ht="15.75" customHeight="1">
      <c r="A996" s="74"/>
      <c r="B996" s="75"/>
      <c r="C996" s="75"/>
      <c r="D996" s="75"/>
    </row>
    <row r="997" ht="15.75" customHeight="1">
      <c r="A997" s="74"/>
      <c r="B997" s="75"/>
      <c r="C997" s="75"/>
      <c r="D997" s="75"/>
    </row>
    <row r="998" ht="15.75" customHeight="1">
      <c r="A998" s="74"/>
      <c r="B998" s="75"/>
      <c r="C998" s="75"/>
      <c r="D998" s="75"/>
    </row>
    <row r="999" ht="15.75" customHeight="1">
      <c r="A999" s="74"/>
      <c r="B999" s="75"/>
      <c r="C999" s="75"/>
      <c r="D999" s="75"/>
    </row>
    <row r="1000" ht="15.75" customHeight="1">
      <c r="A1000" s="74"/>
      <c r="B1000" s="75"/>
      <c r="C1000" s="75"/>
      <c r="D1000" s="75"/>
    </row>
    <row r="1001" ht="15.75" customHeight="1">
      <c r="A1001" s="74"/>
      <c r="B1001" s="75"/>
      <c r="C1001" s="75"/>
      <c r="D1001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6" width="11.38"/>
    <col customWidth="1" min="7" max="26" width="10.63"/>
  </cols>
  <sheetData>
    <row r="1">
      <c r="A1" s="67" t="s">
        <v>532</v>
      </c>
      <c r="B1" s="67" t="s">
        <v>452</v>
      </c>
      <c r="C1" s="79" t="s">
        <v>533</v>
      </c>
      <c r="D1" s="79" t="s">
        <v>534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54">
        <v>1.0</v>
      </c>
      <c r="B2" s="67" t="s">
        <v>26</v>
      </c>
      <c r="C2" s="81">
        <v>47.5014762878418</v>
      </c>
      <c r="D2" s="81">
        <v>61.22907638549805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54">
        <v>2.0</v>
      </c>
      <c r="B3" s="67" t="s">
        <v>62</v>
      </c>
      <c r="C3" s="81">
        <v>56.882423400878906</v>
      </c>
      <c r="D3" s="81">
        <v>65.4441146850586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54">
        <v>3.0</v>
      </c>
      <c r="B4" s="67" t="s">
        <v>168</v>
      </c>
      <c r="C4" s="81">
        <v>51.87773513793945</v>
      </c>
      <c r="D4" s="81">
        <v>62.0849723815918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54">
        <v>4.0</v>
      </c>
      <c r="B5" s="67" t="s">
        <v>222</v>
      </c>
      <c r="C5" s="81">
        <v>49.11407470703125</v>
      </c>
      <c r="D5" s="81">
        <v>59.921836853027344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54">
        <v>5.0</v>
      </c>
      <c r="B6" s="67" t="s">
        <v>268</v>
      </c>
      <c r="C6" s="81">
        <v>43.3117561340332</v>
      </c>
      <c r="D6" s="81">
        <v>56.07840347290039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54">
        <v>6.0</v>
      </c>
      <c r="B7" s="67" t="s">
        <v>325</v>
      </c>
      <c r="C7" s="81">
        <v>54.99131774902344</v>
      </c>
      <c r="D7" s="81">
        <v>64.34732055664062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54">
        <v>7.0</v>
      </c>
      <c r="B8" s="67" t="s">
        <v>340</v>
      </c>
      <c r="C8" s="81">
        <v>54.59668731689453</v>
      </c>
      <c r="D8" s="81">
        <v>63.581783294677734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54">
        <v>8.0</v>
      </c>
      <c r="B9" s="67" t="s">
        <v>409</v>
      </c>
      <c r="C9" s="81">
        <v>52.360267639160156</v>
      </c>
      <c r="D9" s="81">
        <v>61.353782653808594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54">
        <v>9.0</v>
      </c>
      <c r="B10" s="67" t="s">
        <v>434</v>
      </c>
      <c r="C10" s="81">
        <v>55.21909713745117</v>
      </c>
      <c r="D10" s="81">
        <v>63.10371017456055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2">
        <v>10.0</v>
      </c>
      <c r="B11" s="67" t="s">
        <v>329</v>
      </c>
      <c r="C11" s="81">
        <v>50.88018734991169</v>
      </c>
      <c r="D11" s="81">
        <v>62.35022792382119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82">
        <v>11.0</v>
      </c>
      <c r="B12" s="67" t="s">
        <v>535</v>
      </c>
      <c r="C12" s="81">
        <v>54.14</v>
      </c>
      <c r="D12" s="81">
        <v>65.83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6" width="11.38"/>
    <col customWidth="1" min="7" max="26" width="10.63"/>
  </cols>
  <sheetData>
    <row r="1">
      <c r="A1" s="67" t="s">
        <v>532</v>
      </c>
      <c r="B1" s="67" t="s">
        <v>452</v>
      </c>
      <c r="C1" s="67" t="s">
        <v>536</v>
      </c>
      <c r="D1" s="67" t="s">
        <v>537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67">
        <v>1.0</v>
      </c>
      <c r="B2" s="67" t="s">
        <v>26</v>
      </c>
      <c r="C2" s="44">
        <v>108587.0</v>
      </c>
      <c r="D2" s="44">
        <v>78233.0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67">
        <v>2.0</v>
      </c>
      <c r="B3" s="67" t="s">
        <v>62</v>
      </c>
      <c r="C3" s="44">
        <v>401676.0</v>
      </c>
      <c r="D3" s="44">
        <v>333247.0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67">
        <v>3.0</v>
      </c>
      <c r="B4" s="67" t="s">
        <v>168</v>
      </c>
      <c r="C4" s="44">
        <v>300863.0</v>
      </c>
      <c r="D4" s="44">
        <v>262066.0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67">
        <v>4.0</v>
      </c>
      <c r="B5" s="67" t="s">
        <v>222</v>
      </c>
      <c r="C5" s="44">
        <v>83717.0</v>
      </c>
      <c r="D5" s="44">
        <v>75293.0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67">
        <v>5.0</v>
      </c>
      <c r="B6" s="67" t="s">
        <v>268</v>
      </c>
      <c r="C6" s="44">
        <v>137511.0</v>
      </c>
      <c r="D6" s="44">
        <v>104898.0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67">
        <v>6.0</v>
      </c>
      <c r="B7" s="67" t="s">
        <v>325</v>
      </c>
      <c r="C7" s="44">
        <v>81777.0</v>
      </c>
      <c r="D7" s="44">
        <v>70949.0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67">
        <v>7.0</v>
      </c>
      <c r="B8" s="67" t="s">
        <v>340</v>
      </c>
      <c r="C8" s="44">
        <v>450516.0</v>
      </c>
      <c r="D8" s="44">
        <v>400968.0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67">
        <v>8.0</v>
      </c>
      <c r="B9" s="67" t="s">
        <v>409</v>
      </c>
      <c r="C9" s="44">
        <v>67940.0</v>
      </c>
      <c r="D9" s="44">
        <v>56994.0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67">
        <v>9.0</v>
      </c>
      <c r="B10" s="67" t="s">
        <v>434</v>
      </c>
      <c r="C10" s="44">
        <v>16728.0</v>
      </c>
      <c r="D10" s="44">
        <v>15306.0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2">
        <v>10.0</v>
      </c>
      <c r="B11" s="84" t="s">
        <v>329</v>
      </c>
      <c r="C11" s="44">
        <f t="shared" ref="C11:D11" si="1">SUM(C8:C10)</f>
        <v>535184</v>
      </c>
      <c r="D11" s="44">
        <f t="shared" si="1"/>
        <v>473268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82">
        <v>11.0</v>
      </c>
      <c r="B12" s="84" t="s">
        <v>535</v>
      </c>
      <c r="C12" s="44">
        <v>1644684.0</v>
      </c>
      <c r="D12" s="44">
        <v>1397954.0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5.25"/>
    <col customWidth="1" min="3" max="8" width="14.75"/>
    <col customWidth="1" min="9" max="26" width="9.13"/>
  </cols>
  <sheetData>
    <row r="1" ht="30.75" customHeight="1">
      <c r="A1" s="85" t="s">
        <v>538</v>
      </c>
      <c r="B1" s="85" t="s">
        <v>539</v>
      </c>
      <c r="C1" s="86" t="s">
        <v>540</v>
      </c>
      <c r="D1" s="86" t="s">
        <v>541</v>
      </c>
      <c r="E1" s="87" t="s">
        <v>542</v>
      </c>
      <c r="F1" s="87" t="s">
        <v>543</v>
      </c>
      <c r="G1" s="88" t="s">
        <v>544</v>
      </c>
      <c r="H1" s="88" t="s">
        <v>545</v>
      </c>
      <c r="I1" s="89" t="s">
        <v>546</v>
      </c>
      <c r="J1" s="89" t="s">
        <v>547</v>
      </c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>
      <c r="A2" s="67">
        <v>8.0</v>
      </c>
      <c r="B2" s="91" t="s">
        <v>548</v>
      </c>
      <c r="C2" s="67">
        <v>100.0</v>
      </c>
      <c r="D2" s="79">
        <v>66.5</v>
      </c>
      <c r="E2" s="79">
        <v>66.5</v>
      </c>
      <c r="F2" s="79">
        <v>55.1</v>
      </c>
      <c r="G2" s="79">
        <v>55.1</v>
      </c>
      <c r="H2" s="79">
        <v>43.7</v>
      </c>
      <c r="I2" s="79">
        <v>43.7</v>
      </c>
      <c r="J2" s="67">
        <v>0.0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0"/>
      <c r="B3" s="80"/>
      <c r="C3" s="92"/>
      <c r="D3" s="92"/>
      <c r="E3" s="92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0"/>
      <c r="B5" s="80"/>
      <c r="C5" s="80"/>
      <c r="D5" s="93"/>
      <c r="E5" s="93"/>
      <c r="F5" s="93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80"/>
      <c r="C6" s="92"/>
      <c r="D6" s="92"/>
      <c r="E6" s="92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5.7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2026-02-09T20:20:52Z</dcterms:created>
  <dc:creator>Oriana</dc:creator>
</cp:coreProperties>
</file>