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695693464b2fe4e/Desktop/9no semestre/Prácticas/SDSN/Pasantia septiembre 2024/Atlas/Bases_datos_completadas/"/>
    </mc:Choice>
  </mc:AlternateContent>
  <xr:revisionPtr revIDLastSave="0" documentId="14_{C9B9EDEB-9061-41AB-8F3E-44CC845509C8}" xr6:coauthVersionLast="47" xr6:coauthVersionMax="47" xr10:uidLastSave="{00000000-0000-0000-0000-000000000000}"/>
  <bookViews>
    <workbookView xWindow="-120" yWindow="-120" windowWidth="20730" windowHeight="10545" xr2:uid="{437D8BC9-069A-4B2D-A4E9-46B30B78D1FD}"/>
  </bookViews>
  <sheets>
    <sheet name="Datos_originales" sheetId="1" r:id="rId1"/>
    <sheet name="Datos_procesados" sheetId="10" r:id="rId2"/>
    <sheet name="Indicador_MUN" sheetId="5" r:id="rId3"/>
    <sheet name="Absoluto_MUN" sheetId="7" r:id="rId4"/>
    <sheet name="Indicador_DEP" sheetId="6" r:id="rId5"/>
    <sheet name="Absoluto_DEP" sheetId="8" r:id="rId6"/>
    <sheet name="Umbral" sheetId="9" r:id="rId7"/>
  </sheets>
  <definedNames>
    <definedName name="_xlnm._FilterDatabase" localSheetId="1" hidden="1">Datos_procesados!$A$1:$M$1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10" l="1"/>
  <c r="S12" i="10"/>
  <c r="R12" i="10"/>
  <c r="Q12" i="10"/>
  <c r="P12" i="10"/>
  <c r="N347" i="10"/>
  <c r="N346" i="10"/>
  <c r="L349" i="10"/>
  <c r="L348" i="10"/>
  <c r="L347" i="10"/>
  <c r="L346" i="10"/>
  <c r="P10" i="10"/>
  <c r="T10" i="10" s="1"/>
  <c r="P9" i="10"/>
  <c r="S9" i="10" s="1"/>
  <c r="P8" i="10"/>
  <c r="P7" i="10"/>
  <c r="T7" i="10" s="1"/>
  <c r="P6" i="10"/>
  <c r="S6" i="10" s="1"/>
  <c r="P5" i="10"/>
  <c r="T5" i="10" s="1"/>
  <c r="P4" i="10"/>
  <c r="P3" i="10"/>
  <c r="P2" i="10"/>
  <c r="T2" i="10" s="1"/>
  <c r="S2" i="10"/>
  <c r="R2" i="10"/>
  <c r="R11" i="10" s="1"/>
  <c r="Q10" i="10"/>
  <c r="S10" i="10" s="1"/>
  <c r="Q9" i="10"/>
  <c r="Q8" i="10"/>
  <c r="Q7" i="10"/>
  <c r="S7" i="10" s="1"/>
  <c r="Q6" i="10"/>
  <c r="Q5" i="10"/>
  <c r="Q4" i="10"/>
  <c r="Q3" i="10"/>
  <c r="Q2" i="10"/>
  <c r="R10" i="10"/>
  <c r="R9" i="10"/>
  <c r="T9" i="10"/>
  <c r="R8" i="10"/>
  <c r="S8" i="10"/>
  <c r="R7" i="10"/>
  <c r="R6" i="10"/>
  <c r="T6" i="10"/>
  <c r="S5" i="10"/>
  <c r="R5" i="10"/>
  <c r="R4" i="10"/>
  <c r="R3" i="10"/>
  <c r="S3" i="10"/>
  <c r="M131" i="10"/>
  <c r="K131" i="10"/>
  <c r="L131" i="10"/>
  <c r="G131" i="10"/>
  <c r="M138" i="10"/>
  <c r="K138" i="10"/>
  <c r="L138" i="10"/>
  <c r="G138" i="10"/>
  <c r="M219" i="10"/>
  <c r="K219" i="10"/>
  <c r="L219" i="10"/>
  <c r="G219" i="10"/>
  <c r="M215" i="10"/>
  <c r="K215" i="10"/>
  <c r="L215" i="10"/>
  <c r="G215" i="10"/>
  <c r="M78" i="10"/>
  <c r="K78" i="10"/>
  <c r="L78" i="10"/>
  <c r="G78" i="10"/>
  <c r="M211" i="10"/>
  <c r="K211" i="10"/>
  <c r="L211" i="10"/>
  <c r="G211" i="10"/>
  <c r="M52" i="10"/>
  <c r="K52" i="10"/>
  <c r="L52" i="10"/>
  <c r="G52" i="10"/>
  <c r="M162" i="10"/>
  <c r="K162" i="10"/>
  <c r="L162" i="10"/>
  <c r="G162" i="10"/>
  <c r="M128" i="10"/>
  <c r="K128" i="10"/>
  <c r="L128" i="10"/>
  <c r="G128" i="10"/>
  <c r="M25" i="10"/>
  <c r="K25" i="10"/>
  <c r="L25" i="10"/>
  <c r="G25" i="10"/>
  <c r="M220" i="10"/>
  <c r="K220" i="10"/>
  <c r="L220" i="10"/>
  <c r="G220" i="10"/>
  <c r="M33" i="10"/>
  <c r="K33" i="10"/>
  <c r="L33" i="10"/>
  <c r="G33" i="10"/>
  <c r="M135" i="10"/>
  <c r="K135" i="10"/>
  <c r="L135" i="10"/>
  <c r="G135" i="10"/>
  <c r="M27" i="10"/>
  <c r="K27" i="10"/>
  <c r="L27" i="10"/>
  <c r="G27" i="10"/>
  <c r="M132" i="10"/>
  <c r="K132" i="10"/>
  <c r="L132" i="10"/>
  <c r="G132" i="10"/>
  <c r="M20" i="10"/>
  <c r="K20" i="10"/>
  <c r="L20" i="10"/>
  <c r="G20" i="10"/>
  <c r="M127" i="10"/>
  <c r="K127" i="10"/>
  <c r="L127" i="10"/>
  <c r="G127" i="10"/>
  <c r="M241" i="10"/>
  <c r="K241" i="10"/>
  <c r="L241" i="10"/>
  <c r="G241" i="10"/>
  <c r="M230" i="10"/>
  <c r="K230" i="10"/>
  <c r="L230" i="10"/>
  <c r="G230" i="10"/>
  <c r="M223" i="10"/>
  <c r="K223" i="10"/>
  <c r="L223" i="10"/>
  <c r="G223" i="10"/>
  <c r="M231" i="10"/>
  <c r="K231" i="10"/>
  <c r="L231" i="10"/>
  <c r="G231" i="10"/>
  <c r="M221" i="10"/>
  <c r="K221" i="10"/>
  <c r="L221" i="10"/>
  <c r="G221" i="10"/>
  <c r="M158" i="10"/>
  <c r="K158" i="10"/>
  <c r="L158" i="10"/>
  <c r="G158" i="10"/>
  <c r="M207" i="10"/>
  <c r="K207" i="10"/>
  <c r="L207" i="10"/>
  <c r="G207" i="10"/>
  <c r="M250" i="10"/>
  <c r="K250" i="10"/>
  <c r="L250" i="10"/>
  <c r="G250" i="10"/>
  <c r="M98" i="10"/>
  <c r="K98" i="10"/>
  <c r="L98" i="10"/>
  <c r="G98" i="10"/>
  <c r="M206" i="10"/>
  <c r="K206" i="10"/>
  <c r="L206" i="10"/>
  <c r="G206" i="10"/>
  <c r="M163" i="10"/>
  <c r="K163" i="10"/>
  <c r="L163" i="10"/>
  <c r="G163" i="10"/>
  <c r="M34" i="10"/>
  <c r="K34" i="10"/>
  <c r="L34" i="10"/>
  <c r="G34" i="10"/>
  <c r="M44" i="10"/>
  <c r="K44" i="10"/>
  <c r="L44" i="10"/>
  <c r="G44" i="10"/>
  <c r="M137" i="10"/>
  <c r="K137" i="10"/>
  <c r="L137" i="10"/>
  <c r="G137" i="10"/>
  <c r="M77" i="10"/>
  <c r="K77" i="10"/>
  <c r="L77" i="10"/>
  <c r="G77" i="10"/>
  <c r="M93" i="10"/>
  <c r="K93" i="10"/>
  <c r="L93" i="10"/>
  <c r="G93" i="10"/>
  <c r="M97" i="10"/>
  <c r="K97" i="10"/>
  <c r="L97" i="10"/>
  <c r="G97" i="10"/>
  <c r="M161" i="10"/>
  <c r="K161" i="10"/>
  <c r="L161" i="10"/>
  <c r="G161" i="10"/>
  <c r="M95" i="10"/>
  <c r="K95" i="10"/>
  <c r="L95" i="10"/>
  <c r="G95" i="10"/>
  <c r="M201" i="10"/>
  <c r="K201" i="10"/>
  <c r="L201" i="10"/>
  <c r="G201" i="10"/>
  <c r="M196" i="10"/>
  <c r="K196" i="10"/>
  <c r="L196" i="10"/>
  <c r="G196" i="10"/>
  <c r="M210" i="10"/>
  <c r="K210" i="10"/>
  <c r="L210" i="10"/>
  <c r="G210" i="10"/>
  <c r="M37" i="10"/>
  <c r="K37" i="10"/>
  <c r="L37" i="10"/>
  <c r="G37" i="10"/>
  <c r="M202" i="10"/>
  <c r="K202" i="10"/>
  <c r="L202" i="10"/>
  <c r="G202" i="10"/>
  <c r="M159" i="10"/>
  <c r="K159" i="10"/>
  <c r="L159" i="10"/>
  <c r="G159" i="10"/>
  <c r="M234" i="10"/>
  <c r="K234" i="10"/>
  <c r="L234" i="10"/>
  <c r="G234" i="10"/>
  <c r="M222" i="10"/>
  <c r="K222" i="10"/>
  <c r="L222" i="10"/>
  <c r="G222" i="10"/>
  <c r="M204" i="10"/>
  <c r="K204" i="10"/>
  <c r="L204" i="10"/>
  <c r="G204" i="10"/>
  <c r="M170" i="10"/>
  <c r="K170" i="10"/>
  <c r="L170" i="10"/>
  <c r="G170" i="10"/>
  <c r="M91" i="10"/>
  <c r="K91" i="10"/>
  <c r="L91" i="10"/>
  <c r="G91" i="10"/>
  <c r="M205" i="10"/>
  <c r="K205" i="10"/>
  <c r="L205" i="10"/>
  <c r="G205" i="10"/>
  <c r="M236" i="10"/>
  <c r="K236" i="10"/>
  <c r="L236" i="10"/>
  <c r="G236" i="10"/>
  <c r="M36" i="10"/>
  <c r="K36" i="10"/>
  <c r="L36" i="10"/>
  <c r="G36" i="10"/>
  <c r="M224" i="10"/>
  <c r="K224" i="10"/>
  <c r="L224" i="10"/>
  <c r="G224" i="10"/>
  <c r="M35" i="10"/>
  <c r="M38" i="10"/>
  <c r="M39" i="10"/>
  <c r="M40" i="10"/>
  <c r="M41" i="10"/>
  <c r="M42" i="10"/>
  <c r="M43" i="10"/>
  <c r="M45" i="10"/>
  <c r="M46" i="10"/>
  <c r="M47" i="10"/>
  <c r="M48" i="10"/>
  <c r="M49" i="10"/>
  <c r="M50" i="10"/>
  <c r="M53" i="10"/>
  <c r="M54" i="10"/>
  <c r="M68" i="10"/>
  <c r="M69" i="10"/>
  <c r="M70" i="10"/>
  <c r="M71" i="10"/>
  <c r="M72" i="10"/>
  <c r="M73" i="10"/>
  <c r="M74" i="10"/>
  <c r="M92" i="10"/>
  <c r="M94" i="10"/>
  <c r="M96" i="10"/>
  <c r="M99" i="10"/>
  <c r="M100" i="10"/>
  <c r="M101" i="10"/>
  <c r="M108" i="10"/>
  <c r="M109" i="10"/>
  <c r="M110" i="10"/>
  <c r="M111" i="10"/>
  <c r="M112" i="10"/>
  <c r="M113" i="10"/>
  <c r="M114" i="10"/>
  <c r="M115" i="10"/>
  <c r="M136" i="10"/>
  <c r="M166" i="10"/>
  <c r="M167" i="10"/>
  <c r="M168" i="10"/>
  <c r="M169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7" i="10"/>
  <c r="M198" i="10"/>
  <c r="M199" i="10"/>
  <c r="M200" i="10"/>
  <c r="M203" i="10"/>
  <c r="M208" i="10"/>
  <c r="M216" i="10"/>
  <c r="M225" i="10"/>
  <c r="M226" i="10"/>
  <c r="M227" i="10"/>
  <c r="M228" i="10"/>
  <c r="M229" i="10"/>
  <c r="M233" i="10"/>
  <c r="M235" i="10"/>
  <c r="M239" i="10"/>
  <c r="M240" i="10"/>
  <c r="M242" i="10"/>
  <c r="L35" i="10"/>
  <c r="L38" i="10"/>
  <c r="L39" i="10"/>
  <c r="L40" i="10"/>
  <c r="L41" i="10"/>
  <c r="L42" i="10"/>
  <c r="L43" i="10"/>
  <c r="L45" i="10"/>
  <c r="L46" i="10"/>
  <c r="L47" i="10"/>
  <c r="L48" i="10"/>
  <c r="L49" i="10"/>
  <c r="L50" i="10"/>
  <c r="L53" i="10"/>
  <c r="L54" i="10"/>
  <c r="L68" i="10"/>
  <c r="L69" i="10"/>
  <c r="L70" i="10"/>
  <c r="L71" i="10"/>
  <c r="L72" i="10"/>
  <c r="L73" i="10"/>
  <c r="L74" i="10"/>
  <c r="L92" i="10"/>
  <c r="L94" i="10"/>
  <c r="L96" i="10"/>
  <c r="L99" i="10"/>
  <c r="L100" i="10"/>
  <c r="L101" i="10"/>
  <c r="L108" i="10"/>
  <c r="L109" i="10"/>
  <c r="L110" i="10"/>
  <c r="L111" i="10"/>
  <c r="L112" i="10"/>
  <c r="L113" i="10"/>
  <c r="L114" i="10"/>
  <c r="L115" i="10"/>
  <c r="L136" i="10"/>
  <c r="L166" i="10"/>
  <c r="L167" i="10"/>
  <c r="L168" i="10"/>
  <c r="L169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7" i="10"/>
  <c r="L198" i="10"/>
  <c r="L199" i="10"/>
  <c r="L200" i="10"/>
  <c r="L203" i="10"/>
  <c r="L208" i="10"/>
  <c r="L216" i="10"/>
  <c r="L225" i="10"/>
  <c r="L226" i="10"/>
  <c r="L227" i="10"/>
  <c r="L228" i="10"/>
  <c r="L229" i="10"/>
  <c r="L233" i="10"/>
  <c r="L235" i="10"/>
  <c r="L239" i="10"/>
  <c r="L240" i="10"/>
  <c r="L242" i="10"/>
  <c r="K232" i="10"/>
  <c r="M232" i="10" s="1"/>
  <c r="K252" i="10"/>
  <c r="M252" i="10" s="1"/>
  <c r="K209" i="10"/>
  <c r="M209" i="10" s="1"/>
  <c r="K292" i="10"/>
  <c r="M292" i="10" s="1"/>
  <c r="K84" i="10"/>
  <c r="M84" i="10" s="1"/>
  <c r="K324" i="10"/>
  <c r="M324" i="10" s="1"/>
  <c r="K291" i="10"/>
  <c r="M291" i="10" s="1"/>
  <c r="K32" i="10"/>
  <c r="M32" i="10" s="1"/>
  <c r="K255" i="10"/>
  <c r="M255" i="10" s="1"/>
  <c r="K61" i="10"/>
  <c r="M61" i="10" s="1"/>
  <c r="K273" i="10"/>
  <c r="M273" i="10" s="1"/>
  <c r="K272" i="10"/>
  <c r="M272" i="10" s="1"/>
  <c r="K270" i="10"/>
  <c r="M270" i="10" s="1"/>
  <c r="K267" i="10"/>
  <c r="M267" i="10" s="1"/>
  <c r="K260" i="10"/>
  <c r="M260" i="10" s="1"/>
  <c r="K322" i="10"/>
  <c r="M322" i="10" s="1"/>
  <c r="K328" i="10"/>
  <c r="M328" i="10" s="1"/>
  <c r="K294" i="10"/>
  <c r="M294" i="10" s="1"/>
  <c r="K310" i="10"/>
  <c r="M310" i="10" s="1"/>
  <c r="K254" i="10"/>
  <c r="M254" i="10" s="1"/>
  <c r="K307" i="10"/>
  <c r="M307" i="10" s="1"/>
  <c r="K311" i="10"/>
  <c r="M311" i="10" s="1"/>
  <c r="K290" i="10"/>
  <c r="M290" i="10" s="1"/>
  <c r="K309" i="10"/>
  <c r="M309" i="10" s="1"/>
  <c r="K79" i="10"/>
  <c r="M79" i="10" s="1"/>
  <c r="K321" i="10"/>
  <c r="M321" i="10" s="1"/>
  <c r="K249" i="10"/>
  <c r="M249" i="10" s="1"/>
  <c r="K259" i="10"/>
  <c r="M259" i="10" s="1"/>
  <c r="K293" i="10"/>
  <c r="M293" i="10" s="1"/>
  <c r="K57" i="10"/>
  <c r="M57" i="10" s="1"/>
  <c r="K83" i="10"/>
  <c r="M83" i="10" s="1"/>
  <c r="K268" i="10"/>
  <c r="M268" i="10" s="1"/>
  <c r="K298" i="10"/>
  <c r="M298" i="10" s="1"/>
  <c r="K271" i="10"/>
  <c r="M271" i="10" s="1"/>
  <c r="K2" i="10"/>
  <c r="M2" i="10" s="1"/>
  <c r="K87" i="10"/>
  <c r="M87" i="10" s="1"/>
  <c r="K323" i="10"/>
  <c r="M323" i="10" s="1"/>
  <c r="K82" i="10"/>
  <c r="M82" i="10" s="1"/>
  <c r="K265" i="10"/>
  <c r="M265" i="10" s="1"/>
  <c r="K55" i="10"/>
  <c r="M55" i="10" s="1"/>
  <c r="K81" i="10"/>
  <c r="M81" i="10" s="1"/>
  <c r="K117" i="10"/>
  <c r="M117" i="10" s="1"/>
  <c r="K80" i="10"/>
  <c r="M80" i="10" s="1"/>
  <c r="K314" i="10"/>
  <c r="M314" i="10" s="1"/>
  <c r="K330" i="10"/>
  <c r="M330" i="10" s="1"/>
  <c r="K269" i="10"/>
  <c r="M269" i="10" s="1"/>
  <c r="K151" i="10"/>
  <c r="M151" i="10" s="1"/>
  <c r="K165" i="10"/>
  <c r="M165" i="10" s="1"/>
  <c r="K300" i="10"/>
  <c r="M300" i="10" s="1"/>
  <c r="K326" i="10"/>
  <c r="M326" i="10" s="1"/>
  <c r="K75" i="10"/>
  <c r="M75" i="10" s="1"/>
  <c r="K122" i="10"/>
  <c r="M122" i="10" s="1"/>
  <c r="K21" i="10"/>
  <c r="M21" i="10" s="1"/>
  <c r="K297" i="10"/>
  <c r="M297" i="10" s="1"/>
  <c r="K316" i="10"/>
  <c r="M316" i="10" s="1"/>
  <c r="K275" i="10"/>
  <c r="M275" i="10" s="1"/>
  <c r="K123" i="10"/>
  <c r="M123" i="10" s="1"/>
  <c r="K85" i="10"/>
  <c r="M85" i="10" s="1"/>
  <c r="K296" i="10"/>
  <c r="M296" i="10" s="1"/>
  <c r="K257" i="10"/>
  <c r="M257" i="10" s="1"/>
  <c r="K152" i="10"/>
  <c r="M152" i="10" s="1"/>
  <c r="K276" i="10"/>
  <c r="M276" i="10" s="1"/>
  <c r="K76" i="10"/>
  <c r="M76" i="10" s="1"/>
  <c r="K325" i="10"/>
  <c r="M325" i="10" s="1"/>
  <c r="K327" i="10"/>
  <c r="M327" i="10" s="1"/>
  <c r="K245" i="10"/>
  <c r="M245" i="10" s="1"/>
  <c r="K246" i="10"/>
  <c r="M246" i="10" s="1"/>
  <c r="K58" i="10"/>
  <c r="M58" i="10" s="1"/>
  <c r="K318" i="10"/>
  <c r="M318" i="10" s="1"/>
  <c r="K306" i="10"/>
  <c r="M306" i="10" s="1"/>
  <c r="K64" i="10"/>
  <c r="M64" i="10" s="1"/>
  <c r="K56" i="10"/>
  <c r="M56" i="10" s="1"/>
  <c r="K263" i="10"/>
  <c r="M263" i="10" s="1"/>
  <c r="K262" i="10"/>
  <c r="M262" i="10" s="1"/>
  <c r="K51" i="10"/>
  <c r="M51" i="10" s="1"/>
  <c r="K88" i="10"/>
  <c r="M88" i="10" s="1"/>
  <c r="K266" i="10"/>
  <c r="M266" i="10" s="1"/>
  <c r="K60" i="10"/>
  <c r="M60" i="10" s="1"/>
  <c r="K153" i="10"/>
  <c r="M153" i="10" s="1"/>
  <c r="K243" i="10"/>
  <c r="M243" i="10" s="1"/>
  <c r="K65" i="10"/>
  <c r="M65" i="10" s="1"/>
  <c r="K256" i="10"/>
  <c r="M256" i="10" s="1"/>
  <c r="K89" i="10"/>
  <c r="M89" i="10" s="1"/>
  <c r="K86" i="10"/>
  <c r="M86" i="10" s="1"/>
  <c r="K315" i="10"/>
  <c r="M315" i="10" s="1"/>
  <c r="K261" i="10"/>
  <c r="M261" i="10" s="1"/>
  <c r="K146" i="10"/>
  <c r="M146" i="10" s="1"/>
  <c r="K317" i="10"/>
  <c r="M317" i="10" s="1"/>
  <c r="K320" i="10"/>
  <c r="M320" i="10" s="1"/>
  <c r="K319" i="10"/>
  <c r="M319" i="10" s="1"/>
  <c r="K17" i="10"/>
  <c r="M17" i="10" s="1"/>
  <c r="K90" i="10"/>
  <c r="M90" i="10" s="1"/>
  <c r="K331" i="10"/>
  <c r="M331" i="10" s="1"/>
  <c r="K258" i="10"/>
  <c r="M258" i="10" s="1"/>
  <c r="K295" i="10"/>
  <c r="M295" i="10" s="1"/>
  <c r="K22" i="10"/>
  <c r="M22" i="10" s="1"/>
  <c r="K16" i="10"/>
  <c r="M16" i="10" s="1"/>
  <c r="K59" i="10"/>
  <c r="M59" i="10" s="1"/>
  <c r="K213" i="10"/>
  <c r="M213" i="10" s="1"/>
  <c r="K251" i="10"/>
  <c r="M251" i="10" s="1"/>
  <c r="K308" i="10"/>
  <c r="M308" i="10" s="1"/>
  <c r="K288" i="10"/>
  <c r="M288" i="10" s="1"/>
  <c r="K3" i="10"/>
  <c r="M3" i="10" s="1"/>
  <c r="K303" i="10"/>
  <c r="M303" i="10" s="1"/>
  <c r="K299" i="10"/>
  <c r="M299" i="10" s="1"/>
  <c r="K106" i="10"/>
  <c r="M106" i="10" s="1"/>
  <c r="K284" i="10"/>
  <c r="M284" i="10" s="1"/>
  <c r="K329" i="10"/>
  <c r="M329" i="10" s="1"/>
  <c r="K63" i="10"/>
  <c r="M63" i="10" s="1"/>
  <c r="K104" i="10"/>
  <c r="M104" i="10" s="1"/>
  <c r="K287" i="10"/>
  <c r="M287" i="10" s="1"/>
  <c r="K332" i="10"/>
  <c r="M332" i="10" s="1"/>
  <c r="K247" i="10"/>
  <c r="M247" i="10" s="1"/>
  <c r="K31" i="10"/>
  <c r="M31" i="10" s="1"/>
  <c r="K264" i="10"/>
  <c r="M264" i="10" s="1"/>
  <c r="K116" i="10"/>
  <c r="M116" i="10" s="1"/>
  <c r="K147" i="10"/>
  <c r="M147" i="10" s="1"/>
  <c r="K337" i="10"/>
  <c r="M337" i="10" s="1"/>
  <c r="K304" i="10"/>
  <c r="M304" i="10" s="1"/>
  <c r="K333" i="10"/>
  <c r="M333" i="10" s="1"/>
  <c r="K278" i="10"/>
  <c r="M278" i="10" s="1"/>
  <c r="K214" i="10"/>
  <c r="M214" i="10" s="1"/>
  <c r="K248" i="10"/>
  <c r="M248" i="10" s="1"/>
  <c r="K279" i="10"/>
  <c r="M279" i="10" s="1"/>
  <c r="K118" i="10"/>
  <c r="M118" i="10" s="1"/>
  <c r="K105" i="10"/>
  <c r="M105" i="10" s="1"/>
  <c r="K253" i="10"/>
  <c r="M253" i="10" s="1"/>
  <c r="K129" i="10"/>
  <c r="M129" i="10" s="1"/>
  <c r="K285" i="10"/>
  <c r="M285" i="10" s="1"/>
  <c r="K62" i="10"/>
  <c r="M62" i="10" s="1"/>
  <c r="K26" i="10"/>
  <c r="M26" i="10" s="1"/>
  <c r="K280" i="10"/>
  <c r="M280" i="10" s="1"/>
  <c r="K281" i="10"/>
  <c r="M281" i="10" s="1"/>
  <c r="K124" i="10"/>
  <c r="M124" i="10" s="1"/>
  <c r="K24" i="10"/>
  <c r="M24" i="10" s="1"/>
  <c r="K66" i="10"/>
  <c r="M66" i="10" s="1"/>
  <c r="K145" i="10"/>
  <c r="M145" i="10" s="1"/>
  <c r="K313" i="10"/>
  <c r="M313" i="10" s="1"/>
  <c r="K102" i="10"/>
  <c r="M102" i="10" s="1"/>
  <c r="K244" i="10"/>
  <c r="M244" i="10" s="1"/>
  <c r="K30" i="10"/>
  <c r="M30" i="10" s="1"/>
  <c r="K301" i="10"/>
  <c r="M301" i="10" s="1"/>
  <c r="K141" i="10"/>
  <c r="M141" i="10" s="1"/>
  <c r="K13" i="10"/>
  <c r="M13" i="10" s="1"/>
  <c r="K23" i="10"/>
  <c r="M23" i="10" s="1"/>
  <c r="K28" i="10"/>
  <c r="M28" i="10" s="1"/>
  <c r="K289" i="10"/>
  <c r="M289" i="10" s="1"/>
  <c r="K144" i="10"/>
  <c r="M144" i="10" s="1"/>
  <c r="K274" i="10"/>
  <c r="M274" i="10" s="1"/>
  <c r="K140" i="10"/>
  <c r="M140" i="10" s="1"/>
  <c r="K286" i="10"/>
  <c r="M286" i="10" s="1"/>
  <c r="K5" i="10"/>
  <c r="M5" i="10" s="1"/>
  <c r="K133" i="10"/>
  <c r="M133" i="10" s="1"/>
  <c r="K103" i="10"/>
  <c r="M103" i="10" s="1"/>
  <c r="K305" i="10"/>
  <c r="M305" i="10" s="1"/>
  <c r="K335" i="10"/>
  <c r="M335" i="10" s="1"/>
  <c r="K283" i="10"/>
  <c r="M283" i="10" s="1"/>
  <c r="K302" i="10"/>
  <c r="M302" i="10" s="1"/>
  <c r="K11" i="10"/>
  <c r="M11" i="10" s="1"/>
  <c r="K336" i="10"/>
  <c r="M336" i="10" s="1"/>
  <c r="K142" i="10"/>
  <c r="M142" i="10" s="1"/>
  <c r="K29" i="10"/>
  <c r="M29" i="10" s="1"/>
  <c r="K312" i="10"/>
  <c r="M312" i="10" s="1"/>
  <c r="K282" i="10"/>
  <c r="M282" i="10" s="1"/>
  <c r="K120" i="10"/>
  <c r="M120" i="10" s="1"/>
  <c r="K338" i="10"/>
  <c r="M338" i="10" s="1"/>
  <c r="K15" i="10"/>
  <c r="M15" i="10" s="1"/>
  <c r="K107" i="10"/>
  <c r="M107" i="10" s="1"/>
  <c r="K150" i="10"/>
  <c r="M150" i="10" s="1"/>
  <c r="K67" i="10"/>
  <c r="M67" i="10" s="1"/>
  <c r="K143" i="10"/>
  <c r="M143" i="10" s="1"/>
  <c r="K14" i="10"/>
  <c r="M14" i="10" s="1"/>
  <c r="K130" i="10"/>
  <c r="M130" i="10" s="1"/>
  <c r="K157" i="10"/>
  <c r="M157" i="10" s="1"/>
  <c r="K148" i="10"/>
  <c r="M148" i="10" s="1"/>
  <c r="K121" i="10"/>
  <c r="M121" i="10" s="1"/>
  <c r="K334" i="10"/>
  <c r="M334" i="10" s="1"/>
  <c r="K139" i="10"/>
  <c r="M139" i="10" s="1"/>
  <c r="K9" i="10"/>
  <c r="M9" i="10" s="1"/>
  <c r="K277" i="10"/>
  <c r="M277" i="10" s="1"/>
  <c r="K6" i="10"/>
  <c r="M6" i="10" s="1"/>
  <c r="K164" i="10"/>
  <c r="M164" i="10" s="1"/>
  <c r="K339" i="10"/>
  <c r="M339" i="10" s="1"/>
  <c r="K340" i="10"/>
  <c r="M340" i="10" s="1"/>
  <c r="K12" i="10"/>
  <c r="M12" i="10" s="1"/>
  <c r="K149" i="10"/>
  <c r="M149" i="10" s="1"/>
  <c r="K342" i="10"/>
  <c r="M342" i="10" s="1"/>
  <c r="K10" i="10"/>
  <c r="M10" i="10" s="1"/>
  <c r="K18" i="10"/>
  <c r="M18" i="10" s="1"/>
  <c r="K343" i="10"/>
  <c r="M343" i="10" s="1"/>
  <c r="K341" i="10"/>
  <c r="M341" i="10" s="1"/>
  <c r="K154" i="10"/>
  <c r="M154" i="10" s="1"/>
  <c r="K7" i="10"/>
  <c r="M7" i="10" s="1"/>
  <c r="K156" i="10"/>
  <c r="M156" i="10" s="1"/>
  <c r="K218" i="10"/>
  <c r="M218" i="10" s="1"/>
  <c r="K119" i="10"/>
  <c r="M119" i="10" s="1"/>
  <c r="K344" i="10"/>
  <c r="M344" i="10" s="1"/>
  <c r="K126" i="10"/>
  <c r="M126" i="10" s="1"/>
  <c r="K125" i="10"/>
  <c r="M125" i="10" s="1"/>
  <c r="K134" i="10"/>
  <c r="M134" i="10" s="1"/>
  <c r="K4" i="10"/>
  <c r="M4" i="10" s="1"/>
  <c r="K19" i="10"/>
  <c r="M19" i="10" s="1"/>
  <c r="K8" i="10"/>
  <c r="M8" i="10" s="1"/>
  <c r="K155" i="10"/>
  <c r="M155" i="10" s="1"/>
  <c r="K217" i="10"/>
  <c r="M217" i="10" s="1"/>
  <c r="K35" i="10"/>
  <c r="K38" i="10"/>
  <c r="K39" i="10"/>
  <c r="K40" i="10"/>
  <c r="K41" i="10"/>
  <c r="K42" i="10"/>
  <c r="K43" i="10"/>
  <c r="K45" i="10"/>
  <c r="K46" i="10"/>
  <c r="K47" i="10"/>
  <c r="K48" i="10"/>
  <c r="K49" i="10"/>
  <c r="K50" i="10"/>
  <c r="K53" i="10"/>
  <c r="K54" i="10"/>
  <c r="K68" i="10"/>
  <c r="K69" i="10"/>
  <c r="K70" i="10"/>
  <c r="K71" i="10"/>
  <c r="K72" i="10"/>
  <c r="K73" i="10"/>
  <c r="K74" i="10"/>
  <c r="K92" i="10"/>
  <c r="K94" i="10"/>
  <c r="K96" i="10"/>
  <c r="K99" i="10"/>
  <c r="K100" i="10"/>
  <c r="K101" i="10"/>
  <c r="K108" i="10"/>
  <c r="K109" i="10"/>
  <c r="K110" i="10"/>
  <c r="K111" i="10"/>
  <c r="K112" i="10"/>
  <c r="K113" i="10"/>
  <c r="K114" i="10"/>
  <c r="K115" i="10"/>
  <c r="K136" i="10"/>
  <c r="K166" i="10"/>
  <c r="K167" i="10"/>
  <c r="K168" i="10"/>
  <c r="K169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7" i="10"/>
  <c r="K198" i="10"/>
  <c r="K199" i="10"/>
  <c r="K200" i="10"/>
  <c r="K203" i="10"/>
  <c r="K208" i="10"/>
  <c r="K216" i="10"/>
  <c r="K225" i="10"/>
  <c r="K226" i="10"/>
  <c r="K227" i="10"/>
  <c r="K228" i="10"/>
  <c r="K229" i="10"/>
  <c r="K233" i="10"/>
  <c r="K235" i="10"/>
  <c r="K239" i="10"/>
  <c r="K240" i="10"/>
  <c r="K242" i="10"/>
  <c r="K160" i="10"/>
  <c r="M160" i="10" s="1"/>
  <c r="K237" i="10"/>
  <c r="M237" i="10" s="1"/>
  <c r="K238" i="10"/>
  <c r="M238" i="10" s="1"/>
  <c r="K212" i="10"/>
  <c r="M212" i="10" s="1"/>
  <c r="G232" i="10"/>
  <c r="L232" i="10" s="1"/>
  <c r="G252" i="10"/>
  <c r="L252" i="10" s="1"/>
  <c r="G209" i="10"/>
  <c r="L209" i="10" s="1"/>
  <c r="G292" i="10"/>
  <c r="L292" i="10" s="1"/>
  <c r="G84" i="10"/>
  <c r="L84" i="10" s="1"/>
  <c r="G324" i="10"/>
  <c r="L324" i="10" s="1"/>
  <c r="G291" i="10"/>
  <c r="L291" i="10" s="1"/>
  <c r="G32" i="10"/>
  <c r="L32" i="10" s="1"/>
  <c r="G255" i="10"/>
  <c r="L255" i="10" s="1"/>
  <c r="G61" i="10"/>
  <c r="L61" i="10" s="1"/>
  <c r="G273" i="10"/>
  <c r="L273" i="10" s="1"/>
  <c r="G272" i="10"/>
  <c r="L272" i="10" s="1"/>
  <c r="G270" i="10"/>
  <c r="L270" i="10" s="1"/>
  <c r="G267" i="10"/>
  <c r="L267" i="10" s="1"/>
  <c r="G260" i="10"/>
  <c r="L260" i="10" s="1"/>
  <c r="G322" i="10"/>
  <c r="L322" i="10" s="1"/>
  <c r="G328" i="10"/>
  <c r="L328" i="10" s="1"/>
  <c r="G294" i="10"/>
  <c r="L294" i="10" s="1"/>
  <c r="G310" i="10"/>
  <c r="L310" i="10" s="1"/>
  <c r="G254" i="10"/>
  <c r="L254" i="10" s="1"/>
  <c r="G307" i="10"/>
  <c r="L307" i="10" s="1"/>
  <c r="G311" i="10"/>
  <c r="L311" i="10" s="1"/>
  <c r="G290" i="10"/>
  <c r="L290" i="10" s="1"/>
  <c r="G309" i="10"/>
  <c r="L309" i="10" s="1"/>
  <c r="G79" i="10"/>
  <c r="L79" i="10" s="1"/>
  <c r="G321" i="10"/>
  <c r="L321" i="10" s="1"/>
  <c r="G249" i="10"/>
  <c r="L249" i="10" s="1"/>
  <c r="G259" i="10"/>
  <c r="L259" i="10" s="1"/>
  <c r="G293" i="10"/>
  <c r="L293" i="10" s="1"/>
  <c r="G57" i="10"/>
  <c r="L57" i="10" s="1"/>
  <c r="G83" i="10"/>
  <c r="L83" i="10" s="1"/>
  <c r="G268" i="10"/>
  <c r="L268" i="10" s="1"/>
  <c r="G298" i="10"/>
  <c r="L298" i="10" s="1"/>
  <c r="G271" i="10"/>
  <c r="L271" i="10" s="1"/>
  <c r="G2" i="10"/>
  <c r="L2" i="10" s="1"/>
  <c r="G87" i="10"/>
  <c r="L87" i="10" s="1"/>
  <c r="G323" i="10"/>
  <c r="L323" i="10" s="1"/>
  <c r="G82" i="10"/>
  <c r="L82" i="10" s="1"/>
  <c r="G265" i="10"/>
  <c r="L265" i="10" s="1"/>
  <c r="G55" i="10"/>
  <c r="L55" i="10" s="1"/>
  <c r="G81" i="10"/>
  <c r="L81" i="10" s="1"/>
  <c r="G117" i="10"/>
  <c r="L117" i="10" s="1"/>
  <c r="G80" i="10"/>
  <c r="L80" i="10" s="1"/>
  <c r="G314" i="10"/>
  <c r="L314" i="10" s="1"/>
  <c r="G330" i="10"/>
  <c r="L330" i="10" s="1"/>
  <c r="G269" i="10"/>
  <c r="L269" i="10" s="1"/>
  <c r="G151" i="10"/>
  <c r="L151" i="10" s="1"/>
  <c r="G165" i="10"/>
  <c r="L165" i="10" s="1"/>
  <c r="G300" i="10"/>
  <c r="L300" i="10" s="1"/>
  <c r="G326" i="10"/>
  <c r="L326" i="10" s="1"/>
  <c r="G75" i="10"/>
  <c r="L75" i="10" s="1"/>
  <c r="G122" i="10"/>
  <c r="L122" i="10" s="1"/>
  <c r="G21" i="10"/>
  <c r="L21" i="10" s="1"/>
  <c r="G297" i="10"/>
  <c r="L297" i="10" s="1"/>
  <c r="G316" i="10"/>
  <c r="L316" i="10" s="1"/>
  <c r="G275" i="10"/>
  <c r="L275" i="10" s="1"/>
  <c r="G123" i="10"/>
  <c r="L123" i="10" s="1"/>
  <c r="G85" i="10"/>
  <c r="L85" i="10" s="1"/>
  <c r="G296" i="10"/>
  <c r="L296" i="10" s="1"/>
  <c r="G257" i="10"/>
  <c r="L257" i="10" s="1"/>
  <c r="G152" i="10"/>
  <c r="L152" i="10" s="1"/>
  <c r="G276" i="10"/>
  <c r="L276" i="10" s="1"/>
  <c r="G76" i="10"/>
  <c r="L76" i="10" s="1"/>
  <c r="G325" i="10"/>
  <c r="L325" i="10" s="1"/>
  <c r="G327" i="10"/>
  <c r="L327" i="10" s="1"/>
  <c r="G245" i="10"/>
  <c r="L245" i="10" s="1"/>
  <c r="G246" i="10"/>
  <c r="L246" i="10" s="1"/>
  <c r="G58" i="10"/>
  <c r="L58" i="10" s="1"/>
  <c r="G318" i="10"/>
  <c r="L318" i="10" s="1"/>
  <c r="G306" i="10"/>
  <c r="L306" i="10" s="1"/>
  <c r="G64" i="10"/>
  <c r="L64" i="10" s="1"/>
  <c r="G56" i="10"/>
  <c r="L56" i="10" s="1"/>
  <c r="G263" i="10"/>
  <c r="L263" i="10" s="1"/>
  <c r="G262" i="10"/>
  <c r="L262" i="10" s="1"/>
  <c r="G51" i="10"/>
  <c r="L51" i="10" s="1"/>
  <c r="G88" i="10"/>
  <c r="L88" i="10" s="1"/>
  <c r="G266" i="10"/>
  <c r="L266" i="10" s="1"/>
  <c r="G60" i="10"/>
  <c r="L60" i="10" s="1"/>
  <c r="G153" i="10"/>
  <c r="L153" i="10" s="1"/>
  <c r="G243" i="10"/>
  <c r="L243" i="10" s="1"/>
  <c r="G65" i="10"/>
  <c r="L65" i="10" s="1"/>
  <c r="G256" i="10"/>
  <c r="L256" i="10" s="1"/>
  <c r="G89" i="10"/>
  <c r="L89" i="10" s="1"/>
  <c r="G86" i="10"/>
  <c r="L86" i="10" s="1"/>
  <c r="G315" i="10"/>
  <c r="L315" i="10" s="1"/>
  <c r="G261" i="10"/>
  <c r="L261" i="10" s="1"/>
  <c r="G146" i="10"/>
  <c r="L146" i="10" s="1"/>
  <c r="G317" i="10"/>
  <c r="L317" i="10" s="1"/>
  <c r="G320" i="10"/>
  <c r="L320" i="10" s="1"/>
  <c r="G319" i="10"/>
  <c r="L319" i="10" s="1"/>
  <c r="G17" i="10"/>
  <c r="L17" i="10" s="1"/>
  <c r="G90" i="10"/>
  <c r="L90" i="10" s="1"/>
  <c r="G331" i="10"/>
  <c r="L331" i="10" s="1"/>
  <c r="G258" i="10"/>
  <c r="L258" i="10" s="1"/>
  <c r="G295" i="10"/>
  <c r="L295" i="10" s="1"/>
  <c r="G22" i="10"/>
  <c r="L22" i="10" s="1"/>
  <c r="G16" i="10"/>
  <c r="L16" i="10" s="1"/>
  <c r="G59" i="10"/>
  <c r="L59" i="10" s="1"/>
  <c r="G213" i="10"/>
  <c r="L213" i="10" s="1"/>
  <c r="G251" i="10"/>
  <c r="L251" i="10" s="1"/>
  <c r="G308" i="10"/>
  <c r="L308" i="10" s="1"/>
  <c r="G288" i="10"/>
  <c r="L288" i="10" s="1"/>
  <c r="G3" i="10"/>
  <c r="L3" i="10" s="1"/>
  <c r="G303" i="10"/>
  <c r="L303" i="10" s="1"/>
  <c r="G299" i="10"/>
  <c r="L299" i="10" s="1"/>
  <c r="G106" i="10"/>
  <c r="L106" i="10" s="1"/>
  <c r="G284" i="10"/>
  <c r="L284" i="10" s="1"/>
  <c r="G329" i="10"/>
  <c r="L329" i="10" s="1"/>
  <c r="G63" i="10"/>
  <c r="L63" i="10" s="1"/>
  <c r="G104" i="10"/>
  <c r="L104" i="10" s="1"/>
  <c r="G287" i="10"/>
  <c r="L287" i="10" s="1"/>
  <c r="G332" i="10"/>
  <c r="L332" i="10" s="1"/>
  <c r="G247" i="10"/>
  <c r="L247" i="10" s="1"/>
  <c r="G31" i="10"/>
  <c r="L31" i="10" s="1"/>
  <c r="G264" i="10"/>
  <c r="L264" i="10" s="1"/>
  <c r="G116" i="10"/>
  <c r="L116" i="10" s="1"/>
  <c r="G147" i="10"/>
  <c r="L147" i="10" s="1"/>
  <c r="G337" i="10"/>
  <c r="L337" i="10" s="1"/>
  <c r="G304" i="10"/>
  <c r="L304" i="10" s="1"/>
  <c r="G333" i="10"/>
  <c r="L333" i="10" s="1"/>
  <c r="G278" i="10"/>
  <c r="L278" i="10" s="1"/>
  <c r="G214" i="10"/>
  <c r="L214" i="10" s="1"/>
  <c r="G248" i="10"/>
  <c r="L248" i="10" s="1"/>
  <c r="G279" i="10"/>
  <c r="L279" i="10" s="1"/>
  <c r="G118" i="10"/>
  <c r="L118" i="10" s="1"/>
  <c r="G105" i="10"/>
  <c r="L105" i="10" s="1"/>
  <c r="G253" i="10"/>
  <c r="L253" i="10" s="1"/>
  <c r="G129" i="10"/>
  <c r="L129" i="10" s="1"/>
  <c r="G285" i="10"/>
  <c r="L285" i="10" s="1"/>
  <c r="G62" i="10"/>
  <c r="L62" i="10" s="1"/>
  <c r="G26" i="10"/>
  <c r="L26" i="10" s="1"/>
  <c r="G280" i="10"/>
  <c r="L280" i="10" s="1"/>
  <c r="G281" i="10"/>
  <c r="L281" i="10" s="1"/>
  <c r="G124" i="10"/>
  <c r="L124" i="10" s="1"/>
  <c r="G24" i="10"/>
  <c r="L24" i="10" s="1"/>
  <c r="G66" i="10"/>
  <c r="L66" i="10" s="1"/>
  <c r="G145" i="10"/>
  <c r="L145" i="10" s="1"/>
  <c r="G313" i="10"/>
  <c r="L313" i="10" s="1"/>
  <c r="G102" i="10"/>
  <c r="L102" i="10" s="1"/>
  <c r="G244" i="10"/>
  <c r="L244" i="10" s="1"/>
  <c r="G30" i="10"/>
  <c r="L30" i="10" s="1"/>
  <c r="G301" i="10"/>
  <c r="L301" i="10" s="1"/>
  <c r="G141" i="10"/>
  <c r="L141" i="10" s="1"/>
  <c r="G13" i="10"/>
  <c r="L13" i="10" s="1"/>
  <c r="G23" i="10"/>
  <c r="L23" i="10" s="1"/>
  <c r="G28" i="10"/>
  <c r="L28" i="10" s="1"/>
  <c r="G289" i="10"/>
  <c r="L289" i="10" s="1"/>
  <c r="G144" i="10"/>
  <c r="L144" i="10" s="1"/>
  <c r="G274" i="10"/>
  <c r="L274" i="10" s="1"/>
  <c r="G140" i="10"/>
  <c r="L140" i="10" s="1"/>
  <c r="G286" i="10"/>
  <c r="L286" i="10" s="1"/>
  <c r="G5" i="10"/>
  <c r="L5" i="10" s="1"/>
  <c r="G133" i="10"/>
  <c r="L133" i="10" s="1"/>
  <c r="G103" i="10"/>
  <c r="L103" i="10" s="1"/>
  <c r="G305" i="10"/>
  <c r="L305" i="10" s="1"/>
  <c r="G335" i="10"/>
  <c r="L335" i="10" s="1"/>
  <c r="G283" i="10"/>
  <c r="L283" i="10" s="1"/>
  <c r="G302" i="10"/>
  <c r="L302" i="10" s="1"/>
  <c r="G11" i="10"/>
  <c r="L11" i="10" s="1"/>
  <c r="G336" i="10"/>
  <c r="L336" i="10" s="1"/>
  <c r="G142" i="10"/>
  <c r="L142" i="10" s="1"/>
  <c r="G29" i="10"/>
  <c r="L29" i="10" s="1"/>
  <c r="G312" i="10"/>
  <c r="L312" i="10" s="1"/>
  <c r="G282" i="10"/>
  <c r="L282" i="10" s="1"/>
  <c r="G120" i="10"/>
  <c r="L120" i="10" s="1"/>
  <c r="G338" i="10"/>
  <c r="L338" i="10" s="1"/>
  <c r="G15" i="10"/>
  <c r="L15" i="10" s="1"/>
  <c r="G107" i="10"/>
  <c r="L107" i="10" s="1"/>
  <c r="G150" i="10"/>
  <c r="L150" i="10" s="1"/>
  <c r="G67" i="10"/>
  <c r="L67" i="10" s="1"/>
  <c r="G143" i="10"/>
  <c r="L143" i="10" s="1"/>
  <c r="G14" i="10"/>
  <c r="L14" i="10" s="1"/>
  <c r="G130" i="10"/>
  <c r="L130" i="10" s="1"/>
  <c r="G157" i="10"/>
  <c r="L157" i="10" s="1"/>
  <c r="G148" i="10"/>
  <c r="L148" i="10" s="1"/>
  <c r="G121" i="10"/>
  <c r="L121" i="10" s="1"/>
  <c r="G334" i="10"/>
  <c r="L334" i="10" s="1"/>
  <c r="G139" i="10"/>
  <c r="L139" i="10" s="1"/>
  <c r="G9" i="10"/>
  <c r="L9" i="10" s="1"/>
  <c r="G277" i="10"/>
  <c r="L277" i="10" s="1"/>
  <c r="G6" i="10"/>
  <c r="L6" i="10" s="1"/>
  <c r="G164" i="10"/>
  <c r="L164" i="10" s="1"/>
  <c r="G339" i="10"/>
  <c r="L339" i="10" s="1"/>
  <c r="G340" i="10"/>
  <c r="L340" i="10" s="1"/>
  <c r="G12" i="10"/>
  <c r="L12" i="10" s="1"/>
  <c r="G149" i="10"/>
  <c r="L149" i="10" s="1"/>
  <c r="G342" i="10"/>
  <c r="L342" i="10" s="1"/>
  <c r="G10" i="10"/>
  <c r="L10" i="10" s="1"/>
  <c r="G18" i="10"/>
  <c r="L18" i="10" s="1"/>
  <c r="G343" i="10"/>
  <c r="L343" i="10" s="1"/>
  <c r="G341" i="10"/>
  <c r="L341" i="10" s="1"/>
  <c r="G154" i="10"/>
  <c r="L154" i="10" s="1"/>
  <c r="G7" i="10"/>
  <c r="L7" i="10" s="1"/>
  <c r="G156" i="10"/>
  <c r="L156" i="10" s="1"/>
  <c r="G218" i="10"/>
  <c r="L218" i="10" s="1"/>
  <c r="G119" i="10"/>
  <c r="L119" i="10" s="1"/>
  <c r="G344" i="10"/>
  <c r="L344" i="10" s="1"/>
  <c r="G126" i="10"/>
  <c r="L126" i="10" s="1"/>
  <c r="G125" i="10"/>
  <c r="L125" i="10" s="1"/>
  <c r="G134" i="10"/>
  <c r="L134" i="10" s="1"/>
  <c r="G4" i="10"/>
  <c r="L4" i="10" s="1"/>
  <c r="G19" i="10"/>
  <c r="L19" i="10" s="1"/>
  <c r="G8" i="10"/>
  <c r="L8" i="10" s="1"/>
  <c r="G155" i="10"/>
  <c r="L155" i="10" s="1"/>
  <c r="G217" i="10"/>
  <c r="L217" i="10" s="1"/>
  <c r="G35" i="10"/>
  <c r="G38" i="10"/>
  <c r="G39" i="10"/>
  <c r="G40" i="10"/>
  <c r="G41" i="10"/>
  <c r="G42" i="10"/>
  <c r="G43" i="10"/>
  <c r="G45" i="10"/>
  <c r="G46" i="10"/>
  <c r="G47" i="10"/>
  <c r="G48" i="10"/>
  <c r="G49" i="10"/>
  <c r="G50" i="10"/>
  <c r="G53" i="10"/>
  <c r="G54" i="10"/>
  <c r="G68" i="10"/>
  <c r="G69" i="10"/>
  <c r="G70" i="10"/>
  <c r="G71" i="10"/>
  <c r="G72" i="10"/>
  <c r="G73" i="10"/>
  <c r="G74" i="10"/>
  <c r="G92" i="10"/>
  <c r="G94" i="10"/>
  <c r="G96" i="10"/>
  <c r="G99" i="10"/>
  <c r="G100" i="10"/>
  <c r="G101" i="10"/>
  <c r="G108" i="10"/>
  <c r="G109" i="10"/>
  <c r="G110" i="10"/>
  <c r="G111" i="10"/>
  <c r="G112" i="10"/>
  <c r="G113" i="10"/>
  <c r="G114" i="10"/>
  <c r="G115" i="10"/>
  <c r="G136" i="10"/>
  <c r="G166" i="10"/>
  <c r="G167" i="10"/>
  <c r="G168" i="10"/>
  <c r="G169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7" i="10"/>
  <c r="G198" i="10"/>
  <c r="G199" i="10"/>
  <c r="G200" i="10"/>
  <c r="G203" i="10"/>
  <c r="G208" i="10"/>
  <c r="G216" i="10"/>
  <c r="G225" i="10"/>
  <c r="G226" i="10"/>
  <c r="G227" i="10"/>
  <c r="G228" i="10"/>
  <c r="G229" i="10"/>
  <c r="G233" i="10"/>
  <c r="G235" i="10"/>
  <c r="G239" i="10"/>
  <c r="G240" i="10"/>
  <c r="G242" i="10"/>
  <c r="G160" i="10"/>
  <c r="L160" i="10" s="1"/>
  <c r="G237" i="10"/>
  <c r="L237" i="10" s="1"/>
  <c r="G238" i="10"/>
  <c r="L238" i="10" s="1"/>
  <c r="G212" i="10"/>
  <c r="L212" i="10" s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F225" i="1"/>
  <c r="E225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F218" i="1"/>
  <c r="E218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F215" i="1"/>
  <c r="E215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F219" i="1"/>
  <c r="E219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F212" i="1"/>
  <c r="E212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F210" i="1"/>
  <c r="E210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F192" i="1"/>
  <c r="E192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F143" i="1"/>
  <c r="E143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F186" i="1"/>
  <c r="E186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F182" i="1"/>
  <c r="E182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F204" i="1"/>
  <c r="E204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F145" i="1"/>
  <c r="E145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F137" i="1"/>
  <c r="E137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F118" i="1"/>
  <c r="E11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F68" i="1"/>
  <c r="E68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F133" i="1"/>
  <c r="E133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F39" i="1"/>
  <c r="E39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F88" i="1"/>
  <c r="E88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F73" i="1"/>
  <c r="E73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F87" i="1"/>
  <c r="E87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F26" i="1"/>
  <c r="E26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F60" i="1"/>
  <c r="E60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F38" i="1"/>
  <c r="E38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F49" i="1"/>
  <c r="E49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F113" i="1"/>
  <c r="E113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F114" i="1"/>
  <c r="E114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F93" i="1"/>
  <c r="E93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F112" i="1"/>
  <c r="E112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F78" i="1"/>
  <c r="E78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F109" i="1"/>
  <c r="E109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F67" i="1"/>
  <c r="E67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F163" i="1"/>
  <c r="E163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F189" i="1"/>
  <c r="E189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F44" i="1"/>
  <c r="E44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F41" i="1"/>
  <c r="E41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F46" i="1"/>
  <c r="E4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F126" i="1"/>
  <c r="E126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F43" i="1"/>
  <c r="E43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F94" i="1"/>
  <c r="E94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F181" i="1"/>
  <c r="E181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F144" i="1"/>
  <c r="E144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F129" i="1"/>
  <c r="E129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F184" i="1"/>
  <c r="E184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F168" i="1"/>
  <c r="E168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F72" i="1"/>
  <c r="E72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F130" i="1"/>
  <c r="E130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F56" i="1"/>
  <c r="E56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F77" i="1"/>
  <c r="E77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F82" i="1"/>
  <c r="E82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F120" i="1"/>
  <c r="E12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F40" i="1"/>
  <c r="E40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F52" i="1"/>
  <c r="E52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F24" i="1"/>
  <c r="E24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F29" i="1"/>
  <c r="E29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F45" i="1"/>
  <c r="E45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F173" i="1"/>
  <c r="E173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F127" i="1"/>
  <c r="E127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F136" i="1"/>
  <c r="E136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F177" i="1"/>
  <c r="E177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F154" i="1"/>
  <c r="E154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F132" i="1"/>
  <c r="E132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F183" i="1"/>
  <c r="E183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F190" i="1"/>
  <c r="E190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F158" i="1"/>
  <c r="E158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F157" i="1"/>
  <c r="E157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F149" i="1"/>
  <c r="E149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F146" i="1"/>
  <c r="E146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F207" i="1"/>
  <c r="E207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F85" i="1"/>
  <c r="E85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F79" i="1"/>
  <c r="E79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F175" i="1"/>
  <c r="E175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F33" i="1"/>
  <c r="E33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F34" i="1"/>
  <c r="E34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F57" i="1"/>
  <c r="E57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F35" i="1"/>
  <c r="E35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F69" i="1"/>
  <c r="E69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F55" i="1"/>
  <c r="E55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F36" i="1"/>
  <c r="E36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F101" i="1"/>
  <c r="E101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F62" i="1"/>
  <c r="E62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F140" i="1"/>
  <c r="E140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F97" i="1"/>
  <c r="E97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F98" i="1"/>
  <c r="E98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F110" i="1"/>
  <c r="E110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F37" i="1"/>
  <c r="E37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F51" i="1"/>
  <c r="E51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F119" i="1"/>
  <c r="E119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F83" i="1"/>
  <c r="E83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F106" i="1"/>
  <c r="E106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F31" i="1"/>
  <c r="E31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F42" i="1"/>
  <c r="E4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F152" i="1"/>
  <c r="E152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F21" i="1"/>
  <c r="E21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F125" i="1"/>
  <c r="E125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F13" i="1"/>
  <c r="E13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F50" i="1"/>
  <c r="E50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F148" i="1"/>
  <c r="E14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F138" i="1"/>
  <c r="E138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F91" i="1"/>
  <c r="E91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F90" i="1"/>
  <c r="E90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F165" i="1"/>
  <c r="E165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F104" i="1"/>
  <c r="E104" i="1"/>
  <c r="F316" i="1"/>
  <c r="E3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F16" i="1"/>
  <c r="E16" i="1"/>
  <c r="F315" i="1"/>
  <c r="E315" i="1"/>
  <c r="F314" i="1"/>
  <c r="E314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F343" i="1"/>
  <c r="E343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F342" i="1"/>
  <c r="E34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F2" i="1"/>
  <c r="E2" i="1"/>
  <c r="F313" i="1"/>
  <c r="E313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F9" i="1"/>
  <c r="E9" i="1"/>
  <c r="F312" i="1"/>
  <c r="E312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F17" i="1"/>
  <c r="E17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F11" i="1"/>
  <c r="E11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F23" i="1"/>
  <c r="E23" i="1"/>
  <c r="F311" i="1"/>
  <c r="E311" i="1"/>
  <c r="F310" i="1"/>
  <c r="E310" i="1"/>
  <c r="F309" i="1"/>
  <c r="E309" i="1"/>
  <c r="F308" i="1"/>
  <c r="E308" i="1"/>
  <c r="F307" i="1"/>
  <c r="E30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F317" i="1"/>
  <c r="E317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F8" i="1"/>
  <c r="E8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F321" i="1"/>
  <c r="E321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F336" i="1"/>
  <c r="E336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F14" i="1"/>
  <c r="E14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F15" i="1"/>
  <c r="E15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F223" i="1"/>
  <c r="E22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F233" i="1"/>
  <c r="E233" i="1"/>
  <c r="F306" i="1"/>
  <c r="E306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F47" i="1"/>
  <c r="E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F147" i="1"/>
  <c r="E147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F124" i="1"/>
  <c r="E12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F344" i="1"/>
  <c r="E344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F20" i="1"/>
  <c r="E20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F18" i="1"/>
  <c r="E18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F22" i="1"/>
  <c r="E22" i="1"/>
  <c r="F305" i="1"/>
  <c r="E305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F334" i="1"/>
  <c r="E334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F333" i="1"/>
  <c r="E333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F319" i="1"/>
  <c r="E319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F5" i="1"/>
  <c r="E5" i="1"/>
  <c r="F304" i="1"/>
  <c r="E304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F3" i="1"/>
  <c r="E3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F19" i="1"/>
  <c r="E19" i="1"/>
  <c r="F303" i="1"/>
  <c r="E303" i="1"/>
  <c r="F302" i="1"/>
  <c r="E302" i="1"/>
  <c r="F301" i="1"/>
  <c r="E301" i="1"/>
  <c r="F300" i="1"/>
  <c r="E300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F6" i="1"/>
  <c r="E6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F4" i="1"/>
  <c r="E4" i="1"/>
  <c r="F274" i="1"/>
  <c r="E274" i="1"/>
  <c r="F273" i="1"/>
  <c r="E273" i="1"/>
  <c r="F272" i="1"/>
  <c r="E272" i="1"/>
  <c r="F271" i="1"/>
  <c r="E2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F71" i="1"/>
  <c r="E71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F209" i="1"/>
  <c r="E209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F332" i="1"/>
  <c r="E332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F338" i="1"/>
  <c r="E338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F325" i="1"/>
  <c r="E325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F341" i="1"/>
  <c r="E341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F322" i="1"/>
  <c r="E322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F335" i="1"/>
  <c r="E335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F200" i="1"/>
  <c r="E200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F222" i="1"/>
  <c r="E22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F232" i="1"/>
  <c r="E232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F220" i="1"/>
  <c r="E220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F103" i="1"/>
  <c r="E103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F84" i="1"/>
  <c r="E84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F70" i="1"/>
  <c r="E70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F195" i="1"/>
  <c r="E195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F214" i="1"/>
  <c r="E214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F201" i="1"/>
  <c r="E201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F142" i="1"/>
  <c r="E142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F111" i="1"/>
  <c r="E111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F162" i="1"/>
  <c r="E162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F174" i="1"/>
  <c r="E174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F197" i="1"/>
  <c r="E19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F187" i="1"/>
  <c r="E187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F169" i="1"/>
  <c r="E169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F176" i="1"/>
  <c r="E176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F205" i="1"/>
  <c r="E205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F339" i="1"/>
  <c r="E33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F329" i="1"/>
  <c r="E329" i="1"/>
  <c r="F270" i="1"/>
  <c r="E270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F211" i="1"/>
  <c r="E211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F228" i="1"/>
  <c r="E228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F179" i="1"/>
  <c r="E179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F337" i="1"/>
  <c r="E337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F340" i="1"/>
  <c r="E340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F199" i="1"/>
  <c r="E199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F153" i="1"/>
  <c r="E15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F203" i="1"/>
  <c r="E203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F166" i="1"/>
  <c r="E16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F226" i="1"/>
  <c r="E226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F227" i="1"/>
  <c r="E227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F159" i="1"/>
  <c r="E159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F80" i="1"/>
  <c r="E80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F75" i="1"/>
  <c r="E75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F202" i="1"/>
  <c r="E202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F191" i="1"/>
  <c r="E191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F224" i="1"/>
  <c r="E224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F150" i="1"/>
  <c r="E150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F65" i="1"/>
  <c r="E65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F141" i="1"/>
  <c r="E141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F194" i="1"/>
  <c r="E194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F131" i="1"/>
  <c r="E13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F151" i="1"/>
  <c r="E151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F135" i="1"/>
  <c r="E135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F180" i="1"/>
  <c r="E180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F164" i="1"/>
  <c r="E164" i="1"/>
  <c r="F261" i="1"/>
  <c r="E261" i="1"/>
  <c r="F260" i="1"/>
  <c r="E260" i="1"/>
  <c r="F259" i="1"/>
  <c r="E259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F116" i="1"/>
  <c r="E11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F326" i="1"/>
  <c r="E326" i="1"/>
  <c r="F258" i="1"/>
  <c r="E258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F324" i="1"/>
  <c r="E324" i="1"/>
  <c r="F257" i="1"/>
  <c r="E25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F327" i="1"/>
  <c r="E327" i="1"/>
  <c r="F256" i="1"/>
  <c r="E256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F320" i="1"/>
  <c r="E320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F117" i="1"/>
  <c r="E11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F107" i="1"/>
  <c r="E107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F100" i="1"/>
  <c r="E100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F59" i="1"/>
  <c r="E59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F108" i="1"/>
  <c r="E108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F81" i="1"/>
  <c r="E81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F25" i="1"/>
  <c r="E25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F54" i="1"/>
  <c r="E54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F61" i="1"/>
  <c r="E61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F64" i="1"/>
  <c r="E64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F66" i="1"/>
  <c r="E66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F48" i="1"/>
  <c r="E48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F89" i="1"/>
  <c r="E89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F328" i="1"/>
  <c r="E328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F86" i="1"/>
  <c r="E86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F74" i="1"/>
  <c r="E74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F196" i="1"/>
  <c r="E196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F161" i="1"/>
  <c r="E161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F105" i="1"/>
  <c r="E10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F95" i="1"/>
  <c r="E95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F134" i="1"/>
  <c r="E134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F155" i="1"/>
  <c r="E155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F32" i="1"/>
  <c r="E3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F102" i="1"/>
  <c r="E102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F123" i="1"/>
  <c r="E123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F92" i="1"/>
  <c r="E92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F53" i="1"/>
  <c r="E53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F96" i="1"/>
  <c r="E96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F63" i="1"/>
  <c r="E63" i="1"/>
  <c r="F248" i="1"/>
  <c r="E248" i="1"/>
  <c r="F247" i="1"/>
  <c r="E247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F28" i="1"/>
  <c r="E28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F99" i="1"/>
  <c r="E99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F330" i="1"/>
  <c r="E330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F323" i="1"/>
  <c r="E323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F318" i="1"/>
  <c r="E318" i="1"/>
  <c r="F234" i="1"/>
  <c r="E234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F331" i="1"/>
  <c r="E331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F27" i="1"/>
  <c r="E27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F30" i="1"/>
  <c r="E30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F139" i="1"/>
  <c r="E139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F167" i="1"/>
  <c r="E167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F188" i="1"/>
  <c r="E188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F172" i="1"/>
  <c r="E17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F12" i="1"/>
  <c r="E12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F156" i="1"/>
  <c r="E156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F10" i="1"/>
  <c r="E1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F160" i="1"/>
  <c r="E160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F171" i="1"/>
  <c r="E17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F121" i="1"/>
  <c r="E121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F76" i="1"/>
  <c r="E76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F7" i="1"/>
  <c r="E7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F230" i="1"/>
  <c r="E230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F217" i="1"/>
  <c r="E217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F115" i="1"/>
  <c r="E115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F122" i="1"/>
  <c r="E122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F193" i="1"/>
  <c r="E193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F198" i="1"/>
  <c r="E198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F170" i="1"/>
  <c r="E170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F213" i="1"/>
  <c r="E213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F185" i="1"/>
  <c r="E185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F216" i="1"/>
  <c r="E21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F206" i="1"/>
  <c r="E206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F231" i="1"/>
  <c r="E23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F221" i="1"/>
  <c r="E221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F208" i="1"/>
  <c r="E20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F178" i="1"/>
  <c r="E178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F229" i="1"/>
  <c r="E229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F128" i="1"/>
  <c r="E12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F58" i="1"/>
  <c r="E58" i="1"/>
  <c r="P11" i="10" l="1"/>
  <c r="T11" i="10" s="1"/>
  <c r="T3" i="10"/>
  <c r="S4" i="10"/>
  <c r="Q11" i="10"/>
  <c r="T4" i="10"/>
  <c r="T8" i="10"/>
  <c r="S11" i="10" l="1"/>
</calcChain>
</file>

<file path=xl/sharedStrings.xml><?xml version="1.0" encoding="utf-8"?>
<sst xmlns="http://schemas.openxmlformats.org/spreadsheetml/2006/main" count="1857" uniqueCount="422">
  <si>
    <t>Etiquetas de fila</t>
  </si>
  <si>
    <t>Departamento</t>
  </si>
  <si>
    <t>Municipio</t>
  </si>
  <si>
    <t>Forest cover 2011</t>
  </si>
  <si>
    <t>Deforestación promedio 2012-2014</t>
  </si>
  <si>
    <t>Deforestación promedio 2022-2024</t>
  </si>
  <si>
    <t>Deforestation 2012</t>
  </si>
  <si>
    <t>Deforestation 2013</t>
  </si>
  <si>
    <t>Deforestation 2014</t>
  </si>
  <si>
    <t>Deforestation 2015</t>
  </si>
  <si>
    <t>Deforestation 2016</t>
  </si>
  <si>
    <t>Deforestation 2017</t>
  </si>
  <si>
    <t>Deforestation 2018</t>
  </si>
  <si>
    <t>Deforestation 2019</t>
  </si>
  <si>
    <t>Deforestation 2020</t>
  </si>
  <si>
    <t>Deforestation 2021</t>
  </si>
  <si>
    <t>Deforestation 2022</t>
  </si>
  <si>
    <t>Deforestation 2023</t>
  </si>
  <si>
    <t>Deforestation 2024</t>
  </si>
  <si>
    <t>Forest Loss 2012</t>
  </si>
  <si>
    <t>Forest Loss 2013</t>
  </si>
  <si>
    <t>Forest Loss 2014</t>
  </si>
  <si>
    <t>Forest Loss 2015</t>
  </si>
  <si>
    <t>Forest Loss 2016</t>
  </si>
  <si>
    <t>Forest Loss 2017</t>
  </si>
  <si>
    <t>Forest Loss 2018</t>
  </si>
  <si>
    <t>Forest Loss 2019</t>
  </si>
  <si>
    <t>Forest Loss 2020</t>
  </si>
  <si>
    <t>Forest Loss 2021</t>
  </si>
  <si>
    <t>Forest Loss 2022</t>
  </si>
  <si>
    <t>Forest Loss 2023</t>
  </si>
  <si>
    <t>Forest Loss 2024</t>
  </si>
  <si>
    <t>Tasa deforestación 2012</t>
  </si>
  <si>
    <t>Tasa deforestación 2013</t>
  </si>
  <si>
    <t>Tasa deforestación 2014</t>
  </si>
  <si>
    <t>Tasa deforestación 2015</t>
  </si>
  <si>
    <t>Tasa deforestación 2016</t>
  </si>
  <si>
    <t>Tasa deforestación 2017</t>
  </si>
  <si>
    <t>Tasa deforestación 2018</t>
  </si>
  <si>
    <t>Tasa deforestación 2019</t>
  </si>
  <si>
    <t>Tasa deforestación 2020</t>
  </si>
  <si>
    <t>Tasa deforestación 2021</t>
  </si>
  <si>
    <t>Tasa deforestación 2022</t>
  </si>
  <si>
    <t>Tasa deforestación 2023</t>
  </si>
  <si>
    <t>Tasa deforestación 2024</t>
  </si>
  <si>
    <t>Tasa de pérdida de bosque 2012</t>
  </si>
  <si>
    <t>Tasa de pérdida de bosque 2013</t>
  </si>
  <si>
    <t>Tasa de pérdida de bosque 2014</t>
  </si>
  <si>
    <t>Tasa de pérdida de bosque 2015</t>
  </si>
  <si>
    <t>Tasa de pérdida de bosque 2016</t>
  </si>
  <si>
    <t>Tasa de pérdida de bosque 2017</t>
  </si>
  <si>
    <t>Tasa de pérdida de bosque 2018</t>
  </si>
  <si>
    <t>Tasa de pérdida de bosque 2019</t>
  </si>
  <si>
    <t>Tasa de pérdida de bosque 2020</t>
  </si>
  <si>
    <t>Tasa de pérdida de bosque 2021</t>
  </si>
  <si>
    <t>Tasa de pérdida de bosque 2022</t>
  </si>
  <si>
    <t>Tasa de pérdida de bosque 2023</t>
  </si>
  <si>
    <t>Tasa de pérdida de bosque 2024</t>
  </si>
  <si>
    <t>Chuquisaca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</si>
  <si>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</si>
  <si>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</si>
  <si>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</si>
  <si>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</si>
  <si>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</si>
  <si>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</si>
  <si>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</si>
  <si>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</si>
  <si>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</si>
  <si>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</si>
  <si>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</si>
  <si>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</si>
  <si>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</si>
  <si>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</si>
  <si>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</si>
  <si>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</si>
  <si>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</si>
  <si>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</si>
  <si>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</si>
  <si>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</si>
  <si>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</si>
  <si>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</si>
  <si>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</si>
  <si>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</si>
  <si>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</si>
  <si>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</si>
  <si>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</si>
  <si>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Guarani Chaqueño de Huacaya)</t>
  </si>
  <si>
    <t>Macharetí</t>
  </si>
  <si>
    <t>La Paz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</si>
  <si>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</si>
  <si>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</si>
  <si>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</si>
  <si>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</si>
  <si>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</si>
  <si>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</si>
  <si>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</si>
  <si>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</si>
  <si>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</si>
  <si>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</si>
  <si>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</si>
  <si>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</si>
  <si>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</si>
  <si>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</si>
  <si>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</si>
  <si>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</si>
  <si>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</si>
  <si>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</si>
  <si>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</si>
  <si>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</si>
  <si>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</si>
  <si>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</si>
  <si>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</si>
  <si>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</si>
  <si>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</si>
  <si>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</si>
  <si>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</si>
  <si>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</si>
  <si>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</si>
  <si>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</si>
  <si>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</si>
  <si>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</si>
  <si>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</si>
  <si>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</si>
  <si>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</si>
  <si>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</si>
  <si>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</si>
  <si>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</si>
  <si>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</si>
  <si>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</si>
  <si>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</si>
  <si>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</si>
  <si>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</si>
  <si>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</si>
  <si>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</si>
  <si>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</si>
  <si>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</si>
  <si>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</si>
  <si>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</si>
  <si>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</si>
  <si>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</si>
  <si>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</si>
  <si>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</si>
  <si>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</si>
  <si>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</si>
  <si>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</si>
  <si>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</si>
  <si>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</si>
  <si>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</si>
  <si>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</si>
  <si>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</si>
  <si>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</si>
  <si>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</si>
  <si>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</si>
  <si>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</si>
  <si>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</si>
  <si>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</si>
  <si>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</si>
  <si>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</si>
  <si>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</si>
  <si>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</si>
  <si>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</si>
  <si>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</si>
  <si>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</si>
  <si>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</si>
  <si>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</si>
  <si>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</si>
  <si>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</si>
  <si>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</si>
  <si>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</si>
  <si>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</si>
  <si>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</si>
  <si>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</si>
  <si>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</si>
  <si>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</si>
  <si>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</si>
  <si>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</si>
  <si>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</si>
  <si>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</si>
  <si>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</si>
  <si>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</si>
  <si>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</si>
  <si>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</si>
  <si>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</si>
  <si>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</si>
  <si>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</si>
  <si>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</si>
  <si>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</si>
  <si>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</si>
  <si>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</si>
  <si>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</si>
  <si>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</si>
  <si>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</si>
  <si>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</si>
  <si>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</si>
  <si>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</si>
  <si>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</si>
  <si>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</si>
  <si>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</si>
  <si>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</si>
  <si>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</si>
  <si>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</si>
  <si>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</si>
  <si>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</si>
  <si>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</si>
  <si>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</si>
  <si>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</si>
  <si>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</si>
  <si>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</si>
  <si>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</si>
  <si>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</si>
  <si>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</si>
  <si>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</si>
  <si>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</si>
  <si>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</si>
  <si>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</si>
  <si>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</si>
  <si>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</si>
  <si>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</si>
  <si>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</si>
  <si>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</si>
  <si>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</si>
  <si>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</si>
  <si>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</si>
  <si>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</si>
  <si>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</si>
  <si>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</si>
  <si>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</si>
  <si>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</si>
  <si>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</si>
  <si>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</si>
  <si>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</si>
  <si>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</si>
  <si>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</si>
  <si>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</si>
  <si>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</si>
  <si>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</si>
  <si>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</si>
  <si>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</si>
  <si>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</si>
  <si>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</si>
  <si>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</si>
  <si>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</si>
  <si>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</si>
  <si>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</si>
  <si>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</si>
  <si>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</si>
  <si>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</si>
  <si>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</si>
  <si>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</si>
  <si>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</si>
  <si>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</si>
  <si>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</si>
  <si>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</si>
  <si>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</si>
  <si>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</si>
  <si>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</si>
  <si>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</si>
  <si>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</si>
  <si>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</si>
  <si>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</si>
  <si>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</si>
  <si>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</si>
  <si>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</si>
  <si>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</si>
  <si>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</si>
  <si>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</si>
  <si>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</si>
  <si>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</si>
  <si>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</si>
  <si>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</si>
  <si>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</si>
  <si>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</si>
  <si>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</si>
  <si>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</si>
  <si>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</si>
  <si>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</si>
  <si>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</si>
  <si>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Vitiche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</si>
  <si>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</si>
  <si>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</si>
  <si>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</si>
  <si>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</si>
  <si>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</si>
  <si>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</si>
  <si>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</si>
  <si>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</si>
  <si>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</si>
  <si>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</si>
  <si>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</si>
  <si>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</si>
  <si>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</si>
  <si>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</si>
  <si>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</si>
  <si>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</si>
  <si>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</si>
  <si>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</si>
  <si>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</si>
  <si>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</si>
  <si>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</si>
  <si>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</si>
  <si>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</si>
  <si>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</si>
  <si>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</si>
  <si>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</si>
  <si>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</si>
  <si>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</si>
  <si>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</si>
  <si>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</si>
  <si>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</si>
  <si>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</si>
  <si>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</si>
  <si>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</si>
  <si>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</si>
  <si>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</si>
  <si>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</si>
  <si>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</si>
  <si>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</si>
  <si>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</si>
  <si>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</si>
  <si>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</si>
  <si>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</si>
  <si>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</si>
  <si>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</si>
  <si>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</si>
  <si>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</si>
  <si>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</si>
  <si>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</si>
  <si>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</si>
  <si>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</si>
  <si>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</si>
  <si>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</si>
  <si>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</si>
  <si>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 (Autonomía Guarani Charagua Iyambae)</t>
  </si>
  <si>
    <t>Cabezas</t>
  </si>
  <si>
    <t>Cuevo</t>
  </si>
  <si>
    <t>Gutierrez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</si>
  <si>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</si>
  <si>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</si>
  <si>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</si>
  <si>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</si>
  <si>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</si>
  <si>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</si>
  <si>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</si>
  <si>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</si>
  <si>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</si>
  <si>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</si>
  <si>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</si>
  <si>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</si>
  <si>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</si>
  <si>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</si>
  <si>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</si>
  <si>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</si>
  <si>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</si>
  <si>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</si>
  <si>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</si>
  <si>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</si>
  <si>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</si>
  <si>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</si>
  <si>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</si>
  <si>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</si>
  <si>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</si>
  <si>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</si>
  <si>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</si>
  <si>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Ascensión de Guarayos</t>
  </si>
  <si>
    <t>Urubichá</t>
  </si>
  <si>
    <t>Beni</t>
  </si>
  <si>
    <t>Trinidad</t>
  </si>
  <si>
    <t>Riberalta</t>
  </si>
  <si>
    <t>Guayaramerín</t>
  </si>
  <si>
    <t>Reyes</t>
  </si>
  <si>
    <t>San Borja</t>
  </si>
  <si>
    <t>Santa Rosa</t>
  </si>
  <si>
    <t>Puerto Menor de Rurrenabaque</t>
  </si>
  <si>
    <t>Santa Ana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</si>
  <si>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</si>
  <si>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</si>
  <si>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</si>
  <si>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</si>
  <si>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</si>
  <si>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</si>
  <si>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</si>
  <si>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</si>
  <si>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</si>
  <si>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</si>
  <si>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Pando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</si>
  <si>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</si>
  <si>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</si>
  <si>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</si>
  <si>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</si>
  <si>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</si>
  <si>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</si>
  <si>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</si>
  <si>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</si>
  <si>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</si>
  <si>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</si>
  <si>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</si>
  <si>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</si>
  <si>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ID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</si>
  <si>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</si>
  <si>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</si>
  <si>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</si>
  <si>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</si>
  <si>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</si>
  <si>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</si>
  <si>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</si>
  <si>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</si>
  <si>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</si>
  <si>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</si>
  <si>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Forest Loss Promedio 2022-2024</t>
  </si>
  <si>
    <t>Forest Loss Promedio 2012-2014</t>
  </si>
  <si>
    <t>Tasa promedio de pérdida de bosque 2012-2014</t>
  </si>
  <si>
    <t>Tasa promedio de pérdida de bosque 2022-2024</t>
  </si>
  <si>
    <t>Potosi</t>
  </si>
  <si>
    <t>Bolivia</t>
  </si>
  <si>
    <t>id_departamento</t>
  </si>
  <si>
    <t>Tasa promedio de pérdida de bosque</t>
  </si>
  <si>
    <t>Promedio</t>
  </si>
  <si>
    <t>Desv. Est.</t>
  </si>
  <si>
    <t>Min</t>
  </si>
  <si>
    <t>Max</t>
  </si>
  <si>
    <t>Obs</t>
  </si>
  <si>
    <t>Gran Chaco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</si>
</sst>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9"/>
      <name val="Aptos Display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2" fillId="0" borderId="0" xfId="0" applyFont="1"/>
    <xf numFmtId="1" fontId="0" fillId="0" borderId="0" xfId="1" applyNumberFormat="1" applyFont="1"/>
    <xf numFmtId="164" fontId="0" fillId="0" borderId="0" xfId="1" applyNumberFormat="1" applyFont="1"/>
    <xf numFmtId="164" fontId="0" fillId="0" borderId="0" xfId="0" applyNumberFormat="1"/>
    <xf numFmtId="2" fontId="0" fillId="0" borderId="0" xfId="0" applyNumberFormat="1"/>
    <xf numFmtId="0" fontId="3" fillId="3" borderId="2" xfId="0" applyFont="1" applyFill="1" applyBorder="1"/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2" xfId="0" applyBorder="1"/>
    <xf numFmtId="0" fontId="2" fillId="0" borderId="0" xfId="0" applyFont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3" fontId="0" fillId="0" borderId="0" xfId="0" applyNumberFormat="1"/>
    <xf numFmtId="2" fontId="0" fillId="0" borderId="2" xfId="0" applyNumberFormat="1" applyBorder="1"/>
    <xf numFmtId="0" fontId="2" fillId="0" borderId="2" xfId="0" applyFont="1" applyBorder="1" applyAlignment="1">
      <alignment horizontal="center" vertical="center" wrapText="1"/>
    </xf>
    <xf numFmtId="1" fontId="0" fillId="0" borderId="2" xfId="0" applyNumberFormat="1" applyBorder="1"/>
    <xf numFmtId="165" fontId="0" fillId="0" borderId="0" xfId="0" applyNumberFormat="1"/>
    <xf numFmtId="165" fontId="0" fillId="0" borderId="2" xfId="0" applyNumberFormat="1" applyBorder="1"/>
    <xf numFmtId="0" fontId="0" fillId="0" borderId="2" xfId="0" applyFill="1" applyBorder="1"/>
    <xf numFmtId="1" fontId="0" fillId="0" borderId="0" xfId="0" applyNumberFormat="1"/>
    <xf numFmtId="3" fontId="0" fillId="0" borderId="2" xfId="0" applyNumberFormat="1" applyBorder="1"/>
  </cellXfs>
  <cellStyles count="2">
    <cellStyle name="Normal" xfId="0" builtinId="0"/>
    <cellStyle name="Porcentaje" xfId="1" builtinId="5"/>
  </cellStyles>
  <dxfs count="32"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B7EBB5-D3AF-4C67-99B8-36B553CFCAE0}" name="Tabla2" displayName="Tabla2" ref="A1:BF344" totalsRowShown="0" headerRowDxfId="31" headerRowBorderDxfId="30">
  <autoFilter ref="A1:BF344" xr:uid="{2AF914EB-54A1-46CD-847F-E778BBFAB911}"/>
  <sortState xmlns:xlrd2="http://schemas.microsoft.com/office/spreadsheetml/2017/richdata2" ref="A2:BF344">
    <sortCondition descending="1" ref="BF1:BF344"/>
  </sortState>
  <tableColumns count="58">
    <tableColumn id="1" xr3:uid="{12B0B7DD-7069-47D3-B7A1-904CE8A57153}" name="Etiquetas de fila" dataDxfId="29"/>
    <tableColumn id="2" xr3:uid="{095855E6-7F73-4F47-849D-1B1EB3DC0410}" name="Departamento" dataDxfId="28"/>
    <tableColumn id="3" xr3:uid="{FAFD3E9E-E36E-48D3-976D-A72114747652}" name="Municipio"/>
    <tableColumn id="4" xr3:uid="{11633FA1-61B2-4E9A-91FD-81029BC03726}" name="Forest cover 2011"/>
    <tableColumn id="32" xr3:uid="{A162AF5F-78D5-4C2D-8855-F0B8CD59367C}" name="Deforestación promedio 2012-2014" dataDxfId="27" dataCellStyle="Porcentaje">
      <calculatedColumnFormula>AVERAGE(Tabla2[[#This Row],[Deforestation 2012]:[Deforestation 2014]])</calculatedColumnFormula>
    </tableColumn>
    <tableColumn id="31" xr3:uid="{6044D560-0640-492B-A4D8-54FEE163ED50}" name="Deforestación promedio 2022-2024" dataDxfId="26" dataCellStyle="Porcentaje">
      <calculatedColumnFormula>AVERAGE(Tabla2[[#This Row],[Deforestation 2022]:[Deforestation 2024]])</calculatedColumnFormula>
    </tableColumn>
    <tableColumn id="5" xr3:uid="{74187927-F4D9-4796-903E-2FDE6629D323}" name="Deforestation 2012"/>
    <tableColumn id="6" xr3:uid="{F0EAC58D-4C4D-48CE-BD2C-11BB7D9CB58A}" name="Deforestation 2013"/>
    <tableColumn id="7" xr3:uid="{E2C04DA5-283A-4A02-9AEF-48B6E25E48C1}" name="Deforestation 2014"/>
    <tableColumn id="8" xr3:uid="{25E00480-9D17-4D42-B38C-23BF3D147D48}" name="Deforestation 2015"/>
    <tableColumn id="9" xr3:uid="{43DAF734-71D0-46C6-9089-110006317492}" name="Deforestation 2016"/>
    <tableColumn id="10" xr3:uid="{C915F6BE-0CBD-429A-A946-5B702A539F3D}" name="Deforestation 2017"/>
    <tableColumn id="11" xr3:uid="{0C835AF8-FFCE-4992-B2F5-53BA08D128AA}" name="Deforestation 2018"/>
    <tableColumn id="12" xr3:uid="{E46D122D-2765-433F-ABFF-F5AE31FFE9F5}" name="Deforestation 2019"/>
    <tableColumn id="13" xr3:uid="{CCF90A24-CDA1-40A4-9581-CDC77BD23633}" name="Deforestation 2020"/>
    <tableColumn id="14" xr3:uid="{74126A2F-D491-484B-BB47-F1FF166D4CF1}" name="Deforestation 2021"/>
    <tableColumn id="15" xr3:uid="{C7F84FB1-5D72-46BB-BE1B-53FD11AB7F03}" name="Deforestation 2022"/>
    <tableColumn id="16" xr3:uid="{E90A1128-12CD-4A3D-9205-922C1ED97296}" name="Deforestation 2023"/>
    <tableColumn id="17" xr3:uid="{C4FC89C3-27FF-441A-A25F-08CE01342599}" name="Deforestation 2024"/>
    <tableColumn id="18" xr3:uid="{A430EECB-6C07-423A-A91C-26EC8C663D9B}" name="Forest Loss 2012"/>
    <tableColumn id="19" xr3:uid="{F1D9D530-03AF-48CC-AE9C-AD4AA3968E1B}" name="Forest Loss 2013"/>
    <tableColumn id="20" xr3:uid="{20E0AA79-5AC5-4BFE-9C3F-95C1B86B956D}" name="Forest Loss 2014"/>
    <tableColumn id="21" xr3:uid="{7EACEF28-6726-474D-8189-B40E52050D76}" name="Forest Loss 2015"/>
    <tableColumn id="22" xr3:uid="{A76E3506-8E80-42C4-B780-D72CADB1315C}" name="Forest Loss 2016"/>
    <tableColumn id="23" xr3:uid="{11B9B279-D892-4E69-9758-5CA9D1C24DCF}" name="Forest Loss 2017"/>
    <tableColumn id="24" xr3:uid="{E846FA69-5716-44E4-A1C9-1B836FF579F0}" name="Forest Loss 2018"/>
    <tableColumn id="25" xr3:uid="{F90F4111-D945-4CA7-A0FB-9E87444F3108}" name="Forest Loss 2019"/>
    <tableColumn id="26" xr3:uid="{385B5A74-943F-4F7E-A89C-D71A27A22843}" name="Forest Loss 2020"/>
    <tableColumn id="27" xr3:uid="{B86E0319-38E5-42E3-B85E-C4AC8DA2318B}" name="Forest Loss 2021"/>
    <tableColumn id="28" xr3:uid="{7195BE03-4343-4ED0-81AC-273C3D4A37E4}" name="Forest Loss 2022"/>
    <tableColumn id="29" xr3:uid="{CEFC1782-CE6E-4387-A49A-916C9EC9C209}" name="Forest Loss 2023"/>
    <tableColumn id="30" xr3:uid="{3EC2BCFE-4108-45AC-A62C-8B6D3AE5839E}" name="Forest Loss 2024"/>
    <tableColumn id="33" xr3:uid="{A499AFC5-69D0-42D8-A66F-01BCECCFE01D}" name="Tasa deforestación 2012" dataDxfId="25" dataCellStyle="Porcentaje">
      <calculatedColumnFormula>Tabla2[[#This Row],[Deforestation 2012]]/Tabla2[[#This Row],[Forest cover 2011]]</calculatedColumnFormula>
    </tableColumn>
    <tableColumn id="34" xr3:uid="{FE76D8CF-7AC7-4392-8422-62D16B22E38E}" name="Tasa deforestación 2013" dataDxfId="24">
      <calculatedColumnFormula>Tabla2[[#This Row],[Deforestation 2013]]/Tabla2[[#This Row],[Forest cover 2011]]</calculatedColumnFormula>
    </tableColumn>
    <tableColumn id="35" xr3:uid="{030E5457-6E6F-4A51-BEE7-7C5AC46294AD}" name="Tasa deforestación 2014" dataDxfId="23">
      <calculatedColumnFormula>Tabla2[[#This Row],[Deforestation 2014]]/Tabla2[[#This Row],[Forest cover 2011]]</calculatedColumnFormula>
    </tableColumn>
    <tableColumn id="36" xr3:uid="{8263F6AF-2D00-4AAA-A0A4-172547D2D9D1}" name="Tasa deforestación 2015" dataDxfId="22">
      <calculatedColumnFormula>Tabla2[[#This Row],[Deforestation 2015]]/Tabla2[[#This Row],[Forest cover 2011]]</calculatedColumnFormula>
    </tableColumn>
    <tableColumn id="37" xr3:uid="{7F91A8B6-3348-40CA-916F-AE1CEB64C1FB}" name="Tasa deforestación 2016" dataDxfId="21">
      <calculatedColumnFormula>Tabla2[[#This Row],[Deforestation 2016]]/Tabla2[[#This Row],[Forest cover 2011]]</calculatedColumnFormula>
    </tableColumn>
    <tableColumn id="38" xr3:uid="{1A42450A-C5A4-4868-AB8E-E11C14769619}" name="Tasa deforestación 2017" dataDxfId="20">
      <calculatedColumnFormula>Tabla2[[#This Row],[Deforestation 2017]]/Tabla2[[#This Row],[Forest cover 2011]]</calculatedColumnFormula>
    </tableColumn>
    <tableColumn id="39" xr3:uid="{98AEA2AE-45BD-425F-B29D-8D91149738E5}" name="Tasa deforestación 2018" dataDxfId="19">
      <calculatedColumnFormula>Tabla2[[#This Row],[Deforestation 2018]]/Tabla2[[#This Row],[Forest cover 2011]]</calculatedColumnFormula>
    </tableColumn>
    <tableColumn id="40" xr3:uid="{92650AAD-3E4E-4839-8E40-1F1EF91278FC}" name="Tasa deforestación 2019" dataDxfId="18">
      <calculatedColumnFormula>Tabla2[[#This Row],[Deforestation 2019]]/Tabla2[[#This Row],[Forest cover 2011]]</calculatedColumnFormula>
    </tableColumn>
    <tableColumn id="41" xr3:uid="{4BE15D27-4B69-4E05-BF85-8450DB38D235}" name="Tasa deforestación 2020" dataDxfId="17">
      <calculatedColumnFormula>Tabla2[[#This Row],[Deforestation 2020]]/Tabla2[[#This Row],[Forest cover 2011]]</calculatedColumnFormula>
    </tableColumn>
    <tableColumn id="42" xr3:uid="{30D1181C-B8A8-47FB-A87C-7B5AE38883FE}" name="Tasa deforestación 2021" dataDxfId="16">
      <calculatedColumnFormula>Tabla2[[#This Row],[Deforestation 2021]]/Tabla2[[#This Row],[Forest cover 2011]]</calculatedColumnFormula>
    </tableColumn>
    <tableColumn id="43" xr3:uid="{C43B2858-2A6B-41EC-ABFF-73F9025BDF6C}" name="Tasa deforestación 2022" dataDxfId="15">
      <calculatedColumnFormula>Tabla2[[#This Row],[Deforestation 2022]]/Tabla2[[#This Row],[Forest cover 2011]]</calculatedColumnFormula>
    </tableColumn>
    <tableColumn id="44" xr3:uid="{6C9010AB-60FE-4DB7-AE97-CCA814D62C78}" name="Tasa deforestación 2023" dataDxfId="14">
      <calculatedColumnFormula>Tabla2[[#This Row],[Deforestation 2023]]/Tabla2[[#This Row],[Forest cover 2011]]</calculatedColumnFormula>
    </tableColumn>
    <tableColumn id="45" xr3:uid="{64BC52FA-183E-4CEF-B208-61F3F95151AA}" name="Tasa deforestación 2024" dataDxfId="13">
      <calculatedColumnFormula>Tabla2[[#This Row],[Deforestation 2024]]/Tabla2[[#This Row],[Forest cover 2011]]</calculatedColumnFormula>
    </tableColumn>
    <tableColumn id="46" xr3:uid="{DC598E33-B101-4C25-A525-A7BAA1DDC729}" name="Tasa de pérdida de bosque 2012" dataDxfId="12">
      <calculatedColumnFormula>Tabla2[[#This Row],[Forest Loss 2012]]/Tabla2[[#This Row],[Forest cover 2011]]</calculatedColumnFormula>
    </tableColumn>
    <tableColumn id="47" xr3:uid="{02136E4C-E277-4989-A0BB-E33CBA25CF0E}" name="Tasa de pérdida de bosque 2013" dataDxfId="11">
      <calculatedColumnFormula>Tabla2[[#This Row],[Forest Loss 2013]]/Tabla2[[#This Row],[Forest cover 2011]]</calculatedColumnFormula>
    </tableColumn>
    <tableColumn id="48" xr3:uid="{8767FBDF-CE83-4F2C-B9EA-EFFDABBE4EB3}" name="Tasa de pérdida de bosque 2014" dataDxfId="10">
      <calculatedColumnFormula>Tabla2[[#This Row],[Forest Loss 2014]]/Tabla2[[#This Row],[Forest cover 2011]]</calculatedColumnFormula>
    </tableColumn>
    <tableColumn id="49" xr3:uid="{D80FA3E4-F1B8-4DB1-B02A-DBDBDF5330C0}" name="Tasa de pérdida de bosque 2015" dataDxfId="9">
      <calculatedColumnFormula>Tabla2[[#This Row],[Forest Loss 2015]]/Tabla2[[#This Row],[Forest cover 2011]]</calculatedColumnFormula>
    </tableColumn>
    <tableColumn id="50" xr3:uid="{45F26448-9280-444B-83CF-F9152613DD9C}" name="Tasa de pérdida de bosque 2016" dataDxfId="8">
      <calculatedColumnFormula>Tabla2[[#This Row],[Forest Loss 2016]]/Tabla2[[#This Row],[Forest cover 2011]]</calculatedColumnFormula>
    </tableColumn>
    <tableColumn id="51" xr3:uid="{B443508A-F3D3-4B1D-99AE-A701DF727F17}" name="Tasa de pérdida de bosque 2017" dataDxfId="7">
      <calculatedColumnFormula>Tabla2[[#This Row],[Forest Loss 2017]]/Tabla2[[#This Row],[Forest cover 2011]]</calculatedColumnFormula>
    </tableColumn>
    <tableColumn id="52" xr3:uid="{7F76D685-6333-49AE-8C2B-66510EE17068}" name="Tasa de pérdida de bosque 2018" dataDxfId="6">
      <calculatedColumnFormula>Tabla2[[#This Row],[Forest Loss 2018]]/Tabla2[[#This Row],[Forest cover 2011]]</calculatedColumnFormula>
    </tableColumn>
    <tableColumn id="53" xr3:uid="{8D35F127-AB52-4628-A165-C90BC2CC4ECF}" name="Tasa de pérdida de bosque 2019" dataDxfId="5">
      <calculatedColumnFormula>Tabla2[[#This Row],[Forest Loss 2019]]/Tabla2[[#This Row],[Forest cover 2011]]</calculatedColumnFormula>
    </tableColumn>
    <tableColumn id="54" xr3:uid="{2CDFCD47-A6D8-4E68-BFD4-CC5D7797FEA2}" name="Tasa de pérdida de bosque 2020" dataDxfId="4">
      <calculatedColumnFormula>Tabla2[[#This Row],[Forest Loss 2020]]/Tabla2[[#This Row],[Forest cover 2011]]</calculatedColumnFormula>
    </tableColumn>
    <tableColumn id="55" xr3:uid="{32FC6FB2-5A77-4208-A23B-DCD4B2020AF7}" name="Tasa de pérdida de bosque 2021" dataDxfId="3">
      <calculatedColumnFormula>Tabla2[[#This Row],[Forest Loss 2021]]/Tabla2[[#This Row],[Forest cover 2011]]</calculatedColumnFormula>
    </tableColumn>
    <tableColumn id="56" xr3:uid="{57F804E5-27F4-42AF-94AC-13970F8B7D4C}" name="Tasa de pérdida de bosque 2022" dataDxfId="2">
      <calculatedColumnFormula>Tabla2[[#This Row],[Forest Loss 2022]]/Tabla2[[#This Row],[Forest cover 2011]]</calculatedColumnFormula>
    </tableColumn>
    <tableColumn id="57" xr3:uid="{2647C321-CD85-4B76-BEAD-FA258311DB84}" name="Tasa de pérdida de bosque 2023" dataDxfId="1">
      <calculatedColumnFormula>Tabla2[[#This Row],[Forest Loss 2023]]/Tabla2[[#This Row],[Forest cover 2011]]</calculatedColumnFormula>
    </tableColumn>
    <tableColumn id="58" xr3:uid="{31571CDE-9F13-4801-8033-82DE6E37ACB4}" name="Tasa de pérdida de bosque 2024" dataDxfId="0">
      <calculatedColumnFormula>Tabla2[[#This Row],[Forest Loss 2024]]/Tabla2[[#This Row],[Forest cover 2011]]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FC49-92FB-4A3B-B489-628E03245017}">
  <dimension ref="A1:BF344"/>
  <sheetViews>
    <sheetView tabSelected="1" topLeftCell="A227" workbookViewId="0">
      <selection activeCell="C235" sqref="C235"/>
    </sheetView>
  </sheetViews>
  <sheetFormatPr baseColWidth="10" defaultRowHeight="15" x14ac:dyDescent="0.25"/>
  <cols>
    <col min="1" max="1" width="16.28515625" customWidth="1"/>
    <col min="2" max="2" width="14.85546875" customWidth="1"/>
    <col min="3" max="3" width="18" customWidth="1"/>
    <col min="4" max="6" width="17.28515625" customWidth="1"/>
    <col min="7" max="19" width="18.42578125" customWidth="1"/>
    <col min="20" max="32" width="16.42578125" customWidth="1"/>
    <col min="33" max="33" width="12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5">
      <c r="A2" s="2">
        <v>51204</v>
      </c>
      <c r="B2" s="3" t="s">
        <v>258</v>
      </c>
      <c r="C2" t="s">
        <v>293</v>
      </c>
      <c r="D2">
        <v>0.54</v>
      </c>
      <c r="E2" s="4">
        <f>AVERAGE(Tabla2[[#This Row],[Deforestation 2012]:[Deforestation 2014]])</f>
        <v>0</v>
      </c>
      <c r="F2" s="4">
        <f>AVERAGE(Tabla2[[#This Row],[Deforestation 2022]:[Deforestation 2024]])</f>
        <v>0.12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0.36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0.54</v>
      </c>
      <c r="AG2" s="5">
        <f>Tabla2[[#This Row],[Deforestation 2012]]/Tabla2[[#This Row],[Forest cover 2011]]</f>
        <v>0</v>
      </c>
      <c r="AH2" s="6">
        <f>Tabla2[[#This Row],[Deforestation 2013]]/Tabla2[[#This Row],[Forest cover 2011]]</f>
        <v>0</v>
      </c>
      <c r="AI2" s="6">
        <f>Tabla2[[#This Row],[Deforestation 2014]]/Tabla2[[#This Row],[Forest cover 2011]]</f>
        <v>0</v>
      </c>
      <c r="AJ2" s="6">
        <f>Tabla2[[#This Row],[Deforestation 2015]]/Tabla2[[#This Row],[Forest cover 2011]]</f>
        <v>0</v>
      </c>
      <c r="AK2" s="6">
        <f>Tabla2[[#This Row],[Deforestation 2016]]/Tabla2[[#This Row],[Forest cover 2011]]</f>
        <v>0</v>
      </c>
      <c r="AL2" s="6">
        <f>Tabla2[[#This Row],[Deforestation 2017]]/Tabla2[[#This Row],[Forest cover 2011]]</f>
        <v>0</v>
      </c>
      <c r="AM2" s="6">
        <f>Tabla2[[#This Row],[Deforestation 2018]]/Tabla2[[#This Row],[Forest cover 2011]]</f>
        <v>0</v>
      </c>
      <c r="AN2" s="6">
        <f>Tabla2[[#This Row],[Deforestation 2019]]/Tabla2[[#This Row],[Forest cover 2011]]</f>
        <v>0</v>
      </c>
      <c r="AO2" s="6">
        <f>Tabla2[[#This Row],[Deforestation 2020]]/Tabla2[[#This Row],[Forest cover 2011]]</f>
        <v>0</v>
      </c>
      <c r="AP2" s="6">
        <f>Tabla2[[#This Row],[Deforestation 2021]]/Tabla2[[#This Row],[Forest cover 2011]]</f>
        <v>0</v>
      </c>
      <c r="AQ2" s="6">
        <f>Tabla2[[#This Row],[Deforestation 2022]]/Tabla2[[#This Row],[Forest cover 2011]]</f>
        <v>0</v>
      </c>
      <c r="AR2" s="6">
        <f>Tabla2[[#This Row],[Deforestation 2023]]/Tabla2[[#This Row],[Forest cover 2011]]</f>
        <v>0</v>
      </c>
      <c r="AS2" s="6">
        <f>Tabla2[[#This Row],[Deforestation 2024]]/Tabla2[[#This Row],[Forest cover 2011]]</f>
        <v>0.66666666666666663</v>
      </c>
      <c r="AT2" s="6">
        <f>Tabla2[[#This Row],[Forest Loss 2012]]/Tabla2[[#This Row],[Forest cover 2011]]</f>
        <v>0</v>
      </c>
      <c r="AU2" s="6">
        <f>Tabla2[[#This Row],[Forest Loss 2013]]/Tabla2[[#This Row],[Forest cover 2011]]</f>
        <v>0</v>
      </c>
      <c r="AV2" s="6">
        <f>Tabla2[[#This Row],[Forest Loss 2014]]/Tabla2[[#This Row],[Forest cover 2011]]</f>
        <v>0</v>
      </c>
      <c r="AW2" s="6">
        <f>Tabla2[[#This Row],[Forest Loss 2015]]/Tabla2[[#This Row],[Forest cover 2011]]</f>
        <v>0</v>
      </c>
      <c r="AX2" s="6">
        <f>Tabla2[[#This Row],[Forest Loss 2016]]/Tabla2[[#This Row],[Forest cover 2011]]</f>
        <v>0</v>
      </c>
      <c r="AY2" s="6">
        <f>Tabla2[[#This Row],[Forest Loss 2017]]/Tabla2[[#This Row],[Forest cover 2011]]</f>
        <v>0</v>
      </c>
      <c r="AZ2" s="6">
        <f>Tabla2[[#This Row],[Forest Loss 2018]]/Tabla2[[#This Row],[Forest cover 2011]]</f>
        <v>0</v>
      </c>
      <c r="BA2" s="6">
        <f>Tabla2[[#This Row],[Forest Loss 2019]]/Tabla2[[#This Row],[Forest cover 2011]]</f>
        <v>0</v>
      </c>
      <c r="BB2" s="6">
        <f>Tabla2[[#This Row],[Forest Loss 2020]]/Tabla2[[#This Row],[Forest cover 2011]]</f>
        <v>0</v>
      </c>
      <c r="BC2" s="6">
        <f>Tabla2[[#This Row],[Forest Loss 2021]]/Tabla2[[#This Row],[Forest cover 2011]]</f>
        <v>0</v>
      </c>
      <c r="BD2" s="6">
        <f>Tabla2[[#This Row],[Forest Loss 2022]]/Tabla2[[#This Row],[Forest cover 2011]]</f>
        <v>0</v>
      </c>
      <c r="BE2" s="6">
        <f>Tabla2[[#This Row],[Forest Loss 2023]]/Tabla2[[#This Row],[Forest cover 2011]]</f>
        <v>0</v>
      </c>
      <c r="BF2" s="6">
        <f>Tabla2[[#This Row],[Forest Loss 2024]]/Tabla2[[#This Row],[Forest cover 2011]]</f>
        <v>1</v>
      </c>
    </row>
    <row r="3" spans="1:58" x14ac:dyDescent="0.25">
      <c r="A3" s="2">
        <v>50102</v>
      </c>
      <c r="B3" s="3" t="s">
        <v>258</v>
      </c>
      <c r="C3" t="s">
        <v>259</v>
      </c>
      <c r="D3">
        <v>3.24</v>
      </c>
      <c r="E3" s="4">
        <f>AVERAGE(Tabla2[[#This Row],[Deforestation 2012]:[Deforestation 2014]])</f>
        <v>0</v>
      </c>
      <c r="F3" s="4">
        <f>AVERAGE(Tabla2[[#This Row],[Deforestation 2022]:[Deforestation 2024]])</f>
        <v>0.48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1.44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0.09</v>
      </c>
      <c r="AF3">
        <v>3.15</v>
      </c>
      <c r="AG3" s="5">
        <f>Tabla2[[#This Row],[Deforestation 2012]]/Tabla2[[#This Row],[Forest cover 2011]]</f>
        <v>0</v>
      </c>
      <c r="AH3" s="6">
        <f>Tabla2[[#This Row],[Deforestation 2013]]/Tabla2[[#This Row],[Forest cover 2011]]</f>
        <v>0</v>
      </c>
      <c r="AI3" s="6">
        <f>Tabla2[[#This Row],[Deforestation 2014]]/Tabla2[[#This Row],[Forest cover 2011]]</f>
        <v>0</v>
      </c>
      <c r="AJ3" s="6">
        <f>Tabla2[[#This Row],[Deforestation 2015]]/Tabla2[[#This Row],[Forest cover 2011]]</f>
        <v>0</v>
      </c>
      <c r="AK3" s="6">
        <f>Tabla2[[#This Row],[Deforestation 2016]]/Tabla2[[#This Row],[Forest cover 2011]]</f>
        <v>0</v>
      </c>
      <c r="AL3" s="6">
        <f>Tabla2[[#This Row],[Deforestation 2017]]/Tabla2[[#This Row],[Forest cover 2011]]</f>
        <v>0</v>
      </c>
      <c r="AM3" s="6">
        <f>Tabla2[[#This Row],[Deforestation 2018]]/Tabla2[[#This Row],[Forest cover 2011]]</f>
        <v>0</v>
      </c>
      <c r="AN3" s="6">
        <f>Tabla2[[#This Row],[Deforestation 2019]]/Tabla2[[#This Row],[Forest cover 2011]]</f>
        <v>0</v>
      </c>
      <c r="AO3" s="6">
        <f>Tabla2[[#This Row],[Deforestation 2020]]/Tabla2[[#This Row],[Forest cover 2011]]</f>
        <v>0</v>
      </c>
      <c r="AP3" s="6">
        <f>Tabla2[[#This Row],[Deforestation 2021]]/Tabla2[[#This Row],[Forest cover 2011]]</f>
        <v>0</v>
      </c>
      <c r="AQ3" s="6">
        <f>Tabla2[[#This Row],[Deforestation 2022]]/Tabla2[[#This Row],[Forest cover 2011]]</f>
        <v>0</v>
      </c>
      <c r="AR3" s="6">
        <f>Tabla2[[#This Row],[Deforestation 2023]]/Tabla2[[#This Row],[Forest cover 2011]]</f>
        <v>0</v>
      </c>
      <c r="AS3" s="6">
        <f>Tabla2[[#This Row],[Deforestation 2024]]/Tabla2[[#This Row],[Forest cover 2011]]</f>
        <v>0.44444444444444442</v>
      </c>
      <c r="AT3" s="6">
        <f>Tabla2[[#This Row],[Forest Loss 2012]]/Tabla2[[#This Row],[Forest cover 2011]]</f>
        <v>0</v>
      </c>
      <c r="AU3" s="6">
        <f>Tabla2[[#This Row],[Forest Loss 2013]]/Tabla2[[#This Row],[Forest cover 2011]]</f>
        <v>0</v>
      </c>
      <c r="AV3" s="6">
        <f>Tabla2[[#This Row],[Forest Loss 2014]]/Tabla2[[#This Row],[Forest cover 2011]]</f>
        <v>0</v>
      </c>
      <c r="AW3" s="6">
        <f>Tabla2[[#This Row],[Forest Loss 2015]]/Tabla2[[#This Row],[Forest cover 2011]]</f>
        <v>0</v>
      </c>
      <c r="AX3" s="6">
        <f>Tabla2[[#This Row],[Forest Loss 2016]]/Tabla2[[#This Row],[Forest cover 2011]]</f>
        <v>0</v>
      </c>
      <c r="AY3" s="6">
        <f>Tabla2[[#This Row],[Forest Loss 2017]]/Tabla2[[#This Row],[Forest cover 2011]]</f>
        <v>0</v>
      </c>
      <c r="AZ3" s="6">
        <f>Tabla2[[#This Row],[Forest Loss 2018]]/Tabla2[[#This Row],[Forest cover 2011]]</f>
        <v>0</v>
      </c>
      <c r="BA3" s="6">
        <f>Tabla2[[#This Row],[Forest Loss 2019]]/Tabla2[[#This Row],[Forest cover 2011]]</f>
        <v>0</v>
      </c>
      <c r="BB3" s="6">
        <f>Tabla2[[#This Row],[Forest Loss 2020]]/Tabla2[[#This Row],[Forest cover 2011]]</f>
        <v>0</v>
      </c>
      <c r="BC3" s="6">
        <f>Tabla2[[#This Row],[Forest Loss 2021]]/Tabla2[[#This Row],[Forest cover 2011]]</f>
        <v>0</v>
      </c>
      <c r="BD3" s="6">
        <f>Tabla2[[#This Row],[Forest Loss 2022]]/Tabla2[[#This Row],[Forest cover 2011]]</f>
        <v>0</v>
      </c>
      <c r="BE3" s="6">
        <f>Tabla2[[#This Row],[Forest Loss 2023]]/Tabla2[[#This Row],[Forest cover 2011]]</f>
        <v>2.7777777777777776E-2</v>
      </c>
      <c r="BF3" s="6">
        <f>Tabla2[[#This Row],[Forest Loss 2024]]/Tabla2[[#This Row],[Forest cover 2011]]</f>
        <v>0.9722222222222221</v>
      </c>
    </row>
    <row r="4" spans="1:58" x14ac:dyDescent="0.25">
      <c r="A4" s="2">
        <v>40201</v>
      </c>
      <c r="B4" s="3" t="s">
        <v>224</v>
      </c>
      <c r="C4" t="s">
        <v>228</v>
      </c>
      <c r="D4">
        <v>1.08</v>
      </c>
      <c r="E4" s="4">
        <f>AVERAGE(Tabla2[[#This Row],[Deforestation 2012]:[Deforestation 2014]])</f>
        <v>0</v>
      </c>
      <c r="F4" s="4">
        <f>AVERAGE(Tabla2[[#This Row],[Deforestation 2022]:[Deforestation 2024]])</f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0.9</v>
      </c>
      <c r="AG4" s="5">
        <f>Tabla2[[#This Row],[Deforestation 2012]]/Tabla2[[#This Row],[Forest cover 2011]]</f>
        <v>0</v>
      </c>
      <c r="AH4" s="6">
        <f>Tabla2[[#This Row],[Deforestation 2013]]/Tabla2[[#This Row],[Forest cover 2011]]</f>
        <v>0</v>
      </c>
      <c r="AI4" s="6">
        <f>Tabla2[[#This Row],[Deforestation 2014]]/Tabla2[[#This Row],[Forest cover 2011]]</f>
        <v>0</v>
      </c>
      <c r="AJ4" s="6">
        <f>Tabla2[[#This Row],[Deforestation 2015]]/Tabla2[[#This Row],[Forest cover 2011]]</f>
        <v>0</v>
      </c>
      <c r="AK4" s="6">
        <f>Tabla2[[#This Row],[Deforestation 2016]]/Tabla2[[#This Row],[Forest cover 2011]]</f>
        <v>0</v>
      </c>
      <c r="AL4" s="6">
        <f>Tabla2[[#This Row],[Deforestation 2017]]/Tabla2[[#This Row],[Forest cover 2011]]</f>
        <v>0</v>
      </c>
      <c r="AM4" s="6">
        <f>Tabla2[[#This Row],[Deforestation 2018]]/Tabla2[[#This Row],[Forest cover 2011]]</f>
        <v>0</v>
      </c>
      <c r="AN4" s="6">
        <f>Tabla2[[#This Row],[Deforestation 2019]]/Tabla2[[#This Row],[Forest cover 2011]]</f>
        <v>0</v>
      </c>
      <c r="AO4" s="6">
        <f>Tabla2[[#This Row],[Deforestation 2020]]/Tabla2[[#This Row],[Forest cover 2011]]</f>
        <v>0</v>
      </c>
      <c r="AP4" s="6">
        <f>Tabla2[[#This Row],[Deforestation 2021]]/Tabla2[[#This Row],[Forest cover 2011]]</f>
        <v>0</v>
      </c>
      <c r="AQ4" s="6">
        <f>Tabla2[[#This Row],[Deforestation 2022]]/Tabla2[[#This Row],[Forest cover 2011]]</f>
        <v>0</v>
      </c>
      <c r="AR4" s="6">
        <f>Tabla2[[#This Row],[Deforestation 2023]]/Tabla2[[#This Row],[Forest cover 2011]]</f>
        <v>0</v>
      </c>
      <c r="AS4" s="6">
        <f>Tabla2[[#This Row],[Deforestation 2024]]/Tabla2[[#This Row],[Forest cover 2011]]</f>
        <v>0</v>
      </c>
      <c r="AT4" s="6">
        <f>Tabla2[[#This Row],[Forest Loss 2012]]/Tabla2[[#This Row],[Forest cover 2011]]</f>
        <v>0</v>
      </c>
      <c r="AU4" s="6">
        <f>Tabla2[[#This Row],[Forest Loss 2013]]/Tabla2[[#This Row],[Forest cover 2011]]</f>
        <v>0</v>
      </c>
      <c r="AV4" s="6">
        <f>Tabla2[[#This Row],[Forest Loss 2014]]/Tabla2[[#This Row],[Forest cover 2011]]</f>
        <v>0</v>
      </c>
      <c r="AW4" s="6">
        <f>Tabla2[[#This Row],[Forest Loss 2015]]/Tabla2[[#This Row],[Forest cover 2011]]</f>
        <v>0</v>
      </c>
      <c r="AX4" s="6">
        <f>Tabla2[[#This Row],[Forest Loss 2016]]/Tabla2[[#This Row],[Forest cover 2011]]</f>
        <v>0</v>
      </c>
      <c r="AY4" s="6">
        <f>Tabla2[[#This Row],[Forest Loss 2017]]/Tabla2[[#This Row],[Forest cover 2011]]</f>
        <v>0</v>
      </c>
      <c r="AZ4" s="6">
        <f>Tabla2[[#This Row],[Forest Loss 2018]]/Tabla2[[#This Row],[Forest cover 2011]]</f>
        <v>0</v>
      </c>
      <c r="BA4" s="6">
        <f>Tabla2[[#This Row],[Forest Loss 2019]]/Tabla2[[#This Row],[Forest cover 2011]]</f>
        <v>0</v>
      </c>
      <c r="BB4" s="6">
        <f>Tabla2[[#This Row],[Forest Loss 2020]]/Tabla2[[#This Row],[Forest cover 2011]]</f>
        <v>0</v>
      </c>
      <c r="BC4" s="6">
        <f>Tabla2[[#This Row],[Forest Loss 2021]]/Tabla2[[#This Row],[Forest cover 2011]]</f>
        <v>0</v>
      </c>
      <c r="BD4" s="6">
        <f>Tabla2[[#This Row],[Forest Loss 2022]]/Tabla2[[#This Row],[Forest cover 2011]]</f>
        <v>0</v>
      </c>
      <c r="BE4" s="6">
        <f>Tabla2[[#This Row],[Forest Loss 2023]]/Tabla2[[#This Row],[Forest cover 2011]]</f>
        <v>0</v>
      </c>
      <c r="BF4" s="6">
        <f>Tabla2[[#This Row],[Forest Loss 2024]]/Tabla2[[#This Row],[Forest cover 2011]]</f>
        <v>0.83333333333333326</v>
      </c>
    </row>
    <row r="5" spans="1:58" x14ac:dyDescent="0.25">
      <c r="A5" s="2">
        <v>50104</v>
      </c>
      <c r="B5" s="3" t="s">
        <v>258</v>
      </c>
      <c r="C5" t="s">
        <v>261</v>
      </c>
      <c r="D5">
        <v>1.08</v>
      </c>
      <c r="E5" s="4">
        <f>AVERAGE(Tabla2[[#This Row],[Deforestation 2012]:[Deforestation 2014]])</f>
        <v>0</v>
      </c>
      <c r="F5" s="4">
        <f>AVERAGE(Tabla2[[#This Row],[Deforestation 2022]:[Deforestation 2024]])</f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0.9</v>
      </c>
      <c r="AG5" s="5">
        <f>Tabla2[[#This Row],[Deforestation 2012]]/Tabla2[[#This Row],[Forest cover 2011]]</f>
        <v>0</v>
      </c>
      <c r="AH5" s="6">
        <f>Tabla2[[#This Row],[Deforestation 2013]]/Tabla2[[#This Row],[Forest cover 2011]]</f>
        <v>0</v>
      </c>
      <c r="AI5" s="6">
        <f>Tabla2[[#This Row],[Deforestation 2014]]/Tabla2[[#This Row],[Forest cover 2011]]</f>
        <v>0</v>
      </c>
      <c r="AJ5" s="6">
        <f>Tabla2[[#This Row],[Deforestation 2015]]/Tabla2[[#This Row],[Forest cover 2011]]</f>
        <v>0</v>
      </c>
      <c r="AK5" s="6">
        <f>Tabla2[[#This Row],[Deforestation 2016]]/Tabla2[[#This Row],[Forest cover 2011]]</f>
        <v>0</v>
      </c>
      <c r="AL5" s="6">
        <f>Tabla2[[#This Row],[Deforestation 2017]]/Tabla2[[#This Row],[Forest cover 2011]]</f>
        <v>0</v>
      </c>
      <c r="AM5" s="6">
        <f>Tabla2[[#This Row],[Deforestation 2018]]/Tabla2[[#This Row],[Forest cover 2011]]</f>
        <v>0</v>
      </c>
      <c r="AN5" s="6">
        <f>Tabla2[[#This Row],[Deforestation 2019]]/Tabla2[[#This Row],[Forest cover 2011]]</f>
        <v>0</v>
      </c>
      <c r="AO5" s="6">
        <f>Tabla2[[#This Row],[Deforestation 2020]]/Tabla2[[#This Row],[Forest cover 2011]]</f>
        <v>0</v>
      </c>
      <c r="AP5" s="6">
        <f>Tabla2[[#This Row],[Deforestation 2021]]/Tabla2[[#This Row],[Forest cover 2011]]</f>
        <v>0</v>
      </c>
      <c r="AQ5" s="6">
        <f>Tabla2[[#This Row],[Deforestation 2022]]/Tabla2[[#This Row],[Forest cover 2011]]</f>
        <v>0</v>
      </c>
      <c r="AR5" s="6">
        <f>Tabla2[[#This Row],[Deforestation 2023]]/Tabla2[[#This Row],[Forest cover 2011]]</f>
        <v>0</v>
      </c>
      <c r="AS5" s="6">
        <f>Tabla2[[#This Row],[Deforestation 2024]]/Tabla2[[#This Row],[Forest cover 2011]]</f>
        <v>0</v>
      </c>
      <c r="AT5" s="6">
        <f>Tabla2[[#This Row],[Forest Loss 2012]]/Tabla2[[#This Row],[Forest cover 2011]]</f>
        <v>0</v>
      </c>
      <c r="AU5" s="6">
        <f>Tabla2[[#This Row],[Forest Loss 2013]]/Tabla2[[#This Row],[Forest cover 2011]]</f>
        <v>0</v>
      </c>
      <c r="AV5" s="6">
        <f>Tabla2[[#This Row],[Forest Loss 2014]]/Tabla2[[#This Row],[Forest cover 2011]]</f>
        <v>0</v>
      </c>
      <c r="AW5" s="6">
        <f>Tabla2[[#This Row],[Forest Loss 2015]]/Tabla2[[#This Row],[Forest cover 2011]]</f>
        <v>0</v>
      </c>
      <c r="AX5" s="6">
        <f>Tabla2[[#This Row],[Forest Loss 2016]]/Tabla2[[#This Row],[Forest cover 2011]]</f>
        <v>0</v>
      </c>
      <c r="AY5" s="6">
        <f>Tabla2[[#This Row],[Forest Loss 2017]]/Tabla2[[#This Row],[Forest cover 2011]]</f>
        <v>0</v>
      </c>
      <c r="AZ5" s="6">
        <f>Tabla2[[#This Row],[Forest Loss 2018]]/Tabla2[[#This Row],[Forest cover 2011]]</f>
        <v>0</v>
      </c>
      <c r="BA5" s="6">
        <f>Tabla2[[#This Row],[Forest Loss 2019]]/Tabla2[[#This Row],[Forest cover 2011]]</f>
        <v>0</v>
      </c>
      <c r="BB5" s="6">
        <f>Tabla2[[#This Row],[Forest Loss 2020]]/Tabla2[[#This Row],[Forest cover 2011]]</f>
        <v>0</v>
      </c>
      <c r="BC5" s="6">
        <f>Tabla2[[#This Row],[Forest Loss 2021]]/Tabla2[[#This Row],[Forest cover 2011]]</f>
        <v>0</v>
      </c>
      <c r="BD5" s="6">
        <f>Tabla2[[#This Row],[Forest Loss 2022]]/Tabla2[[#This Row],[Forest cover 2011]]</f>
        <v>0</v>
      </c>
      <c r="BE5" s="6">
        <f>Tabla2[[#This Row],[Forest Loss 2023]]/Tabla2[[#This Row],[Forest cover 2011]]</f>
        <v>0</v>
      </c>
      <c r="BF5" s="6">
        <f>Tabla2[[#This Row],[Forest Loss 2024]]/Tabla2[[#This Row],[Forest cover 2011]]</f>
        <v>0.83333333333333326</v>
      </c>
    </row>
    <row r="6" spans="1:58" x14ac:dyDescent="0.25">
      <c r="A6" s="2">
        <v>41401</v>
      </c>
      <c r="B6" s="3" t="s">
        <v>224</v>
      </c>
      <c r="C6" t="s">
        <v>253</v>
      </c>
      <c r="D6">
        <v>4.32</v>
      </c>
      <c r="E6" s="4">
        <f>AVERAGE(Tabla2[[#This Row],[Deforestation 2012]:[Deforestation 2014]])</f>
        <v>0</v>
      </c>
      <c r="F6" s="4">
        <f>AVERAGE(Tabla2[[#This Row],[Deforestation 2022]:[Deforestation 2024]])</f>
        <v>0.03</v>
      </c>
      <c r="G6">
        <v>0</v>
      </c>
      <c r="H6">
        <v>0</v>
      </c>
      <c r="I6">
        <v>0</v>
      </c>
      <c r="J6">
        <v>0.09</v>
      </c>
      <c r="K6">
        <v>0</v>
      </c>
      <c r="L6">
        <v>0</v>
      </c>
      <c r="M6">
        <v>0</v>
      </c>
      <c r="N6">
        <v>0</v>
      </c>
      <c r="O6">
        <v>0.18</v>
      </c>
      <c r="P6">
        <v>0</v>
      </c>
      <c r="Q6">
        <v>0</v>
      </c>
      <c r="R6">
        <v>0</v>
      </c>
      <c r="S6">
        <v>0.09</v>
      </c>
      <c r="T6">
        <v>0.09</v>
      </c>
      <c r="U6">
        <v>0</v>
      </c>
      <c r="V6">
        <v>0.09</v>
      </c>
      <c r="W6">
        <v>0.09</v>
      </c>
      <c r="X6">
        <v>0</v>
      </c>
      <c r="Y6">
        <v>0</v>
      </c>
      <c r="Z6">
        <v>0</v>
      </c>
      <c r="AA6">
        <v>0.09</v>
      </c>
      <c r="AB6">
        <v>0.36</v>
      </c>
      <c r="AC6">
        <v>0</v>
      </c>
      <c r="AD6">
        <v>0</v>
      </c>
      <c r="AE6">
        <v>0</v>
      </c>
      <c r="AF6">
        <v>3.06</v>
      </c>
      <c r="AG6" s="5">
        <f>Tabla2[[#This Row],[Deforestation 2012]]/Tabla2[[#This Row],[Forest cover 2011]]</f>
        <v>0</v>
      </c>
      <c r="AH6" s="6">
        <f>Tabla2[[#This Row],[Deforestation 2013]]/Tabla2[[#This Row],[Forest cover 2011]]</f>
        <v>0</v>
      </c>
      <c r="AI6" s="6">
        <f>Tabla2[[#This Row],[Deforestation 2014]]/Tabla2[[#This Row],[Forest cover 2011]]</f>
        <v>0</v>
      </c>
      <c r="AJ6" s="6">
        <f>Tabla2[[#This Row],[Deforestation 2015]]/Tabla2[[#This Row],[Forest cover 2011]]</f>
        <v>2.0833333333333332E-2</v>
      </c>
      <c r="AK6" s="6">
        <f>Tabla2[[#This Row],[Deforestation 2016]]/Tabla2[[#This Row],[Forest cover 2011]]</f>
        <v>0</v>
      </c>
      <c r="AL6" s="6">
        <f>Tabla2[[#This Row],[Deforestation 2017]]/Tabla2[[#This Row],[Forest cover 2011]]</f>
        <v>0</v>
      </c>
      <c r="AM6" s="6">
        <f>Tabla2[[#This Row],[Deforestation 2018]]/Tabla2[[#This Row],[Forest cover 2011]]</f>
        <v>0</v>
      </c>
      <c r="AN6" s="6">
        <f>Tabla2[[#This Row],[Deforestation 2019]]/Tabla2[[#This Row],[Forest cover 2011]]</f>
        <v>0</v>
      </c>
      <c r="AO6" s="6">
        <f>Tabla2[[#This Row],[Deforestation 2020]]/Tabla2[[#This Row],[Forest cover 2011]]</f>
        <v>4.1666666666666664E-2</v>
      </c>
      <c r="AP6" s="6">
        <f>Tabla2[[#This Row],[Deforestation 2021]]/Tabla2[[#This Row],[Forest cover 2011]]</f>
        <v>0</v>
      </c>
      <c r="AQ6" s="6">
        <f>Tabla2[[#This Row],[Deforestation 2022]]/Tabla2[[#This Row],[Forest cover 2011]]</f>
        <v>0</v>
      </c>
      <c r="AR6" s="6">
        <f>Tabla2[[#This Row],[Deforestation 2023]]/Tabla2[[#This Row],[Forest cover 2011]]</f>
        <v>0</v>
      </c>
      <c r="AS6" s="6">
        <f>Tabla2[[#This Row],[Deforestation 2024]]/Tabla2[[#This Row],[Forest cover 2011]]</f>
        <v>2.0833333333333332E-2</v>
      </c>
      <c r="AT6" s="6">
        <f>Tabla2[[#This Row],[Forest Loss 2012]]/Tabla2[[#This Row],[Forest cover 2011]]</f>
        <v>2.0833333333333332E-2</v>
      </c>
      <c r="AU6" s="6">
        <f>Tabla2[[#This Row],[Forest Loss 2013]]/Tabla2[[#This Row],[Forest cover 2011]]</f>
        <v>0</v>
      </c>
      <c r="AV6" s="6">
        <f>Tabla2[[#This Row],[Forest Loss 2014]]/Tabla2[[#This Row],[Forest cover 2011]]</f>
        <v>2.0833333333333332E-2</v>
      </c>
      <c r="AW6" s="6">
        <f>Tabla2[[#This Row],[Forest Loss 2015]]/Tabla2[[#This Row],[Forest cover 2011]]</f>
        <v>2.0833333333333332E-2</v>
      </c>
      <c r="AX6" s="6">
        <f>Tabla2[[#This Row],[Forest Loss 2016]]/Tabla2[[#This Row],[Forest cover 2011]]</f>
        <v>0</v>
      </c>
      <c r="AY6" s="6">
        <f>Tabla2[[#This Row],[Forest Loss 2017]]/Tabla2[[#This Row],[Forest cover 2011]]</f>
        <v>0</v>
      </c>
      <c r="AZ6" s="6">
        <f>Tabla2[[#This Row],[Forest Loss 2018]]/Tabla2[[#This Row],[Forest cover 2011]]</f>
        <v>0</v>
      </c>
      <c r="BA6" s="6">
        <f>Tabla2[[#This Row],[Forest Loss 2019]]/Tabla2[[#This Row],[Forest cover 2011]]</f>
        <v>2.0833333333333332E-2</v>
      </c>
      <c r="BB6" s="6">
        <f>Tabla2[[#This Row],[Forest Loss 2020]]/Tabla2[[#This Row],[Forest cover 2011]]</f>
        <v>8.3333333333333329E-2</v>
      </c>
      <c r="BC6" s="6">
        <f>Tabla2[[#This Row],[Forest Loss 2021]]/Tabla2[[#This Row],[Forest cover 2011]]</f>
        <v>0</v>
      </c>
      <c r="BD6" s="6">
        <f>Tabla2[[#This Row],[Forest Loss 2022]]/Tabla2[[#This Row],[Forest cover 2011]]</f>
        <v>0</v>
      </c>
      <c r="BE6" s="6">
        <f>Tabla2[[#This Row],[Forest Loss 2023]]/Tabla2[[#This Row],[Forest cover 2011]]</f>
        <v>0</v>
      </c>
      <c r="BF6" s="6">
        <f>Tabla2[[#This Row],[Forest Loss 2024]]/Tabla2[[#This Row],[Forest cover 2011]]</f>
        <v>0.70833333333333326</v>
      </c>
    </row>
    <row r="7" spans="1:58" x14ac:dyDescent="0.25">
      <c r="A7" s="2">
        <v>10701</v>
      </c>
      <c r="B7" s="3" t="s">
        <v>58</v>
      </c>
      <c r="C7" t="s">
        <v>77</v>
      </c>
      <c r="D7">
        <v>79.2</v>
      </c>
      <c r="E7" s="4">
        <f>AVERAGE(Tabla2[[#This Row],[Deforestation 2012]:[Deforestation 2014]])</f>
        <v>1.5</v>
      </c>
      <c r="F7" s="4">
        <f>AVERAGE(Tabla2[[#This Row],[Deforestation 2022]:[Deforestation 2024]])</f>
        <v>9.15</v>
      </c>
      <c r="G7">
        <v>1.89</v>
      </c>
      <c r="H7">
        <v>1.71</v>
      </c>
      <c r="I7">
        <v>0.9</v>
      </c>
      <c r="J7">
        <v>1.26</v>
      </c>
      <c r="K7">
        <v>2.0699999999999998</v>
      </c>
      <c r="L7">
        <v>0.27</v>
      </c>
      <c r="M7">
        <v>0.54</v>
      </c>
      <c r="N7">
        <v>1.53</v>
      </c>
      <c r="O7">
        <v>0.27</v>
      </c>
      <c r="P7">
        <v>0.99</v>
      </c>
      <c r="Q7">
        <v>0</v>
      </c>
      <c r="R7">
        <v>1.35</v>
      </c>
      <c r="S7">
        <v>26.1</v>
      </c>
      <c r="T7">
        <v>2.79</v>
      </c>
      <c r="U7">
        <v>1.98</v>
      </c>
      <c r="V7">
        <v>1.53</v>
      </c>
      <c r="W7">
        <v>1.89</v>
      </c>
      <c r="X7">
        <v>2.16</v>
      </c>
      <c r="Y7">
        <v>0.36</v>
      </c>
      <c r="Z7">
        <v>0.54</v>
      </c>
      <c r="AA7">
        <v>2.0699999999999998</v>
      </c>
      <c r="AB7">
        <v>0.36</v>
      </c>
      <c r="AC7">
        <v>1.17</v>
      </c>
      <c r="AD7">
        <v>0</v>
      </c>
      <c r="AE7">
        <v>1.8</v>
      </c>
      <c r="AF7">
        <v>49.32</v>
      </c>
      <c r="AG7" s="5">
        <f>Tabla2[[#This Row],[Deforestation 2012]]/Tabla2[[#This Row],[Forest cover 2011]]</f>
        <v>2.3863636363636361E-2</v>
      </c>
      <c r="AH7" s="6">
        <f>Tabla2[[#This Row],[Deforestation 2013]]/Tabla2[[#This Row],[Forest cover 2011]]</f>
        <v>2.1590909090909091E-2</v>
      </c>
      <c r="AI7" s="6">
        <f>Tabla2[[#This Row],[Deforestation 2014]]/Tabla2[[#This Row],[Forest cover 2011]]</f>
        <v>1.1363636363636364E-2</v>
      </c>
      <c r="AJ7" s="6">
        <f>Tabla2[[#This Row],[Deforestation 2015]]/Tabla2[[#This Row],[Forest cover 2011]]</f>
        <v>1.5909090909090907E-2</v>
      </c>
      <c r="AK7" s="6">
        <f>Tabla2[[#This Row],[Deforestation 2016]]/Tabla2[[#This Row],[Forest cover 2011]]</f>
        <v>2.6136363636363635E-2</v>
      </c>
      <c r="AL7" s="6">
        <f>Tabla2[[#This Row],[Deforestation 2017]]/Tabla2[[#This Row],[Forest cover 2011]]</f>
        <v>3.4090909090909094E-3</v>
      </c>
      <c r="AM7" s="6">
        <f>Tabla2[[#This Row],[Deforestation 2018]]/Tabla2[[#This Row],[Forest cover 2011]]</f>
        <v>6.8181818181818187E-3</v>
      </c>
      <c r="AN7" s="6">
        <f>Tabla2[[#This Row],[Deforestation 2019]]/Tabla2[[#This Row],[Forest cover 2011]]</f>
        <v>1.9318181818181818E-2</v>
      </c>
      <c r="AO7" s="6">
        <f>Tabla2[[#This Row],[Deforestation 2020]]/Tabla2[[#This Row],[Forest cover 2011]]</f>
        <v>3.4090909090909094E-3</v>
      </c>
      <c r="AP7" s="6">
        <f>Tabla2[[#This Row],[Deforestation 2021]]/Tabla2[[#This Row],[Forest cover 2011]]</f>
        <v>1.2499999999999999E-2</v>
      </c>
      <c r="AQ7" s="6">
        <f>Tabla2[[#This Row],[Deforestation 2022]]/Tabla2[[#This Row],[Forest cover 2011]]</f>
        <v>0</v>
      </c>
      <c r="AR7" s="6">
        <f>Tabla2[[#This Row],[Deforestation 2023]]/Tabla2[[#This Row],[Forest cover 2011]]</f>
        <v>1.7045454545454548E-2</v>
      </c>
      <c r="AS7" s="6">
        <f>Tabla2[[#This Row],[Deforestation 2024]]/Tabla2[[#This Row],[Forest cover 2011]]</f>
        <v>0.32954545454545453</v>
      </c>
      <c r="AT7" s="6">
        <f>Tabla2[[#This Row],[Forest Loss 2012]]/Tabla2[[#This Row],[Forest cover 2011]]</f>
        <v>3.5227272727272725E-2</v>
      </c>
      <c r="AU7" s="6">
        <f>Tabla2[[#This Row],[Forest Loss 2013]]/Tabla2[[#This Row],[Forest cover 2011]]</f>
        <v>2.4999999999999998E-2</v>
      </c>
      <c r="AV7" s="6">
        <f>Tabla2[[#This Row],[Forest Loss 2014]]/Tabla2[[#This Row],[Forest cover 2011]]</f>
        <v>1.9318181818181818E-2</v>
      </c>
      <c r="AW7" s="6">
        <f>Tabla2[[#This Row],[Forest Loss 2015]]/Tabla2[[#This Row],[Forest cover 2011]]</f>
        <v>2.3863636363636361E-2</v>
      </c>
      <c r="AX7" s="6">
        <f>Tabla2[[#This Row],[Forest Loss 2016]]/Tabla2[[#This Row],[Forest cover 2011]]</f>
        <v>2.7272727272727275E-2</v>
      </c>
      <c r="AY7" s="6">
        <f>Tabla2[[#This Row],[Forest Loss 2017]]/Tabla2[[#This Row],[Forest cover 2011]]</f>
        <v>4.5454545454545452E-3</v>
      </c>
      <c r="AZ7" s="6">
        <f>Tabla2[[#This Row],[Forest Loss 2018]]/Tabla2[[#This Row],[Forest cover 2011]]</f>
        <v>6.8181818181818187E-3</v>
      </c>
      <c r="BA7" s="6">
        <f>Tabla2[[#This Row],[Forest Loss 2019]]/Tabla2[[#This Row],[Forest cover 2011]]</f>
        <v>2.6136363636363635E-2</v>
      </c>
      <c r="BB7" s="6">
        <f>Tabla2[[#This Row],[Forest Loss 2020]]/Tabla2[[#This Row],[Forest cover 2011]]</f>
        <v>4.5454545454545452E-3</v>
      </c>
      <c r="BC7" s="6">
        <f>Tabla2[[#This Row],[Forest Loss 2021]]/Tabla2[[#This Row],[Forest cover 2011]]</f>
        <v>1.4772727272727271E-2</v>
      </c>
      <c r="BD7" s="6">
        <f>Tabla2[[#This Row],[Forest Loss 2022]]/Tabla2[[#This Row],[Forest cover 2011]]</f>
        <v>0</v>
      </c>
      <c r="BE7" s="6">
        <f>Tabla2[[#This Row],[Forest Loss 2023]]/Tabla2[[#This Row],[Forest cover 2011]]</f>
        <v>2.2727272727272728E-2</v>
      </c>
      <c r="BF7" s="6">
        <f>Tabla2[[#This Row],[Forest Loss 2024]]/Tabla2[[#This Row],[Forest cover 2011]]</f>
        <v>0.62272727272727268</v>
      </c>
    </row>
    <row r="8" spans="1:58" x14ac:dyDescent="0.25">
      <c r="A8" s="2">
        <v>50801</v>
      </c>
      <c r="B8" s="3" t="s">
        <v>258</v>
      </c>
      <c r="C8" t="s">
        <v>280</v>
      </c>
      <c r="D8">
        <v>47.97</v>
      </c>
      <c r="E8" s="4">
        <f>AVERAGE(Tabla2[[#This Row],[Deforestation 2012]:[Deforestation 2014]])</f>
        <v>1.9800000000000002</v>
      </c>
      <c r="F8" s="4">
        <f>AVERAGE(Tabla2[[#This Row],[Deforestation 2022]:[Deforestation 2024]])</f>
        <v>3.6</v>
      </c>
      <c r="G8">
        <v>1.26</v>
      </c>
      <c r="H8">
        <v>2.4300000000000002</v>
      </c>
      <c r="I8">
        <v>2.25</v>
      </c>
      <c r="J8">
        <v>0.9</v>
      </c>
      <c r="K8">
        <v>0.89999999999999991</v>
      </c>
      <c r="L8">
        <v>0.54</v>
      </c>
      <c r="M8">
        <v>0.18</v>
      </c>
      <c r="N8">
        <v>0.18</v>
      </c>
      <c r="O8">
        <v>0</v>
      </c>
      <c r="P8">
        <v>0.27</v>
      </c>
      <c r="Q8">
        <v>0</v>
      </c>
      <c r="R8">
        <v>0.54</v>
      </c>
      <c r="S8">
        <v>10.26</v>
      </c>
      <c r="T8">
        <v>4.5</v>
      </c>
      <c r="U8">
        <v>3.78</v>
      </c>
      <c r="V8">
        <v>3.15</v>
      </c>
      <c r="W8">
        <v>0.99</v>
      </c>
      <c r="X8">
        <v>1.17</v>
      </c>
      <c r="Y8">
        <v>0.99</v>
      </c>
      <c r="Z8">
        <v>0.18</v>
      </c>
      <c r="AA8">
        <v>0.18</v>
      </c>
      <c r="AB8">
        <v>0</v>
      </c>
      <c r="AC8">
        <v>0.45</v>
      </c>
      <c r="AD8">
        <v>0</v>
      </c>
      <c r="AE8">
        <v>0.63</v>
      </c>
      <c r="AF8">
        <v>26.55</v>
      </c>
      <c r="AG8" s="5">
        <f>Tabla2[[#This Row],[Deforestation 2012]]/Tabla2[[#This Row],[Forest cover 2011]]</f>
        <v>2.6266416510318951E-2</v>
      </c>
      <c r="AH8" s="6">
        <f>Tabla2[[#This Row],[Deforestation 2013]]/Tabla2[[#This Row],[Forest cover 2011]]</f>
        <v>5.065666041275798E-2</v>
      </c>
      <c r="AI8" s="6">
        <f>Tabla2[[#This Row],[Deforestation 2014]]/Tabla2[[#This Row],[Forest cover 2011]]</f>
        <v>4.6904315196998128E-2</v>
      </c>
      <c r="AJ8" s="6">
        <f>Tabla2[[#This Row],[Deforestation 2015]]/Tabla2[[#This Row],[Forest cover 2011]]</f>
        <v>1.8761726078799251E-2</v>
      </c>
      <c r="AK8" s="6">
        <f>Tabla2[[#This Row],[Deforestation 2016]]/Tabla2[[#This Row],[Forest cover 2011]]</f>
        <v>1.8761726078799248E-2</v>
      </c>
      <c r="AL8" s="6">
        <f>Tabla2[[#This Row],[Deforestation 2017]]/Tabla2[[#This Row],[Forest cover 2011]]</f>
        <v>1.1257035647279551E-2</v>
      </c>
      <c r="AM8" s="6">
        <f>Tabla2[[#This Row],[Deforestation 2018]]/Tabla2[[#This Row],[Forest cover 2011]]</f>
        <v>3.7523452157598499E-3</v>
      </c>
      <c r="AN8" s="6">
        <f>Tabla2[[#This Row],[Deforestation 2019]]/Tabla2[[#This Row],[Forest cover 2011]]</f>
        <v>3.7523452157598499E-3</v>
      </c>
      <c r="AO8" s="6">
        <f>Tabla2[[#This Row],[Deforestation 2020]]/Tabla2[[#This Row],[Forest cover 2011]]</f>
        <v>0</v>
      </c>
      <c r="AP8" s="6">
        <f>Tabla2[[#This Row],[Deforestation 2021]]/Tabla2[[#This Row],[Forest cover 2011]]</f>
        <v>5.6285178236397757E-3</v>
      </c>
      <c r="AQ8" s="6">
        <f>Tabla2[[#This Row],[Deforestation 2022]]/Tabla2[[#This Row],[Forest cover 2011]]</f>
        <v>0</v>
      </c>
      <c r="AR8" s="6">
        <f>Tabla2[[#This Row],[Deforestation 2023]]/Tabla2[[#This Row],[Forest cover 2011]]</f>
        <v>1.1257035647279551E-2</v>
      </c>
      <c r="AS8" s="6">
        <f>Tabla2[[#This Row],[Deforestation 2024]]/Tabla2[[#This Row],[Forest cover 2011]]</f>
        <v>0.21388367729831145</v>
      </c>
      <c r="AT8" s="6">
        <f>Tabla2[[#This Row],[Forest Loss 2012]]/Tabla2[[#This Row],[Forest cover 2011]]</f>
        <v>9.3808630393996256E-2</v>
      </c>
      <c r="AU8" s="6">
        <f>Tabla2[[#This Row],[Forest Loss 2013]]/Tabla2[[#This Row],[Forest cover 2011]]</f>
        <v>7.879924953095685E-2</v>
      </c>
      <c r="AV8" s="6">
        <f>Tabla2[[#This Row],[Forest Loss 2014]]/Tabla2[[#This Row],[Forest cover 2011]]</f>
        <v>6.5666041275797379E-2</v>
      </c>
      <c r="AW8" s="6">
        <f>Tabla2[[#This Row],[Forest Loss 2015]]/Tabla2[[#This Row],[Forest cover 2011]]</f>
        <v>2.0637898686679174E-2</v>
      </c>
      <c r="AX8" s="6">
        <f>Tabla2[[#This Row],[Forest Loss 2016]]/Tabla2[[#This Row],[Forest cover 2011]]</f>
        <v>2.4390243902439022E-2</v>
      </c>
      <c r="AY8" s="6">
        <f>Tabla2[[#This Row],[Forest Loss 2017]]/Tabla2[[#This Row],[Forest cover 2011]]</f>
        <v>2.0637898686679174E-2</v>
      </c>
      <c r="AZ8" s="6">
        <f>Tabla2[[#This Row],[Forest Loss 2018]]/Tabla2[[#This Row],[Forest cover 2011]]</f>
        <v>3.7523452157598499E-3</v>
      </c>
      <c r="BA8" s="6">
        <f>Tabla2[[#This Row],[Forest Loss 2019]]/Tabla2[[#This Row],[Forest cover 2011]]</f>
        <v>3.7523452157598499E-3</v>
      </c>
      <c r="BB8" s="6">
        <f>Tabla2[[#This Row],[Forest Loss 2020]]/Tabla2[[#This Row],[Forest cover 2011]]</f>
        <v>0</v>
      </c>
      <c r="BC8" s="6">
        <f>Tabla2[[#This Row],[Forest Loss 2021]]/Tabla2[[#This Row],[Forest cover 2011]]</f>
        <v>9.3808630393996256E-3</v>
      </c>
      <c r="BD8" s="6">
        <f>Tabla2[[#This Row],[Forest Loss 2022]]/Tabla2[[#This Row],[Forest cover 2011]]</f>
        <v>0</v>
      </c>
      <c r="BE8" s="6">
        <f>Tabla2[[#This Row],[Forest Loss 2023]]/Tabla2[[#This Row],[Forest cover 2011]]</f>
        <v>1.3133208255159476E-2</v>
      </c>
      <c r="BF8" s="6">
        <f>Tabla2[[#This Row],[Forest Loss 2024]]/Tabla2[[#This Row],[Forest cover 2011]]</f>
        <v>0.55347091932457793</v>
      </c>
    </row>
    <row r="9" spans="1:58" x14ac:dyDescent="0.25">
      <c r="A9" s="2">
        <v>51202</v>
      </c>
      <c r="B9" s="3" t="s">
        <v>258</v>
      </c>
      <c r="C9" t="s">
        <v>291</v>
      </c>
      <c r="D9">
        <v>2.16</v>
      </c>
      <c r="E9" s="4">
        <f>AVERAGE(Tabla2[[#This Row],[Deforestation 2012]:[Deforestation 2014]])</f>
        <v>0</v>
      </c>
      <c r="F9" s="4">
        <f>AVERAGE(Tabla2[[#This Row],[Deforestation 2022]:[Deforestation 2024]])</f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0.27</v>
      </c>
      <c r="U9">
        <v>0.09</v>
      </c>
      <c r="V9">
        <v>0</v>
      </c>
      <c r="W9">
        <v>0</v>
      </c>
      <c r="X9">
        <v>0</v>
      </c>
      <c r="Y9">
        <v>0</v>
      </c>
      <c r="Z9">
        <v>0.09</v>
      </c>
      <c r="AA9">
        <v>0</v>
      </c>
      <c r="AB9">
        <v>0</v>
      </c>
      <c r="AC9">
        <v>0</v>
      </c>
      <c r="AD9">
        <v>0</v>
      </c>
      <c r="AE9">
        <v>0</v>
      </c>
      <c r="AF9">
        <v>1.17</v>
      </c>
      <c r="AG9" s="5">
        <f>Tabla2[[#This Row],[Deforestation 2012]]/Tabla2[[#This Row],[Forest cover 2011]]</f>
        <v>0</v>
      </c>
      <c r="AH9" s="6">
        <f>Tabla2[[#This Row],[Deforestation 2013]]/Tabla2[[#This Row],[Forest cover 2011]]</f>
        <v>0</v>
      </c>
      <c r="AI9" s="6">
        <f>Tabla2[[#This Row],[Deforestation 2014]]/Tabla2[[#This Row],[Forest cover 2011]]</f>
        <v>0</v>
      </c>
      <c r="AJ9" s="6">
        <f>Tabla2[[#This Row],[Deforestation 2015]]/Tabla2[[#This Row],[Forest cover 2011]]</f>
        <v>0</v>
      </c>
      <c r="AK9" s="6">
        <f>Tabla2[[#This Row],[Deforestation 2016]]/Tabla2[[#This Row],[Forest cover 2011]]</f>
        <v>0</v>
      </c>
      <c r="AL9" s="6">
        <f>Tabla2[[#This Row],[Deforestation 2017]]/Tabla2[[#This Row],[Forest cover 2011]]</f>
        <v>0</v>
      </c>
      <c r="AM9" s="6">
        <f>Tabla2[[#This Row],[Deforestation 2018]]/Tabla2[[#This Row],[Forest cover 2011]]</f>
        <v>0</v>
      </c>
      <c r="AN9" s="6">
        <f>Tabla2[[#This Row],[Deforestation 2019]]/Tabla2[[#This Row],[Forest cover 2011]]</f>
        <v>0</v>
      </c>
      <c r="AO9" s="6">
        <f>Tabla2[[#This Row],[Deforestation 2020]]/Tabla2[[#This Row],[Forest cover 2011]]</f>
        <v>0</v>
      </c>
      <c r="AP9" s="6">
        <f>Tabla2[[#This Row],[Deforestation 2021]]/Tabla2[[#This Row],[Forest cover 2011]]</f>
        <v>0</v>
      </c>
      <c r="AQ9" s="6">
        <f>Tabla2[[#This Row],[Deforestation 2022]]/Tabla2[[#This Row],[Forest cover 2011]]</f>
        <v>0</v>
      </c>
      <c r="AR9" s="6">
        <f>Tabla2[[#This Row],[Deforestation 2023]]/Tabla2[[#This Row],[Forest cover 2011]]</f>
        <v>0</v>
      </c>
      <c r="AS9" s="6">
        <f>Tabla2[[#This Row],[Deforestation 2024]]/Tabla2[[#This Row],[Forest cover 2011]]</f>
        <v>0</v>
      </c>
      <c r="AT9" s="6">
        <f>Tabla2[[#This Row],[Forest Loss 2012]]/Tabla2[[#This Row],[Forest cover 2011]]</f>
        <v>0.125</v>
      </c>
      <c r="AU9" s="6">
        <f>Tabla2[[#This Row],[Forest Loss 2013]]/Tabla2[[#This Row],[Forest cover 2011]]</f>
        <v>4.1666666666666664E-2</v>
      </c>
      <c r="AV9" s="6">
        <f>Tabla2[[#This Row],[Forest Loss 2014]]/Tabla2[[#This Row],[Forest cover 2011]]</f>
        <v>0</v>
      </c>
      <c r="AW9" s="6">
        <f>Tabla2[[#This Row],[Forest Loss 2015]]/Tabla2[[#This Row],[Forest cover 2011]]</f>
        <v>0</v>
      </c>
      <c r="AX9" s="6">
        <f>Tabla2[[#This Row],[Forest Loss 2016]]/Tabla2[[#This Row],[Forest cover 2011]]</f>
        <v>0</v>
      </c>
      <c r="AY9" s="6">
        <f>Tabla2[[#This Row],[Forest Loss 2017]]/Tabla2[[#This Row],[Forest cover 2011]]</f>
        <v>0</v>
      </c>
      <c r="AZ9" s="6">
        <f>Tabla2[[#This Row],[Forest Loss 2018]]/Tabla2[[#This Row],[Forest cover 2011]]</f>
        <v>4.1666666666666664E-2</v>
      </c>
      <c r="BA9" s="6">
        <f>Tabla2[[#This Row],[Forest Loss 2019]]/Tabla2[[#This Row],[Forest cover 2011]]</f>
        <v>0</v>
      </c>
      <c r="BB9" s="6">
        <f>Tabla2[[#This Row],[Forest Loss 2020]]/Tabla2[[#This Row],[Forest cover 2011]]</f>
        <v>0</v>
      </c>
      <c r="BC9" s="6">
        <f>Tabla2[[#This Row],[Forest Loss 2021]]/Tabla2[[#This Row],[Forest cover 2011]]</f>
        <v>0</v>
      </c>
      <c r="BD9" s="6">
        <f>Tabla2[[#This Row],[Forest Loss 2022]]/Tabla2[[#This Row],[Forest cover 2011]]</f>
        <v>0</v>
      </c>
      <c r="BE9" s="6">
        <f>Tabla2[[#This Row],[Forest Loss 2023]]/Tabla2[[#This Row],[Forest cover 2011]]</f>
        <v>0</v>
      </c>
      <c r="BF9" s="6">
        <f>Tabla2[[#This Row],[Forest Loss 2024]]/Tabla2[[#This Row],[Forest cover 2011]]</f>
        <v>0.54166666666666663</v>
      </c>
    </row>
    <row r="10" spans="1:58" x14ac:dyDescent="0.25">
      <c r="A10" s="2">
        <v>10901</v>
      </c>
      <c r="B10" s="3" t="s">
        <v>58</v>
      </c>
      <c r="C10" t="s">
        <v>82</v>
      </c>
      <c r="D10">
        <v>120.96</v>
      </c>
      <c r="E10" s="4">
        <f>AVERAGE(Tabla2[[#This Row],[Deforestation 2012]:[Deforestation 2014]])</f>
        <v>2.8200000000000003</v>
      </c>
      <c r="F10" s="4">
        <f>AVERAGE(Tabla2[[#This Row],[Deforestation 2022]:[Deforestation 2024]])</f>
        <v>13.829999999999998</v>
      </c>
      <c r="G10">
        <v>1.26</v>
      </c>
      <c r="H10">
        <v>4.32</v>
      </c>
      <c r="I10">
        <v>2.88</v>
      </c>
      <c r="J10">
        <v>1.71</v>
      </c>
      <c r="K10">
        <v>3.69</v>
      </c>
      <c r="L10">
        <v>1.26</v>
      </c>
      <c r="M10">
        <v>1.26</v>
      </c>
      <c r="N10">
        <v>2.34</v>
      </c>
      <c r="O10">
        <v>1.17</v>
      </c>
      <c r="P10">
        <v>0.89999999999999991</v>
      </c>
      <c r="Q10">
        <v>0.09</v>
      </c>
      <c r="R10">
        <v>3.96</v>
      </c>
      <c r="S10">
        <v>37.44</v>
      </c>
      <c r="T10">
        <v>1.53</v>
      </c>
      <c r="U10">
        <v>5.4</v>
      </c>
      <c r="V10">
        <v>4.59</v>
      </c>
      <c r="W10">
        <v>1.89</v>
      </c>
      <c r="X10">
        <v>4.32</v>
      </c>
      <c r="Y10">
        <v>1.62</v>
      </c>
      <c r="Z10">
        <v>1.53</v>
      </c>
      <c r="AA10">
        <v>2.79</v>
      </c>
      <c r="AB10">
        <v>1.17</v>
      </c>
      <c r="AC10">
        <v>1.17</v>
      </c>
      <c r="AD10">
        <v>0.18</v>
      </c>
      <c r="AE10">
        <v>3.96</v>
      </c>
      <c r="AF10">
        <v>58.59</v>
      </c>
      <c r="AG10" s="5">
        <f>Tabla2[[#This Row],[Deforestation 2012]]/Tabla2[[#This Row],[Forest cover 2011]]</f>
        <v>1.0416666666666668E-2</v>
      </c>
      <c r="AH10" s="6">
        <f>Tabla2[[#This Row],[Deforestation 2013]]/Tabla2[[#This Row],[Forest cover 2011]]</f>
        <v>3.5714285714285719E-2</v>
      </c>
      <c r="AI10" s="6">
        <f>Tabla2[[#This Row],[Deforestation 2014]]/Tabla2[[#This Row],[Forest cover 2011]]</f>
        <v>2.3809523809523808E-2</v>
      </c>
      <c r="AJ10" s="6">
        <f>Tabla2[[#This Row],[Deforestation 2015]]/Tabla2[[#This Row],[Forest cover 2011]]</f>
        <v>1.4136904761904762E-2</v>
      </c>
      <c r="AK10" s="6">
        <f>Tabla2[[#This Row],[Deforestation 2016]]/Tabla2[[#This Row],[Forest cover 2011]]</f>
        <v>3.0505952380952384E-2</v>
      </c>
      <c r="AL10" s="6">
        <f>Tabla2[[#This Row],[Deforestation 2017]]/Tabla2[[#This Row],[Forest cover 2011]]</f>
        <v>1.0416666666666668E-2</v>
      </c>
      <c r="AM10" s="6">
        <f>Tabla2[[#This Row],[Deforestation 2018]]/Tabla2[[#This Row],[Forest cover 2011]]</f>
        <v>1.0416666666666668E-2</v>
      </c>
      <c r="AN10" s="6">
        <f>Tabla2[[#This Row],[Deforestation 2019]]/Tabla2[[#This Row],[Forest cover 2011]]</f>
        <v>1.9345238095238096E-2</v>
      </c>
      <c r="AO10" s="6">
        <f>Tabla2[[#This Row],[Deforestation 2020]]/Tabla2[[#This Row],[Forest cover 2011]]</f>
        <v>9.6726190476190479E-3</v>
      </c>
      <c r="AP10" s="6">
        <f>Tabla2[[#This Row],[Deforestation 2021]]/Tabla2[[#This Row],[Forest cover 2011]]</f>
        <v>7.4404761904761901E-3</v>
      </c>
      <c r="AQ10" s="6">
        <f>Tabla2[[#This Row],[Deforestation 2022]]/Tabla2[[#This Row],[Forest cover 2011]]</f>
        <v>7.4404761904761901E-4</v>
      </c>
      <c r="AR10" s="6">
        <f>Tabla2[[#This Row],[Deforestation 2023]]/Tabla2[[#This Row],[Forest cover 2011]]</f>
        <v>3.273809523809524E-2</v>
      </c>
      <c r="AS10" s="6">
        <f>Tabla2[[#This Row],[Deforestation 2024]]/Tabla2[[#This Row],[Forest cover 2011]]</f>
        <v>0.30952380952380953</v>
      </c>
      <c r="AT10" s="6">
        <f>Tabla2[[#This Row],[Forest Loss 2012]]/Tabla2[[#This Row],[Forest cover 2011]]</f>
        <v>1.2648809523809524E-2</v>
      </c>
      <c r="AU10" s="6">
        <f>Tabla2[[#This Row],[Forest Loss 2013]]/Tabla2[[#This Row],[Forest cover 2011]]</f>
        <v>4.4642857142857151E-2</v>
      </c>
      <c r="AV10" s="6">
        <f>Tabla2[[#This Row],[Forest Loss 2014]]/Tabla2[[#This Row],[Forest cover 2011]]</f>
        <v>3.7946428571428575E-2</v>
      </c>
      <c r="AW10" s="6">
        <f>Tabla2[[#This Row],[Forest Loss 2015]]/Tabla2[[#This Row],[Forest cover 2011]]</f>
        <v>1.5625E-2</v>
      </c>
      <c r="AX10" s="6">
        <f>Tabla2[[#This Row],[Forest Loss 2016]]/Tabla2[[#This Row],[Forest cover 2011]]</f>
        <v>3.5714285714285719E-2</v>
      </c>
      <c r="AY10" s="6">
        <f>Tabla2[[#This Row],[Forest Loss 2017]]/Tabla2[[#This Row],[Forest cover 2011]]</f>
        <v>1.3392857142857144E-2</v>
      </c>
      <c r="AZ10" s="6">
        <f>Tabla2[[#This Row],[Forest Loss 2018]]/Tabla2[[#This Row],[Forest cover 2011]]</f>
        <v>1.2648809523809524E-2</v>
      </c>
      <c r="BA10" s="6">
        <f>Tabla2[[#This Row],[Forest Loss 2019]]/Tabla2[[#This Row],[Forest cover 2011]]</f>
        <v>2.3065476190476192E-2</v>
      </c>
      <c r="BB10" s="6">
        <f>Tabla2[[#This Row],[Forest Loss 2020]]/Tabla2[[#This Row],[Forest cover 2011]]</f>
        <v>9.6726190476190479E-3</v>
      </c>
      <c r="BC10" s="6">
        <f>Tabla2[[#This Row],[Forest Loss 2021]]/Tabla2[[#This Row],[Forest cover 2011]]</f>
        <v>9.6726190476190479E-3</v>
      </c>
      <c r="BD10" s="6">
        <f>Tabla2[[#This Row],[Forest Loss 2022]]/Tabla2[[#This Row],[Forest cover 2011]]</f>
        <v>1.488095238095238E-3</v>
      </c>
      <c r="BE10" s="6">
        <f>Tabla2[[#This Row],[Forest Loss 2023]]/Tabla2[[#This Row],[Forest cover 2011]]</f>
        <v>3.273809523809524E-2</v>
      </c>
      <c r="BF10" s="6">
        <f>Tabla2[[#This Row],[Forest Loss 2024]]/Tabla2[[#This Row],[Forest cover 2011]]</f>
        <v>0.48437500000000006</v>
      </c>
    </row>
    <row r="11" spans="1:58" x14ac:dyDescent="0.25">
      <c r="A11" s="2">
        <v>51102</v>
      </c>
      <c r="B11" s="3" t="s">
        <v>258</v>
      </c>
      <c r="C11" t="s">
        <v>288</v>
      </c>
      <c r="D11">
        <v>42.03</v>
      </c>
      <c r="E11" s="4">
        <f>AVERAGE(Tabla2[[#This Row],[Deforestation 2012]:[Deforestation 2014]])</f>
        <v>0.18000000000000002</v>
      </c>
      <c r="F11" s="4">
        <f>AVERAGE(Tabla2[[#This Row],[Deforestation 2022]:[Deforestation 2024]])</f>
        <v>0.48000000000000004</v>
      </c>
      <c r="G11">
        <v>0</v>
      </c>
      <c r="H11">
        <v>0</v>
      </c>
      <c r="I11">
        <v>0.54</v>
      </c>
      <c r="J11">
        <v>0.72</v>
      </c>
      <c r="K11">
        <v>0.36</v>
      </c>
      <c r="L11">
        <v>0.18</v>
      </c>
      <c r="M11">
        <v>0.18</v>
      </c>
      <c r="N11">
        <v>0.45</v>
      </c>
      <c r="O11">
        <v>0.09</v>
      </c>
      <c r="P11">
        <v>0.45</v>
      </c>
      <c r="Q11">
        <v>0</v>
      </c>
      <c r="R11">
        <v>0.09</v>
      </c>
      <c r="S11">
        <v>1.35</v>
      </c>
      <c r="T11">
        <v>0</v>
      </c>
      <c r="U11">
        <v>0.63</v>
      </c>
      <c r="V11">
        <v>1.62</v>
      </c>
      <c r="W11">
        <v>1.17</v>
      </c>
      <c r="X11">
        <v>1.17</v>
      </c>
      <c r="Y11">
        <v>0.27</v>
      </c>
      <c r="Z11">
        <v>0.54</v>
      </c>
      <c r="AA11">
        <v>0.63</v>
      </c>
      <c r="AB11">
        <v>0.09</v>
      </c>
      <c r="AC11">
        <v>1.44</v>
      </c>
      <c r="AD11">
        <v>0.27</v>
      </c>
      <c r="AE11">
        <v>0.18</v>
      </c>
      <c r="AF11">
        <v>20.16</v>
      </c>
      <c r="AG11" s="5">
        <f>Tabla2[[#This Row],[Deforestation 2012]]/Tabla2[[#This Row],[Forest cover 2011]]</f>
        <v>0</v>
      </c>
      <c r="AH11" s="6">
        <f>Tabla2[[#This Row],[Deforestation 2013]]/Tabla2[[#This Row],[Forest cover 2011]]</f>
        <v>0</v>
      </c>
      <c r="AI11" s="6">
        <f>Tabla2[[#This Row],[Deforestation 2014]]/Tabla2[[#This Row],[Forest cover 2011]]</f>
        <v>1.284796573875803E-2</v>
      </c>
      <c r="AJ11" s="6">
        <f>Tabla2[[#This Row],[Deforestation 2015]]/Tabla2[[#This Row],[Forest cover 2011]]</f>
        <v>1.7130620985010704E-2</v>
      </c>
      <c r="AK11" s="6">
        <f>Tabla2[[#This Row],[Deforestation 2016]]/Tabla2[[#This Row],[Forest cover 2011]]</f>
        <v>8.5653104925053521E-3</v>
      </c>
      <c r="AL11" s="6">
        <f>Tabla2[[#This Row],[Deforestation 2017]]/Tabla2[[#This Row],[Forest cover 2011]]</f>
        <v>4.282655246252676E-3</v>
      </c>
      <c r="AM11" s="6">
        <f>Tabla2[[#This Row],[Deforestation 2018]]/Tabla2[[#This Row],[Forest cover 2011]]</f>
        <v>4.282655246252676E-3</v>
      </c>
      <c r="AN11" s="6">
        <f>Tabla2[[#This Row],[Deforestation 2019]]/Tabla2[[#This Row],[Forest cover 2011]]</f>
        <v>1.0706638115631691E-2</v>
      </c>
      <c r="AO11" s="6">
        <f>Tabla2[[#This Row],[Deforestation 2020]]/Tabla2[[#This Row],[Forest cover 2011]]</f>
        <v>2.141327623126338E-3</v>
      </c>
      <c r="AP11" s="6">
        <f>Tabla2[[#This Row],[Deforestation 2021]]/Tabla2[[#This Row],[Forest cover 2011]]</f>
        <v>1.0706638115631691E-2</v>
      </c>
      <c r="AQ11" s="6">
        <f>Tabla2[[#This Row],[Deforestation 2022]]/Tabla2[[#This Row],[Forest cover 2011]]</f>
        <v>0</v>
      </c>
      <c r="AR11" s="6">
        <f>Tabla2[[#This Row],[Deforestation 2023]]/Tabla2[[#This Row],[Forest cover 2011]]</f>
        <v>2.141327623126338E-3</v>
      </c>
      <c r="AS11" s="6">
        <f>Tabla2[[#This Row],[Deforestation 2024]]/Tabla2[[#This Row],[Forest cover 2011]]</f>
        <v>3.2119914346895075E-2</v>
      </c>
      <c r="AT11" s="6">
        <f>Tabla2[[#This Row],[Forest Loss 2012]]/Tabla2[[#This Row],[Forest cover 2011]]</f>
        <v>0</v>
      </c>
      <c r="AU11" s="6">
        <f>Tabla2[[#This Row],[Forest Loss 2013]]/Tabla2[[#This Row],[Forest cover 2011]]</f>
        <v>1.4989293361884369E-2</v>
      </c>
      <c r="AV11" s="6">
        <f>Tabla2[[#This Row],[Forest Loss 2014]]/Tabla2[[#This Row],[Forest cover 2011]]</f>
        <v>3.8543897216274089E-2</v>
      </c>
      <c r="AW11" s="6">
        <f>Tabla2[[#This Row],[Forest Loss 2015]]/Tabla2[[#This Row],[Forest cover 2011]]</f>
        <v>2.7837259100642397E-2</v>
      </c>
      <c r="AX11" s="6">
        <f>Tabla2[[#This Row],[Forest Loss 2016]]/Tabla2[[#This Row],[Forest cover 2011]]</f>
        <v>2.7837259100642397E-2</v>
      </c>
      <c r="AY11" s="6">
        <f>Tabla2[[#This Row],[Forest Loss 2017]]/Tabla2[[#This Row],[Forest cover 2011]]</f>
        <v>6.4239828693790149E-3</v>
      </c>
      <c r="AZ11" s="6">
        <f>Tabla2[[#This Row],[Forest Loss 2018]]/Tabla2[[#This Row],[Forest cover 2011]]</f>
        <v>1.284796573875803E-2</v>
      </c>
      <c r="BA11" s="6">
        <f>Tabla2[[#This Row],[Forest Loss 2019]]/Tabla2[[#This Row],[Forest cover 2011]]</f>
        <v>1.4989293361884369E-2</v>
      </c>
      <c r="BB11" s="6">
        <f>Tabla2[[#This Row],[Forest Loss 2020]]/Tabla2[[#This Row],[Forest cover 2011]]</f>
        <v>2.141327623126338E-3</v>
      </c>
      <c r="BC11" s="6">
        <f>Tabla2[[#This Row],[Forest Loss 2021]]/Tabla2[[#This Row],[Forest cover 2011]]</f>
        <v>3.4261241970021408E-2</v>
      </c>
      <c r="BD11" s="6">
        <f>Tabla2[[#This Row],[Forest Loss 2022]]/Tabla2[[#This Row],[Forest cover 2011]]</f>
        <v>6.4239828693790149E-3</v>
      </c>
      <c r="BE11" s="6">
        <f>Tabla2[[#This Row],[Forest Loss 2023]]/Tabla2[[#This Row],[Forest cover 2011]]</f>
        <v>4.282655246252676E-3</v>
      </c>
      <c r="BF11" s="6">
        <f>Tabla2[[#This Row],[Forest Loss 2024]]/Tabla2[[#This Row],[Forest cover 2011]]</f>
        <v>0.4796573875802998</v>
      </c>
    </row>
    <row r="12" spans="1:58" x14ac:dyDescent="0.25">
      <c r="A12" s="2">
        <v>10903</v>
      </c>
      <c r="B12" s="3" t="s">
        <v>58</v>
      </c>
      <c r="C12" t="s">
        <v>84</v>
      </c>
      <c r="D12">
        <v>83.52</v>
      </c>
      <c r="E12" s="4">
        <f>AVERAGE(Tabla2[[#This Row],[Deforestation 2012]:[Deforestation 2014]])</f>
        <v>2.94</v>
      </c>
      <c r="F12" s="4">
        <f>AVERAGE(Tabla2[[#This Row],[Deforestation 2022]:[Deforestation 2024]])</f>
        <v>7.6499999999999995</v>
      </c>
      <c r="G12">
        <v>0.99</v>
      </c>
      <c r="H12">
        <v>4.32</v>
      </c>
      <c r="I12">
        <v>3.51</v>
      </c>
      <c r="J12">
        <v>1.44</v>
      </c>
      <c r="K12">
        <v>1.8</v>
      </c>
      <c r="L12">
        <v>2.52</v>
      </c>
      <c r="M12">
        <v>2.25</v>
      </c>
      <c r="N12">
        <v>1.98</v>
      </c>
      <c r="O12">
        <v>0.99</v>
      </c>
      <c r="P12">
        <v>0.9</v>
      </c>
      <c r="Q12">
        <v>0</v>
      </c>
      <c r="R12">
        <v>2.16</v>
      </c>
      <c r="S12">
        <v>20.79</v>
      </c>
      <c r="T12">
        <v>1.08</v>
      </c>
      <c r="U12">
        <v>4.95</v>
      </c>
      <c r="V12">
        <v>5.13</v>
      </c>
      <c r="W12">
        <v>1.98</v>
      </c>
      <c r="X12">
        <v>1.89</v>
      </c>
      <c r="Y12">
        <v>2.7</v>
      </c>
      <c r="Z12">
        <v>2.61</v>
      </c>
      <c r="AA12">
        <v>2.4300000000000002</v>
      </c>
      <c r="AB12">
        <v>0.99</v>
      </c>
      <c r="AC12">
        <v>0.99</v>
      </c>
      <c r="AD12">
        <v>0</v>
      </c>
      <c r="AE12">
        <v>2.16</v>
      </c>
      <c r="AF12">
        <v>35.729999999999997</v>
      </c>
      <c r="AG12" s="5">
        <f>Tabla2[[#This Row],[Deforestation 2012]]/Tabla2[[#This Row],[Forest cover 2011]]</f>
        <v>1.185344827586207E-2</v>
      </c>
      <c r="AH12" s="6">
        <f>Tabla2[[#This Row],[Deforestation 2013]]/Tabla2[[#This Row],[Forest cover 2011]]</f>
        <v>5.1724137931034489E-2</v>
      </c>
      <c r="AI12" s="6">
        <f>Tabla2[[#This Row],[Deforestation 2014]]/Tabla2[[#This Row],[Forest cover 2011]]</f>
        <v>4.2025862068965518E-2</v>
      </c>
      <c r="AJ12" s="6">
        <f>Tabla2[[#This Row],[Deforestation 2015]]/Tabla2[[#This Row],[Forest cover 2011]]</f>
        <v>1.7241379310344827E-2</v>
      </c>
      <c r="AK12" s="6">
        <f>Tabla2[[#This Row],[Deforestation 2016]]/Tabla2[[#This Row],[Forest cover 2011]]</f>
        <v>2.1551724137931036E-2</v>
      </c>
      <c r="AL12" s="6">
        <f>Tabla2[[#This Row],[Deforestation 2017]]/Tabla2[[#This Row],[Forest cover 2011]]</f>
        <v>3.017241379310345E-2</v>
      </c>
      <c r="AM12" s="6">
        <f>Tabla2[[#This Row],[Deforestation 2018]]/Tabla2[[#This Row],[Forest cover 2011]]</f>
        <v>2.6939655172413795E-2</v>
      </c>
      <c r="AN12" s="6">
        <f>Tabla2[[#This Row],[Deforestation 2019]]/Tabla2[[#This Row],[Forest cover 2011]]</f>
        <v>2.370689655172414E-2</v>
      </c>
      <c r="AO12" s="6">
        <f>Tabla2[[#This Row],[Deforestation 2020]]/Tabla2[[#This Row],[Forest cover 2011]]</f>
        <v>1.185344827586207E-2</v>
      </c>
      <c r="AP12" s="6">
        <f>Tabla2[[#This Row],[Deforestation 2021]]/Tabla2[[#This Row],[Forest cover 2011]]</f>
        <v>1.0775862068965518E-2</v>
      </c>
      <c r="AQ12" s="6">
        <f>Tabla2[[#This Row],[Deforestation 2022]]/Tabla2[[#This Row],[Forest cover 2011]]</f>
        <v>0</v>
      </c>
      <c r="AR12" s="6">
        <f>Tabla2[[#This Row],[Deforestation 2023]]/Tabla2[[#This Row],[Forest cover 2011]]</f>
        <v>2.5862068965517244E-2</v>
      </c>
      <c r="AS12" s="6">
        <f>Tabla2[[#This Row],[Deforestation 2024]]/Tabla2[[#This Row],[Forest cover 2011]]</f>
        <v>0.24892241379310345</v>
      </c>
      <c r="AT12" s="6">
        <f>Tabla2[[#This Row],[Forest Loss 2012]]/Tabla2[[#This Row],[Forest cover 2011]]</f>
        <v>1.2931034482758622E-2</v>
      </c>
      <c r="AU12" s="6">
        <f>Tabla2[[#This Row],[Forest Loss 2013]]/Tabla2[[#This Row],[Forest cover 2011]]</f>
        <v>5.9267241379310352E-2</v>
      </c>
      <c r="AV12" s="6">
        <f>Tabla2[[#This Row],[Forest Loss 2014]]/Tabla2[[#This Row],[Forest cover 2011]]</f>
        <v>6.1422413793103453E-2</v>
      </c>
      <c r="AW12" s="6">
        <f>Tabla2[[#This Row],[Forest Loss 2015]]/Tabla2[[#This Row],[Forest cover 2011]]</f>
        <v>2.370689655172414E-2</v>
      </c>
      <c r="AX12" s="6">
        <f>Tabla2[[#This Row],[Forest Loss 2016]]/Tabla2[[#This Row],[Forest cover 2011]]</f>
        <v>2.2629310344827586E-2</v>
      </c>
      <c r="AY12" s="6">
        <f>Tabla2[[#This Row],[Forest Loss 2017]]/Tabla2[[#This Row],[Forest cover 2011]]</f>
        <v>3.2327586206896554E-2</v>
      </c>
      <c r="AZ12" s="6">
        <f>Tabla2[[#This Row],[Forest Loss 2018]]/Tabla2[[#This Row],[Forest cover 2011]]</f>
        <v>3.125E-2</v>
      </c>
      <c r="BA12" s="6">
        <f>Tabla2[[#This Row],[Forest Loss 2019]]/Tabla2[[#This Row],[Forest cover 2011]]</f>
        <v>2.9094827586206899E-2</v>
      </c>
      <c r="BB12" s="6">
        <f>Tabla2[[#This Row],[Forest Loss 2020]]/Tabla2[[#This Row],[Forest cover 2011]]</f>
        <v>1.185344827586207E-2</v>
      </c>
      <c r="BC12" s="6">
        <f>Tabla2[[#This Row],[Forest Loss 2021]]/Tabla2[[#This Row],[Forest cover 2011]]</f>
        <v>1.185344827586207E-2</v>
      </c>
      <c r="BD12" s="6">
        <f>Tabla2[[#This Row],[Forest Loss 2022]]/Tabla2[[#This Row],[Forest cover 2011]]</f>
        <v>0</v>
      </c>
      <c r="BE12" s="6">
        <f>Tabla2[[#This Row],[Forest Loss 2023]]/Tabla2[[#This Row],[Forest cover 2011]]</f>
        <v>2.5862068965517244E-2</v>
      </c>
      <c r="BF12" s="6">
        <f>Tabla2[[#This Row],[Forest Loss 2024]]/Tabla2[[#This Row],[Forest cover 2011]]</f>
        <v>0.42780172413793099</v>
      </c>
    </row>
    <row r="13" spans="1:58" x14ac:dyDescent="0.25">
      <c r="A13" s="2">
        <v>60402</v>
      </c>
      <c r="B13" s="3" t="s">
        <v>300</v>
      </c>
      <c r="C13" t="s">
        <v>307</v>
      </c>
      <c r="D13">
        <v>16.649999999999999</v>
      </c>
      <c r="E13" s="4">
        <f>AVERAGE(Tabla2[[#This Row],[Deforestation 2012]:[Deforestation 2014]])</f>
        <v>9.0000000000000011E-2</v>
      </c>
      <c r="F13" s="4">
        <f>AVERAGE(Tabla2[[#This Row],[Deforestation 2022]:[Deforestation 2024]])</f>
        <v>0.48</v>
      </c>
      <c r="G13">
        <v>0.09</v>
      </c>
      <c r="H13">
        <v>0.18</v>
      </c>
      <c r="I13">
        <v>0</v>
      </c>
      <c r="J13">
        <v>0.18</v>
      </c>
      <c r="K13">
        <v>0.81</v>
      </c>
      <c r="L13">
        <v>0</v>
      </c>
      <c r="M13">
        <v>0.45</v>
      </c>
      <c r="N13">
        <v>0.18</v>
      </c>
      <c r="O13">
        <v>0</v>
      </c>
      <c r="P13">
        <v>0.09</v>
      </c>
      <c r="Q13">
        <v>0</v>
      </c>
      <c r="R13">
        <v>0</v>
      </c>
      <c r="S13">
        <v>1.44</v>
      </c>
      <c r="T13">
        <v>0.09</v>
      </c>
      <c r="U13">
        <v>0.72</v>
      </c>
      <c r="V13">
        <v>0.36</v>
      </c>
      <c r="W13">
        <v>0.45</v>
      </c>
      <c r="X13">
        <v>0.9</v>
      </c>
      <c r="Y13">
        <v>0</v>
      </c>
      <c r="Z13">
        <v>0.63</v>
      </c>
      <c r="AA13">
        <v>0.18</v>
      </c>
      <c r="AB13">
        <v>0</v>
      </c>
      <c r="AC13">
        <v>0.09</v>
      </c>
      <c r="AD13">
        <v>0</v>
      </c>
      <c r="AE13">
        <v>0</v>
      </c>
      <c r="AF13">
        <v>6.93</v>
      </c>
      <c r="AG13" s="5">
        <f>Tabla2[[#This Row],[Deforestation 2012]]/Tabla2[[#This Row],[Forest cover 2011]]</f>
        <v>5.4054054054054057E-3</v>
      </c>
      <c r="AH13" s="6">
        <f>Tabla2[[#This Row],[Deforestation 2013]]/Tabla2[[#This Row],[Forest cover 2011]]</f>
        <v>1.0810810810810811E-2</v>
      </c>
      <c r="AI13" s="6">
        <f>Tabla2[[#This Row],[Deforestation 2014]]/Tabla2[[#This Row],[Forest cover 2011]]</f>
        <v>0</v>
      </c>
      <c r="AJ13" s="6">
        <f>Tabla2[[#This Row],[Deforestation 2015]]/Tabla2[[#This Row],[Forest cover 2011]]</f>
        <v>1.0810810810810811E-2</v>
      </c>
      <c r="AK13" s="6">
        <f>Tabla2[[#This Row],[Deforestation 2016]]/Tabla2[[#This Row],[Forest cover 2011]]</f>
        <v>4.8648648648648658E-2</v>
      </c>
      <c r="AL13" s="6">
        <f>Tabla2[[#This Row],[Deforestation 2017]]/Tabla2[[#This Row],[Forest cover 2011]]</f>
        <v>0</v>
      </c>
      <c r="AM13" s="6">
        <f>Tabla2[[#This Row],[Deforestation 2018]]/Tabla2[[#This Row],[Forest cover 2011]]</f>
        <v>2.7027027027027029E-2</v>
      </c>
      <c r="AN13" s="6">
        <f>Tabla2[[#This Row],[Deforestation 2019]]/Tabla2[[#This Row],[Forest cover 2011]]</f>
        <v>1.0810810810810811E-2</v>
      </c>
      <c r="AO13" s="6">
        <f>Tabla2[[#This Row],[Deforestation 2020]]/Tabla2[[#This Row],[Forest cover 2011]]</f>
        <v>0</v>
      </c>
      <c r="AP13" s="6">
        <f>Tabla2[[#This Row],[Deforestation 2021]]/Tabla2[[#This Row],[Forest cover 2011]]</f>
        <v>5.4054054054054057E-3</v>
      </c>
      <c r="AQ13" s="6">
        <f>Tabla2[[#This Row],[Deforestation 2022]]/Tabla2[[#This Row],[Forest cover 2011]]</f>
        <v>0</v>
      </c>
      <c r="AR13" s="6">
        <f>Tabla2[[#This Row],[Deforestation 2023]]/Tabla2[[#This Row],[Forest cover 2011]]</f>
        <v>0</v>
      </c>
      <c r="AS13" s="6">
        <f>Tabla2[[#This Row],[Deforestation 2024]]/Tabla2[[#This Row],[Forest cover 2011]]</f>
        <v>8.6486486486486491E-2</v>
      </c>
      <c r="AT13" s="6">
        <f>Tabla2[[#This Row],[Forest Loss 2012]]/Tabla2[[#This Row],[Forest cover 2011]]</f>
        <v>5.4054054054054057E-3</v>
      </c>
      <c r="AU13" s="6">
        <f>Tabla2[[#This Row],[Forest Loss 2013]]/Tabla2[[#This Row],[Forest cover 2011]]</f>
        <v>4.3243243243243246E-2</v>
      </c>
      <c r="AV13" s="6">
        <f>Tabla2[[#This Row],[Forest Loss 2014]]/Tabla2[[#This Row],[Forest cover 2011]]</f>
        <v>2.1621621621621623E-2</v>
      </c>
      <c r="AW13" s="6">
        <f>Tabla2[[#This Row],[Forest Loss 2015]]/Tabla2[[#This Row],[Forest cover 2011]]</f>
        <v>2.7027027027027029E-2</v>
      </c>
      <c r="AX13" s="6">
        <f>Tabla2[[#This Row],[Forest Loss 2016]]/Tabla2[[#This Row],[Forest cover 2011]]</f>
        <v>5.4054054054054057E-2</v>
      </c>
      <c r="AY13" s="6">
        <f>Tabla2[[#This Row],[Forest Loss 2017]]/Tabla2[[#This Row],[Forest cover 2011]]</f>
        <v>0</v>
      </c>
      <c r="AZ13" s="6">
        <f>Tabla2[[#This Row],[Forest Loss 2018]]/Tabla2[[#This Row],[Forest cover 2011]]</f>
        <v>3.783783783783784E-2</v>
      </c>
      <c r="BA13" s="6">
        <f>Tabla2[[#This Row],[Forest Loss 2019]]/Tabla2[[#This Row],[Forest cover 2011]]</f>
        <v>1.0810810810810811E-2</v>
      </c>
      <c r="BB13" s="6">
        <f>Tabla2[[#This Row],[Forest Loss 2020]]/Tabla2[[#This Row],[Forest cover 2011]]</f>
        <v>0</v>
      </c>
      <c r="BC13" s="6">
        <f>Tabla2[[#This Row],[Forest Loss 2021]]/Tabla2[[#This Row],[Forest cover 2011]]</f>
        <v>5.4054054054054057E-3</v>
      </c>
      <c r="BD13" s="6">
        <f>Tabla2[[#This Row],[Forest Loss 2022]]/Tabla2[[#This Row],[Forest cover 2011]]</f>
        <v>0</v>
      </c>
      <c r="BE13" s="6">
        <f>Tabla2[[#This Row],[Forest Loss 2023]]/Tabla2[[#This Row],[Forest cover 2011]]</f>
        <v>0</v>
      </c>
      <c r="BF13" s="6">
        <f>Tabla2[[#This Row],[Forest Loss 2024]]/Tabla2[[#This Row],[Forest cover 2011]]</f>
        <v>0.41621621621621624</v>
      </c>
    </row>
    <row r="14" spans="1:58" x14ac:dyDescent="0.25">
      <c r="A14" s="2">
        <v>50602</v>
      </c>
      <c r="B14" s="3" t="s">
        <v>258</v>
      </c>
      <c r="C14" t="s">
        <v>277</v>
      </c>
      <c r="D14">
        <v>100.44</v>
      </c>
      <c r="E14" s="4">
        <f>AVERAGE(Tabla2[[#This Row],[Deforestation 2012]:[Deforestation 2014]])</f>
        <v>0.87000000000000011</v>
      </c>
      <c r="F14" s="4">
        <f>AVERAGE(Tabla2[[#This Row],[Deforestation 2022]:[Deforestation 2024]])</f>
        <v>4.7399999999999993</v>
      </c>
      <c r="G14">
        <v>0.89999999999999991</v>
      </c>
      <c r="H14">
        <v>1.26</v>
      </c>
      <c r="I14">
        <v>0.45</v>
      </c>
      <c r="J14">
        <v>0.27</v>
      </c>
      <c r="K14">
        <v>0.72</v>
      </c>
      <c r="L14">
        <v>0.27</v>
      </c>
      <c r="M14">
        <v>0.36</v>
      </c>
      <c r="N14">
        <v>0.81</v>
      </c>
      <c r="O14">
        <v>0.36</v>
      </c>
      <c r="P14">
        <v>0.63</v>
      </c>
      <c r="Q14">
        <v>0</v>
      </c>
      <c r="R14">
        <v>0.18</v>
      </c>
      <c r="S14">
        <v>14.04</v>
      </c>
      <c r="T14">
        <v>2.25</v>
      </c>
      <c r="U14">
        <v>1.53</v>
      </c>
      <c r="V14">
        <v>1.98</v>
      </c>
      <c r="W14">
        <v>0.63</v>
      </c>
      <c r="X14">
        <v>0.99</v>
      </c>
      <c r="Y14">
        <v>0.63</v>
      </c>
      <c r="Z14">
        <v>1.17</v>
      </c>
      <c r="AA14">
        <v>1.26</v>
      </c>
      <c r="AB14">
        <v>0.45</v>
      </c>
      <c r="AC14">
        <v>1.26</v>
      </c>
      <c r="AD14">
        <v>0</v>
      </c>
      <c r="AE14">
        <v>0.72</v>
      </c>
      <c r="AF14">
        <v>38.340000000000003</v>
      </c>
      <c r="AG14" s="5">
        <f>Tabla2[[#This Row],[Deforestation 2012]]/Tabla2[[#This Row],[Forest cover 2011]]</f>
        <v>8.9605734767025085E-3</v>
      </c>
      <c r="AH14" s="6">
        <f>Tabla2[[#This Row],[Deforestation 2013]]/Tabla2[[#This Row],[Forest cover 2011]]</f>
        <v>1.2544802867383513E-2</v>
      </c>
      <c r="AI14" s="6">
        <f>Tabla2[[#This Row],[Deforestation 2014]]/Tabla2[[#This Row],[Forest cover 2011]]</f>
        <v>4.4802867383512543E-3</v>
      </c>
      <c r="AJ14" s="6">
        <f>Tabla2[[#This Row],[Deforestation 2015]]/Tabla2[[#This Row],[Forest cover 2011]]</f>
        <v>2.6881720430107529E-3</v>
      </c>
      <c r="AK14" s="6">
        <f>Tabla2[[#This Row],[Deforestation 2016]]/Tabla2[[#This Row],[Forest cover 2011]]</f>
        <v>7.1684587813620072E-3</v>
      </c>
      <c r="AL14" s="6">
        <f>Tabla2[[#This Row],[Deforestation 2017]]/Tabla2[[#This Row],[Forest cover 2011]]</f>
        <v>2.6881720430107529E-3</v>
      </c>
      <c r="AM14" s="6">
        <f>Tabla2[[#This Row],[Deforestation 2018]]/Tabla2[[#This Row],[Forest cover 2011]]</f>
        <v>3.5842293906810036E-3</v>
      </c>
      <c r="AN14" s="6">
        <f>Tabla2[[#This Row],[Deforestation 2019]]/Tabla2[[#This Row],[Forest cover 2011]]</f>
        <v>8.0645161290322596E-3</v>
      </c>
      <c r="AO14" s="6">
        <f>Tabla2[[#This Row],[Deforestation 2020]]/Tabla2[[#This Row],[Forest cover 2011]]</f>
        <v>3.5842293906810036E-3</v>
      </c>
      <c r="AP14" s="6">
        <f>Tabla2[[#This Row],[Deforestation 2021]]/Tabla2[[#This Row],[Forest cover 2011]]</f>
        <v>6.2724014336917565E-3</v>
      </c>
      <c r="AQ14" s="6">
        <f>Tabla2[[#This Row],[Deforestation 2022]]/Tabla2[[#This Row],[Forest cover 2011]]</f>
        <v>0</v>
      </c>
      <c r="AR14" s="6">
        <f>Tabla2[[#This Row],[Deforestation 2023]]/Tabla2[[#This Row],[Forest cover 2011]]</f>
        <v>1.7921146953405018E-3</v>
      </c>
      <c r="AS14" s="6">
        <f>Tabla2[[#This Row],[Deforestation 2024]]/Tabla2[[#This Row],[Forest cover 2011]]</f>
        <v>0.13978494623655913</v>
      </c>
      <c r="AT14" s="6">
        <f>Tabla2[[#This Row],[Forest Loss 2012]]/Tabla2[[#This Row],[Forest cover 2011]]</f>
        <v>2.2401433691756272E-2</v>
      </c>
      <c r="AU14" s="6">
        <f>Tabla2[[#This Row],[Forest Loss 2013]]/Tabla2[[#This Row],[Forest cover 2011]]</f>
        <v>1.5232974910394265E-2</v>
      </c>
      <c r="AV14" s="6">
        <f>Tabla2[[#This Row],[Forest Loss 2014]]/Tabla2[[#This Row],[Forest cover 2011]]</f>
        <v>1.9713261648745518E-2</v>
      </c>
      <c r="AW14" s="6">
        <f>Tabla2[[#This Row],[Forest Loss 2015]]/Tabla2[[#This Row],[Forest cover 2011]]</f>
        <v>6.2724014336917565E-3</v>
      </c>
      <c r="AX14" s="6">
        <f>Tabla2[[#This Row],[Forest Loss 2016]]/Tabla2[[#This Row],[Forest cover 2011]]</f>
        <v>9.8566308243727592E-3</v>
      </c>
      <c r="AY14" s="6">
        <f>Tabla2[[#This Row],[Forest Loss 2017]]/Tabla2[[#This Row],[Forest cover 2011]]</f>
        <v>6.2724014336917565E-3</v>
      </c>
      <c r="AZ14" s="6">
        <f>Tabla2[[#This Row],[Forest Loss 2018]]/Tabla2[[#This Row],[Forest cover 2011]]</f>
        <v>1.1648745519713261E-2</v>
      </c>
      <c r="BA14" s="6">
        <f>Tabla2[[#This Row],[Forest Loss 2019]]/Tabla2[[#This Row],[Forest cover 2011]]</f>
        <v>1.2544802867383513E-2</v>
      </c>
      <c r="BB14" s="6">
        <f>Tabla2[[#This Row],[Forest Loss 2020]]/Tabla2[[#This Row],[Forest cover 2011]]</f>
        <v>4.4802867383512543E-3</v>
      </c>
      <c r="BC14" s="6">
        <f>Tabla2[[#This Row],[Forest Loss 2021]]/Tabla2[[#This Row],[Forest cover 2011]]</f>
        <v>1.2544802867383513E-2</v>
      </c>
      <c r="BD14" s="6">
        <f>Tabla2[[#This Row],[Forest Loss 2022]]/Tabla2[[#This Row],[Forest cover 2011]]</f>
        <v>0</v>
      </c>
      <c r="BE14" s="6">
        <f>Tabla2[[#This Row],[Forest Loss 2023]]/Tabla2[[#This Row],[Forest cover 2011]]</f>
        <v>7.1684587813620072E-3</v>
      </c>
      <c r="BF14" s="6">
        <f>Tabla2[[#This Row],[Forest Loss 2024]]/Tabla2[[#This Row],[Forest cover 2011]]</f>
        <v>0.38172043010752693</v>
      </c>
    </row>
    <row r="15" spans="1:58" x14ac:dyDescent="0.25">
      <c r="A15" s="2">
        <v>50601</v>
      </c>
      <c r="B15" s="3" t="s">
        <v>258</v>
      </c>
      <c r="C15" t="s">
        <v>276</v>
      </c>
      <c r="D15">
        <v>269.82</v>
      </c>
      <c r="E15" s="4">
        <f>AVERAGE(Tabla2[[#This Row],[Deforestation 2012]:[Deforestation 2014]])</f>
        <v>3.5700000000000003</v>
      </c>
      <c r="F15" s="4">
        <f>AVERAGE(Tabla2[[#This Row],[Deforestation 2022]:[Deforestation 2024]])</f>
        <v>15.719999999999999</v>
      </c>
      <c r="G15">
        <v>2.0699999999999998</v>
      </c>
      <c r="H15">
        <v>4.5</v>
      </c>
      <c r="I15">
        <v>4.1399999999999997</v>
      </c>
      <c r="J15">
        <v>2.52</v>
      </c>
      <c r="K15">
        <v>1.98</v>
      </c>
      <c r="L15">
        <v>1.44</v>
      </c>
      <c r="M15">
        <v>1.98</v>
      </c>
      <c r="N15">
        <v>1.89</v>
      </c>
      <c r="O15">
        <v>1.89</v>
      </c>
      <c r="P15">
        <v>1.8</v>
      </c>
      <c r="Q15">
        <v>0.09</v>
      </c>
      <c r="R15">
        <v>2.7</v>
      </c>
      <c r="S15">
        <v>44.37</v>
      </c>
      <c r="T15">
        <v>5.67</v>
      </c>
      <c r="U15">
        <v>8.19</v>
      </c>
      <c r="V15">
        <v>12.87</v>
      </c>
      <c r="W15">
        <v>4.1400000000000006</v>
      </c>
      <c r="X15">
        <v>2.79</v>
      </c>
      <c r="Y15">
        <v>2.25</v>
      </c>
      <c r="Z15">
        <v>3.51</v>
      </c>
      <c r="AA15">
        <v>2.61</v>
      </c>
      <c r="AB15">
        <v>2.52</v>
      </c>
      <c r="AC15">
        <v>3.87</v>
      </c>
      <c r="AD15">
        <v>0.54</v>
      </c>
      <c r="AE15">
        <v>3.42</v>
      </c>
      <c r="AF15">
        <v>93.42</v>
      </c>
      <c r="AG15" s="5">
        <f>Tabla2[[#This Row],[Deforestation 2012]]/Tabla2[[#This Row],[Forest cover 2011]]</f>
        <v>7.6717811874583049E-3</v>
      </c>
      <c r="AH15" s="6">
        <f>Tabla2[[#This Row],[Deforestation 2013]]/Tabla2[[#This Row],[Forest cover 2011]]</f>
        <v>1.6677785190126752E-2</v>
      </c>
      <c r="AI15" s="6">
        <f>Tabla2[[#This Row],[Deforestation 2014]]/Tabla2[[#This Row],[Forest cover 2011]]</f>
        <v>1.534356237491661E-2</v>
      </c>
      <c r="AJ15" s="6">
        <f>Tabla2[[#This Row],[Deforestation 2015]]/Tabla2[[#This Row],[Forest cover 2011]]</f>
        <v>9.3395597064709814E-3</v>
      </c>
      <c r="AK15" s="6">
        <f>Tabla2[[#This Row],[Deforestation 2016]]/Tabla2[[#This Row],[Forest cover 2011]]</f>
        <v>7.3382254836557703E-3</v>
      </c>
      <c r="AL15" s="6">
        <f>Tabla2[[#This Row],[Deforestation 2017]]/Tabla2[[#This Row],[Forest cover 2011]]</f>
        <v>5.3368912608405599E-3</v>
      </c>
      <c r="AM15" s="6">
        <f>Tabla2[[#This Row],[Deforestation 2018]]/Tabla2[[#This Row],[Forest cover 2011]]</f>
        <v>7.3382254836557703E-3</v>
      </c>
      <c r="AN15" s="6">
        <f>Tabla2[[#This Row],[Deforestation 2019]]/Tabla2[[#This Row],[Forest cover 2011]]</f>
        <v>7.0046697798532356E-3</v>
      </c>
      <c r="AO15" s="6">
        <f>Tabla2[[#This Row],[Deforestation 2020]]/Tabla2[[#This Row],[Forest cover 2011]]</f>
        <v>7.0046697798532356E-3</v>
      </c>
      <c r="AP15" s="6">
        <f>Tabla2[[#This Row],[Deforestation 2021]]/Tabla2[[#This Row],[Forest cover 2011]]</f>
        <v>6.671114076050701E-3</v>
      </c>
      <c r="AQ15" s="6">
        <f>Tabla2[[#This Row],[Deforestation 2022]]/Tabla2[[#This Row],[Forest cover 2011]]</f>
        <v>3.33555703802535E-4</v>
      </c>
      <c r="AR15" s="6">
        <f>Tabla2[[#This Row],[Deforestation 2023]]/Tabla2[[#This Row],[Forest cover 2011]]</f>
        <v>1.0006671114076052E-2</v>
      </c>
      <c r="AS15" s="6">
        <f>Tabla2[[#This Row],[Deforestation 2024]]/Tabla2[[#This Row],[Forest cover 2011]]</f>
        <v>0.16444296197464975</v>
      </c>
      <c r="AT15" s="6">
        <f>Tabla2[[#This Row],[Forest Loss 2012]]/Tabla2[[#This Row],[Forest cover 2011]]</f>
        <v>2.1014009339559707E-2</v>
      </c>
      <c r="AU15" s="6">
        <f>Tabla2[[#This Row],[Forest Loss 2013]]/Tabla2[[#This Row],[Forest cover 2011]]</f>
        <v>3.0353569046030687E-2</v>
      </c>
      <c r="AV15" s="6">
        <f>Tabla2[[#This Row],[Forest Loss 2014]]/Tabla2[[#This Row],[Forest cover 2011]]</f>
        <v>4.7698465643762504E-2</v>
      </c>
      <c r="AW15" s="6">
        <f>Tabla2[[#This Row],[Forest Loss 2015]]/Tabla2[[#This Row],[Forest cover 2011]]</f>
        <v>1.5343562374916613E-2</v>
      </c>
      <c r="AX15" s="6">
        <f>Tabla2[[#This Row],[Forest Loss 2016]]/Tabla2[[#This Row],[Forest cover 2011]]</f>
        <v>1.0340226817878585E-2</v>
      </c>
      <c r="AY15" s="6">
        <f>Tabla2[[#This Row],[Forest Loss 2017]]/Tabla2[[#This Row],[Forest cover 2011]]</f>
        <v>8.3388925950633758E-3</v>
      </c>
      <c r="AZ15" s="6">
        <f>Tabla2[[#This Row],[Forest Loss 2018]]/Tabla2[[#This Row],[Forest cover 2011]]</f>
        <v>1.3008672448298866E-2</v>
      </c>
      <c r="BA15" s="6">
        <f>Tabla2[[#This Row],[Forest Loss 2019]]/Tabla2[[#This Row],[Forest cover 2011]]</f>
        <v>9.673115410273516E-3</v>
      </c>
      <c r="BB15" s="6">
        <f>Tabla2[[#This Row],[Forest Loss 2020]]/Tabla2[[#This Row],[Forest cover 2011]]</f>
        <v>9.3395597064709814E-3</v>
      </c>
      <c r="BC15" s="6">
        <f>Tabla2[[#This Row],[Forest Loss 2021]]/Tabla2[[#This Row],[Forest cover 2011]]</f>
        <v>1.4342895263509008E-2</v>
      </c>
      <c r="BD15" s="6">
        <f>Tabla2[[#This Row],[Forest Loss 2022]]/Tabla2[[#This Row],[Forest cover 2011]]</f>
        <v>2.0013342228152103E-3</v>
      </c>
      <c r="BE15" s="6">
        <f>Tabla2[[#This Row],[Forest Loss 2023]]/Tabla2[[#This Row],[Forest cover 2011]]</f>
        <v>1.2675116744496331E-2</v>
      </c>
      <c r="BF15" s="6">
        <f>Tabla2[[#This Row],[Forest Loss 2024]]/Tabla2[[#This Row],[Forest cover 2011]]</f>
        <v>0.34623082054703136</v>
      </c>
    </row>
    <row r="16" spans="1:58" x14ac:dyDescent="0.25">
      <c r="A16" s="2">
        <v>51501</v>
      </c>
      <c r="B16" s="3" t="s">
        <v>258</v>
      </c>
      <c r="C16" t="s">
        <v>298</v>
      </c>
      <c r="D16">
        <v>65.430000000000007</v>
      </c>
      <c r="E16" s="4">
        <f>AVERAGE(Tabla2[[#This Row],[Deforestation 2012]:[Deforestation 2014]])</f>
        <v>0.96</v>
      </c>
      <c r="F16" s="4">
        <f>AVERAGE(Tabla2[[#This Row],[Deforestation 2022]:[Deforestation 2024]])</f>
        <v>4.2</v>
      </c>
      <c r="G16">
        <v>0.72</v>
      </c>
      <c r="H16">
        <v>0.81</v>
      </c>
      <c r="I16">
        <v>1.35</v>
      </c>
      <c r="J16">
        <v>1.53</v>
      </c>
      <c r="K16">
        <v>0.80999999999999994</v>
      </c>
      <c r="L16">
        <v>0.72</v>
      </c>
      <c r="M16">
        <v>1.08</v>
      </c>
      <c r="N16">
        <v>1.26</v>
      </c>
      <c r="O16">
        <v>0.09</v>
      </c>
      <c r="P16">
        <v>0.27</v>
      </c>
      <c r="Q16">
        <v>0</v>
      </c>
      <c r="R16">
        <v>0.27</v>
      </c>
      <c r="S16">
        <v>12.33</v>
      </c>
      <c r="T16">
        <v>1.26</v>
      </c>
      <c r="U16">
        <v>1.17</v>
      </c>
      <c r="V16">
        <v>2.88</v>
      </c>
      <c r="W16">
        <v>1.53</v>
      </c>
      <c r="X16">
        <v>0.99</v>
      </c>
      <c r="Y16">
        <v>0.81</v>
      </c>
      <c r="Z16">
        <v>1.17</v>
      </c>
      <c r="AA16">
        <v>2.25</v>
      </c>
      <c r="AB16">
        <v>0.18</v>
      </c>
      <c r="AC16">
        <v>0.36</v>
      </c>
      <c r="AD16">
        <v>0</v>
      </c>
      <c r="AE16">
        <v>0.27</v>
      </c>
      <c r="AF16">
        <v>21.15</v>
      </c>
      <c r="AG16" s="5">
        <f>Tabla2[[#This Row],[Deforestation 2012]]/Tabla2[[#This Row],[Forest cover 2011]]</f>
        <v>1.1004126547455294E-2</v>
      </c>
      <c r="AH16" s="6">
        <f>Tabla2[[#This Row],[Deforestation 2013]]/Tabla2[[#This Row],[Forest cover 2011]]</f>
        <v>1.2379642365887207E-2</v>
      </c>
      <c r="AI16" s="6">
        <f>Tabla2[[#This Row],[Deforestation 2014]]/Tabla2[[#This Row],[Forest cover 2011]]</f>
        <v>2.0632737276478678E-2</v>
      </c>
      <c r="AJ16" s="6">
        <f>Tabla2[[#This Row],[Deforestation 2015]]/Tabla2[[#This Row],[Forest cover 2011]]</f>
        <v>2.3383768913342502E-2</v>
      </c>
      <c r="AK16" s="6">
        <f>Tabla2[[#This Row],[Deforestation 2016]]/Tabla2[[#This Row],[Forest cover 2011]]</f>
        <v>1.2379642365887206E-2</v>
      </c>
      <c r="AL16" s="6">
        <f>Tabla2[[#This Row],[Deforestation 2017]]/Tabla2[[#This Row],[Forest cover 2011]]</f>
        <v>1.1004126547455294E-2</v>
      </c>
      <c r="AM16" s="6">
        <f>Tabla2[[#This Row],[Deforestation 2018]]/Tabla2[[#This Row],[Forest cover 2011]]</f>
        <v>1.6506189821182942E-2</v>
      </c>
      <c r="AN16" s="6">
        <f>Tabla2[[#This Row],[Deforestation 2019]]/Tabla2[[#This Row],[Forest cover 2011]]</f>
        <v>1.9257221458046765E-2</v>
      </c>
      <c r="AO16" s="6">
        <f>Tabla2[[#This Row],[Deforestation 2020]]/Tabla2[[#This Row],[Forest cover 2011]]</f>
        <v>1.3755158184319118E-3</v>
      </c>
      <c r="AP16" s="6">
        <f>Tabla2[[#This Row],[Deforestation 2021]]/Tabla2[[#This Row],[Forest cover 2011]]</f>
        <v>4.1265474552957355E-3</v>
      </c>
      <c r="AQ16" s="6">
        <f>Tabla2[[#This Row],[Deforestation 2022]]/Tabla2[[#This Row],[Forest cover 2011]]</f>
        <v>0</v>
      </c>
      <c r="AR16" s="6">
        <f>Tabla2[[#This Row],[Deforestation 2023]]/Tabla2[[#This Row],[Forest cover 2011]]</f>
        <v>4.1265474552957355E-3</v>
      </c>
      <c r="AS16" s="6">
        <f>Tabla2[[#This Row],[Deforestation 2024]]/Tabla2[[#This Row],[Forest cover 2011]]</f>
        <v>0.18844566712517191</v>
      </c>
      <c r="AT16" s="6">
        <f>Tabla2[[#This Row],[Forest Loss 2012]]/Tabla2[[#This Row],[Forest cover 2011]]</f>
        <v>1.9257221458046765E-2</v>
      </c>
      <c r="AU16" s="6">
        <f>Tabla2[[#This Row],[Forest Loss 2013]]/Tabla2[[#This Row],[Forest cover 2011]]</f>
        <v>1.7881705639614852E-2</v>
      </c>
      <c r="AV16" s="6">
        <f>Tabla2[[#This Row],[Forest Loss 2014]]/Tabla2[[#This Row],[Forest cover 2011]]</f>
        <v>4.4016506189821177E-2</v>
      </c>
      <c r="AW16" s="6">
        <f>Tabla2[[#This Row],[Forest Loss 2015]]/Tabla2[[#This Row],[Forest cover 2011]]</f>
        <v>2.3383768913342502E-2</v>
      </c>
      <c r="AX16" s="6">
        <f>Tabla2[[#This Row],[Forest Loss 2016]]/Tabla2[[#This Row],[Forest cover 2011]]</f>
        <v>1.5130674002751031E-2</v>
      </c>
      <c r="AY16" s="6">
        <f>Tabla2[[#This Row],[Forest Loss 2017]]/Tabla2[[#This Row],[Forest cover 2011]]</f>
        <v>1.2379642365887207E-2</v>
      </c>
      <c r="AZ16" s="6">
        <f>Tabla2[[#This Row],[Forest Loss 2018]]/Tabla2[[#This Row],[Forest cover 2011]]</f>
        <v>1.7881705639614852E-2</v>
      </c>
      <c r="BA16" s="6">
        <f>Tabla2[[#This Row],[Forest Loss 2019]]/Tabla2[[#This Row],[Forest cover 2011]]</f>
        <v>3.4387895460797797E-2</v>
      </c>
      <c r="BB16" s="6">
        <f>Tabla2[[#This Row],[Forest Loss 2020]]/Tabla2[[#This Row],[Forest cover 2011]]</f>
        <v>2.7510316368638235E-3</v>
      </c>
      <c r="BC16" s="6">
        <f>Tabla2[[#This Row],[Forest Loss 2021]]/Tabla2[[#This Row],[Forest cover 2011]]</f>
        <v>5.5020632737276471E-3</v>
      </c>
      <c r="BD16" s="6">
        <f>Tabla2[[#This Row],[Forest Loss 2022]]/Tabla2[[#This Row],[Forest cover 2011]]</f>
        <v>0</v>
      </c>
      <c r="BE16" s="6">
        <f>Tabla2[[#This Row],[Forest Loss 2023]]/Tabla2[[#This Row],[Forest cover 2011]]</f>
        <v>4.1265474552957355E-3</v>
      </c>
      <c r="BF16" s="6">
        <f>Tabla2[[#This Row],[Forest Loss 2024]]/Tabla2[[#This Row],[Forest cover 2011]]</f>
        <v>0.32324621733149927</v>
      </c>
    </row>
    <row r="17" spans="1:58" x14ac:dyDescent="0.25">
      <c r="A17" s="2">
        <v>51103</v>
      </c>
      <c r="B17" s="3" t="s">
        <v>258</v>
      </c>
      <c r="C17" t="s">
        <v>289</v>
      </c>
      <c r="D17">
        <v>445.41</v>
      </c>
      <c r="E17" s="4">
        <f>AVERAGE(Tabla2[[#This Row],[Deforestation 2012]:[Deforestation 2014]])</f>
        <v>0.24</v>
      </c>
      <c r="F17" s="4">
        <f>AVERAGE(Tabla2[[#This Row],[Deforestation 2022]:[Deforestation 2024]])</f>
        <v>0.98999999999999988</v>
      </c>
      <c r="G17">
        <v>0.09</v>
      </c>
      <c r="H17">
        <v>0.18</v>
      </c>
      <c r="I17">
        <v>0.45</v>
      </c>
      <c r="J17">
        <v>0.36</v>
      </c>
      <c r="K17">
        <v>0.45</v>
      </c>
      <c r="L17">
        <v>0.36</v>
      </c>
      <c r="M17">
        <v>2.61</v>
      </c>
      <c r="N17">
        <v>1.44</v>
      </c>
      <c r="O17">
        <v>0.45</v>
      </c>
      <c r="P17">
        <v>0.80999999999999994</v>
      </c>
      <c r="Q17">
        <v>0</v>
      </c>
      <c r="R17">
        <v>0.9</v>
      </c>
      <c r="S17">
        <v>2.0699999999999998</v>
      </c>
      <c r="T17">
        <v>1.62</v>
      </c>
      <c r="U17">
        <v>1.98</v>
      </c>
      <c r="V17">
        <v>8.5500000000000007</v>
      </c>
      <c r="W17">
        <v>0.45</v>
      </c>
      <c r="X17">
        <v>0.63</v>
      </c>
      <c r="Y17">
        <v>0.63</v>
      </c>
      <c r="Z17">
        <v>3.33</v>
      </c>
      <c r="AA17">
        <v>1.8</v>
      </c>
      <c r="AB17">
        <v>1.26</v>
      </c>
      <c r="AC17">
        <v>1.98</v>
      </c>
      <c r="AD17">
        <v>0.09</v>
      </c>
      <c r="AE17">
        <v>1.98</v>
      </c>
      <c r="AF17">
        <v>143.82</v>
      </c>
      <c r="AG17" s="5">
        <f>Tabla2[[#This Row],[Deforestation 2012]]/Tabla2[[#This Row],[Forest cover 2011]]</f>
        <v>2.0206102242877348E-4</v>
      </c>
      <c r="AH17" s="6">
        <f>Tabla2[[#This Row],[Deforestation 2013]]/Tabla2[[#This Row],[Forest cover 2011]]</f>
        <v>4.0412204485754696E-4</v>
      </c>
      <c r="AI17" s="6">
        <f>Tabla2[[#This Row],[Deforestation 2014]]/Tabla2[[#This Row],[Forest cover 2011]]</f>
        <v>1.0103051121438675E-3</v>
      </c>
      <c r="AJ17" s="6">
        <f>Tabla2[[#This Row],[Deforestation 2015]]/Tabla2[[#This Row],[Forest cover 2011]]</f>
        <v>8.0824408971509392E-4</v>
      </c>
      <c r="AK17" s="6">
        <f>Tabla2[[#This Row],[Deforestation 2016]]/Tabla2[[#This Row],[Forest cover 2011]]</f>
        <v>1.0103051121438675E-3</v>
      </c>
      <c r="AL17" s="6">
        <f>Tabla2[[#This Row],[Deforestation 2017]]/Tabla2[[#This Row],[Forest cover 2011]]</f>
        <v>8.0824408971509392E-4</v>
      </c>
      <c r="AM17" s="6">
        <f>Tabla2[[#This Row],[Deforestation 2018]]/Tabla2[[#This Row],[Forest cover 2011]]</f>
        <v>5.8597696504344302E-3</v>
      </c>
      <c r="AN17" s="6">
        <f>Tabla2[[#This Row],[Deforestation 2019]]/Tabla2[[#This Row],[Forest cover 2011]]</f>
        <v>3.2329763588603757E-3</v>
      </c>
      <c r="AO17" s="6">
        <f>Tabla2[[#This Row],[Deforestation 2020]]/Tabla2[[#This Row],[Forest cover 2011]]</f>
        <v>1.0103051121438675E-3</v>
      </c>
      <c r="AP17" s="6">
        <f>Tabla2[[#This Row],[Deforestation 2021]]/Tabla2[[#This Row],[Forest cover 2011]]</f>
        <v>1.8185492018589612E-3</v>
      </c>
      <c r="AQ17" s="6">
        <f>Tabla2[[#This Row],[Deforestation 2022]]/Tabla2[[#This Row],[Forest cover 2011]]</f>
        <v>0</v>
      </c>
      <c r="AR17" s="6">
        <f>Tabla2[[#This Row],[Deforestation 2023]]/Tabla2[[#This Row],[Forest cover 2011]]</f>
        <v>2.020610224287735E-3</v>
      </c>
      <c r="AS17" s="6">
        <f>Tabla2[[#This Row],[Deforestation 2024]]/Tabla2[[#This Row],[Forest cover 2011]]</f>
        <v>4.6474035158617895E-3</v>
      </c>
      <c r="AT17" s="6">
        <f>Tabla2[[#This Row],[Forest Loss 2012]]/Tabla2[[#This Row],[Forest cover 2011]]</f>
        <v>3.6370984037179229E-3</v>
      </c>
      <c r="AU17" s="6">
        <f>Tabla2[[#This Row],[Forest Loss 2013]]/Tabla2[[#This Row],[Forest cover 2011]]</f>
        <v>4.4453424934330164E-3</v>
      </c>
      <c r="AV17" s="6">
        <f>Tabla2[[#This Row],[Forest Loss 2014]]/Tabla2[[#This Row],[Forest cover 2011]]</f>
        <v>1.9195797130733484E-2</v>
      </c>
      <c r="AW17" s="6">
        <f>Tabla2[[#This Row],[Forest Loss 2015]]/Tabla2[[#This Row],[Forest cover 2011]]</f>
        <v>1.0103051121438675E-3</v>
      </c>
      <c r="AX17" s="6">
        <f>Tabla2[[#This Row],[Forest Loss 2016]]/Tabla2[[#This Row],[Forest cover 2011]]</f>
        <v>1.4144271570014143E-3</v>
      </c>
      <c r="AY17" s="6">
        <f>Tabla2[[#This Row],[Forest Loss 2017]]/Tabla2[[#This Row],[Forest cover 2011]]</f>
        <v>1.4144271570014143E-3</v>
      </c>
      <c r="AZ17" s="6">
        <f>Tabla2[[#This Row],[Forest Loss 2018]]/Tabla2[[#This Row],[Forest cover 2011]]</f>
        <v>7.4762578298646189E-3</v>
      </c>
      <c r="BA17" s="6">
        <f>Tabla2[[#This Row],[Forest Loss 2019]]/Tabla2[[#This Row],[Forest cover 2011]]</f>
        <v>4.0412204485754701E-3</v>
      </c>
      <c r="BB17" s="6">
        <f>Tabla2[[#This Row],[Forest Loss 2020]]/Tabla2[[#This Row],[Forest cover 2011]]</f>
        <v>2.8288543140028285E-3</v>
      </c>
      <c r="BC17" s="6">
        <f>Tabla2[[#This Row],[Forest Loss 2021]]/Tabla2[[#This Row],[Forest cover 2011]]</f>
        <v>4.4453424934330164E-3</v>
      </c>
      <c r="BD17" s="6">
        <f>Tabla2[[#This Row],[Forest Loss 2022]]/Tabla2[[#This Row],[Forest cover 2011]]</f>
        <v>2.0206102242877348E-4</v>
      </c>
      <c r="BE17" s="6">
        <f>Tabla2[[#This Row],[Forest Loss 2023]]/Tabla2[[#This Row],[Forest cover 2011]]</f>
        <v>4.4453424934330164E-3</v>
      </c>
      <c r="BF17" s="6">
        <f>Tabla2[[#This Row],[Forest Loss 2024]]/Tabla2[[#This Row],[Forest cover 2011]]</f>
        <v>0.32289351384117998</v>
      </c>
    </row>
    <row r="18" spans="1:58" x14ac:dyDescent="0.25">
      <c r="A18" s="2">
        <v>50302</v>
      </c>
      <c r="B18" s="3" t="s">
        <v>258</v>
      </c>
      <c r="C18" t="s">
        <v>267</v>
      </c>
      <c r="D18">
        <v>3.96</v>
      </c>
      <c r="E18" s="4">
        <f>AVERAGE(Tabla2[[#This Row],[Deforestation 2012]:[Deforestation 2014]])</f>
        <v>0.03</v>
      </c>
      <c r="F18" s="4">
        <f>AVERAGE(Tabla2[[#This Row],[Deforestation 2022]:[Deforestation 2024]])</f>
        <v>0.06</v>
      </c>
      <c r="G18">
        <v>0</v>
      </c>
      <c r="H18">
        <v>0.09</v>
      </c>
      <c r="I18">
        <v>0</v>
      </c>
      <c r="J18">
        <v>0</v>
      </c>
      <c r="K18">
        <v>0</v>
      </c>
      <c r="L18">
        <v>0</v>
      </c>
      <c r="M18">
        <v>0.54</v>
      </c>
      <c r="N18">
        <v>0</v>
      </c>
      <c r="O18">
        <v>0</v>
      </c>
      <c r="P18">
        <v>0</v>
      </c>
      <c r="Q18">
        <v>0</v>
      </c>
      <c r="R18">
        <v>0</v>
      </c>
      <c r="S18">
        <v>0.18</v>
      </c>
      <c r="T18">
        <v>0.36</v>
      </c>
      <c r="U18">
        <v>0.09</v>
      </c>
      <c r="V18">
        <v>0.09</v>
      </c>
      <c r="W18">
        <v>0</v>
      </c>
      <c r="X18">
        <v>0</v>
      </c>
      <c r="Y18">
        <v>0</v>
      </c>
      <c r="Z18">
        <v>0.54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0.99</v>
      </c>
      <c r="AG18" s="5">
        <f>Tabla2[[#This Row],[Deforestation 2012]]/Tabla2[[#This Row],[Forest cover 2011]]</f>
        <v>0</v>
      </c>
      <c r="AH18" s="6">
        <f>Tabla2[[#This Row],[Deforestation 2013]]/Tabla2[[#This Row],[Forest cover 2011]]</f>
        <v>2.2727272727272728E-2</v>
      </c>
      <c r="AI18" s="6">
        <f>Tabla2[[#This Row],[Deforestation 2014]]/Tabla2[[#This Row],[Forest cover 2011]]</f>
        <v>0</v>
      </c>
      <c r="AJ18" s="6">
        <f>Tabla2[[#This Row],[Deforestation 2015]]/Tabla2[[#This Row],[Forest cover 2011]]</f>
        <v>0</v>
      </c>
      <c r="AK18" s="6">
        <f>Tabla2[[#This Row],[Deforestation 2016]]/Tabla2[[#This Row],[Forest cover 2011]]</f>
        <v>0</v>
      </c>
      <c r="AL18" s="6">
        <f>Tabla2[[#This Row],[Deforestation 2017]]/Tabla2[[#This Row],[Forest cover 2011]]</f>
        <v>0</v>
      </c>
      <c r="AM18" s="6">
        <f>Tabla2[[#This Row],[Deforestation 2018]]/Tabla2[[#This Row],[Forest cover 2011]]</f>
        <v>0.13636363636363638</v>
      </c>
      <c r="AN18" s="6">
        <f>Tabla2[[#This Row],[Deforestation 2019]]/Tabla2[[#This Row],[Forest cover 2011]]</f>
        <v>0</v>
      </c>
      <c r="AO18" s="6">
        <f>Tabla2[[#This Row],[Deforestation 2020]]/Tabla2[[#This Row],[Forest cover 2011]]</f>
        <v>0</v>
      </c>
      <c r="AP18" s="6">
        <f>Tabla2[[#This Row],[Deforestation 2021]]/Tabla2[[#This Row],[Forest cover 2011]]</f>
        <v>0</v>
      </c>
      <c r="AQ18" s="6">
        <f>Tabla2[[#This Row],[Deforestation 2022]]/Tabla2[[#This Row],[Forest cover 2011]]</f>
        <v>0</v>
      </c>
      <c r="AR18" s="6">
        <f>Tabla2[[#This Row],[Deforestation 2023]]/Tabla2[[#This Row],[Forest cover 2011]]</f>
        <v>0</v>
      </c>
      <c r="AS18" s="6">
        <f>Tabla2[[#This Row],[Deforestation 2024]]/Tabla2[[#This Row],[Forest cover 2011]]</f>
        <v>4.5454545454545456E-2</v>
      </c>
      <c r="AT18" s="6">
        <f>Tabla2[[#This Row],[Forest Loss 2012]]/Tabla2[[#This Row],[Forest cover 2011]]</f>
        <v>9.0909090909090912E-2</v>
      </c>
      <c r="AU18" s="6">
        <f>Tabla2[[#This Row],[Forest Loss 2013]]/Tabla2[[#This Row],[Forest cover 2011]]</f>
        <v>2.2727272727272728E-2</v>
      </c>
      <c r="AV18" s="6">
        <f>Tabla2[[#This Row],[Forest Loss 2014]]/Tabla2[[#This Row],[Forest cover 2011]]</f>
        <v>2.2727272727272728E-2</v>
      </c>
      <c r="AW18" s="6">
        <f>Tabla2[[#This Row],[Forest Loss 2015]]/Tabla2[[#This Row],[Forest cover 2011]]</f>
        <v>0</v>
      </c>
      <c r="AX18" s="6">
        <f>Tabla2[[#This Row],[Forest Loss 2016]]/Tabla2[[#This Row],[Forest cover 2011]]</f>
        <v>0</v>
      </c>
      <c r="AY18" s="6">
        <f>Tabla2[[#This Row],[Forest Loss 2017]]/Tabla2[[#This Row],[Forest cover 2011]]</f>
        <v>0</v>
      </c>
      <c r="AZ18" s="6">
        <f>Tabla2[[#This Row],[Forest Loss 2018]]/Tabla2[[#This Row],[Forest cover 2011]]</f>
        <v>0.13636363636363638</v>
      </c>
      <c r="BA18" s="6">
        <f>Tabla2[[#This Row],[Forest Loss 2019]]/Tabla2[[#This Row],[Forest cover 2011]]</f>
        <v>0</v>
      </c>
      <c r="BB18" s="6">
        <f>Tabla2[[#This Row],[Forest Loss 2020]]/Tabla2[[#This Row],[Forest cover 2011]]</f>
        <v>0</v>
      </c>
      <c r="BC18" s="6">
        <f>Tabla2[[#This Row],[Forest Loss 2021]]/Tabla2[[#This Row],[Forest cover 2011]]</f>
        <v>0</v>
      </c>
      <c r="BD18" s="6">
        <f>Tabla2[[#This Row],[Forest Loss 2022]]/Tabla2[[#This Row],[Forest cover 2011]]</f>
        <v>0</v>
      </c>
      <c r="BE18" s="6">
        <f>Tabla2[[#This Row],[Forest Loss 2023]]/Tabla2[[#This Row],[Forest cover 2011]]</f>
        <v>0</v>
      </c>
      <c r="BF18" s="6">
        <f>Tabla2[[#This Row],[Forest Loss 2024]]/Tabla2[[#This Row],[Forest cover 2011]]</f>
        <v>0.25</v>
      </c>
    </row>
    <row r="19" spans="1:58" x14ac:dyDescent="0.25">
      <c r="A19" s="2">
        <v>50101</v>
      </c>
      <c r="B19" s="3" t="s">
        <v>258</v>
      </c>
      <c r="C19" t="s">
        <v>258</v>
      </c>
      <c r="D19">
        <v>4.59</v>
      </c>
      <c r="E19" s="4">
        <f>AVERAGE(Tabla2[[#This Row],[Deforestation 2012]:[Deforestation 2014]])</f>
        <v>0</v>
      </c>
      <c r="F19" s="4">
        <f>AVERAGE(Tabla2[[#This Row],[Deforestation 2022]:[Deforestation 2024]])</f>
        <v>0.24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0.72</v>
      </c>
      <c r="T19">
        <v>0</v>
      </c>
      <c r="U19">
        <v>0</v>
      </c>
      <c r="V19">
        <v>0.54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0.99</v>
      </c>
      <c r="AG19" s="5">
        <f>Tabla2[[#This Row],[Deforestation 2012]]/Tabla2[[#This Row],[Forest cover 2011]]</f>
        <v>0</v>
      </c>
      <c r="AH19" s="6">
        <f>Tabla2[[#This Row],[Deforestation 2013]]/Tabla2[[#This Row],[Forest cover 2011]]</f>
        <v>0</v>
      </c>
      <c r="AI19" s="6">
        <f>Tabla2[[#This Row],[Deforestation 2014]]/Tabla2[[#This Row],[Forest cover 2011]]</f>
        <v>0</v>
      </c>
      <c r="AJ19" s="6">
        <f>Tabla2[[#This Row],[Deforestation 2015]]/Tabla2[[#This Row],[Forest cover 2011]]</f>
        <v>0</v>
      </c>
      <c r="AK19" s="6">
        <f>Tabla2[[#This Row],[Deforestation 2016]]/Tabla2[[#This Row],[Forest cover 2011]]</f>
        <v>0</v>
      </c>
      <c r="AL19" s="6">
        <f>Tabla2[[#This Row],[Deforestation 2017]]/Tabla2[[#This Row],[Forest cover 2011]]</f>
        <v>0</v>
      </c>
      <c r="AM19" s="6">
        <f>Tabla2[[#This Row],[Deforestation 2018]]/Tabla2[[#This Row],[Forest cover 2011]]</f>
        <v>0</v>
      </c>
      <c r="AN19" s="6">
        <f>Tabla2[[#This Row],[Deforestation 2019]]/Tabla2[[#This Row],[Forest cover 2011]]</f>
        <v>0</v>
      </c>
      <c r="AO19" s="6">
        <f>Tabla2[[#This Row],[Deforestation 2020]]/Tabla2[[#This Row],[Forest cover 2011]]</f>
        <v>0</v>
      </c>
      <c r="AP19" s="6">
        <f>Tabla2[[#This Row],[Deforestation 2021]]/Tabla2[[#This Row],[Forest cover 2011]]</f>
        <v>0</v>
      </c>
      <c r="AQ19" s="6">
        <f>Tabla2[[#This Row],[Deforestation 2022]]/Tabla2[[#This Row],[Forest cover 2011]]</f>
        <v>0</v>
      </c>
      <c r="AR19" s="6">
        <f>Tabla2[[#This Row],[Deforestation 2023]]/Tabla2[[#This Row],[Forest cover 2011]]</f>
        <v>0</v>
      </c>
      <c r="AS19" s="6">
        <f>Tabla2[[#This Row],[Deforestation 2024]]/Tabla2[[#This Row],[Forest cover 2011]]</f>
        <v>0.15686274509803921</v>
      </c>
      <c r="AT19" s="6">
        <f>Tabla2[[#This Row],[Forest Loss 2012]]/Tabla2[[#This Row],[Forest cover 2011]]</f>
        <v>0</v>
      </c>
      <c r="AU19" s="6">
        <f>Tabla2[[#This Row],[Forest Loss 2013]]/Tabla2[[#This Row],[Forest cover 2011]]</f>
        <v>0</v>
      </c>
      <c r="AV19" s="6">
        <f>Tabla2[[#This Row],[Forest Loss 2014]]/Tabla2[[#This Row],[Forest cover 2011]]</f>
        <v>0.11764705882352942</v>
      </c>
      <c r="AW19" s="6">
        <f>Tabla2[[#This Row],[Forest Loss 2015]]/Tabla2[[#This Row],[Forest cover 2011]]</f>
        <v>0</v>
      </c>
      <c r="AX19" s="6">
        <f>Tabla2[[#This Row],[Forest Loss 2016]]/Tabla2[[#This Row],[Forest cover 2011]]</f>
        <v>0</v>
      </c>
      <c r="AY19" s="6">
        <f>Tabla2[[#This Row],[Forest Loss 2017]]/Tabla2[[#This Row],[Forest cover 2011]]</f>
        <v>0</v>
      </c>
      <c r="AZ19" s="6">
        <f>Tabla2[[#This Row],[Forest Loss 2018]]/Tabla2[[#This Row],[Forest cover 2011]]</f>
        <v>0</v>
      </c>
      <c r="BA19" s="6">
        <f>Tabla2[[#This Row],[Forest Loss 2019]]/Tabla2[[#This Row],[Forest cover 2011]]</f>
        <v>0</v>
      </c>
      <c r="BB19" s="6">
        <f>Tabla2[[#This Row],[Forest Loss 2020]]/Tabla2[[#This Row],[Forest cover 2011]]</f>
        <v>0</v>
      </c>
      <c r="BC19" s="6">
        <f>Tabla2[[#This Row],[Forest Loss 2021]]/Tabla2[[#This Row],[Forest cover 2011]]</f>
        <v>0</v>
      </c>
      <c r="BD19" s="6">
        <f>Tabla2[[#This Row],[Forest Loss 2022]]/Tabla2[[#This Row],[Forest cover 2011]]</f>
        <v>0</v>
      </c>
      <c r="BE19" s="6">
        <f>Tabla2[[#This Row],[Forest Loss 2023]]/Tabla2[[#This Row],[Forest cover 2011]]</f>
        <v>0</v>
      </c>
      <c r="BF19" s="6">
        <f>Tabla2[[#This Row],[Forest Loss 2024]]/Tabla2[[#This Row],[Forest cover 2011]]</f>
        <v>0.21568627450980393</v>
      </c>
    </row>
    <row r="20" spans="1:58" x14ac:dyDescent="0.25">
      <c r="A20" s="2">
        <v>50303</v>
      </c>
      <c r="B20" s="3" t="s">
        <v>258</v>
      </c>
      <c r="C20" t="s">
        <v>268</v>
      </c>
      <c r="D20">
        <v>194.67</v>
      </c>
      <c r="E20" s="4">
        <f>AVERAGE(Tabla2[[#This Row],[Deforestation 2012]:[Deforestation 2014]])</f>
        <v>9.0000000000000011E-2</v>
      </c>
      <c r="F20" s="4">
        <f>AVERAGE(Tabla2[[#This Row],[Deforestation 2022]:[Deforestation 2024]])</f>
        <v>0.81</v>
      </c>
      <c r="G20">
        <v>0</v>
      </c>
      <c r="H20">
        <v>0</v>
      </c>
      <c r="I20">
        <v>0.27</v>
      </c>
      <c r="J20">
        <v>0</v>
      </c>
      <c r="K20">
        <v>0</v>
      </c>
      <c r="L20">
        <v>0</v>
      </c>
      <c r="M20">
        <v>0.18</v>
      </c>
      <c r="N20">
        <v>0</v>
      </c>
      <c r="O20">
        <v>0</v>
      </c>
      <c r="P20">
        <v>0.18</v>
      </c>
      <c r="Q20">
        <v>0</v>
      </c>
      <c r="R20">
        <v>0</v>
      </c>
      <c r="S20">
        <v>2.4300000000000002</v>
      </c>
      <c r="T20">
        <v>0.27</v>
      </c>
      <c r="U20">
        <v>0</v>
      </c>
      <c r="V20">
        <v>3.78</v>
      </c>
      <c r="W20">
        <v>0.09</v>
      </c>
      <c r="X20">
        <v>0.09</v>
      </c>
      <c r="Y20">
        <v>0</v>
      </c>
      <c r="Z20">
        <v>0.18</v>
      </c>
      <c r="AA20">
        <v>0.09</v>
      </c>
      <c r="AB20">
        <v>0.09</v>
      </c>
      <c r="AC20">
        <v>0.45</v>
      </c>
      <c r="AD20">
        <v>0</v>
      </c>
      <c r="AE20">
        <v>0.09</v>
      </c>
      <c r="AF20">
        <v>37.260000000000012</v>
      </c>
      <c r="AG20" s="5">
        <f>Tabla2[[#This Row],[Deforestation 2012]]/Tabla2[[#This Row],[Forest cover 2011]]</f>
        <v>0</v>
      </c>
      <c r="AH20" s="6">
        <f>Tabla2[[#This Row],[Deforestation 2013]]/Tabla2[[#This Row],[Forest cover 2011]]</f>
        <v>0</v>
      </c>
      <c r="AI20" s="6">
        <f>Tabla2[[#This Row],[Deforestation 2014]]/Tabla2[[#This Row],[Forest cover 2011]]</f>
        <v>1.386962552011096E-3</v>
      </c>
      <c r="AJ20" s="6">
        <f>Tabla2[[#This Row],[Deforestation 2015]]/Tabla2[[#This Row],[Forest cover 2011]]</f>
        <v>0</v>
      </c>
      <c r="AK20" s="6">
        <f>Tabla2[[#This Row],[Deforestation 2016]]/Tabla2[[#This Row],[Forest cover 2011]]</f>
        <v>0</v>
      </c>
      <c r="AL20" s="6">
        <f>Tabla2[[#This Row],[Deforestation 2017]]/Tabla2[[#This Row],[Forest cover 2011]]</f>
        <v>0</v>
      </c>
      <c r="AM20" s="6">
        <f>Tabla2[[#This Row],[Deforestation 2018]]/Tabla2[[#This Row],[Forest cover 2011]]</f>
        <v>9.2464170134073053E-4</v>
      </c>
      <c r="AN20" s="6">
        <f>Tabla2[[#This Row],[Deforestation 2019]]/Tabla2[[#This Row],[Forest cover 2011]]</f>
        <v>0</v>
      </c>
      <c r="AO20" s="6">
        <f>Tabla2[[#This Row],[Deforestation 2020]]/Tabla2[[#This Row],[Forest cover 2011]]</f>
        <v>0</v>
      </c>
      <c r="AP20" s="6">
        <f>Tabla2[[#This Row],[Deforestation 2021]]/Tabla2[[#This Row],[Forest cover 2011]]</f>
        <v>9.2464170134073053E-4</v>
      </c>
      <c r="AQ20" s="6">
        <f>Tabla2[[#This Row],[Deforestation 2022]]/Tabla2[[#This Row],[Forest cover 2011]]</f>
        <v>0</v>
      </c>
      <c r="AR20" s="6">
        <f>Tabla2[[#This Row],[Deforestation 2023]]/Tabla2[[#This Row],[Forest cover 2011]]</f>
        <v>0</v>
      </c>
      <c r="AS20" s="6">
        <f>Tabla2[[#This Row],[Deforestation 2024]]/Tabla2[[#This Row],[Forest cover 2011]]</f>
        <v>1.2482662968099863E-2</v>
      </c>
      <c r="AT20" s="6">
        <f>Tabla2[[#This Row],[Forest Loss 2012]]/Tabla2[[#This Row],[Forest cover 2011]]</f>
        <v>1.386962552011096E-3</v>
      </c>
      <c r="AU20" s="6">
        <f>Tabla2[[#This Row],[Forest Loss 2013]]/Tabla2[[#This Row],[Forest cover 2011]]</f>
        <v>0</v>
      </c>
      <c r="AV20" s="6">
        <f>Tabla2[[#This Row],[Forest Loss 2014]]/Tabla2[[#This Row],[Forest cover 2011]]</f>
        <v>1.9417475728155342E-2</v>
      </c>
      <c r="AW20" s="6">
        <f>Tabla2[[#This Row],[Forest Loss 2015]]/Tabla2[[#This Row],[Forest cover 2011]]</f>
        <v>4.6232085067036526E-4</v>
      </c>
      <c r="AX20" s="6">
        <f>Tabla2[[#This Row],[Forest Loss 2016]]/Tabla2[[#This Row],[Forest cover 2011]]</f>
        <v>4.6232085067036526E-4</v>
      </c>
      <c r="AY20" s="6">
        <f>Tabla2[[#This Row],[Forest Loss 2017]]/Tabla2[[#This Row],[Forest cover 2011]]</f>
        <v>0</v>
      </c>
      <c r="AZ20" s="6">
        <f>Tabla2[[#This Row],[Forest Loss 2018]]/Tabla2[[#This Row],[Forest cover 2011]]</f>
        <v>9.2464170134073053E-4</v>
      </c>
      <c r="BA20" s="6">
        <f>Tabla2[[#This Row],[Forest Loss 2019]]/Tabla2[[#This Row],[Forest cover 2011]]</f>
        <v>4.6232085067036526E-4</v>
      </c>
      <c r="BB20" s="6">
        <f>Tabla2[[#This Row],[Forest Loss 2020]]/Tabla2[[#This Row],[Forest cover 2011]]</f>
        <v>4.6232085067036526E-4</v>
      </c>
      <c r="BC20" s="6">
        <f>Tabla2[[#This Row],[Forest Loss 2021]]/Tabla2[[#This Row],[Forest cover 2011]]</f>
        <v>2.3116042533518266E-3</v>
      </c>
      <c r="BD20" s="6">
        <f>Tabla2[[#This Row],[Forest Loss 2022]]/Tabla2[[#This Row],[Forest cover 2011]]</f>
        <v>0</v>
      </c>
      <c r="BE20" s="6">
        <f>Tabla2[[#This Row],[Forest Loss 2023]]/Tabla2[[#This Row],[Forest cover 2011]]</f>
        <v>4.6232085067036526E-4</v>
      </c>
      <c r="BF20" s="6">
        <f>Tabla2[[#This Row],[Forest Loss 2024]]/Tabla2[[#This Row],[Forest cover 2011]]</f>
        <v>0.19140083217753129</v>
      </c>
    </row>
    <row r="21" spans="1:58" x14ac:dyDescent="0.25">
      <c r="A21" s="2">
        <v>60502</v>
      </c>
      <c r="B21" s="3" t="s">
        <v>300</v>
      </c>
      <c r="C21" t="s">
        <v>309</v>
      </c>
      <c r="D21">
        <v>559.35</v>
      </c>
      <c r="E21" s="4">
        <f>AVERAGE(Tabla2[[#This Row],[Deforestation 2012]:[Deforestation 2014]])</f>
        <v>2.2200000000000002</v>
      </c>
      <c r="F21" s="4">
        <f>AVERAGE(Tabla2[[#This Row],[Deforestation 2022]:[Deforestation 2024]])</f>
        <v>4.38</v>
      </c>
      <c r="G21">
        <v>0.54</v>
      </c>
      <c r="H21">
        <v>1.53</v>
      </c>
      <c r="I21">
        <v>4.59</v>
      </c>
      <c r="J21">
        <v>0.9</v>
      </c>
      <c r="K21">
        <v>2.97</v>
      </c>
      <c r="L21">
        <v>3.51</v>
      </c>
      <c r="M21">
        <v>3.6</v>
      </c>
      <c r="N21">
        <v>2.4300000000000002</v>
      </c>
      <c r="O21">
        <v>0.54</v>
      </c>
      <c r="P21">
        <v>0.72</v>
      </c>
      <c r="Q21">
        <v>0</v>
      </c>
      <c r="R21">
        <v>0.99</v>
      </c>
      <c r="S21">
        <v>12.15</v>
      </c>
      <c r="T21">
        <v>2.25</v>
      </c>
      <c r="U21">
        <v>4.8600000000000003</v>
      </c>
      <c r="V21">
        <v>17.37</v>
      </c>
      <c r="W21">
        <v>1.8</v>
      </c>
      <c r="X21">
        <v>4.32</v>
      </c>
      <c r="Y21">
        <v>4.95</v>
      </c>
      <c r="Z21">
        <v>4.8600000000000003</v>
      </c>
      <c r="AA21">
        <v>4.05</v>
      </c>
      <c r="AB21">
        <v>1.35</v>
      </c>
      <c r="AC21">
        <v>3.33</v>
      </c>
      <c r="AD21">
        <v>0.54</v>
      </c>
      <c r="AE21">
        <v>1.35</v>
      </c>
      <c r="AF21">
        <v>105.75</v>
      </c>
      <c r="AG21" s="5">
        <f>Tabla2[[#This Row],[Deforestation 2012]]/Tabla2[[#This Row],[Forest cover 2011]]</f>
        <v>9.6540627514078844E-4</v>
      </c>
      <c r="AH21" s="6">
        <f>Tabla2[[#This Row],[Deforestation 2013]]/Tabla2[[#This Row],[Forest cover 2011]]</f>
        <v>2.7353177795655672E-3</v>
      </c>
      <c r="AI21" s="6">
        <f>Tabla2[[#This Row],[Deforestation 2014]]/Tabla2[[#This Row],[Forest cover 2011]]</f>
        <v>8.2059533386967011E-3</v>
      </c>
      <c r="AJ21" s="6">
        <f>Tabla2[[#This Row],[Deforestation 2015]]/Tabla2[[#This Row],[Forest cover 2011]]</f>
        <v>1.6090104585679806E-3</v>
      </c>
      <c r="AK21" s="6">
        <f>Tabla2[[#This Row],[Deforestation 2016]]/Tabla2[[#This Row],[Forest cover 2011]]</f>
        <v>5.3097345132743362E-3</v>
      </c>
      <c r="AL21" s="6">
        <f>Tabla2[[#This Row],[Deforestation 2017]]/Tabla2[[#This Row],[Forest cover 2011]]</f>
        <v>6.2751407884151242E-3</v>
      </c>
      <c r="AM21" s="6">
        <f>Tabla2[[#This Row],[Deforestation 2018]]/Tabla2[[#This Row],[Forest cover 2011]]</f>
        <v>6.4360418342719224E-3</v>
      </c>
      <c r="AN21" s="6">
        <f>Tabla2[[#This Row],[Deforestation 2019]]/Tabla2[[#This Row],[Forest cover 2011]]</f>
        <v>4.3443282381335482E-3</v>
      </c>
      <c r="AO21" s="6">
        <f>Tabla2[[#This Row],[Deforestation 2020]]/Tabla2[[#This Row],[Forest cover 2011]]</f>
        <v>9.6540627514078844E-4</v>
      </c>
      <c r="AP21" s="6">
        <f>Tabla2[[#This Row],[Deforestation 2021]]/Tabla2[[#This Row],[Forest cover 2011]]</f>
        <v>1.2872083668543845E-3</v>
      </c>
      <c r="AQ21" s="6">
        <f>Tabla2[[#This Row],[Deforestation 2022]]/Tabla2[[#This Row],[Forest cover 2011]]</f>
        <v>0</v>
      </c>
      <c r="AR21" s="6">
        <f>Tabla2[[#This Row],[Deforestation 2023]]/Tabla2[[#This Row],[Forest cover 2011]]</f>
        <v>1.7699115044247787E-3</v>
      </c>
      <c r="AS21" s="6">
        <f>Tabla2[[#This Row],[Deforestation 2024]]/Tabla2[[#This Row],[Forest cover 2011]]</f>
        <v>2.1721641190667738E-2</v>
      </c>
      <c r="AT21" s="6">
        <f>Tabla2[[#This Row],[Forest Loss 2012]]/Tabla2[[#This Row],[Forest cover 2011]]</f>
        <v>4.0225261464199519E-3</v>
      </c>
      <c r="AU21" s="6">
        <f>Tabla2[[#This Row],[Forest Loss 2013]]/Tabla2[[#This Row],[Forest cover 2011]]</f>
        <v>8.6886564762670964E-3</v>
      </c>
      <c r="AV21" s="6">
        <f>Tabla2[[#This Row],[Forest Loss 2014]]/Tabla2[[#This Row],[Forest cover 2011]]</f>
        <v>3.1053901850362029E-2</v>
      </c>
      <c r="AW21" s="6">
        <f>Tabla2[[#This Row],[Forest Loss 2015]]/Tabla2[[#This Row],[Forest cover 2011]]</f>
        <v>3.2180209171359612E-3</v>
      </c>
      <c r="AX21" s="6">
        <f>Tabla2[[#This Row],[Forest Loss 2016]]/Tabla2[[#This Row],[Forest cover 2011]]</f>
        <v>7.7232502011263075E-3</v>
      </c>
      <c r="AY21" s="6">
        <f>Tabla2[[#This Row],[Forest Loss 2017]]/Tabla2[[#This Row],[Forest cover 2011]]</f>
        <v>8.8495575221238937E-3</v>
      </c>
      <c r="AZ21" s="6">
        <f>Tabla2[[#This Row],[Forest Loss 2018]]/Tabla2[[#This Row],[Forest cover 2011]]</f>
        <v>8.6886564762670964E-3</v>
      </c>
      <c r="BA21" s="6">
        <f>Tabla2[[#This Row],[Forest Loss 2019]]/Tabla2[[#This Row],[Forest cover 2011]]</f>
        <v>7.2405470635559122E-3</v>
      </c>
      <c r="BB21" s="6">
        <f>Tabla2[[#This Row],[Forest Loss 2020]]/Tabla2[[#This Row],[Forest cover 2011]]</f>
        <v>2.4135156878519709E-3</v>
      </c>
      <c r="BC21" s="6">
        <f>Tabla2[[#This Row],[Forest Loss 2021]]/Tabla2[[#This Row],[Forest cover 2011]]</f>
        <v>5.9533386967015288E-3</v>
      </c>
      <c r="BD21" s="6">
        <f>Tabla2[[#This Row],[Forest Loss 2022]]/Tabla2[[#This Row],[Forest cover 2011]]</f>
        <v>9.6540627514078844E-4</v>
      </c>
      <c r="BE21" s="6">
        <f>Tabla2[[#This Row],[Forest Loss 2023]]/Tabla2[[#This Row],[Forest cover 2011]]</f>
        <v>2.4135156878519709E-3</v>
      </c>
      <c r="BF21" s="6">
        <f>Tabla2[[#This Row],[Forest Loss 2024]]/Tabla2[[#This Row],[Forest cover 2011]]</f>
        <v>0.18905872888173772</v>
      </c>
    </row>
    <row r="22" spans="1:58" x14ac:dyDescent="0.25">
      <c r="A22" s="2">
        <v>50301</v>
      </c>
      <c r="B22" s="3" t="s">
        <v>258</v>
      </c>
      <c r="C22" t="s">
        <v>266</v>
      </c>
      <c r="D22">
        <v>1696.68</v>
      </c>
      <c r="E22" s="4">
        <f>AVERAGE(Tabla2[[#This Row],[Deforestation 2012]:[Deforestation 2014]])</f>
        <v>1.17</v>
      </c>
      <c r="F22" s="4">
        <f>AVERAGE(Tabla2[[#This Row],[Deforestation 2022]:[Deforestation 2024]])</f>
        <v>4.95</v>
      </c>
      <c r="G22">
        <v>1.53</v>
      </c>
      <c r="H22">
        <v>0.45</v>
      </c>
      <c r="I22">
        <v>1.53</v>
      </c>
      <c r="J22">
        <v>0.54</v>
      </c>
      <c r="K22">
        <v>0.54</v>
      </c>
      <c r="L22">
        <v>0.45</v>
      </c>
      <c r="M22">
        <v>1.53</v>
      </c>
      <c r="N22">
        <v>0.09</v>
      </c>
      <c r="O22">
        <v>0.63</v>
      </c>
      <c r="P22">
        <v>0.81</v>
      </c>
      <c r="Q22">
        <v>0</v>
      </c>
      <c r="R22">
        <v>0.99</v>
      </c>
      <c r="S22">
        <v>13.86</v>
      </c>
      <c r="T22">
        <v>5.58</v>
      </c>
      <c r="U22">
        <v>2.7</v>
      </c>
      <c r="V22">
        <v>29.43</v>
      </c>
      <c r="W22">
        <v>1.89</v>
      </c>
      <c r="X22">
        <v>1.08</v>
      </c>
      <c r="Y22">
        <v>1.17</v>
      </c>
      <c r="Z22">
        <v>1.71</v>
      </c>
      <c r="AA22">
        <v>2.0699999999999998</v>
      </c>
      <c r="AB22">
        <v>1.35</v>
      </c>
      <c r="AC22">
        <v>3.06</v>
      </c>
      <c r="AD22">
        <v>0.72</v>
      </c>
      <c r="AE22">
        <v>1.44</v>
      </c>
      <c r="AF22">
        <v>234.63</v>
      </c>
      <c r="AG22" s="5">
        <f>Tabla2[[#This Row],[Deforestation 2012]]/Tabla2[[#This Row],[Forest cover 2011]]</f>
        <v>9.0176108635688524E-4</v>
      </c>
      <c r="AH22" s="6">
        <f>Tabla2[[#This Row],[Deforestation 2013]]/Tabla2[[#This Row],[Forest cover 2011]]</f>
        <v>2.6522384892849562E-4</v>
      </c>
      <c r="AI22" s="6">
        <f>Tabla2[[#This Row],[Deforestation 2014]]/Tabla2[[#This Row],[Forest cover 2011]]</f>
        <v>9.0176108635688524E-4</v>
      </c>
      <c r="AJ22" s="6">
        <f>Tabla2[[#This Row],[Deforestation 2015]]/Tabla2[[#This Row],[Forest cover 2011]]</f>
        <v>3.1826861871419481E-4</v>
      </c>
      <c r="AK22" s="6">
        <f>Tabla2[[#This Row],[Deforestation 2016]]/Tabla2[[#This Row],[Forest cover 2011]]</f>
        <v>3.1826861871419481E-4</v>
      </c>
      <c r="AL22" s="6">
        <f>Tabla2[[#This Row],[Deforestation 2017]]/Tabla2[[#This Row],[Forest cover 2011]]</f>
        <v>2.6522384892849562E-4</v>
      </c>
      <c r="AM22" s="6">
        <f>Tabla2[[#This Row],[Deforestation 2018]]/Tabla2[[#This Row],[Forest cover 2011]]</f>
        <v>9.0176108635688524E-4</v>
      </c>
      <c r="AN22" s="6">
        <f>Tabla2[[#This Row],[Deforestation 2019]]/Tabla2[[#This Row],[Forest cover 2011]]</f>
        <v>5.3044769785699128E-5</v>
      </c>
      <c r="AO22" s="6">
        <f>Tabla2[[#This Row],[Deforestation 2020]]/Tabla2[[#This Row],[Forest cover 2011]]</f>
        <v>3.7131338849989389E-4</v>
      </c>
      <c r="AP22" s="6">
        <f>Tabla2[[#This Row],[Deforestation 2021]]/Tabla2[[#This Row],[Forest cover 2011]]</f>
        <v>4.7740292807129216E-4</v>
      </c>
      <c r="AQ22" s="6">
        <f>Tabla2[[#This Row],[Deforestation 2022]]/Tabla2[[#This Row],[Forest cover 2011]]</f>
        <v>0</v>
      </c>
      <c r="AR22" s="6">
        <f>Tabla2[[#This Row],[Deforestation 2023]]/Tabla2[[#This Row],[Forest cover 2011]]</f>
        <v>5.8349246764269043E-4</v>
      </c>
      <c r="AS22" s="6">
        <f>Tabla2[[#This Row],[Deforestation 2024]]/Tabla2[[#This Row],[Forest cover 2011]]</f>
        <v>8.1688945469976654E-3</v>
      </c>
      <c r="AT22" s="6">
        <f>Tabla2[[#This Row],[Forest Loss 2012]]/Tabla2[[#This Row],[Forest cover 2011]]</f>
        <v>3.288775726713346E-3</v>
      </c>
      <c r="AU22" s="6">
        <f>Tabla2[[#This Row],[Forest Loss 2013]]/Tabla2[[#This Row],[Forest cover 2011]]</f>
        <v>1.5913430935709739E-3</v>
      </c>
      <c r="AV22" s="6">
        <f>Tabla2[[#This Row],[Forest Loss 2014]]/Tabla2[[#This Row],[Forest cover 2011]]</f>
        <v>1.7345639719923613E-2</v>
      </c>
      <c r="AW22" s="6">
        <f>Tabla2[[#This Row],[Forest Loss 2015]]/Tabla2[[#This Row],[Forest cover 2011]]</f>
        <v>1.1139401654996816E-3</v>
      </c>
      <c r="AX22" s="6">
        <f>Tabla2[[#This Row],[Forest Loss 2016]]/Tabla2[[#This Row],[Forest cover 2011]]</f>
        <v>6.3653723742838962E-4</v>
      </c>
      <c r="AY22" s="6">
        <f>Tabla2[[#This Row],[Forest Loss 2017]]/Tabla2[[#This Row],[Forest cover 2011]]</f>
        <v>6.8958200721408859E-4</v>
      </c>
      <c r="AZ22" s="6">
        <f>Tabla2[[#This Row],[Forest Loss 2018]]/Tabla2[[#This Row],[Forest cover 2011]]</f>
        <v>1.0078506259282834E-3</v>
      </c>
      <c r="BA22" s="6">
        <f>Tabla2[[#This Row],[Forest Loss 2019]]/Tabla2[[#This Row],[Forest cover 2011]]</f>
        <v>1.2200297050710799E-3</v>
      </c>
      <c r="BB22" s="6">
        <f>Tabla2[[#This Row],[Forest Loss 2020]]/Tabla2[[#This Row],[Forest cover 2011]]</f>
        <v>7.9567154678548697E-4</v>
      </c>
      <c r="BC22" s="6">
        <f>Tabla2[[#This Row],[Forest Loss 2021]]/Tabla2[[#This Row],[Forest cover 2011]]</f>
        <v>1.8035221727137705E-3</v>
      </c>
      <c r="BD22" s="6">
        <f>Tabla2[[#This Row],[Forest Loss 2022]]/Tabla2[[#This Row],[Forest cover 2011]]</f>
        <v>4.2435815828559303E-4</v>
      </c>
      <c r="BE22" s="6">
        <f>Tabla2[[#This Row],[Forest Loss 2023]]/Tabla2[[#This Row],[Forest cover 2011]]</f>
        <v>8.4871631657118605E-4</v>
      </c>
      <c r="BF22" s="6">
        <f>Tabla2[[#This Row],[Forest Loss 2024]]/Tabla2[[#This Row],[Forest cover 2011]]</f>
        <v>0.13828771483131763</v>
      </c>
    </row>
    <row r="23" spans="1:58" x14ac:dyDescent="0.25">
      <c r="A23" s="2">
        <v>51101</v>
      </c>
      <c r="B23" s="3" t="s">
        <v>258</v>
      </c>
      <c r="C23" t="s">
        <v>287</v>
      </c>
      <c r="D23">
        <v>54.99</v>
      </c>
      <c r="E23" s="4">
        <f>AVERAGE(Tabla2[[#This Row],[Deforestation 2012]:[Deforestation 2014]])</f>
        <v>0.33</v>
      </c>
      <c r="F23" s="4">
        <f>AVERAGE(Tabla2[[#This Row],[Deforestation 2022]:[Deforestation 2024]])</f>
        <v>0.98999999999999988</v>
      </c>
      <c r="G23">
        <v>0.45</v>
      </c>
      <c r="H23">
        <v>0.36</v>
      </c>
      <c r="I23">
        <v>0.18</v>
      </c>
      <c r="J23">
        <v>0</v>
      </c>
      <c r="K23">
        <v>0.54</v>
      </c>
      <c r="L23">
        <v>0.09</v>
      </c>
      <c r="M23">
        <v>0.36</v>
      </c>
      <c r="N23">
        <v>0.09</v>
      </c>
      <c r="O23">
        <v>0</v>
      </c>
      <c r="P23">
        <v>0</v>
      </c>
      <c r="Q23">
        <v>0</v>
      </c>
      <c r="R23">
        <v>0.09</v>
      </c>
      <c r="S23">
        <v>2.88</v>
      </c>
      <c r="T23">
        <v>0.54</v>
      </c>
      <c r="U23">
        <v>0.99</v>
      </c>
      <c r="V23">
        <v>1.8</v>
      </c>
      <c r="W23">
        <v>0</v>
      </c>
      <c r="X23">
        <v>0.9</v>
      </c>
      <c r="Y23">
        <v>0.09</v>
      </c>
      <c r="Z23">
        <v>0.36</v>
      </c>
      <c r="AA23">
        <v>0.09</v>
      </c>
      <c r="AB23">
        <v>0</v>
      </c>
      <c r="AC23">
        <v>0</v>
      </c>
      <c r="AD23">
        <v>0</v>
      </c>
      <c r="AE23">
        <v>0.63</v>
      </c>
      <c r="AF23">
        <v>6.75</v>
      </c>
      <c r="AG23" s="5">
        <f>Tabla2[[#This Row],[Deforestation 2012]]/Tabla2[[#This Row],[Forest cover 2011]]</f>
        <v>8.1833060556464818E-3</v>
      </c>
      <c r="AH23" s="6">
        <f>Tabla2[[#This Row],[Deforestation 2013]]/Tabla2[[#This Row],[Forest cover 2011]]</f>
        <v>6.5466448445171844E-3</v>
      </c>
      <c r="AI23" s="6">
        <f>Tabla2[[#This Row],[Deforestation 2014]]/Tabla2[[#This Row],[Forest cover 2011]]</f>
        <v>3.2733224222585922E-3</v>
      </c>
      <c r="AJ23" s="6">
        <f>Tabla2[[#This Row],[Deforestation 2015]]/Tabla2[[#This Row],[Forest cover 2011]]</f>
        <v>0</v>
      </c>
      <c r="AK23" s="6">
        <f>Tabla2[[#This Row],[Deforestation 2016]]/Tabla2[[#This Row],[Forest cover 2011]]</f>
        <v>9.8199672667757774E-3</v>
      </c>
      <c r="AL23" s="6">
        <f>Tabla2[[#This Row],[Deforestation 2017]]/Tabla2[[#This Row],[Forest cover 2011]]</f>
        <v>1.6366612111292961E-3</v>
      </c>
      <c r="AM23" s="6">
        <f>Tabla2[[#This Row],[Deforestation 2018]]/Tabla2[[#This Row],[Forest cover 2011]]</f>
        <v>6.5466448445171844E-3</v>
      </c>
      <c r="AN23" s="6">
        <f>Tabla2[[#This Row],[Deforestation 2019]]/Tabla2[[#This Row],[Forest cover 2011]]</f>
        <v>1.6366612111292961E-3</v>
      </c>
      <c r="AO23" s="6">
        <f>Tabla2[[#This Row],[Deforestation 2020]]/Tabla2[[#This Row],[Forest cover 2011]]</f>
        <v>0</v>
      </c>
      <c r="AP23" s="6">
        <f>Tabla2[[#This Row],[Deforestation 2021]]/Tabla2[[#This Row],[Forest cover 2011]]</f>
        <v>0</v>
      </c>
      <c r="AQ23" s="6">
        <f>Tabla2[[#This Row],[Deforestation 2022]]/Tabla2[[#This Row],[Forest cover 2011]]</f>
        <v>0</v>
      </c>
      <c r="AR23" s="6">
        <f>Tabla2[[#This Row],[Deforestation 2023]]/Tabla2[[#This Row],[Forest cover 2011]]</f>
        <v>1.6366612111292961E-3</v>
      </c>
      <c r="AS23" s="6">
        <f>Tabla2[[#This Row],[Deforestation 2024]]/Tabla2[[#This Row],[Forest cover 2011]]</f>
        <v>5.2373158756137475E-2</v>
      </c>
      <c r="AT23" s="6">
        <f>Tabla2[[#This Row],[Forest Loss 2012]]/Tabla2[[#This Row],[Forest cover 2011]]</f>
        <v>9.8199672667757774E-3</v>
      </c>
      <c r="AU23" s="6">
        <f>Tabla2[[#This Row],[Forest Loss 2013]]/Tabla2[[#This Row],[Forest cover 2011]]</f>
        <v>1.8003273322422259E-2</v>
      </c>
      <c r="AV23" s="6">
        <f>Tabla2[[#This Row],[Forest Loss 2014]]/Tabla2[[#This Row],[Forest cover 2011]]</f>
        <v>3.2733224222585927E-2</v>
      </c>
      <c r="AW23" s="6">
        <f>Tabla2[[#This Row],[Forest Loss 2015]]/Tabla2[[#This Row],[Forest cover 2011]]</f>
        <v>0</v>
      </c>
      <c r="AX23" s="6">
        <f>Tabla2[[#This Row],[Forest Loss 2016]]/Tabla2[[#This Row],[Forest cover 2011]]</f>
        <v>1.6366612111292964E-2</v>
      </c>
      <c r="AY23" s="6">
        <f>Tabla2[[#This Row],[Forest Loss 2017]]/Tabla2[[#This Row],[Forest cover 2011]]</f>
        <v>1.6366612111292961E-3</v>
      </c>
      <c r="AZ23" s="6">
        <f>Tabla2[[#This Row],[Forest Loss 2018]]/Tabla2[[#This Row],[Forest cover 2011]]</f>
        <v>6.5466448445171844E-3</v>
      </c>
      <c r="BA23" s="6">
        <f>Tabla2[[#This Row],[Forest Loss 2019]]/Tabla2[[#This Row],[Forest cover 2011]]</f>
        <v>1.6366612111292961E-3</v>
      </c>
      <c r="BB23" s="6">
        <f>Tabla2[[#This Row],[Forest Loss 2020]]/Tabla2[[#This Row],[Forest cover 2011]]</f>
        <v>0</v>
      </c>
      <c r="BC23" s="6">
        <f>Tabla2[[#This Row],[Forest Loss 2021]]/Tabla2[[#This Row],[Forest cover 2011]]</f>
        <v>0</v>
      </c>
      <c r="BD23" s="6">
        <f>Tabla2[[#This Row],[Forest Loss 2022]]/Tabla2[[#This Row],[Forest cover 2011]]</f>
        <v>0</v>
      </c>
      <c r="BE23" s="6">
        <f>Tabla2[[#This Row],[Forest Loss 2023]]/Tabla2[[#This Row],[Forest cover 2011]]</f>
        <v>1.1456628477905073E-2</v>
      </c>
      <c r="BF23" s="6">
        <f>Tabla2[[#This Row],[Forest Loss 2024]]/Tabla2[[#This Row],[Forest cover 2011]]</f>
        <v>0.12274959083469722</v>
      </c>
    </row>
    <row r="24" spans="1:58" x14ac:dyDescent="0.25">
      <c r="A24" s="2">
        <v>71003</v>
      </c>
      <c r="B24" s="3" t="s">
        <v>310</v>
      </c>
      <c r="C24" t="s">
        <v>349</v>
      </c>
      <c r="D24">
        <v>3309.57</v>
      </c>
      <c r="E24" s="4">
        <f>AVERAGE(Tabla2[[#This Row],[Deforestation 2012]:[Deforestation 2014]])</f>
        <v>297.54000000000002</v>
      </c>
      <c r="F24" s="4">
        <f>AVERAGE(Tabla2[[#This Row],[Deforestation 2022]:[Deforestation 2024]])</f>
        <v>203.58</v>
      </c>
      <c r="G24">
        <v>433.08</v>
      </c>
      <c r="H24">
        <v>324.63</v>
      </c>
      <c r="I24">
        <v>134.91</v>
      </c>
      <c r="J24">
        <v>71.460000000000008</v>
      </c>
      <c r="K24">
        <v>199.35</v>
      </c>
      <c r="L24">
        <v>117.09</v>
      </c>
      <c r="M24">
        <v>90.27</v>
      </c>
      <c r="N24">
        <v>103.68</v>
      </c>
      <c r="O24">
        <v>77.58</v>
      </c>
      <c r="P24">
        <v>141.03</v>
      </c>
      <c r="Q24">
        <v>44.37</v>
      </c>
      <c r="R24">
        <v>272.33999999999997</v>
      </c>
      <c r="S24">
        <v>294.02999999999997</v>
      </c>
      <c r="T24">
        <v>443.07</v>
      </c>
      <c r="U24">
        <v>328.77</v>
      </c>
      <c r="V24">
        <v>141.12</v>
      </c>
      <c r="W24">
        <v>78.570000000000007</v>
      </c>
      <c r="X24">
        <v>203.4</v>
      </c>
      <c r="Y24">
        <v>120.51</v>
      </c>
      <c r="Z24">
        <v>93.15</v>
      </c>
      <c r="AA24">
        <v>105.84</v>
      </c>
      <c r="AB24">
        <v>84.78</v>
      </c>
      <c r="AC24">
        <v>153.81</v>
      </c>
      <c r="AD24">
        <v>45.72</v>
      </c>
      <c r="AE24">
        <v>300.60000000000002</v>
      </c>
      <c r="AF24">
        <v>294.83999999999997</v>
      </c>
      <c r="AG24" s="5">
        <f>Tabla2[[#This Row],[Deforestation 2012]]/Tabla2[[#This Row],[Forest cover 2011]]</f>
        <v>0.13085687868816795</v>
      </c>
      <c r="AH24" s="6">
        <f>Tabla2[[#This Row],[Deforestation 2013]]/Tabla2[[#This Row],[Forest cover 2011]]</f>
        <v>9.8088271285997869E-2</v>
      </c>
      <c r="AI24" s="6">
        <f>Tabla2[[#This Row],[Deforestation 2014]]/Tabla2[[#This Row],[Forest cover 2011]]</f>
        <v>4.0763603730998285E-2</v>
      </c>
      <c r="AJ24" s="6">
        <f>Tabla2[[#This Row],[Deforestation 2015]]/Tabla2[[#This Row],[Forest cover 2011]]</f>
        <v>2.1591928860848993E-2</v>
      </c>
      <c r="AK24" s="6">
        <f>Tabla2[[#This Row],[Deforestation 2016]]/Tabla2[[#This Row],[Forest cover 2011]]</f>
        <v>6.0234411116852037E-2</v>
      </c>
      <c r="AL24" s="6">
        <f>Tabla2[[#This Row],[Deforestation 2017]]/Tabla2[[#This Row],[Forest cover 2011]]</f>
        <v>3.537921844831806E-2</v>
      </c>
      <c r="AM24" s="6">
        <f>Tabla2[[#This Row],[Deforestation 2018]]/Tabla2[[#This Row],[Forest cover 2011]]</f>
        <v>2.7275446659233673E-2</v>
      </c>
      <c r="AN24" s="6">
        <f>Tabla2[[#This Row],[Deforestation 2019]]/Tabla2[[#This Row],[Forest cover 2011]]</f>
        <v>3.1327332553775872E-2</v>
      </c>
      <c r="AO24" s="6">
        <f>Tabla2[[#This Row],[Deforestation 2020]]/Tabla2[[#This Row],[Forest cover 2011]]</f>
        <v>2.3441111685203818E-2</v>
      </c>
      <c r="AP24" s="6">
        <f>Tabla2[[#This Row],[Deforestation 2021]]/Tabla2[[#This Row],[Forest cover 2011]]</f>
        <v>4.261278655535311E-2</v>
      </c>
      <c r="AQ24" s="6">
        <f>Tabla2[[#This Row],[Deforestation 2022]]/Tabla2[[#This Row],[Forest cover 2011]]</f>
        <v>1.3406575476572483E-2</v>
      </c>
      <c r="AR24" s="6">
        <f>Tabla2[[#This Row],[Deforestation 2023]]/Tabla2[[#This Row],[Forest cover 2011]]</f>
        <v>8.2288635683789732E-2</v>
      </c>
      <c r="AS24" s="6">
        <f>Tabla2[[#This Row],[Deforestation 2024]]/Tabla2[[#This Row],[Forest cover 2011]]</f>
        <v>8.8842357164223743E-2</v>
      </c>
      <c r="AT24" s="6">
        <f>Tabla2[[#This Row],[Forest Loss 2012]]/Tabla2[[#This Row],[Forest cover 2011]]</f>
        <v>0.13387539771027654</v>
      </c>
      <c r="AU24" s="6">
        <f>Tabla2[[#This Row],[Forest Loss 2013]]/Tabla2[[#This Row],[Forest cover 2011]]</f>
        <v>9.9339189078943776E-2</v>
      </c>
      <c r="AV24" s="6">
        <f>Tabla2[[#This Row],[Forest Loss 2014]]/Tabla2[[#This Row],[Forest cover 2011]]</f>
        <v>4.2639980420417153E-2</v>
      </c>
      <c r="AW24" s="6">
        <f>Tabla2[[#This Row],[Forest Loss 2015]]/Tabla2[[#This Row],[Forest cover 2011]]</f>
        <v>2.3740244200908277E-2</v>
      </c>
      <c r="AX24" s="6">
        <f>Tabla2[[#This Row],[Forest Loss 2016]]/Tabla2[[#This Row],[Forest cover 2011]]</f>
        <v>6.1458135044733908E-2</v>
      </c>
      <c r="AY24" s="6">
        <f>Tabla2[[#This Row],[Forest Loss 2017]]/Tabla2[[#This Row],[Forest cover 2011]]</f>
        <v>3.6412585320751638E-2</v>
      </c>
      <c r="AZ24" s="6">
        <f>Tabla2[[#This Row],[Forest Loss 2018]]/Tabla2[[#This Row],[Forest cover 2011]]</f>
        <v>2.8145650341283007E-2</v>
      </c>
      <c r="BA24" s="6">
        <f>Tabla2[[#This Row],[Forest Loss 2019]]/Tabla2[[#This Row],[Forest cover 2011]]</f>
        <v>3.1979985315312862E-2</v>
      </c>
      <c r="BB24" s="6">
        <f>Tabla2[[#This Row],[Forest Loss 2020]]/Tabla2[[#This Row],[Forest cover 2011]]</f>
        <v>2.5616620890327142E-2</v>
      </c>
      <c r="BC24" s="6">
        <f>Tabla2[[#This Row],[Forest Loss 2021]]/Tabla2[[#This Row],[Forest cover 2011]]</f>
        <v>4.6474315394447012E-2</v>
      </c>
      <c r="BD24" s="6">
        <f>Tabla2[[#This Row],[Forest Loss 2022]]/Tabla2[[#This Row],[Forest cover 2011]]</f>
        <v>1.3814483452533107E-2</v>
      </c>
      <c r="BE24" s="6">
        <f>Tabla2[[#This Row],[Forest Loss 2023]]/Tabla2[[#This Row],[Forest cover 2011]]</f>
        <v>9.0827509313898783E-2</v>
      </c>
      <c r="BF24" s="6">
        <f>Tabla2[[#This Row],[Forest Loss 2024]]/Tabla2[[#This Row],[Forest cover 2011]]</f>
        <v>8.9087101949800115E-2</v>
      </c>
    </row>
    <row r="25" spans="1:58" x14ac:dyDescent="0.25">
      <c r="A25" s="2">
        <v>21005</v>
      </c>
      <c r="B25" s="3" t="s">
        <v>88</v>
      </c>
      <c r="C25" t="s">
        <v>142</v>
      </c>
      <c r="D25">
        <v>1748.52</v>
      </c>
      <c r="E25" s="4">
        <f>AVERAGE(Tabla2[[#This Row],[Deforestation 2012]:[Deforestation 2014]])</f>
        <v>0.3</v>
      </c>
      <c r="F25" s="4">
        <f>AVERAGE(Tabla2[[#This Row],[Deforestation 2022]:[Deforestation 2024]])</f>
        <v>16.68</v>
      </c>
      <c r="G25">
        <v>0.27</v>
      </c>
      <c r="H25">
        <v>0.18</v>
      </c>
      <c r="I25">
        <v>0.45</v>
      </c>
      <c r="J25">
        <v>0.27</v>
      </c>
      <c r="K25">
        <v>0.18</v>
      </c>
      <c r="L25">
        <v>0</v>
      </c>
      <c r="M25">
        <v>0</v>
      </c>
      <c r="N25">
        <v>0.09</v>
      </c>
      <c r="O25">
        <v>0.09</v>
      </c>
      <c r="P25">
        <v>0</v>
      </c>
      <c r="Q25">
        <v>0</v>
      </c>
      <c r="R25">
        <v>8.82</v>
      </c>
      <c r="S25">
        <v>41.22</v>
      </c>
      <c r="T25">
        <v>14.94</v>
      </c>
      <c r="U25">
        <v>9.6300000000000008</v>
      </c>
      <c r="V25">
        <v>18.09</v>
      </c>
      <c r="W25">
        <v>5.0400000000000009</v>
      </c>
      <c r="X25">
        <v>4.32</v>
      </c>
      <c r="Y25">
        <v>2.34</v>
      </c>
      <c r="Z25">
        <v>3.24</v>
      </c>
      <c r="AA25">
        <v>4.1399999999999997</v>
      </c>
      <c r="AB25">
        <v>5.85</v>
      </c>
      <c r="AC25">
        <v>4.7699999999999996</v>
      </c>
      <c r="AD25">
        <v>3.78</v>
      </c>
      <c r="AE25">
        <v>11.97</v>
      </c>
      <c r="AF25">
        <v>152.82</v>
      </c>
      <c r="AG25" s="5">
        <f>Tabla2[[#This Row],[Deforestation 2012]]/Tabla2[[#This Row],[Forest cover 2011]]</f>
        <v>1.5441630636195183E-4</v>
      </c>
      <c r="AH25" s="6">
        <f>Tabla2[[#This Row],[Deforestation 2013]]/Tabla2[[#This Row],[Forest cover 2011]]</f>
        <v>1.0294420424130121E-4</v>
      </c>
      <c r="AI25" s="6">
        <f>Tabla2[[#This Row],[Deforestation 2014]]/Tabla2[[#This Row],[Forest cover 2011]]</f>
        <v>2.5736051060325303E-4</v>
      </c>
      <c r="AJ25" s="6">
        <f>Tabla2[[#This Row],[Deforestation 2015]]/Tabla2[[#This Row],[Forest cover 2011]]</f>
        <v>1.5441630636195183E-4</v>
      </c>
      <c r="AK25" s="6">
        <f>Tabla2[[#This Row],[Deforestation 2016]]/Tabla2[[#This Row],[Forest cover 2011]]</f>
        <v>1.0294420424130121E-4</v>
      </c>
      <c r="AL25" s="6">
        <f>Tabla2[[#This Row],[Deforestation 2017]]/Tabla2[[#This Row],[Forest cover 2011]]</f>
        <v>0</v>
      </c>
      <c r="AM25" s="6">
        <f>Tabla2[[#This Row],[Deforestation 2018]]/Tabla2[[#This Row],[Forest cover 2011]]</f>
        <v>0</v>
      </c>
      <c r="AN25" s="6">
        <f>Tabla2[[#This Row],[Deforestation 2019]]/Tabla2[[#This Row],[Forest cover 2011]]</f>
        <v>5.1472102120650604E-5</v>
      </c>
      <c r="AO25" s="6">
        <f>Tabla2[[#This Row],[Deforestation 2020]]/Tabla2[[#This Row],[Forest cover 2011]]</f>
        <v>5.1472102120650604E-5</v>
      </c>
      <c r="AP25" s="6">
        <f>Tabla2[[#This Row],[Deforestation 2021]]/Tabla2[[#This Row],[Forest cover 2011]]</f>
        <v>0</v>
      </c>
      <c r="AQ25" s="6">
        <f>Tabla2[[#This Row],[Deforestation 2022]]/Tabla2[[#This Row],[Forest cover 2011]]</f>
        <v>0</v>
      </c>
      <c r="AR25" s="6">
        <f>Tabla2[[#This Row],[Deforestation 2023]]/Tabla2[[#This Row],[Forest cover 2011]]</f>
        <v>5.0442660078237594E-3</v>
      </c>
      <c r="AS25" s="6">
        <f>Tabla2[[#This Row],[Deforestation 2024]]/Tabla2[[#This Row],[Forest cover 2011]]</f>
        <v>2.3574222771257976E-2</v>
      </c>
      <c r="AT25" s="6">
        <f>Tabla2[[#This Row],[Forest Loss 2012]]/Tabla2[[#This Row],[Forest cover 2011]]</f>
        <v>8.5443689520279999E-3</v>
      </c>
      <c r="AU25" s="6">
        <f>Tabla2[[#This Row],[Forest Loss 2013]]/Tabla2[[#This Row],[Forest cover 2011]]</f>
        <v>5.5075149269096157E-3</v>
      </c>
      <c r="AV25" s="6">
        <f>Tabla2[[#This Row],[Forest Loss 2014]]/Tabla2[[#This Row],[Forest cover 2011]]</f>
        <v>1.0345892526250773E-2</v>
      </c>
      <c r="AW25" s="6">
        <f>Tabla2[[#This Row],[Forest Loss 2015]]/Tabla2[[#This Row],[Forest cover 2011]]</f>
        <v>2.8824377187564344E-3</v>
      </c>
      <c r="AX25" s="6">
        <f>Tabla2[[#This Row],[Forest Loss 2016]]/Tabla2[[#This Row],[Forest cover 2011]]</f>
        <v>2.4706609017912293E-3</v>
      </c>
      <c r="AY25" s="6">
        <f>Tabla2[[#This Row],[Forest Loss 2017]]/Tabla2[[#This Row],[Forest cover 2011]]</f>
        <v>1.3382746551369158E-3</v>
      </c>
      <c r="AZ25" s="6">
        <f>Tabla2[[#This Row],[Forest Loss 2018]]/Tabla2[[#This Row],[Forest cover 2011]]</f>
        <v>1.8529956763434221E-3</v>
      </c>
      <c r="BA25" s="6">
        <f>Tabla2[[#This Row],[Forest Loss 2019]]/Tabla2[[#This Row],[Forest cover 2011]]</f>
        <v>2.3677166975499277E-3</v>
      </c>
      <c r="BB25" s="6">
        <f>Tabla2[[#This Row],[Forest Loss 2020]]/Tabla2[[#This Row],[Forest cover 2011]]</f>
        <v>3.3456866378422895E-3</v>
      </c>
      <c r="BC25" s="6">
        <f>Tabla2[[#This Row],[Forest Loss 2021]]/Tabla2[[#This Row],[Forest cover 2011]]</f>
        <v>2.728021412394482E-3</v>
      </c>
      <c r="BD25" s="6">
        <f>Tabla2[[#This Row],[Forest Loss 2022]]/Tabla2[[#This Row],[Forest cover 2011]]</f>
        <v>2.1618282890673254E-3</v>
      </c>
      <c r="BE25" s="6">
        <f>Tabla2[[#This Row],[Forest Loss 2023]]/Tabla2[[#This Row],[Forest cover 2011]]</f>
        <v>6.8457895820465313E-3</v>
      </c>
      <c r="BF25" s="6">
        <f>Tabla2[[#This Row],[Forest Loss 2024]]/Tabla2[[#This Row],[Forest cover 2011]]</f>
        <v>8.7399629400864723E-2</v>
      </c>
    </row>
    <row r="26" spans="1:58" x14ac:dyDescent="0.25">
      <c r="A26" s="2">
        <v>80702</v>
      </c>
      <c r="B26" s="3" t="s">
        <v>365</v>
      </c>
      <c r="C26" t="s">
        <v>353</v>
      </c>
      <c r="D26">
        <v>80279.91</v>
      </c>
      <c r="E26" s="4">
        <f>AVERAGE(Tabla2[[#This Row],[Deforestation 2012]:[Deforestation 2014]])</f>
        <v>149.46</v>
      </c>
      <c r="F26" s="4">
        <f>AVERAGE(Tabla2[[#This Row],[Deforestation 2022]:[Deforestation 2024]])</f>
        <v>220.56000000000003</v>
      </c>
      <c r="G26">
        <v>150.84</v>
      </c>
      <c r="H26">
        <v>139.05000000000001</v>
      </c>
      <c r="I26">
        <v>158.49</v>
      </c>
      <c r="J26">
        <v>66.42</v>
      </c>
      <c r="K26">
        <v>70.739999999999995</v>
      </c>
      <c r="L26">
        <v>78.47999999999999</v>
      </c>
      <c r="M26">
        <v>39.869999999999997</v>
      </c>
      <c r="N26">
        <v>57.6</v>
      </c>
      <c r="O26">
        <v>63.36</v>
      </c>
      <c r="P26">
        <v>59.85</v>
      </c>
      <c r="Q26">
        <v>17.28</v>
      </c>
      <c r="R26">
        <v>383.49</v>
      </c>
      <c r="S26">
        <v>260.91000000000003</v>
      </c>
      <c r="T26">
        <v>2648.07</v>
      </c>
      <c r="U26">
        <v>1004.31</v>
      </c>
      <c r="V26">
        <v>1420.02</v>
      </c>
      <c r="W26">
        <v>585</v>
      </c>
      <c r="X26">
        <v>327.96</v>
      </c>
      <c r="Y26">
        <v>1023.12</v>
      </c>
      <c r="Z26">
        <v>248.4</v>
      </c>
      <c r="AA26">
        <v>358.29</v>
      </c>
      <c r="AB26">
        <v>292.32</v>
      </c>
      <c r="AC26">
        <v>242.82</v>
      </c>
      <c r="AD26">
        <v>202.14</v>
      </c>
      <c r="AE26">
        <v>836.73</v>
      </c>
      <c r="AF26">
        <v>6733.62</v>
      </c>
      <c r="AG26" s="5">
        <f>Tabla2[[#This Row],[Deforestation 2012]]/Tabla2[[#This Row],[Forest cover 2011]]</f>
        <v>1.8789258732352838E-3</v>
      </c>
      <c r="AH26" s="6">
        <f>Tabla2[[#This Row],[Deforestation 2013]]/Tabla2[[#This Row],[Forest cover 2011]]</f>
        <v>1.7320647220456526E-3</v>
      </c>
      <c r="AI26" s="6">
        <f>Tabla2[[#This Row],[Deforestation 2014]]/Tabla2[[#This Row],[Forest cover 2011]]</f>
        <v>1.9742174598850449E-3</v>
      </c>
      <c r="AJ26" s="6">
        <f>Tabla2[[#This Row],[Deforestation 2015]]/Tabla2[[#This Row],[Forest cover 2011]]</f>
        <v>8.2735518761792336E-4</v>
      </c>
      <c r="AK26" s="6">
        <f>Tabla2[[#This Row],[Deforestation 2016]]/Tabla2[[#This Row],[Forest cover 2011]]</f>
        <v>8.8116690713778813E-4</v>
      </c>
      <c r="AL26" s="6">
        <f>Tabla2[[#This Row],[Deforestation 2017]]/Tabla2[[#This Row],[Forest cover 2011]]</f>
        <v>9.7757957127754601E-4</v>
      </c>
      <c r="AM26" s="6">
        <f>Tabla2[[#This Row],[Deforestation 2018]]/Tabla2[[#This Row],[Forest cover 2011]]</f>
        <v>4.9663732806875334E-4</v>
      </c>
      <c r="AN26" s="6">
        <f>Tabla2[[#This Row],[Deforestation 2019]]/Tabla2[[#This Row],[Forest cover 2011]]</f>
        <v>7.1748959359819911E-4</v>
      </c>
      <c r="AO26" s="6">
        <f>Tabla2[[#This Row],[Deforestation 2020]]/Tabla2[[#This Row],[Forest cover 2011]]</f>
        <v>7.8923855295801894E-4</v>
      </c>
      <c r="AP26" s="6">
        <f>Tabla2[[#This Row],[Deforestation 2021]]/Tabla2[[#This Row],[Forest cover 2011]]</f>
        <v>7.4551653084812869E-4</v>
      </c>
      <c r="AQ26" s="6">
        <f>Tabla2[[#This Row],[Deforestation 2022]]/Tabla2[[#This Row],[Forest cover 2011]]</f>
        <v>2.1524687807945975E-4</v>
      </c>
      <c r="AR26" s="6">
        <f>Tabla2[[#This Row],[Deforestation 2023]]/Tabla2[[#This Row],[Forest cover 2011]]</f>
        <v>4.7769111848780096E-3</v>
      </c>
      <c r="AS26" s="6">
        <f>Tabla2[[#This Row],[Deforestation 2024]]/Tabla2[[#This Row],[Forest cover 2011]]</f>
        <v>3.2500036435018425E-3</v>
      </c>
      <c r="AT26" s="6">
        <f>Tabla2[[#This Row],[Forest Loss 2012]]/Tabla2[[#This Row],[Forest cover 2011]]</f>
        <v>3.2985462988187206E-2</v>
      </c>
      <c r="AU26" s="6">
        <f>Tabla2[[#This Row],[Forest Loss 2013]]/Tabla2[[#This Row],[Forest cover 2011]]</f>
        <v>1.2510103710878599E-2</v>
      </c>
      <c r="AV26" s="6">
        <f>Tabla2[[#This Row],[Forest Loss 2014]]/Tabla2[[#This Row],[Forest cover 2011]]</f>
        <v>1.7688360637175601E-2</v>
      </c>
      <c r="AW26" s="6">
        <f>Tabla2[[#This Row],[Forest Loss 2015]]/Tabla2[[#This Row],[Forest cover 2011]]</f>
        <v>7.2870036849817096E-3</v>
      </c>
      <c r="AX26" s="6">
        <f>Tabla2[[#This Row],[Forest Loss 2016]]/Tabla2[[#This Row],[Forest cover 2011]]</f>
        <v>4.0852063735497459E-3</v>
      </c>
      <c r="AY26" s="6">
        <f>Tabla2[[#This Row],[Forest Loss 2017]]/Tabla2[[#This Row],[Forest cover 2011]]</f>
        <v>1.274440890628801E-2</v>
      </c>
      <c r="AZ26" s="6">
        <f>Tabla2[[#This Row],[Forest Loss 2018]]/Tabla2[[#This Row],[Forest cover 2011]]</f>
        <v>3.0941738723922335E-3</v>
      </c>
      <c r="BA26" s="6">
        <f>Tabla2[[#This Row],[Forest Loss 2019]]/Tabla2[[#This Row],[Forest cover 2011]]</f>
        <v>4.4630094876787979E-3</v>
      </c>
      <c r="BB26" s="6">
        <f>Tabla2[[#This Row],[Forest Loss 2020]]/Tabla2[[#This Row],[Forest cover 2011]]</f>
        <v>3.6412596875108603E-3</v>
      </c>
      <c r="BC26" s="6">
        <f>Tabla2[[#This Row],[Forest Loss 2021]]/Tabla2[[#This Row],[Forest cover 2011]]</f>
        <v>3.0246670680124078E-3</v>
      </c>
      <c r="BD26" s="6">
        <f>Tabla2[[#This Row],[Forest Loss 2022]]/Tabla2[[#This Row],[Forest cover 2011]]</f>
        <v>2.5179400425336799E-3</v>
      </c>
      <c r="BE26" s="6">
        <f>Tabla2[[#This Row],[Forest Loss 2023]]/Tabla2[[#This Row],[Forest cover 2011]]</f>
        <v>1.0422657424503838E-2</v>
      </c>
      <c r="BF26" s="6">
        <f>Tabla2[[#This Row],[Forest Loss 2024]]/Tabla2[[#This Row],[Forest cover 2011]]</f>
        <v>8.3876775646609461E-2</v>
      </c>
    </row>
    <row r="27" spans="1:58" x14ac:dyDescent="0.25">
      <c r="A27" s="2">
        <v>20103</v>
      </c>
      <c r="B27" s="3" t="s">
        <v>88</v>
      </c>
      <c r="C27" t="s">
        <v>91</v>
      </c>
      <c r="D27">
        <v>90.09</v>
      </c>
      <c r="E27" s="4">
        <f>AVERAGE(Tabla2[[#This Row],[Deforestation 2012]:[Deforestation 2014]])</f>
        <v>1.32</v>
      </c>
      <c r="F27" s="4">
        <f>AVERAGE(Tabla2[[#This Row],[Deforestation 2022]:[Deforestation 2024]])</f>
        <v>9.6300000000000008</v>
      </c>
      <c r="G27">
        <v>1.53</v>
      </c>
      <c r="H27">
        <v>0.9</v>
      </c>
      <c r="I27">
        <v>1.53</v>
      </c>
      <c r="J27">
        <v>1.71</v>
      </c>
      <c r="K27">
        <v>1.26</v>
      </c>
      <c r="L27">
        <v>0.72</v>
      </c>
      <c r="M27">
        <v>0.45</v>
      </c>
      <c r="N27">
        <v>1.53</v>
      </c>
      <c r="O27">
        <v>1.44</v>
      </c>
      <c r="P27">
        <v>8.1</v>
      </c>
      <c r="Q27">
        <v>10.44</v>
      </c>
      <c r="R27">
        <v>11.16</v>
      </c>
      <c r="S27">
        <v>7.2900000000000009</v>
      </c>
      <c r="T27">
        <v>2.4300000000000002</v>
      </c>
      <c r="U27">
        <v>1.53</v>
      </c>
      <c r="V27">
        <v>3.51</v>
      </c>
      <c r="W27">
        <v>2.0699999999999998</v>
      </c>
      <c r="X27">
        <v>1.35</v>
      </c>
      <c r="Y27">
        <v>0.72</v>
      </c>
      <c r="Z27">
        <v>0.9</v>
      </c>
      <c r="AA27">
        <v>6.48</v>
      </c>
      <c r="AB27">
        <v>1.98</v>
      </c>
      <c r="AC27">
        <v>8.1</v>
      </c>
      <c r="AD27">
        <v>10.44</v>
      </c>
      <c r="AE27">
        <v>12.96</v>
      </c>
      <c r="AF27">
        <v>7.4700000000000006</v>
      </c>
      <c r="AG27" s="5">
        <f>Tabla2[[#This Row],[Deforestation 2012]]/Tabla2[[#This Row],[Forest cover 2011]]</f>
        <v>1.6983016983016984E-2</v>
      </c>
      <c r="AH27" s="6">
        <f>Tabla2[[#This Row],[Deforestation 2013]]/Tabla2[[#This Row],[Forest cover 2011]]</f>
        <v>9.99000999000999E-3</v>
      </c>
      <c r="AI27" s="6">
        <f>Tabla2[[#This Row],[Deforestation 2014]]/Tabla2[[#This Row],[Forest cover 2011]]</f>
        <v>1.6983016983016984E-2</v>
      </c>
      <c r="AJ27" s="6">
        <f>Tabla2[[#This Row],[Deforestation 2015]]/Tabla2[[#This Row],[Forest cover 2011]]</f>
        <v>1.898101898101898E-2</v>
      </c>
      <c r="AK27" s="6">
        <f>Tabla2[[#This Row],[Deforestation 2016]]/Tabla2[[#This Row],[Forest cover 2011]]</f>
        <v>1.3986013986013986E-2</v>
      </c>
      <c r="AL27" s="6">
        <f>Tabla2[[#This Row],[Deforestation 2017]]/Tabla2[[#This Row],[Forest cover 2011]]</f>
        <v>7.992007992007992E-3</v>
      </c>
      <c r="AM27" s="6">
        <f>Tabla2[[#This Row],[Deforestation 2018]]/Tabla2[[#This Row],[Forest cover 2011]]</f>
        <v>4.995004995004995E-3</v>
      </c>
      <c r="AN27" s="6">
        <f>Tabla2[[#This Row],[Deforestation 2019]]/Tabla2[[#This Row],[Forest cover 2011]]</f>
        <v>1.6983016983016984E-2</v>
      </c>
      <c r="AO27" s="6">
        <f>Tabla2[[#This Row],[Deforestation 2020]]/Tabla2[[#This Row],[Forest cover 2011]]</f>
        <v>1.5984015984015984E-2</v>
      </c>
      <c r="AP27" s="6">
        <f>Tabla2[[#This Row],[Deforestation 2021]]/Tabla2[[#This Row],[Forest cover 2011]]</f>
        <v>8.9910089910089905E-2</v>
      </c>
      <c r="AQ27" s="6">
        <f>Tabla2[[#This Row],[Deforestation 2022]]/Tabla2[[#This Row],[Forest cover 2011]]</f>
        <v>0.11588411588411587</v>
      </c>
      <c r="AR27" s="6">
        <f>Tabla2[[#This Row],[Deforestation 2023]]/Tabla2[[#This Row],[Forest cover 2011]]</f>
        <v>0.12387612387612387</v>
      </c>
      <c r="AS27" s="6">
        <f>Tabla2[[#This Row],[Deforestation 2024]]/Tabla2[[#This Row],[Forest cover 2011]]</f>
        <v>8.0919080919080927E-2</v>
      </c>
      <c r="AT27" s="6">
        <f>Tabla2[[#This Row],[Forest Loss 2012]]/Tabla2[[#This Row],[Forest cover 2011]]</f>
        <v>2.6973026973026972E-2</v>
      </c>
      <c r="AU27" s="6">
        <f>Tabla2[[#This Row],[Forest Loss 2013]]/Tabla2[[#This Row],[Forest cover 2011]]</f>
        <v>1.6983016983016984E-2</v>
      </c>
      <c r="AV27" s="6">
        <f>Tabla2[[#This Row],[Forest Loss 2014]]/Tabla2[[#This Row],[Forest cover 2011]]</f>
        <v>3.896103896103896E-2</v>
      </c>
      <c r="AW27" s="6">
        <f>Tabla2[[#This Row],[Forest Loss 2015]]/Tabla2[[#This Row],[Forest cover 2011]]</f>
        <v>2.2977022977022973E-2</v>
      </c>
      <c r="AX27" s="6">
        <f>Tabla2[[#This Row],[Forest Loss 2016]]/Tabla2[[#This Row],[Forest cover 2011]]</f>
        <v>1.4985014985014986E-2</v>
      </c>
      <c r="AY27" s="6">
        <f>Tabla2[[#This Row],[Forest Loss 2017]]/Tabla2[[#This Row],[Forest cover 2011]]</f>
        <v>7.992007992007992E-3</v>
      </c>
      <c r="AZ27" s="6">
        <f>Tabla2[[#This Row],[Forest Loss 2018]]/Tabla2[[#This Row],[Forest cover 2011]]</f>
        <v>9.99000999000999E-3</v>
      </c>
      <c r="BA27" s="6">
        <f>Tabla2[[#This Row],[Forest Loss 2019]]/Tabla2[[#This Row],[Forest cover 2011]]</f>
        <v>7.1928071928071935E-2</v>
      </c>
      <c r="BB27" s="6">
        <f>Tabla2[[#This Row],[Forest Loss 2020]]/Tabla2[[#This Row],[Forest cover 2011]]</f>
        <v>2.1978021978021976E-2</v>
      </c>
      <c r="BC27" s="6">
        <f>Tabla2[[#This Row],[Forest Loss 2021]]/Tabla2[[#This Row],[Forest cover 2011]]</f>
        <v>8.9910089910089905E-2</v>
      </c>
      <c r="BD27" s="6">
        <f>Tabla2[[#This Row],[Forest Loss 2022]]/Tabla2[[#This Row],[Forest cover 2011]]</f>
        <v>0.11588411588411587</v>
      </c>
      <c r="BE27" s="6">
        <f>Tabla2[[#This Row],[Forest Loss 2023]]/Tabla2[[#This Row],[Forest cover 2011]]</f>
        <v>0.14385614385614387</v>
      </c>
      <c r="BF27" s="6">
        <f>Tabla2[[#This Row],[Forest Loss 2024]]/Tabla2[[#This Row],[Forest cover 2011]]</f>
        <v>8.2917082917082927E-2</v>
      </c>
    </row>
    <row r="28" spans="1:58" x14ac:dyDescent="0.25">
      <c r="A28" s="2">
        <v>20403</v>
      </c>
      <c r="B28" s="3" t="s">
        <v>88</v>
      </c>
      <c r="C28" t="s">
        <v>110</v>
      </c>
      <c r="D28">
        <v>170.64</v>
      </c>
      <c r="E28" s="4">
        <f>AVERAGE(Tabla2[[#This Row],[Deforestation 2012]:[Deforestation 2014]])</f>
        <v>0.06</v>
      </c>
      <c r="F28" s="4">
        <f>AVERAGE(Tabla2[[#This Row],[Deforestation 2022]:[Deforestation 2024]])</f>
        <v>0.87000000000000011</v>
      </c>
      <c r="G28">
        <v>0</v>
      </c>
      <c r="H28">
        <v>0</v>
      </c>
      <c r="I28">
        <v>0.18</v>
      </c>
      <c r="J28">
        <v>0</v>
      </c>
      <c r="K28">
        <v>0</v>
      </c>
      <c r="L28">
        <v>0</v>
      </c>
      <c r="M28">
        <v>0</v>
      </c>
      <c r="N28">
        <v>0.63</v>
      </c>
      <c r="O28">
        <v>0.18</v>
      </c>
      <c r="P28">
        <v>0</v>
      </c>
      <c r="Q28">
        <v>0</v>
      </c>
      <c r="R28">
        <v>0.18</v>
      </c>
      <c r="S28">
        <v>2.4300000000000002</v>
      </c>
      <c r="T28">
        <v>2.88</v>
      </c>
      <c r="U28">
        <v>0.81</v>
      </c>
      <c r="V28">
        <v>5.58</v>
      </c>
      <c r="W28">
        <v>0.72</v>
      </c>
      <c r="X28">
        <v>0</v>
      </c>
      <c r="Y28">
        <v>1.71</v>
      </c>
      <c r="Z28">
        <v>0.36</v>
      </c>
      <c r="AA28">
        <v>6.0299999999999994</v>
      </c>
      <c r="AB28">
        <v>0.27</v>
      </c>
      <c r="AC28">
        <v>0.36</v>
      </c>
      <c r="AD28">
        <v>0.45</v>
      </c>
      <c r="AE28">
        <v>0.18</v>
      </c>
      <c r="AF28">
        <v>14.13</v>
      </c>
      <c r="AG28" s="5">
        <f>Tabla2[[#This Row],[Deforestation 2012]]/Tabla2[[#This Row],[Forest cover 2011]]</f>
        <v>0</v>
      </c>
      <c r="AH28" s="6">
        <f>Tabla2[[#This Row],[Deforestation 2013]]/Tabla2[[#This Row],[Forest cover 2011]]</f>
        <v>0</v>
      </c>
      <c r="AI28" s="6">
        <f>Tabla2[[#This Row],[Deforestation 2014]]/Tabla2[[#This Row],[Forest cover 2011]]</f>
        <v>1.0548523206751056E-3</v>
      </c>
      <c r="AJ28" s="6">
        <f>Tabla2[[#This Row],[Deforestation 2015]]/Tabla2[[#This Row],[Forest cover 2011]]</f>
        <v>0</v>
      </c>
      <c r="AK28" s="6">
        <f>Tabla2[[#This Row],[Deforestation 2016]]/Tabla2[[#This Row],[Forest cover 2011]]</f>
        <v>0</v>
      </c>
      <c r="AL28" s="6">
        <f>Tabla2[[#This Row],[Deforestation 2017]]/Tabla2[[#This Row],[Forest cover 2011]]</f>
        <v>0</v>
      </c>
      <c r="AM28" s="6">
        <f>Tabla2[[#This Row],[Deforestation 2018]]/Tabla2[[#This Row],[Forest cover 2011]]</f>
        <v>0</v>
      </c>
      <c r="AN28" s="6">
        <f>Tabla2[[#This Row],[Deforestation 2019]]/Tabla2[[#This Row],[Forest cover 2011]]</f>
        <v>3.6919831223628696E-3</v>
      </c>
      <c r="AO28" s="6">
        <f>Tabla2[[#This Row],[Deforestation 2020]]/Tabla2[[#This Row],[Forest cover 2011]]</f>
        <v>1.0548523206751056E-3</v>
      </c>
      <c r="AP28" s="6">
        <f>Tabla2[[#This Row],[Deforestation 2021]]/Tabla2[[#This Row],[Forest cover 2011]]</f>
        <v>0</v>
      </c>
      <c r="AQ28" s="6">
        <f>Tabla2[[#This Row],[Deforestation 2022]]/Tabla2[[#This Row],[Forest cover 2011]]</f>
        <v>0</v>
      </c>
      <c r="AR28" s="6">
        <f>Tabla2[[#This Row],[Deforestation 2023]]/Tabla2[[#This Row],[Forest cover 2011]]</f>
        <v>1.0548523206751056E-3</v>
      </c>
      <c r="AS28" s="6">
        <f>Tabla2[[#This Row],[Deforestation 2024]]/Tabla2[[#This Row],[Forest cover 2011]]</f>
        <v>1.4240506329113925E-2</v>
      </c>
      <c r="AT28" s="6">
        <f>Tabla2[[#This Row],[Forest Loss 2012]]/Tabla2[[#This Row],[Forest cover 2011]]</f>
        <v>1.687763713080169E-2</v>
      </c>
      <c r="AU28" s="6">
        <f>Tabla2[[#This Row],[Forest Loss 2013]]/Tabla2[[#This Row],[Forest cover 2011]]</f>
        <v>4.7468354430379757E-3</v>
      </c>
      <c r="AV28" s="6">
        <f>Tabla2[[#This Row],[Forest Loss 2014]]/Tabla2[[#This Row],[Forest cover 2011]]</f>
        <v>3.2700421940928273E-2</v>
      </c>
      <c r="AW28" s="6">
        <f>Tabla2[[#This Row],[Forest Loss 2015]]/Tabla2[[#This Row],[Forest cover 2011]]</f>
        <v>4.2194092827004225E-3</v>
      </c>
      <c r="AX28" s="6">
        <f>Tabla2[[#This Row],[Forest Loss 2016]]/Tabla2[[#This Row],[Forest cover 2011]]</f>
        <v>0</v>
      </c>
      <c r="AY28" s="6">
        <f>Tabla2[[#This Row],[Forest Loss 2017]]/Tabla2[[#This Row],[Forest cover 2011]]</f>
        <v>1.0021097046413503E-2</v>
      </c>
      <c r="AZ28" s="6">
        <f>Tabla2[[#This Row],[Forest Loss 2018]]/Tabla2[[#This Row],[Forest cover 2011]]</f>
        <v>2.1097046413502112E-3</v>
      </c>
      <c r="BA28" s="6">
        <f>Tabla2[[#This Row],[Forest Loss 2019]]/Tabla2[[#This Row],[Forest cover 2011]]</f>
        <v>3.5337552742616032E-2</v>
      </c>
      <c r="BB28" s="6">
        <f>Tabla2[[#This Row],[Forest Loss 2020]]/Tabla2[[#This Row],[Forest cover 2011]]</f>
        <v>1.5822784810126584E-3</v>
      </c>
      <c r="BC28" s="6">
        <f>Tabla2[[#This Row],[Forest Loss 2021]]/Tabla2[[#This Row],[Forest cover 2011]]</f>
        <v>2.1097046413502112E-3</v>
      </c>
      <c r="BD28" s="6">
        <f>Tabla2[[#This Row],[Forest Loss 2022]]/Tabla2[[#This Row],[Forest cover 2011]]</f>
        <v>2.637130801687764E-3</v>
      </c>
      <c r="BE28" s="6">
        <f>Tabla2[[#This Row],[Forest Loss 2023]]/Tabla2[[#This Row],[Forest cover 2011]]</f>
        <v>1.0548523206751056E-3</v>
      </c>
      <c r="BF28" s="6">
        <f>Tabla2[[#This Row],[Forest Loss 2024]]/Tabla2[[#This Row],[Forest cover 2011]]</f>
        <v>8.2805907172995796E-2</v>
      </c>
    </row>
    <row r="29" spans="1:58" x14ac:dyDescent="0.25">
      <c r="A29" s="2">
        <v>71002</v>
      </c>
      <c r="B29" s="3" t="s">
        <v>310</v>
      </c>
      <c r="C29" t="s">
        <v>348</v>
      </c>
      <c r="D29">
        <v>3788.19</v>
      </c>
      <c r="E29" s="4">
        <f>AVERAGE(Tabla2[[#This Row],[Deforestation 2012]:[Deforestation 2014]])</f>
        <v>263.55</v>
      </c>
      <c r="F29" s="4">
        <f>AVERAGE(Tabla2[[#This Row],[Deforestation 2022]:[Deforestation 2024]])</f>
        <v>164.79</v>
      </c>
      <c r="G29">
        <v>500.22</v>
      </c>
      <c r="H29">
        <v>176.4</v>
      </c>
      <c r="I29">
        <v>114.03</v>
      </c>
      <c r="J29">
        <v>104.13</v>
      </c>
      <c r="K29">
        <v>117.09</v>
      </c>
      <c r="L29">
        <v>104.85</v>
      </c>
      <c r="M29">
        <v>86.58</v>
      </c>
      <c r="N29">
        <v>83.25</v>
      </c>
      <c r="O29">
        <v>69.569999999999993</v>
      </c>
      <c r="P29">
        <v>140.76</v>
      </c>
      <c r="Q29">
        <v>15.12</v>
      </c>
      <c r="R29">
        <v>186.66</v>
      </c>
      <c r="S29">
        <v>292.58999999999997</v>
      </c>
      <c r="T29">
        <v>503.28</v>
      </c>
      <c r="U29">
        <v>181.62</v>
      </c>
      <c r="V29">
        <v>122.94</v>
      </c>
      <c r="W29">
        <v>109.8</v>
      </c>
      <c r="X29">
        <v>122.22</v>
      </c>
      <c r="Y29">
        <v>117.36</v>
      </c>
      <c r="Z29">
        <v>104.94</v>
      </c>
      <c r="AA29">
        <v>91.53</v>
      </c>
      <c r="AB29">
        <v>87.03</v>
      </c>
      <c r="AC29">
        <v>179.01</v>
      </c>
      <c r="AD29">
        <v>29.7</v>
      </c>
      <c r="AE29">
        <v>205.29</v>
      </c>
      <c r="AF29">
        <v>293.22000000000003</v>
      </c>
      <c r="AG29" s="5">
        <f>Tabla2[[#This Row],[Deforestation 2012]]/Tabla2[[#This Row],[Forest cover 2011]]</f>
        <v>0.13204723099950108</v>
      </c>
      <c r="AH29" s="6">
        <f>Tabla2[[#This Row],[Deforestation 2013]]/Tabla2[[#This Row],[Forest cover 2011]]</f>
        <v>4.6565774155995346E-2</v>
      </c>
      <c r="AI29" s="6">
        <f>Tabla2[[#This Row],[Deforestation 2014]]/Tabla2[[#This Row],[Forest cover 2011]]</f>
        <v>3.0101446865125562E-2</v>
      </c>
      <c r="AJ29" s="6">
        <f>Tabla2[[#This Row],[Deforestation 2015]]/Tabla2[[#This Row],[Forest cover 2011]]</f>
        <v>2.7488061580860514E-2</v>
      </c>
      <c r="AK29" s="6">
        <f>Tabla2[[#This Row],[Deforestation 2016]]/Tabla2[[#This Row],[Forest cover 2011]]</f>
        <v>3.090922049844385E-2</v>
      </c>
      <c r="AL29" s="6">
        <f>Tabla2[[#This Row],[Deforestation 2017]]/Tabla2[[#This Row],[Forest cover 2011]]</f>
        <v>2.7678125965170698E-2</v>
      </c>
      <c r="AM29" s="6">
        <f>Tabla2[[#This Row],[Deforestation 2018]]/Tabla2[[#This Row],[Forest cover 2011]]</f>
        <v>2.2855242213299754E-2</v>
      </c>
      <c r="AN29" s="6">
        <f>Tabla2[[#This Row],[Deforestation 2019]]/Tabla2[[#This Row],[Forest cover 2011]]</f>
        <v>2.1976194435865151E-2</v>
      </c>
      <c r="AO29" s="6">
        <f>Tabla2[[#This Row],[Deforestation 2020]]/Tabla2[[#This Row],[Forest cover 2011]]</f>
        <v>1.836497113397163E-2</v>
      </c>
      <c r="AP29" s="6">
        <f>Tabla2[[#This Row],[Deforestation 2021]]/Tabla2[[#This Row],[Forest cover 2011]]</f>
        <v>3.7157587132641182E-2</v>
      </c>
      <c r="AQ29" s="6">
        <f>Tabla2[[#This Row],[Deforestation 2022]]/Tabla2[[#This Row],[Forest cover 2011]]</f>
        <v>3.9913520705138865E-3</v>
      </c>
      <c r="AR29" s="6">
        <f>Tabla2[[#This Row],[Deforestation 2023]]/Tabla2[[#This Row],[Forest cover 2011]]</f>
        <v>4.9274191632415476E-2</v>
      </c>
      <c r="AS29" s="6">
        <f>Tabla2[[#This Row],[Deforestation 2024]]/Tabla2[[#This Row],[Forest cover 2011]]</f>
        <v>7.7237414174051458E-2</v>
      </c>
      <c r="AT29" s="6">
        <f>Tabla2[[#This Row],[Forest Loss 2012]]/Tabla2[[#This Row],[Forest cover 2011]]</f>
        <v>0.13285500463281935</v>
      </c>
      <c r="AU29" s="6">
        <f>Tabla2[[#This Row],[Forest Loss 2013]]/Tabla2[[#This Row],[Forest cover 2011]]</f>
        <v>4.7943740942244184E-2</v>
      </c>
      <c r="AV29" s="6">
        <f>Tabla2[[#This Row],[Forest Loss 2014]]/Tabla2[[#This Row],[Forest cover 2011]]</f>
        <v>3.24534936209641E-2</v>
      </c>
      <c r="AW29" s="6">
        <f>Tabla2[[#This Row],[Forest Loss 2015]]/Tabla2[[#This Row],[Forest cover 2011]]</f>
        <v>2.8984818607303224E-2</v>
      </c>
      <c r="AX29" s="6">
        <f>Tabla2[[#This Row],[Forest Loss 2016]]/Tabla2[[#This Row],[Forest cover 2011]]</f>
        <v>3.2263429236653915E-2</v>
      </c>
      <c r="AY29" s="6">
        <f>Tabla2[[#This Row],[Forest Loss 2017]]/Tabla2[[#This Row],[Forest cover 2011]]</f>
        <v>3.0980494642560166E-2</v>
      </c>
      <c r="AZ29" s="6">
        <f>Tabla2[[#This Row],[Forest Loss 2018]]/Tabla2[[#This Row],[Forest cover 2011]]</f>
        <v>2.7701884013209475E-2</v>
      </c>
      <c r="BA29" s="6">
        <f>Tabla2[[#This Row],[Forest Loss 2019]]/Tabla2[[#This Row],[Forest cover 2011]]</f>
        <v>2.4161934855432277E-2</v>
      </c>
      <c r="BB29" s="6">
        <f>Tabla2[[#This Row],[Forest Loss 2020]]/Tabla2[[#This Row],[Forest cover 2011]]</f>
        <v>2.297403245349362E-2</v>
      </c>
      <c r="BC29" s="6">
        <f>Tabla2[[#This Row],[Forest Loss 2021]]/Tabla2[[#This Row],[Forest cover 2011]]</f>
        <v>4.7254757549119758E-2</v>
      </c>
      <c r="BD29" s="6">
        <f>Tabla2[[#This Row],[Forest Loss 2022]]/Tabla2[[#This Row],[Forest cover 2011]]</f>
        <v>7.8401558527951346E-3</v>
      </c>
      <c r="BE29" s="6">
        <f>Tabla2[[#This Row],[Forest Loss 2023]]/Tabla2[[#This Row],[Forest cover 2011]]</f>
        <v>5.4192107576441516E-2</v>
      </c>
      <c r="BF29" s="6">
        <f>Tabla2[[#This Row],[Forest Loss 2024]]/Tabla2[[#This Row],[Forest cover 2011]]</f>
        <v>7.7403720510322876E-2</v>
      </c>
    </row>
    <row r="30" spans="1:58" x14ac:dyDescent="0.25">
      <c r="A30" s="2">
        <v>20102</v>
      </c>
      <c r="B30" s="3" t="s">
        <v>88</v>
      </c>
      <c r="C30" t="s">
        <v>90</v>
      </c>
      <c r="D30">
        <v>1751.13</v>
      </c>
      <c r="E30" s="4">
        <f>AVERAGE(Tabla2[[#This Row],[Deforestation 2012]:[Deforestation 2014]])</f>
        <v>4.8900000000000006</v>
      </c>
      <c r="F30" s="4">
        <f>AVERAGE(Tabla2[[#This Row],[Deforestation 2022]:[Deforestation 2024]])</f>
        <v>95.850000000000009</v>
      </c>
      <c r="G30">
        <v>1.62</v>
      </c>
      <c r="H30">
        <v>5.4</v>
      </c>
      <c r="I30">
        <v>7.65</v>
      </c>
      <c r="J30">
        <v>2.61</v>
      </c>
      <c r="K30">
        <v>1.71</v>
      </c>
      <c r="L30">
        <v>1.17</v>
      </c>
      <c r="M30">
        <v>3.51</v>
      </c>
      <c r="N30">
        <v>21.33</v>
      </c>
      <c r="O30">
        <v>19.260000000000002</v>
      </c>
      <c r="P30">
        <v>2.79</v>
      </c>
      <c r="Q30">
        <v>23.13</v>
      </c>
      <c r="R30">
        <v>135.99</v>
      </c>
      <c r="S30">
        <v>128.43</v>
      </c>
      <c r="T30">
        <v>5.67</v>
      </c>
      <c r="U30">
        <v>23.76</v>
      </c>
      <c r="V30">
        <v>53.55</v>
      </c>
      <c r="W30">
        <v>17.73</v>
      </c>
      <c r="X30">
        <v>8.5500000000000007</v>
      </c>
      <c r="Y30">
        <v>17.37</v>
      </c>
      <c r="Z30">
        <v>21.33</v>
      </c>
      <c r="AA30">
        <v>120.78</v>
      </c>
      <c r="AB30">
        <v>133.91999999999999</v>
      </c>
      <c r="AC30">
        <v>3.51</v>
      </c>
      <c r="AD30">
        <v>23.13</v>
      </c>
      <c r="AE30">
        <v>152.19</v>
      </c>
      <c r="AF30">
        <v>132.57</v>
      </c>
      <c r="AG30" s="5">
        <f>Tabla2[[#This Row],[Deforestation 2012]]/Tabla2[[#This Row],[Forest cover 2011]]</f>
        <v>9.2511692450017989E-4</v>
      </c>
      <c r="AH30" s="6">
        <f>Tabla2[[#This Row],[Deforestation 2013]]/Tabla2[[#This Row],[Forest cover 2011]]</f>
        <v>3.0837230816672663E-3</v>
      </c>
      <c r="AI30" s="6">
        <f>Tabla2[[#This Row],[Deforestation 2014]]/Tabla2[[#This Row],[Forest cover 2011]]</f>
        <v>4.3686076990286276E-3</v>
      </c>
      <c r="AJ30" s="6">
        <f>Tabla2[[#This Row],[Deforestation 2015]]/Tabla2[[#This Row],[Forest cover 2011]]</f>
        <v>1.4904661561391786E-3</v>
      </c>
      <c r="AK30" s="6">
        <f>Tabla2[[#This Row],[Deforestation 2016]]/Tabla2[[#This Row],[Forest cover 2011]]</f>
        <v>9.7651230919463422E-4</v>
      </c>
      <c r="AL30" s="6">
        <f>Tabla2[[#This Row],[Deforestation 2017]]/Tabla2[[#This Row],[Forest cover 2011]]</f>
        <v>6.6814000102790759E-4</v>
      </c>
      <c r="AM30" s="6">
        <f>Tabla2[[#This Row],[Deforestation 2018]]/Tabla2[[#This Row],[Forest cover 2011]]</f>
        <v>2.0044200030837228E-3</v>
      </c>
      <c r="AN30" s="6">
        <f>Tabla2[[#This Row],[Deforestation 2019]]/Tabla2[[#This Row],[Forest cover 2011]]</f>
        <v>1.21807061725857E-2</v>
      </c>
      <c r="AO30" s="6">
        <f>Tabla2[[#This Row],[Deforestation 2020]]/Tabla2[[#This Row],[Forest cover 2011]]</f>
        <v>1.0998612324613249E-2</v>
      </c>
      <c r="AP30" s="6">
        <f>Tabla2[[#This Row],[Deforestation 2021]]/Tabla2[[#This Row],[Forest cover 2011]]</f>
        <v>1.5932569255280875E-3</v>
      </c>
      <c r="AQ30" s="6">
        <f>Tabla2[[#This Row],[Deforestation 2022]]/Tabla2[[#This Row],[Forest cover 2011]]</f>
        <v>1.3208613866474789E-2</v>
      </c>
      <c r="AR30" s="6">
        <f>Tabla2[[#This Row],[Deforestation 2023]]/Tabla2[[#This Row],[Forest cover 2011]]</f>
        <v>7.765842627332066E-2</v>
      </c>
      <c r="AS30" s="6">
        <f>Tabla2[[#This Row],[Deforestation 2024]]/Tabla2[[#This Row],[Forest cover 2011]]</f>
        <v>7.3341213958986476E-2</v>
      </c>
      <c r="AT30" s="6">
        <f>Tabla2[[#This Row],[Forest Loss 2012]]/Tabla2[[#This Row],[Forest cover 2011]]</f>
        <v>3.2379092357506293E-3</v>
      </c>
      <c r="AU30" s="6">
        <f>Tabla2[[#This Row],[Forest Loss 2013]]/Tabla2[[#This Row],[Forest cover 2011]]</f>
        <v>1.3568381559335973E-2</v>
      </c>
      <c r="AV30" s="6">
        <f>Tabla2[[#This Row],[Forest Loss 2014]]/Tabla2[[#This Row],[Forest cover 2011]]</f>
        <v>3.0580253893200387E-2</v>
      </c>
      <c r="AW30" s="6">
        <f>Tabla2[[#This Row],[Forest Loss 2015]]/Tabla2[[#This Row],[Forest cover 2011]]</f>
        <v>1.0124890784807524E-2</v>
      </c>
      <c r="AX30" s="6">
        <f>Tabla2[[#This Row],[Forest Loss 2016]]/Tabla2[[#This Row],[Forest cover 2011]]</f>
        <v>4.8825615459731717E-3</v>
      </c>
      <c r="AY30" s="6">
        <f>Tabla2[[#This Row],[Forest Loss 2017]]/Tabla2[[#This Row],[Forest cover 2011]]</f>
        <v>9.9193092460297064E-3</v>
      </c>
      <c r="AZ30" s="6">
        <f>Tabla2[[#This Row],[Forest Loss 2018]]/Tabla2[[#This Row],[Forest cover 2011]]</f>
        <v>1.21807061725857E-2</v>
      </c>
      <c r="BA30" s="6">
        <f>Tabla2[[#This Row],[Forest Loss 2019]]/Tabla2[[#This Row],[Forest cover 2011]]</f>
        <v>6.8972606259957853E-2</v>
      </c>
      <c r="BB30" s="6">
        <f>Tabla2[[#This Row],[Forest Loss 2020]]/Tabla2[[#This Row],[Forest cover 2011]]</f>
        <v>7.6476332425348195E-2</v>
      </c>
      <c r="BC30" s="6">
        <f>Tabla2[[#This Row],[Forest Loss 2021]]/Tabla2[[#This Row],[Forest cover 2011]]</f>
        <v>2.0044200030837228E-3</v>
      </c>
      <c r="BD30" s="6">
        <f>Tabla2[[#This Row],[Forest Loss 2022]]/Tabla2[[#This Row],[Forest cover 2011]]</f>
        <v>1.3208613866474789E-2</v>
      </c>
      <c r="BE30" s="6">
        <f>Tabla2[[#This Row],[Forest Loss 2023]]/Tabla2[[#This Row],[Forest cover 2011]]</f>
        <v>8.6909595518322447E-2</v>
      </c>
      <c r="BF30" s="6">
        <f>Tabla2[[#This Row],[Forest Loss 2024]]/Tabla2[[#This Row],[Forest cover 2011]]</f>
        <v>7.5705401654931379E-2</v>
      </c>
    </row>
    <row r="31" spans="1:58" x14ac:dyDescent="0.25">
      <c r="A31" s="2">
        <v>70102</v>
      </c>
      <c r="B31" s="3" t="s">
        <v>310</v>
      </c>
      <c r="C31" t="s">
        <v>312</v>
      </c>
      <c r="D31">
        <v>10462.59</v>
      </c>
      <c r="E31" s="4">
        <f>AVERAGE(Tabla2[[#This Row],[Deforestation 2012]:[Deforestation 2014]])</f>
        <v>611.69999999999993</v>
      </c>
      <c r="F31" s="4">
        <f>AVERAGE(Tabla2[[#This Row],[Deforestation 2022]:[Deforestation 2024]])</f>
        <v>489.27</v>
      </c>
      <c r="G31">
        <v>655.74</v>
      </c>
      <c r="H31">
        <v>648.80999999999995</v>
      </c>
      <c r="I31">
        <v>530.54999999999995</v>
      </c>
      <c r="J31">
        <v>625.23</v>
      </c>
      <c r="K31">
        <v>243.45</v>
      </c>
      <c r="L31">
        <v>312.83999999999997</v>
      </c>
      <c r="M31">
        <v>270.54000000000002</v>
      </c>
      <c r="N31">
        <v>232.02</v>
      </c>
      <c r="O31">
        <v>92.07</v>
      </c>
      <c r="P31">
        <v>217.62</v>
      </c>
      <c r="Q31">
        <v>31.14</v>
      </c>
      <c r="R31">
        <v>741.15</v>
      </c>
      <c r="S31">
        <v>695.52</v>
      </c>
      <c r="T31">
        <v>687.32999999999993</v>
      </c>
      <c r="U31">
        <v>673.02</v>
      </c>
      <c r="V31">
        <v>567.45000000000005</v>
      </c>
      <c r="W31">
        <v>636.57000000000005</v>
      </c>
      <c r="X31">
        <v>249.93</v>
      </c>
      <c r="Y31">
        <v>321.66000000000003</v>
      </c>
      <c r="Z31">
        <v>298.8</v>
      </c>
      <c r="AA31">
        <v>241.92</v>
      </c>
      <c r="AB31">
        <v>93.960000000000008</v>
      </c>
      <c r="AC31">
        <v>219.24</v>
      </c>
      <c r="AD31">
        <v>35.729999999999997</v>
      </c>
      <c r="AE31">
        <v>743.57999999999993</v>
      </c>
      <c r="AF31">
        <v>700.29</v>
      </c>
      <c r="AG31" s="5">
        <f>Tabla2[[#This Row],[Deforestation 2012]]/Tabla2[[#This Row],[Forest cover 2011]]</f>
        <v>6.267472967974469E-2</v>
      </c>
      <c r="AH31" s="6">
        <f>Tabla2[[#This Row],[Deforestation 2013]]/Tabla2[[#This Row],[Forest cover 2011]]</f>
        <v>6.2012369786066349E-2</v>
      </c>
      <c r="AI31" s="6">
        <f>Tabla2[[#This Row],[Deforestation 2014]]/Tabla2[[#This Row],[Forest cover 2011]]</f>
        <v>5.0709241210828288E-2</v>
      </c>
      <c r="AJ31" s="6">
        <f>Tabla2[[#This Row],[Deforestation 2015]]/Tabla2[[#This Row],[Forest cover 2011]]</f>
        <v>5.9758625732251769E-2</v>
      </c>
      <c r="AK31" s="6">
        <f>Tabla2[[#This Row],[Deforestation 2016]]/Tabla2[[#This Row],[Forest cover 2011]]</f>
        <v>2.3268617044154456E-2</v>
      </c>
      <c r="AL31" s="6">
        <f>Tabla2[[#This Row],[Deforestation 2017]]/Tabla2[[#This Row],[Forest cover 2011]]</f>
        <v>2.9900818057479073E-2</v>
      </c>
      <c r="AM31" s="6">
        <f>Tabla2[[#This Row],[Deforestation 2018]]/Tabla2[[#This Row],[Forest cover 2011]]</f>
        <v>2.5857842083078855E-2</v>
      </c>
      <c r="AN31" s="6">
        <f>Tabla2[[#This Row],[Deforestation 2019]]/Tabla2[[#This Row],[Forest cover 2011]]</f>
        <v>2.2176153323412273E-2</v>
      </c>
      <c r="AO31" s="6">
        <f>Tabla2[[#This Row],[Deforestation 2020]]/Tabla2[[#This Row],[Forest cover 2011]]</f>
        <v>8.7999243017264361E-3</v>
      </c>
      <c r="AP31" s="6">
        <f>Tabla2[[#This Row],[Deforestation 2021]]/Tabla2[[#This Row],[Forest cover 2011]]</f>
        <v>2.0799821076807942E-2</v>
      </c>
      <c r="AQ31" s="6">
        <f>Tabla2[[#This Row],[Deforestation 2022]]/Tabla2[[#This Row],[Forest cover 2011]]</f>
        <v>2.9763184832818641E-3</v>
      </c>
      <c r="AR31" s="6">
        <f>Tabla2[[#This Row],[Deforestation 2023]]/Tabla2[[#This Row],[Forest cover 2011]]</f>
        <v>7.0838100317416622E-2</v>
      </c>
      <c r="AS31" s="6">
        <f>Tabla2[[#This Row],[Deforestation 2024]]/Tabla2[[#This Row],[Forest cover 2011]]</f>
        <v>6.6476847510989145E-2</v>
      </c>
      <c r="AT31" s="6">
        <f>Tabla2[[#This Row],[Forest Loss 2012]]/Tabla2[[#This Row],[Forest cover 2011]]</f>
        <v>6.5694058545732931E-2</v>
      </c>
      <c r="AU31" s="6">
        <f>Tabla2[[#This Row],[Forest Loss 2013]]/Tabla2[[#This Row],[Forest cover 2011]]</f>
        <v>6.4326328375669886E-2</v>
      </c>
      <c r="AV31" s="6">
        <f>Tabla2[[#This Row],[Forest Loss 2014]]/Tabla2[[#This Row],[Forest cover 2011]]</f>
        <v>5.4236092592751896E-2</v>
      </c>
      <c r="AW31" s="6">
        <f>Tabla2[[#This Row],[Forest Loss 2015]]/Tabla2[[#This Row],[Forest cover 2011]]</f>
        <v>6.0842487376452682E-2</v>
      </c>
      <c r="AX31" s="6">
        <f>Tabla2[[#This Row],[Forest Loss 2016]]/Tabla2[[#This Row],[Forest cover 2011]]</f>
        <v>2.3887966555126407E-2</v>
      </c>
      <c r="AY31" s="6">
        <f>Tabla2[[#This Row],[Forest Loss 2017]]/Tabla2[[#This Row],[Forest cover 2011]]</f>
        <v>3.0743821558524231E-2</v>
      </c>
      <c r="AZ31" s="6">
        <f>Tabla2[[#This Row],[Forest Loss 2018]]/Tabla2[[#This Row],[Forest cover 2011]]</f>
        <v>2.8558894117039855E-2</v>
      </c>
      <c r="BA31" s="6">
        <f>Tabla2[[#This Row],[Forest Loss 2019]]/Tabla2[[#This Row],[Forest cover 2011]]</f>
        <v>2.3122381742952749E-2</v>
      </c>
      <c r="BB31" s="6">
        <f>Tabla2[[#This Row],[Forest Loss 2020]]/Tabla2[[#This Row],[Forest cover 2011]]</f>
        <v>8.9805679090932556E-3</v>
      </c>
      <c r="BC31" s="6">
        <f>Tabla2[[#This Row],[Forest Loss 2021]]/Tabla2[[#This Row],[Forest cover 2011]]</f>
        <v>2.0954658454550929E-2</v>
      </c>
      <c r="BD31" s="6">
        <f>Tabla2[[#This Row],[Forest Loss 2022]]/Tabla2[[#This Row],[Forest cover 2011]]</f>
        <v>3.4150243868869942E-3</v>
      </c>
      <c r="BE31" s="6">
        <f>Tabla2[[#This Row],[Forest Loss 2023]]/Tabla2[[#This Row],[Forest cover 2011]]</f>
        <v>7.10703563840311E-2</v>
      </c>
      <c r="BF31" s="6">
        <f>Tabla2[[#This Row],[Forest Loss 2024]]/Tabla2[[#This Row],[Forest cover 2011]]</f>
        <v>6.6932757567676832E-2</v>
      </c>
    </row>
    <row r="32" spans="1:58" x14ac:dyDescent="0.25">
      <c r="A32" s="2">
        <v>20604</v>
      </c>
      <c r="B32" s="3" t="s">
        <v>88</v>
      </c>
      <c r="C32" t="s">
        <v>119</v>
      </c>
      <c r="D32">
        <v>958.5</v>
      </c>
      <c r="E32" s="4">
        <f>AVERAGE(Tabla2[[#This Row],[Deforestation 2012]:[Deforestation 2014]])</f>
        <v>1.5</v>
      </c>
      <c r="F32" s="4">
        <f>AVERAGE(Tabla2[[#This Row],[Deforestation 2022]:[Deforestation 2024]])</f>
        <v>9.39</v>
      </c>
      <c r="G32">
        <v>2.88</v>
      </c>
      <c r="H32">
        <v>0.9</v>
      </c>
      <c r="I32">
        <v>0.72</v>
      </c>
      <c r="J32">
        <v>0.80999999999999994</v>
      </c>
      <c r="K32">
        <v>0.54</v>
      </c>
      <c r="L32">
        <v>0.81</v>
      </c>
      <c r="M32">
        <v>2.52</v>
      </c>
      <c r="N32">
        <v>1.62</v>
      </c>
      <c r="O32">
        <v>8.19</v>
      </c>
      <c r="P32">
        <v>0</v>
      </c>
      <c r="Q32">
        <v>0.27</v>
      </c>
      <c r="R32">
        <v>3.6</v>
      </c>
      <c r="S32">
        <v>24.3</v>
      </c>
      <c r="T32">
        <v>10.71</v>
      </c>
      <c r="U32">
        <v>5.85</v>
      </c>
      <c r="V32">
        <v>12.69</v>
      </c>
      <c r="W32">
        <v>1.98</v>
      </c>
      <c r="X32">
        <v>1.35</v>
      </c>
      <c r="Y32">
        <v>1.62</v>
      </c>
      <c r="Z32">
        <v>3.6</v>
      </c>
      <c r="AA32">
        <v>2.52</v>
      </c>
      <c r="AB32">
        <v>8.82</v>
      </c>
      <c r="AC32">
        <v>0.18</v>
      </c>
      <c r="AD32">
        <v>0.27</v>
      </c>
      <c r="AE32">
        <v>5.4</v>
      </c>
      <c r="AF32">
        <v>59.94</v>
      </c>
      <c r="AG32" s="5">
        <f>Tabla2[[#This Row],[Deforestation 2012]]/Tabla2[[#This Row],[Forest cover 2011]]</f>
        <v>3.0046948356807512E-3</v>
      </c>
      <c r="AH32" s="6">
        <f>Tabla2[[#This Row],[Deforestation 2013]]/Tabla2[[#This Row],[Forest cover 2011]]</f>
        <v>9.3896713615023472E-4</v>
      </c>
      <c r="AI32" s="6">
        <f>Tabla2[[#This Row],[Deforestation 2014]]/Tabla2[[#This Row],[Forest cover 2011]]</f>
        <v>7.511737089201878E-4</v>
      </c>
      <c r="AJ32" s="6">
        <f>Tabla2[[#This Row],[Deforestation 2015]]/Tabla2[[#This Row],[Forest cover 2011]]</f>
        <v>8.450704225352112E-4</v>
      </c>
      <c r="AK32" s="6">
        <f>Tabla2[[#This Row],[Deforestation 2016]]/Tabla2[[#This Row],[Forest cover 2011]]</f>
        <v>5.6338028169014088E-4</v>
      </c>
      <c r="AL32" s="6">
        <f>Tabla2[[#This Row],[Deforestation 2017]]/Tabla2[[#This Row],[Forest cover 2011]]</f>
        <v>8.4507042253521131E-4</v>
      </c>
      <c r="AM32" s="6">
        <f>Tabla2[[#This Row],[Deforestation 2018]]/Tabla2[[#This Row],[Forest cover 2011]]</f>
        <v>2.6291079812206571E-3</v>
      </c>
      <c r="AN32" s="6">
        <f>Tabla2[[#This Row],[Deforestation 2019]]/Tabla2[[#This Row],[Forest cover 2011]]</f>
        <v>1.6901408450704226E-3</v>
      </c>
      <c r="AO32" s="6">
        <f>Tabla2[[#This Row],[Deforestation 2020]]/Tabla2[[#This Row],[Forest cover 2011]]</f>
        <v>8.5446009389671361E-3</v>
      </c>
      <c r="AP32" s="6">
        <f>Tabla2[[#This Row],[Deforestation 2021]]/Tabla2[[#This Row],[Forest cover 2011]]</f>
        <v>0</v>
      </c>
      <c r="AQ32" s="6">
        <f>Tabla2[[#This Row],[Deforestation 2022]]/Tabla2[[#This Row],[Forest cover 2011]]</f>
        <v>2.8169014084507044E-4</v>
      </c>
      <c r="AR32" s="6">
        <f>Tabla2[[#This Row],[Deforestation 2023]]/Tabla2[[#This Row],[Forest cover 2011]]</f>
        <v>3.7558685446009389E-3</v>
      </c>
      <c r="AS32" s="6">
        <f>Tabla2[[#This Row],[Deforestation 2024]]/Tabla2[[#This Row],[Forest cover 2011]]</f>
        <v>2.5352112676056339E-2</v>
      </c>
      <c r="AT32" s="6">
        <f>Tabla2[[#This Row],[Forest Loss 2012]]/Tabla2[[#This Row],[Forest cover 2011]]</f>
        <v>1.1173708920187795E-2</v>
      </c>
      <c r="AU32" s="6">
        <f>Tabla2[[#This Row],[Forest Loss 2013]]/Tabla2[[#This Row],[Forest cover 2011]]</f>
        <v>6.1032863849765258E-3</v>
      </c>
      <c r="AV32" s="6">
        <f>Tabla2[[#This Row],[Forest Loss 2014]]/Tabla2[[#This Row],[Forest cover 2011]]</f>
        <v>1.323943661971831E-2</v>
      </c>
      <c r="AW32" s="6">
        <f>Tabla2[[#This Row],[Forest Loss 2015]]/Tabla2[[#This Row],[Forest cover 2011]]</f>
        <v>2.0657276995305163E-3</v>
      </c>
      <c r="AX32" s="6">
        <f>Tabla2[[#This Row],[Forest Loss 2016]]/Tabla2[[#This Row],[Forest cover 2011]]</f>
        <v>1.4084507042253522E-3</v>
      </c>
      <c r="AY32" s="6">
        <f>Tabla2[[#This Row],[Forest Loss 2017]]/Tabla2[[#This Row],[Forest cover 2011]]</f>
        <v>1.6901408450704226E-3</v>
      </c>
      <c r="AZ32" s="6">
        <f>Tabla2[[#This Row],[Forest Loss 2018]]/Tabla2[[#This Row],[Forest cover 2011]]</f>
        <v>3.7558685446009389E-3</v>
      </c>
      <c r="BA32" s="6">
        <f>Tabla2[[#This Row],[Forest Loss 2019]]/Tabla2[[#This Row],[Forest cover 2011]]</f>
        <v>2.6291079812206571E-3</v>
      </c>
      <c r="BB32" s="6">
        <f>Tabla2[[#This Row],[Forest Loss 2020]]/Tabla2[[#This Row],[Forest cover 2011]]</f>
        <v>9.2018779342723008E-3</v>
      </c>
      <c r="BC32" s="6">
        <f>Tabla2[[#This Row],[Forest Loss 2021]]/Tabla2[[#This Row],[Forest cover 2011]]</f>
        <v>1.8779342723004695E-4</v>
      </c>
      <c r="BD32" s="6">
        <f>Tabla2[[#This Row],[Forest Loss 2022]]/Tabla2[[#This Row],[Forest cover 2011]]</f>
        <v>2.8169014084507044E-4</v>
      </c>
      <c r="BE32" s="6">
        <f>Tabla2[[#This Row],[Forest Loss 2023]]/Tabla2[[#This Row],[Forest cover 2011]]</f>
        <v>5.6338028169014088E-3</v>
      </c>
      <c r="BF32" s="6">
        <f>Tabla2[[#This Row],[Forest Loss 2024]]/Tabla2[[#This Row],[Forest cover 2011]]</f>
        <v>6.2535211267605625E-2</v>
      </c>
    </row>
    <row r="33" spans="1:58" x14ac:dyDescent="0.25">
      <c r="A33" s="2">
        <v>70603</v>
      </c>
      <c r="B33" s="3" t="s">
        <v>310</v>
      </c>
      <c r="C33" t="s">
        <v>330</v>
      </c>
      <c r="D33">
        <v>7991.91</v>
      </c>
      <c r="E33" s="4">
        <f>AVERAGE(Tabla2[[#This Row],[Deforestation 2012]:[Deforestation 2014]])</f>
        <v>190.56000000000003</v>
      </c>
      <c r="F33" s="4">
        <f>AVERAGE(Tabla2[[#This Row],[Deforestation 2022]:[Deforestation 2024]])</f>
        <v>301.52999999999997</v>
      </c>
      <c r="G33">
        <v>236.79</v>
      </c>
      <c r="H33">
        <v>141.57</v>
      </c>
      <c r="I33">
        <v>193.32</v>
      </c>
      <c r="J33">
        <v>149.49</v>
      </c>
      <c r="K33">
        <v>360.63</v>
      </c>
      <c r="L33">
        <v>360.09</v>
      </c>
      <c r="M33">
        <v>464.67</v>
      </c>
      <c r="N33">
        <v>207.81</v>
      </c>
      <c r="O33">
        <v>66.06</v>
      </c>
      <c r="P33">
        <v>246.42</v>
      </c>
      <c r="Q33">
        <v>24.03</v>
      </c>
      <c r="R33">
        <v>417.78</v>
      </c>
      <c r="S33">
        <v>462.78</v>
      </c>
      <c r="T33">
        <v>241.11</v>
      </c>
      <c r="U33">
        <v>149.94</v>
      </c>
      <c r="V33">
        <v>205.56</v>
      </c>
      <c r="W33">
        <v>168.03</v>
      </c>
      <c r="X33">
        <v>364.5</v>
      </c>
      <c r="Y33">
        <v>363.78</v>
      </c>
      <c r="Z33">
        <v>469.89</v>
      </c>
      <c r="AA33">
        <v>217.8</v>
      </c>
      <c r="AB33">
        <v>69.3</v>
      </c>
      <c r="AC33">
        <v>250.74</v>
      </c>
      <c r="AD33">
        <v>27.36</v>
      </c>
      <c r="AE33">
        <v>452.34</v>
      </c>
      <c r="AF33">
        <v>463.95</v>
      </c>
      <c r="AG33" s="5">
        <f>Tabla2[[#This Row],[Deforestation 2012]]/Tabla2[[#This Row],[Forest cover 2011]]</f>
        <v>2.962871203504544E-2</v>
      </c>
      <c r="AH33" s="6">
        <f>Tabla2[[#This Row],[Deforestation 2013]]/Tabla2[[#This Row],[Forest cover 2011]]</f>
        <v>1.7714163447786573E-2</v>
      </c>
      <c r="AI33" s="6">
        <f>Tabla2[[#This Row],[Deforestation 2014]]/Tabla2[[#This Row],[Forest cover 2011]]</f>
        <v>2.4189461593035956E-2</v>
      </c>
      <c r="AJ33" s="6">
        <f>Tabla2[[#This Row],[Deforestation 2015]]/Tabla2[[#This Row],[Forest cover 2011]]</f>
        <v>1.8705165598711698E-2</v>
      </c>
      <c r="AK33" s="6">
        <f>Tabla2[[#This Row],[Deforestation 2016]]/Tabla2[[#This Row],[Forest cover 2011]]</f>
        <v>4.512438203132918E-2</v>
      </c>
      <c r="AL33" s="6">
        <f>Tabla2[[#This Row],[Deforestation 2017]]/Tabla2[[#This Row],[Forest cover 2011]]</f>
        <v>4.505681370285701E-2</v>
      </c>
      <c r="AM33" s="6">
        <f>Tabla2[[#This Row],[Deforestation 2018]]/Tabla2[[#This Row],[Forest cover 2011]]</f>
        <v>5.8142546650300116E-2</v>
      </c>
      <c r="AN33" s="6">
        <f>Tabla2[[#This Row],[Deforestation 2019]]/Tabla2[[#This Row],[Forest cover 2011]]</f>
        <v>2.6002545073705786E-2</v>
      </c>
      <c r="AO33" s="6">
        <f>Tabla2[[#This Row],[Deforestation 2020]]/Tabla2[[#This Row],[Forest cover 2011]]</f>
        <v>8.2658588497618226E-3</v>
      </c>
      <c r="AP33" s="6">
        <f>Tabla2[[#This Row],[Deforestation 2021]]/Tabla2[[#This Row],[Forest cover 2011]]</f>
        <v>3.0833680559465757E-2</v>
      </c>
      <c r="AQ33" s="6">
        <f>Tabla2[[#This Row],[Deforestation 2022]]/Tabla2[[#This Row],[Forest cover 2011]]</f>
        <v>3.0067906170114529E-3</v>
      </c>
      <c r="AR33" s="6">
        <f>Tabla2[[#This Row],[Deforestation 2023]]/Tabla2[[#This Row],[Forest cover 2011]]</f>
        <v>5.2275363461300239E-2</v>
      </c>
      <c r="AS33" s="6">
        <f>Tabla2[[#This Row],[Deforestation 2024]]/Tabla2[[#This Row],[Forest cover 2011]]</f>
        <v>5.7906057500647527E-2</v>
      </c>
      <c r="AT33" s="6">
        <f>Tabla2[[#This Row],[Forest Loss 2012]]/Tabla2[[#This Row],[Forest cover 2011]]</f>
        <v>3.016925866282278E-2</v>
      </c>
      <c r="AU33" s="6">
        <f>Tabla2[[#This Row],[Forest Loss 2013]]/Tabla2[[#This Row],[Forest cover 2011]]</f>
        <v>1.8761472539105171E-2</v>
      </c>
      <c r="AV33" s="6">
        <f>Tabla2[[#This Row],[Forest Loss 2014]]/Tabla2[[#This Row],[Forest cover 2011]]</f>
        <v>2.572101037173842E-2</v>
      </c>
      <c r="AW33" s="6">
        <f>Tabla2[[#This Row],[Forest Loss 2015]]/Tabla2[[#This Row],[Forest cover 2011]]</f>
        <v>2.1025011542922783E-2</v>
      </c>
      <c r="AX33" s="6">
        <f>Tabla2[[#This Row],[Forest Loss 2016]]/Tabla2[[#This Row],[Forest cover 2011]]</f>
        <v>4.5608621718713049E-2</v>
      </c>
      <c r="AY33" s="6">
        <f>Tabla2[[#This Row],[Forest Loss 2017]]/Tabla2[[#This Row],[Forest cover 2011]]</f>
        <v>4.5518530614083487E-2</v>
      </c>
      <c r="AZ33" s="6">
        <f>Tabla2[[#This Row],[Forest Loss 2018]]/Tabla2[[#This Row],[Forest cover 2011]]</f>
        <v>5.8795707158864403E-2</v>
      </c>
      <c r="BA33" s="6">
        <f>Tabla2[[#This Row],[Forest Loss 2019]]/Tabla2[[#This Row],[Forest cover 2011]]</f>
        <v>2.7252559150440885E-2</v>
      </c>
      <c r="BB33" s="6">
        <f>Tabla2[[#This Row],[Forest Loss 2020]]/Tabla2[[#This Row],[Forest cover 2011]]</f>
        <v>8.6712688205948258E-3</v>
      </c>
      <c r="BC33" s="6">
        <f>Tabla2[[#This Row],[Forest Loss 2021]]/Tabla2[[#This Row],[Forest cover 2011]]</f>
        <v>3.1374227187243101E-2</v>
      </c>
      <c r="BD33" s="6">
        <f>Tabla2[[#This Row],[Forest Loss 2022]]/Tabla2[[#This Row],[Forest cover 2011]]</f>
        <v>3.4234619759231522E-3</v>
      </c>
      <c r="BE33" s="6">
        <f>Tabla2[[#This Row],[Forest Loss 2023]]/Tabla2[[#This Row],[Forest cover 2011]]</f>
        <v>5.6599736483518959E-2</v>
      </c>
      <c r="BF33" s="6">
        <f>Tabla2[[#This Row],[Forest Loss 2024]]/Tabla2[[#This Row],[Forest cover 2011]]</f>
        <v>5.805245554567056E-2</v>
      </c>
    </row>
    <row r="34" spans="1:58" x14ac:dyDescent="0.25">
      <c r="A34" s="2">
        <v>70602</v>
      </c>
      <c r="B34" s="3" t="s">
        <v>310</v>
      </c>
      <c r="C34" t="s">
        <v>329</v>
      </c>
      <c r="D34">
        <v>189111.87</v>
      </c>
      <c r="E34" s="4">
        <f>AVERAGE(Tabla2[[#This Row],[Deforestation 2012]:[Deforestation 2014]])</f>
        <v>6987.87</v>
      </c>
      <c r="F34" s="4">
        <f>AVERAGE(Tabla2[[#This Row],[Deforestation 2022]:[Deforestation 2024]])</f>
        <v>5757.2099999999991</v>
      </c>
      <c r="G34">
        <v>7683.75</v>
      </c>
      <c r="H34">
        <v>8412.66</v>
      </c>
      <c r="I34">
        <v>4867.2</v>
      </c>
      <c r="J34">
        <v>4695.84</v>
      </c>
      <c r="K34">
        <v>17162.46</v>
      </c>
      <c r="L34">
        <v>4888.26</v>
      </c>
      <c r="M34">
        <v>5454.6299999999992</v>
      </c>
      <c r="N34">
        <v>4664.88</v>
      </c>
      <c r="O34">
        <v>4332.0599999999986</v>
      </c>
      <c r="P34">
        <v>6256.98</v>
      </c>
      <c r="Q34">
        <v>2621.0700000000002</v>
      </c>
      <c r="R34">
        <v>7557.66</v>
      </c>
      <c r="S34">
        <v>7092.9</v>
      </c>
      <c r="T34">
        <v>9718.65</v>
      </c>
      <c r="U34">
        <v>9067.0499999999993</v>
      </c>
      <c r="V34">
        <v>5380.47</v>
      </c>
      <c r="W34">
        <v>5214.42</v>
      </c>
      <c r="X34">
        <v>17811</v>
      </c>
      <c r="Y34">
        <v>5308.38</v>
      </c>
      <c r="Z34">
        <v>5711.9400000000014</v>
      </c>
      <c r="AA34">
        <v>4883.3100000000004</v>
      </c>
      <c r="AB34">
        <v>4621.1400000000003</v>
      </c>
      <c r="AC34">
        <v>6605.37</v>
      </c>
      <c r="AD34">
        <v>2672.19</v>
      </c>
      <c r="AE34">
        <v>8844.84</v>
      </c>
      <c r="AF34">
        <v>10313.280000000001</v>
      </c>
      <c r="AG34" s="5">
        <f>Tabla2[[#This Row],[Deforestation 2012]]/Tabla2[[#This Row],[Forest cover 2011]]</f>
        <v>4.0630712392617133E-2</v>
      </c>
      <c r="AH34" s="6">
        <f>Tabla2[[#This Row],[Deforestation 2013]]/Tabla2[[#This Row],[Forest cover 2011]]</f>
        <v>4.4485097630307398E-2</v>
      </c>
      <c r="AI34" s="6">
        <f>Tabla2[[#This Row],[Deforestation 2014]]/Tabla2[[#This Row],[Forest cover 2011]]</f>
        <v>2.5737147012506408E-2</v>
      </c>
      <c r="AJ34" s="6">
        <f>Tabla2[[#This Row],[Deforestation 2015]]/Tabla2[[#This Row],[Forest cover 2011]]</f>
        <v>2.4831016688693312E-2</v>
      </c>
      <c r="AK34" s="6">
        <f>Tabla2[[#This Row],[Deforestation 2016]]/Tabla2[[#This Row],[Forest cover 2011]]</f>
        <v>9.0752949563663032E-2</v>
      </c>
      <c r="AL34" s="6">
        <f>Tabla2[[#This Row],[Deforestation 2017]]/Tabla2[[#This Row],[Forest cover 2011]]</f>
        <v>2.5848509667848983E-2</v>
      </c>
      <c r="AM34" s="6">
        <f>Tabla2[[#This Row],[Deforestation 2018]]/Tabla2[[#This Row],[Forest cover 2011]]</f>
        <v>2.8843403642510645E-2</v>
      </c>
      <c r="AN34" s="6">
        <f>Tabla2[[#This Row],[Deforestation 2019]]/Tabla2[[#This Row],[Forest cover 2011]]</f>
        <v>2.4667304067164057E-2</v>
      </c>
      <c r="AO34" s="6">
        <f>Tabla2[[#This Row],[Deforestation 2020]]/Tabla2[[#This Row],[Forest cover 2011]]</f>
        <v>2.2907393385724537E-2</v>
      </c>
      <c r="AP34" s="6">
        <f>Tabla2[[#This Row],[Deforestation 2021]]/Tabla2[[#This Row],[Forest cover 2011]]</f>
        <v>3.3086130447549378E-2</v>
      </c>
      <c r="AQ34" s="6">
        <f>Tabla2[[#This Row],[Deforestation 2022]]/Tabla2[[#This Row],[Forest cover 2011]]</f>
        <v>1.3859891502315536E-2</v>
      </c>
      <c r="AR34" s="6">
        <f>Tabla2[[#This Row],[Deforestation 2023]]/Tabla2[[#This Row],[Forest cover 2011]]</f>
        <v>3.9963964186912226E-2</v>
      </c>
      <c r="AS34" s="6">
        <f>Tabla2[[#This Row],[Deforestation 2024]]/Tabla2[[#This Row],[Forest cover 2011]]</f>
        <v>3.7506371228839312E-2</v>
      </c>
      <c r="AT34" s="6">
        <f>Tabla2[[#This Row],[Forest Loss 2012]]/Tabla2[[#This Row],[Forest cover 2011]]</f>
        <v>5.139100998789764E-2</v>
      </c>
      <c r="AU34" s="6">
        <f>Tabla2[[#This Row],[Forest Loss 2013]]/Tabla2[[#This Row],[Forest cover 2011]]</f>
        <v>4.7945430395246999E-2</v>
      </c>
      <c r="AV34" s="6">
        <f>Tabla2[[#This Row],[Forest Loss 2014]]/Tabla2[[#This Row],[Forest cover 2011]]</f>
        <v>2.8451254804894056E-2</v>
      </c>
      <c r="AW34" s="6">
        <f>Tabla2[[#This Row],[Forest Loss 2015]]/Tabla2[[#This Row],[Forest cover 2011]]</f>
        <v>2.7573203099308361E-2</v>
      </c>
      <c r="AX34" s="6">
        <f>Tabla2[[#This Row],[Forest Loss 2016]]/Tabla2[[#This Row],[Forest cover 2011]]</f>
        <v>9.4182348257674145E-2</v>
      </c>
      <c r="AY34" s="6">
        <f>Tabla2[[#This Row],[Forest Loss 2017]]/Tabla2[[#This Row],[Forest cover 2011]]</f>
        <v>2.8070051869298316E-2</v>
      </c>
      <c r="AZ34" s="6">
        <f>Tabla2[[#This Row],[Forest Loss 2018]]/Tabla2[[#This Row],[Forest cover 2011]]</f>
        <v>3.0204026854580845E-2</v>
      </c>
      <c r="BA34" s="6">
        <f>Tabla2[[#This Row],[Forest Loss 2019]]/Tabla2[[#This Row],[Forest cover 2011]]</f>
        <v>2.5822334684755643E-2</v>
      </c>
      <c r="BB34" s="6">
        <f>Tabla2[[#This Row],[Forest Loss 2020]]/Tabla2[[#This Row],[Forest cover 2011]]</f>
        <v>2.4436012398375631E-2</v>
      </c>
      <c r="BC34" s="6">
        <f>Tabla2[[#This Row],[Forest Loss 2021]]/Tabla2[[#This Row],[Forest cover 2011]]</f>
        <v>3.4928373348537031E-2</v>
      </c>
      <c r="BD34" s="6">
        <f>Tabla2[[#This Row],[Forest Loss 2022]]/Tabla2[[#This Row],[Forest cover 2011]]</f>
        <v>1.4130207691352214E-2</v>
      </c>
      <c r="BE34" s="6">
        <f>Tabla2[[#This Row],[Forest Loss 2023]]/Tabla2[[#This Row],[Forest cover 2011]]</f>
        <v>4.6770411608747779E-2</v>
      </c>
      <c r="BF34" s="6">
        <f>Tabla2[[#This Row],[Forest Loss 2024]]/Tabla2[[#This Row],[Forest cover 2011]]</f>
        <v>5.4535339320583104E-2</v>
      </c>
    </row>
    <row r="35" spans="1:58" x14ac:dyDescent="0.25">
      <c r="A35" s="2">
        <v>70503</v>
      </c>
      <c r="B35" s="3" t="s">
        <v>310</v>
      </c>
      <c r="C35" t="s">
        <v>327</v>
      </c>
      <c r="D35">
        <v>688852.98</v>
      </c>
      <c r="E35" s="4">
        <f>AVERAGE(Tabla2[[#This Row],[Deforestation 2012]:[Deforestation 2014]])</f>
        <v>731.09999999999991</v>
      </c>
      <c r="F35" s="4">
        <f>AVERAGE(Tabla2[[#This Row],[Deforestation 2022]:[Deforestation 2024]])</f>
        <v>8990.76</v>
      </c>
      <c r="G35">
        <v>636.66</v>
      </c>
      <c r="H35">
        <v>889.02</v>
      </c>
      <c r="I35">
        <v>667.62</v>
      </c>
      <c r="J35">
        <v>1496.34</v>
      </c>
      <c r="K35">
        <v>3164.04</v>
      </c>
      <c r="L35">
        <v>3239.91</v>
      </c>
      <c r="M35">
        <v>4715.1000000000004</v>
      </c>
      <c r="N35">
        <v>5131.4399999999996</v>
      </c>
      <c r="O35">
        <v>2578.9499999999998</v>
      </c>
      <c r="P35">
        <v>6086.79</v>
      </c>
      <c r="Q35">
        <v>5740.02</v>
      </c>
      <c r="R35">
        <v>5859</v>
      </c>
      <c r="S35">
        <v>15373.26</v>
      </c>
      <c r="T35">
        <v>724.59</v>
      </c>
      <c r="U35">
        <v>985.23</v>
      </c>
      <c r="V35">
        <v>861.21</v>
      </c>
      <c r="W35">
        <v>1537.47</v>
      </c>
      <c r="X35">
        <v>3199.41</v>
      </c>
      <c r="Y35">
        <v>3275.28</v>
      </c>
      <c r="Z35">
        <v>4774.8599999999997</v>
      </c>
      <c r="AA35">
        <v>23846.31</v>
      </c>
      <c r="AB35">
        <v>6061.23</v>
      </c>
      <c r="AC35">
        <v>6569.82</v>
      </c>
      <c r="AD35">
        <v>5756.94</v>
      </c>
      <c r="AE35">
        <v>6082.92</v>
      </c>
      <c r="AF35">
        <v>33431.129999999997</v>
      </c>
      <c r="AG35" s="5">
        <f>Tabla2[[#This Row],[Deforestation 2012]]/Tabla2[[#This Row],[Forest cover 2011]]</f>
        <v>9.2423204730855625E-4</v>
      </c>
      <c r="AH35" s="6">
        <f>Tabla2[[#This Row],[Deforestation 2013]]/Tabla2[[#This Row],[Forest cover 2011]]</f>
        <v>1.2905801757582584E-3</v>
      </c>
      <c r="AI35" s="6">
        <f>Tabla2[[#This Row],[Deforestation 2014]]/Tabla2[[#This Row],[Forest cover 2011]]</f>
        <v>9.6917632554917603E-4</v>
      </c>
      <c r="AJ35" s="6">
        <f>Tabla2[[#This Row],[Deforestation 2015]]/Tabla2[[#This Row],[Forest cover 2011]]</f>
        <v>2.1722196803155296E-3</v>
      </c>
      <c r="AK35" s="6">
        <f>Tabla2[[#This Row],[Deforestation 2016]]/Tabla2[[#This Row],[Forest cover 2011]]</f>
        <v>4.5932007146140237E-3</v>
      </c>
      <c r="AL35" s="6">
        <f>Tabla2[[#This Row],[Deforestation 2017]]/Tabla2[[#This Row],[Forest cover 2011]]</f>
        <v>4.7033403266978678E-3</v>
      </c>
      <c r="AM35" s="6">
        <f>Tabla2[[#This Row],[Deforestation 2018]]/Tabla2[[#This Row],[Forest cover 2011]]</f>
        <v>6.8448567936804173E-3</v>
      </c>
      <c r="AN35" s="6">
        <f>Tabla2[[#This Row],[Deforestation 2019]]/Tabla2[[#This Row],[Forest cover 2011]]</f>
        <v>7.4492528144394464E-3</v>
      </c>
      <c r="AO35" s="6">
        <f>Tabla2[[#This Row],[Deforestation 2020]]/Tabla2[[#This Row],[Forest cover 2011]]</f>
        <v>3.7438322470492902E-3</v>
      </c>
      <c r="AP35" s="6">
        <f>Tabla2[[#This Row],[Deforestation 2021]]/Tabla2[[#This Row],[Forest cover 2011]]</f>
        <v>8.8361234932888E-3</v>
      </c>
      <c r="AQ35" s="6">
        <f>Tabla2[[#This Row],[Deforestation 2022]]/Tabla2[[#This Row],[Forest cover 2011]]</f>
        <v>8.3327214465995347E-3</v>
      </c>
      <c r="AR35" s="6">
        <f>Tabla2[[#This Row],[Deforestation 2023]]/Tabla2[[#This Row],[Forest cover 2011]]</f>
        <v>8.5054433530940086E-3</v>
      </c>
      <c r="AS35" s="6">
        <f>Tabla2[[#This Row],[Deforestation 2024]]/Tabla2[[#This Row],[Forest cover 2011]]</f>
        <v>2.231718588195699E-2</v>
      </c>
      <c r="AT35" s="6">
        <f>Tabla2[[#This Row],[Forest Loss 2012]]/Tabla2[[#This Row],[Forest cover 2011]]</f>
        <v>1.0518790235907814E-3</v>
      </c>
      <c r="AU35" s="6">
        <f>Tabla2[[#This Row],[Forest Loss 2013]]/Tabla2[[#This Row],[Forest cover 2011]]</f>
        <v>1.4302471334304166E-3</v>
      </c>
      <c r="AV35" s="6">
        <f>Tabla2[[#This Row],[Forest Loss 2014]]/Tabla2[[#This Row],[Forest cover 2011]]</f>
        <v>1.2502087165246786E-3</v>
      </c>
      <c r="AW35" s="6">
        <f>Tabla2[[#This Row],[Forest Loss 2015]]/Tabla2[[#This Row],[Forest cover 2011]]</f>
        <v>2.2319276313503065E-3</v>
      </c>
      <c r="AX35" s="6">
        <f>Tabla2[[#This Row],[Forest Loss 2016]]/Tabla2[[#This Row],[Forest cover 2011]]</f>
        <v>4.6445469394644995E-3</v>
      </c>
      <c r="AY35" s="6">
        <f>Tabla2[[#This Row],[Forest Loss 2017]]/Tabla2[[#This Row],[Forest cover 2011]]</f>
        <v>4.7546865515483436E-3</v>
      </c>
      <c r="AZ35" s="6">
        <f>Tabla2[[#This Row],[Forest Loss 2018]]/Tabla2[[#This Row],[Forest cover 2011]]</f>
        <v>6.931609702842542E-3</v>
      </c>
      <c r="BA35" s="6">
        <f>Tabla2[[#This Row],[Forest Loss 2019]]/Tabla2[[#This Row],[Forest cover 2011]]</f>
        <v>3.4617415751035878E-2</v>
      </c>
      <c r="BB35" s="6">
        <f>Tabla2[[#This Row],[Forest Loss 2020]]/Tabla2[[#This Row],[Forest cover 2011]]</f>
        <v>8.7990183333459624E-3</v>
      </c>
      <c r="BC35" s="6">
        <f>Tabla2[[#This Row],[Forest Loss 2021]]/Tabla2[[#This Row],[Forest cover 2011]]</f>
        <v>9.5373326250254437E-3</v>
      </c>
      <c r="BD35" s="6">
        <f>Tabla2[[#This Row],[Forest Loss 2022]]/Tabla2[[#This Row],[Forest cover 2011]]</f>
        <v>8.3572840172659191E-3</v>
      </c>
      <c r="BE35" s="6">
        <f>Tabla2[[#This Row],[Forest Loss 2023]]/Tabla2[[#This Row],[Forest cover 2011]]</f>
        <v>8.830505458508723E-3</v>
      </c>
      <c r="BF35" s="6">
        <f>Tabla2[[#This Row],[Forest Loss 2024]]/Tabla2[[#This Row],[Forest cover 2011]]</f>
        <v>4.8531589425656545E-2</v>
      </c>
    </row>
    <row r="36" spans="1:58" x14ac:dyDescent="0.25">
      <c r="A36" s="2">
        <v>70404</v>
      </c>
      <c r="B36" s="3" t="s">
        <v>310</v>
      </c>
      <c r="C36" t="s">
        <v>324</v>
      </c>
      <c r="D36">
        <v>66738.78</v>
      </c>
      <c r="E36" s="4">
        <f>AVERAGE(Tabla2[[#This Row],[Deforestation 2012]:[Deforestation 2014]])</f>
        <v>1518.9000000000003</v>
      </c>
      <c r="F36" s="4">
        <f>AVERAGE(Tabla2[[#This Row],[Deforestation 2022]:[Deforestation 2024]])</f>
        <v>1453.7699999999998</v>
      </c>
      <c r="G36">
        <v>1976.49</v>
      </c>
      <c r="H36">
        <v>1531.98</v>
      </c>
      <c r="I36">
        <v>1048.23</v>
      </c>
      <c r="J36">
        <v>971.55</v>
      </c>
      <c r="K36">
        <v>2396.9699999999998</v>
      </c>
      <c r="L36">
        <v>846</v>
      </c>
      <c r="M36">
        <v>616.14</v>
      </c>
      <c r="N36">
        <v>444.87</v>
      </c>
      <c r="O36">
        <v>623.97</v>
      </c>
      <c r="P36">
        <v>889.92000000000007</v>
      </c>
      <c r="Q36">
        <v>341.82</v>
      </c>
      <c r="R36">
        <v>1485.36</v>
      </c>
      <c r="S36">
        <v>2534.13</v>
      </c>
      <c r="T36">
        <v>2733.12</v>
      </c>
      <c r="U36">
        <v>2135.34</v>
      </c>
      <c r="V36">
        <v>1440.9</v>
      </c>
      <c r="W36">
        <v>1338.48</v>
      </c>
      <c r="X36">
        <v>2616.39</v>
      </c>
      <c r="Y36">
        <v>1088.55</v>
      </c>
      <c r="Z36">
        <v>977.31</v>
      </c>
      <c r="AA36">
        <v>937.62</v>
      </c>
      <c r="AB36">
        <v>1022.22</v>
      </c>
      <c r="AC36">
        <v>1208.97</v>
      </c>
      <c r="AD36">
        <v>404.55</v>
      </c>
      <c r="AE36">
        <v>1871.55</v>
      </c>
      <c r="AF36">
        <v>3160.44</v>
      </c>
      <c r="AG36" s="5">
        <f>Tabla2[[#This Row],[Deforestation 2012]]/Tabla2[[#This Row],[Forest cover 2011]]</f>
        <v>2.9615315113641575E-2</v>
      </c>
      <c r="AH36" s="6">
        <f>Tabla2[[#This Row],[Deforestation 2013]]/Tabla2[[#This Row],[Forest cover 2011]]</f>
        <v>2.2954869717426659E-2</v>
      </c>
      <c r="AI36" s="6">
        <f>Tabla2[[#This Row],[Deforestation 2014]]/Tabla2[[#This Row],[Forest cover 2011]]</f>
        <v>1.5706460321869835E-2</v>
      </c>
      <c r="AJ36" s="6">
        <f>Tabla2[[#This Row],[Deforestation 2015]]/Tabla2[[#This Row],[Forest cover 2011]]</f>
        <v>1.4557503148843895E-2</v>
      </c>
      <c r="AK36" s="6">
        <f>Tabla2[[#This Row],[Deforestation 2016]]/Tabla2[[#This Row],[Forest cover 2011]]</f>
        <v>3.5915699987323711E-2</v>
      </c>
      <c r="AL36" s="6">
        <f>Tabla2[[#This Row],[Deforestation 2017]]/Tabla2[[#This Row],[Forest cover 2011]]</f>
        <v>1.2676288059206356E-2</v>
      </c>
      <c r="AM36" s="6">
        <f>Tabla2[[#This Row],[Deforestation 2018]]/Tabla2[[#This Row],[Forest cover 2011]]</f>
        <v>9.232113622694332E-3</v>
      </c>
      <c r="AN36" s="6">
        <f>Tabla2[[#This Row],[Deforestation 2019]]/Tabla2[[#This Row],[Forest cover 2011]]</f>
        <v>6.6658395613464917E-3</v>
      </c>
      <c r="AO36" s="6">
        <f>Tabla2[[#This Row],[Deforestation 2020]]/Tabla2[[#This Row],[Forest cover 2011]]</f>
        <v>9.349436714306136E-3</v>
      </c>
      <c r="AP36" s="6">
        <f>Tabla2[[#This Row],[Deforestation 2021]]/Tabla2[[#This Row],[Forest cover 2011]]</f>
        <v>1.3334376205258774E-2</v>
      </c>
      <c r="AQ36" s="6">
        <f>Tabla2[[#This Row],[Deforestation 2022]]/Tabla2[[#This Row],[Forest cover 2011]]</f>
        <v>5.1217597924325259E-3</v>
      </c>
      <c r="AR36" s="6">
        <f>Tabla2[[#This Row],[Deforestation 2023]]/Tabla2[[#This Row],[Forest cover 2011]]</f>
        <v>2.2256325332887416E-2</v>
      </c>
      <c r="AS36" s="6">
        <f>Tabla2[[#This Row],[Deforestation 2024]]/Tabla2[[#This Row],[Forest cover 2011]]</f>
        <v>3.7970876902454619E-2</v>
      </c>
      <c r="AT36" s="6">
        <f>Tabla2[[#This Row],[Forest Loss 2012]]/Tabla2[[#This Row],[Forest cover 2011]]</f>
        <v>4.0952501678933897E-2</v>
      </c>
      <c r="AU36" s="6">
        <f>Tabla2[[#This Row],[Forest Loss 2013]]/Tabla2[[#This Row],[Forest cover 2011]]</f>
        <v>3.1995490477950007E-2</v>
      </c>
      <c r="AV36" s="6">
        <f>Tabla2[[#This Row],[Forest Loss 2014]]/Tabla2[[#This Row],[Forest cover 2011]]</f>
        <v>2.1590145939137637E-2</v>
      </c>
      <c r="AW36" s="6">
        <f>Tabla2[[#This Row],[Forest Loss 2015]]/Tabla2[[#This Row],[Forest cover 2011]]</f>
        <v>2.0055505959203929E-2</v>
      </c>
      <c r="AX36" s="6">
        <f>Tabla2[[#This Row],[Forest Loss 2016]]/Tabla2[[#This Row],[Forest cover 2011]]</f>
        <v>3.9203443635019999E-2</v>
      </c>
      <c r="AY36" s="6">
        <f>Tabla2[[#This Row],[Forest Loss 2017]]/Tabla2[[#This Row],[Forest cover 2011]]</f>
        <v>1.6310606816606475E-2</v>
      </c>
      <c r="AZ36" s="6">
        <f>Tabla2[[#This Row],[Forest Loss 2018]]/Tabla2[[#This Row],[Forest cover 2011]]</f>
        <v>1.464380979094913E-2</v>
      </c>
      <c r="BA36" s="6">
        <f>Tabla2[[#This Row],[Forest Loss 2019]]/Tabla2[[#This Row],[Forest cover 2011]]</f>
        <v>1.4049103085192747E-2</v>
      </c>
      <c r="BB36" s="6">
        <f>Tabla2[[#This Row],[Forest Loss 2020]]/Tabla2[[#This Row],[Forest cover 2011]]</f>
        <v>1.5316731891113383E-2</v>
      </c>
      <c r="BC36" s="6">
        <f>Tabla2[[#This Row],[Forest Loss 2021]]/Tabla2[[#This Row],[Forest cover 2011]]</f>
        <v>1.8114955053119042E-2</v>
      </c>
      <c r="BD36" s="6">
        <f>Tabla2[[#This Row],[Forest Loss 2022]]/Tabla2[[#This Row],[Forest cover 2011]]</f>
        <v>6.0616930666098487E-3</v>
      </c>
      <c r="BE36" s="6">
        <f>Tabla2[[#This Row],[Forest Loss 2023]]/Tabla2[[#This Row],[Forest cover 2011]]</f>
        <v>2.8042915977786829E-2</v>
      </c>
      <c r="BF36" s="6">
        <f>Tabla2[[#This Row],[Forest Loss 2024]]/Tabla2[[#This Row],[Forest cover 2011]]</f>
        <v>4.7355375690116004E-2</v>
      </c>
    </row>
    <row r="37" spans="1:58" x14ac:dyDescent="0.25">
      <c r="A37" s="2">
        <v>70202</v>
      </c>
      <c r="B37" s="3" t="s">
        <v>310</v>
      </c>
      <c r="C37" t="s">
        <v>317</v>
      </c>
      <c r="D37">
        <v>11630.88</v>
      </c>
      <c r="E37" s="4">
        <f>AVERAGE(Tabla2[[#This Row],[Deforestation 2012]:[Deforestation 2014]])</f>
        <v>771.9</v>
      </c>
      <c r="F37" s="4">
        <f>AVERAGE(Tabla2[[#This Row],[Deforestation 2022]:[Deforestation 2024]])</f>
        <v>437.78999999999996</v>
      </c>
      <c r="G37">
        <v>818.64</v>
      </c>
      <c r="H37">
        <v>928.89</v>
      </c>
      <c r="I37">
        <v>568.16999999999996</v>
      </c>
      <c r="J37">
        <v>326.52</v>
      </c>
      <c r="K37">
        <v>193.95</v>
      </c>
      <c r="L37">
        <v>270.54000000000002</v>
      </c>
      <c r="M37">
        <v>209.61</v>
      </c>
      <c r="N37">
        <v>273.87</v>
      </c>
      <c r="O37">
        <v>105.57</v>
      </c>
      <c r="P37">
        <v>299.52</v>
      </c>
      <c r="Q37">
        <v>172.8</v>
      </c>
      <c r="R37">
        <v>672.75</v>
      </c>
      <c r="S37">
        <v>467.82</v>
      </c>
      <c r="T37">
        <v>1007.55</v>
      </c>
      <c r="U37">
        <v>1106.6400000000001</v>
      </c>
      <c r="V37">
        <v>692.64</v>
      </c>
      <c r="W37">
        <v>401.85</v>
      </c>
      <c r="X37">
        <v>244.08</v>
      </c>
      <c r="Y37">
        <v>309.06</v>
      </c>
      <c r="Z37">
        <v>282.33</v>
      </c>
      <c r="AA37">
        <v>325.8</v>
      </c>
      <c r="AB37">
        <v>145.62</v>
      </c>
      <c r="AC37">
        <v>316.44</v>
      </c>
      <c r="AD37">
        <v>229.23</v>
      </c>
      <c r="AE37">
        <v>700.47</v>
      </c>
      <c r="AF37">
        <v>528.84</v>
      </c>
      <c r="AG37" s="5">
        <f>Tabla2[[#This Row],[Deforestation 2012]]/Tabla2[[#This Row],[Forest cover 2011]]</f>
        <v>7.0385043951962364E-2</v>
      </c>
      <c r="AH37" s="6">
        <f>Tabla2[[#This Row],[Deforestation 2013]]/Tabla2[[#This Row],[Forest cover 2011]]</f>
        <v>7.9864120341711031E-2</v>
      </c>
      <c r="AI37" s="6">
        <f>Tabla2[[#This Row],[Deforestation 2014]]/Tabla2[[#This Row],[Forest cover 2011]]</f>
        <v>4.8850129998761919E-2</v>
      </c>
      <c r="AJ37" s="6">
        <f>Tabla2[[#This Row],[Deforestation 2015]]/Tabla2[[#This Row],[Forest cover 2011]]</f>
        <v>2.8073542156741366E-2</v>
      </c>
      <c r="AK37" s="6">
        <f>Tabla2[[#This Row],[Deforestation 2016]]/Tabla2[[#This Row],[Forest cover 2011]]</f>
        <v>1.6675436424415005E-2</v>
      </c>
      <c r="AL37" s="6">
        <f>Tabla2[[#This Row],[Deforestation 2017]]/Tabla2[[#This Row],[Forest cover 2011]]</f>
        <v>2.3260492757211839E-2</v>
      </c>
      <c r="AM37" s="6">
        <f>Tabla2[[#This Row],[Deforestation 2018]]/Tabla2[[#This Row],[Forest cover 2011]]</f>
        <v>1.8021852172836451E-2</v>
      </c>
      <c r="AN37" s="6">
        <f>Tabla2[[#This Row],[Deforestation 2019]]/Tabla2[[#This Row],[Forest cover 2011]]</f>
        <v>2.3546799554289961E-2</v>
      </c>
      <c r="AO37" s="6">
        <f>Tabla2[[#This Row],[Deforestation 2020]]/Tabla2[[#This Row],[Forest cover 2011]]</f>
        <v>9.0766992695307663E-3</v>
      </c>
      <c r="AP37" s="6">
        <f>Tabla2[[#This Row],[Deforestation 2021]]/Tabla2[[#This Row],[Forest cover 2011]]</f>
        <v>2.5752135693945771E-2</v>
      </c>
      <c r="AQ37" s="6">
        <f>Tabla2[[#This Row],[Deforestation 2022]]/Tabla2[[#This Row],[Forest cover 2011]]</f>
        <v>1.4857001361891794E-2</v>
      </c>
      <c r="AR37" s="6">
        <f>Tabla2[[#This Row],[Deforestation 2023]]/Tabla2[[#This Row],[Forest cover 2011]]</f>
        <v>5.7841711031323517E-2</v>
      </c>
      <c r="AS37" s="6">
        <f>Tabla2[[#This Row],[Deforestation 2024]]/Tabla2[[#This Row],[Forest cover 2011]]</f>
        <v>4.0222235978704966E-2</v>
      </c>
      <c r="AT37" s="6">
        <f>Tabla2[[#This Row],[Forest Loss 2012]]/Tabla2[[#This Row],[Forest cover 2011]]</f>
        <v>8.6627151169988856E-2</v>
      </c>
      <c r="AU37" s="6">
        <f>Tabla2[[#This Row],[Forest Loss 2013]]/Tabla2[[#This Row],[Forest cover 2011]]</f>
        <v>9.5146712888448698E-2</v>
      </c>
      <c r="AV37" s="6">
        <f>Tabla2[[#This Row],[Forest Loss 2014]]/Tabla2[[#This Row],[Forest cover 2011]]</f>
        <v>5.9551813792249601E-2</v>
      </c>
      <c r="AW37" s="6">
        <f>Tabla2[[#This Row],[Forest Loss 2015]]/Tabla2[[#This Row],[Forest cover 2011]]</f>
        <v>3.4550266187941069E-2</v>
      </c>
      <c r="AX37" s="6">
        <f>Tabla2[[#This Row],[Forest Loss 2016]]/Tabla2[[#This Row],[Forest cover 2011]]</f>
        <v>2.0985514423672157E-2</v>
      </c>
      <c r="AY37" s="6">
        <f>Tabla2[[#This Row],[Forest Loss 2017]]/Tabla2[[#This Row],[Forest cover 2011]]</f>
        <v>2.6572365977466882E-2</v>
      </c>
      <c r="AZ37" s="6">
        <f>Tabla2[[#This Row],[Forest Loss 2018]]/Tabla2[[#This Row],[Forest cover 2011]]</f>
        <v>2.4274173579299244E-2</v>
      </c>
      <c r="BA37" s="6">
        <f>Tabla2[[#This Row],[Forest Loss 2019]]/Tabla2[[#This Row],[Forest cover 2011]]</f>
        <v>2.8011637984400151E-2</v>
      </c>
      <c r="BB37" s="6">
        <f>Tabla2[[#This Row],[Forest Loss 2020]]/Tabla2[[#This Row],[Forest cover 2011]]</f>
        <v>1.2520118856010896E-2</v>
      </c>
      <c r="BC37" s="6">
        <f>Tabla2[[#This Row],[Forest Loss 2021]]/Tabla2[[#This Row],[Forest cover 2011]]</f>
        <v>2.7206883743964346E-2</v>
      </c>
      <c r="BD37" s="6">
        <f>Tabla2[[#This Row],[Forest Loss 2022]]/Tabla2[[#This Row],[Forest cover 2011]]</f>
        <v>1.9708740869134579E-2</v>
      </c>
      <c r="BE37" s="6">
        <f>Tabla2[[#This Row],[Forest Loss 2023]]/Tabla2[[#This Row],[Forest cover 2011]]</f>
        <v>6.0225021666460328E-2</v>
      </c>
      <c r="BF37" s="6">
        <f>Tabla2[[#This Row],[Forest Loss 2024]]/Tabla2[[#This Row],[Forest cover 2011]]</f>
        <v>4.5468614584623007E-2</v>
      </c>
    </row>
    <row r="38" spans="1:58" x14ac:dyDescent="0.25">
      <c r="A38" s="2">
        <v>80602</v>
      </c>
      <c r="B38" s="3" t="s">
        <v>365</v>
      </c>
      <c r="C38" t="s">
        <v>377</v>
      </c>
      <c r="D38">
        <v>485036.55</v>
      </c>
      <c r="E38" s="4">
        <f>AVERAGE(Tabla2[[#This Row],[Deforestation 2012]:[Deforestation 2014]])</f>
        <v>2827.5000000000005</v>
      </c>
      <c r="F38" s="4">
        <f>AVERAGE(Tabla2[[#This Row],[Deforestation 2022]:[Deforestation 2024]])</f>
        <v>7045.2300000000005</v>
      </c>
      <c r="G38">
        <v>2207.52</v>
      </c>
      <c r="H38">
        <v>1620.54</v>
      </c>
      <c r="I38">
        <v>4654.4400000000014</v>
      </c>
      <c r="J38">
        <v>2907.54</v>
      </c>
      <c r="K38">
        <v>5281.2</v>
      </c>
      <c r="L38">
        <v>5191.29</v>
      </c>
      <c r="M38">
        <v>3543.84</v>
      </c>
      <c r="N38">
        <v>3908.61</v>
      </c>
      <c r="O38">
        <v>3595.59</v>
      </c>
      <c r="P38">
        <v>5459.49</v>
      </c>
      <c r="Q38">
        <v>4716.09</v>
      </c>
      <c r="R38">
        <v>7590.42</v>
      </c>
      <c r="S38">
        <v>8829.18</v>
      </c>
      <c r="T38">
        <v>8475.2099999999991</v>
      </c>
      <c r="U38">
        <v>4002.03</v>
      </c>
      <c r="V38">
        <v>7084.62</v>
      </c>
      <c r="W38">
        <v>4248.54</v>
      </c>
      <c r="X38">
        <v>6889.68</v>
      </c>
      <c r="Y38">
        <v>6253.5599999999986</v>
      </c>
      <c r="Z38">
        <v>4620.24</v>
      </c>
      <c r="AA38">
        <v>5135.3999999999996</v>
      </c>
      <c r="AB38">
        <v>5412.0599999999986</v>
      </c>
      <c r="AC38">
        <v>6032.79</v>
      </c>
      <c r="AD38">
        <v>6141.33</v>
      </c>
      <c r="AE38">
        <v>8202.06</v>
      </c>
      <c r="AF38">
        <v>21828.15</v>
      </c>
      <c r="AG38" s="5">
        <f>Tabla2[[#This Row],[Deforestation 2012]]/Tabla2[[#This Row],[Forest cover 2011]]</f>
        <v>4.5512446433160552E-3</v>
      </c>
      <c r="AH38" s="6">
        <f>Tabla2[[#This Row],[Deforestation 2013]]/Tabla2[[#This Row],[Forest cover 2011]]</f>
        <v>3.3410678020037872E-3</v>
      </c>
      <c r="AI38" s="6">
        <f>Tabla2[[#This Row],[Deforestation 2014]]/Tabla2[[#This Row],[Forest cover 2011]]</f>
        <v>9.5960603381332835E-3</v>
      </c>
      <c r="AJ38" s="6">
        <f>Tabla2[[#This Row],[Deforestation 2015]]/Tabla2[[#This Row],[Forest cover 2011]]</f>
        <v>5.9944760863897785E-3</v>
      </c>
      <c r="AK38" s="6">
        <f>Tabla2[[#This Row],[Deforestation 2016]]/Tabla2[[#This Row],[Forest cover 2011]]</f>
        <v>1.088825161732657E-2</v>
      </c>
      <c r="AL38" s="6">
        <f>Tabla2[[#This Row],[Deforestation 2017]]/Tabla2[[#This Row],[Forest cover 2011]]</f>
        <v>1.0702884143473312E-2</v>
      </c>
      <c r="AM38" s="6">
        <f>Tabla2[[#This Row],[Deforestation 2018]]/Tabla2[[#This Row],[Forest cover 2011]]</f>
        <v>7.3063359864323635E-3</v>
      </c>
      <c r="AN38" s="6">
        <f>Tabla2[[#This Row],[Deforestation 2019]]/Tabla2[[#This Row],[Forest cover 2011]]</f>
        <v>8.0583824043775672E-3</v>
      </c>
      <c r="AO38" s="6">
        <f>Tabla2[[#This Row],[Deforestation 2020]]/Tabla2[[#This Row],[Forest cover 2011]]</f>
        <v>7.4130289768884429E-3</v>
      </c>
      <c r="AP38" s="6">
        <f>Tabla2[[#This Row],[Deforestation 2021]]/Tabla2[[#This Row],[Forest cover 2011]]</f>
        <v>1.1255832163576127E-2</v>
      </c>
      <c r="AQ38" s="6">
        <f>Tabla2[[#This Row],[Deforestation 2022]]/Tabla2[[#This Row],[Forest cover 2011]]</f>
        <v>9.7231641615461769E-3</v>
      </c>
      <c r="AR38" s="6">
        <f>Tabla2[[#This Row],[Deforestation 2023]]/Tabla2[[#This Row],[Forest cover 2011]]</f>
        <v>1.5649171181017184E-2</v>
      </c>
      <c r="AS38" s="6">
        <f>Tabla2[[#This Row],[Deforestation 2024]]/Tabla2[[#This Row],[Forest cover 2011]]</f>
        <v>1.8203123042995421E-2</v>
      </c>
      <c r="AT38" s="6">
        <f>Tabla2[[#This Row],[Forest Loss 2012]]/Tabla2[[#This Row],[Forest cover 2011]]</f>
        <v>1.7473342988275832E-2</v>
      </c>
      <c r="AU38" s="6">
        <f>Tabla2[[#This Row],[Forest Loss 2013]]/Tabla2[[#This Row],[Forest cover 2011]]</f>
        <v>8.2509864462791526E-3</v>
      </c>
      <c r="AV38" s="6">
        <f>Tabla2[[#This Row],[Forest Loss 2014]]/Tabla2[[#This Row],[Forest cover 2011]]</f>
        <v>1.4606363169950801E-2</v>
      </c>
      <c r="AW38" s="6">
        <f>Tabla2[[#This Row],[Forest Loss 2015]]/Tabla2[[#This Row],[Forest cover 2011]]</f>
        <v>8.7592161869038537E-3</v>
      </c>
      <c r="AX38" s="6">
        <f>Tabla2[[#This Row],[Forest Loss 2016]]/Tabla2[[#This Row],[Forest cover 2011]]</f>
        <v>1.4204455313728419E-2</v>
      </c>
      <c r="AY38" s="6">
        <f>Tabla2[[#This Row],[Forest Loss 2017]]/Tabla2[[#This Row],[Forest cover 2011]]</f>
        <v>1.2892966519739592E-2</v>
      </c>
      <c r="AZ38" s="6">
        <f>Tabla2[[#This Row],[Forest Loss 2018]]/Tabla2[[#This Row],[Forest cover 2011]]</f>
        <v>9.525550187918827E-3</v>
      </c>
      <c r="BA38" s="6">
        <f>Tabla2[[#This Row],[Forest Loss 2019]]/Tabla2[[#This Row],[Forest cover 2011]]</f>
        <v>1.0587655713780744E-2</v>
      </c>
      <c r="BB38" s="6">
        <f>Tabla2[[#This Row],[Forest Loss 2020]]/Tabla2[[#This Row],[Forest cover 2011]]</f>
        <v>1.115804571841029E-2</v>
      </c>
      <c r="BC38" s="6">
        <f>Tabla2[[#This Row],[Forest Loss 2021]]/Tabla2[[#This Row],[Forest cover 2011]]</f>
        <v>1.2437804944802613E-2</v>
      </c>
      <c r="BD38" s="6">
        <f>Tabla2[[#This Row],[Forest Loss 2022]]/Tabla2[[#This Row],[Forest cover 2011]]</f>
        <v>1.2661581895220061E-2</v>
      </c>
      <c r="BE38" s="6">
        <f>Tabla2[[#This Row],[Forest Loss 2023]]/Tabla2[[#This Row],[Forest cover 2011]]</f>
        <v>1.6910189551694609E-2</v>
      </c>
      <c r="BF38" s="6">
        <f>Tabla2[[#This Row],[Forest Loss 2024]]/Tabla2[[#This Row],[Forest cover 2011]]</f>
        <v>4.5003103374374576E-2</v>
      </c>
    </row>
    <row r="39" spans="1:58" x14ac:dyDescent="0.25">
      <c r="A39" s="2">
        <v>80803</v>
      </c>
      <c r="B39" s="3" t="s">
        <v>365</v>
      </c>
      <c r="C39" t="s">
        <v>382</v>
      </c>
      <c r="D39">
        <v>116038.53</v>
      </c>
      <c r="E39" s="4">
        <f>AVERAGE(Tabla2[[#This Row],[Deforestation 2012]:[Deforestation 2014]])</f>
        <v>54.180000000000007</v>
      </c>
      <c r="F39" s="4">
        <f>AVERAGE(Tabla2[[#This Row],[Deforestation 2022]:[Deforestation 2024]])</f>
        <v>325.44</v>
      </c>
      <c r="G39">
        <v>56.52</v>
      </c>
      <c r="H39">
        <v>59.31</v>
      </c>
      <c r="I39">
        <v>46.71</v>
      </c>
      <c r="J39">
        <v>27.09</v>
      </c>
      <c r="K39">
        <v>9.7199999999999989</v>
      </c>
      <c r="L39">
        <v>28.71</v>
      </c>
      <c r="M39">
        <v>34.56</v>
      </c>
      <c r="N39">
        <v>24.57</v>
      </c>
      <c r="O39">
        <v>21.6</v>
      </c>
      <c r="P39">
        <v>59.13</v>
      </c>
      <c r="Q39">
        <v>186.03</v>
      </c>
      <c r="R39">
        <v>190.53</v>
      </c>
      <c r="S39">
        <v>599.76</v>
      </c>
      <c r="T39">
        <v>5345.28</v>
      </c>
      <c r="U39">
        <v>2118.87</v>
      </c>
      <c r="V39">
        <v>1430.55</v>
      </c>
      <c r="W39">
        <v>1072.44</v>
      </c>
      <c r="X39">
        <v>642.33000000000004</v>
      </c>
      <c r="Y39">
        <v>683.28</v>
      </c>
      <c r="Z39">
        <v>1202.76</v>
      </c>
      <c r="AA39">
        <v>862.82999999999993</v>
      </c>
      <c r="AB39">
        <v>1082.07</v>
      </c>
      <c r="AC39">
        <v>278.37</v>
      </c>
      <c r="AD39">
        <v>343.89</v>
      </c>
      <c r="AE39">
        <v>615.87</v>
      </c>
      <c r="AF39">
        <v>5136.75</v>
      </c>
      <c r="AG39" s="5">
        <f>Tabla2[[#This Row],[Deforestation 2012]]/Tabla2[[#This Row],[Forest cover 2011]]</f>
        <v>4.8707959330405174E-4</v>
      </c>
      <c r="AH39" s="6">
        <f>Tabla2[[#This Row],[Deforestation 2013]]/Tabla2[[#This Row],[Forest cover 2011]]</f>
        <v>5.1112333119007975E-4</v>
      </c>
      <c r="AI39" s="6">
        <f>Tabla2[[#This Row],[Deforestation 2014]]/Tabla2[[#This Row],[Forest cover 2011]]</f>
        <v>4.0253870847898541E-4</v>
      </c>
      <c r="AJ39" s="6">
        <f>Tabla2[[#This Row],[Deforestation 2015]]/Tabla2[[#This Row],[Forest cover 2011]]</f>
        <v>2.3345693882885279E-4</v>
      </c>
      <c r="AK39" s="6">
        <f>Tabla2[[#This Row],[Deforestation 2016]]/Tabla2[[#This Row],[Forest cover 2011]]</f>
        <v>8.3765280377129901E-5</v>
      </c>
      <c r="AL39" s="6">
        <f>Tabla2[[#This Row],[Deforestation 2017]]/Tabla2[[#This Row],[Forest cover 2011]]</f>
        <v>2.474178188917078E-4</v>
      </c>
      <c r="AM39" s="6">
        <f>Tabla2[[#This Row],[Deforestation 2018]]/Tabla2[[#This Row],[Forest cover 2011]]</f>
        <v>2.9783210800757304E-4</v>
      </c>
      <c r="AN39" s="6">
        <f>Tabla2[[#This Row],[Deforestation 2019]]/Tabla2[[#This Row],[Forest cover 2011]]</f>
        <v>2.1174001428663394E-4</v>
      </c>
      <c r="AO39" s="6">
        <f>Tabla2[[#This Row],[Deforestation 2020]]/Tabla2[[#This Row],[Forest cover 2011]]</f>
        <v>1.8614506750473314E-4</v>
      </c>
      <c r="AP39" s="6">
        <f>Tabla2[[#This Row],[Deforestation 2021]]/Tabla2[[#This Row],[Forest cover 2011]]</f>
        <v>5.0957212229420701E-4</v>
      </c>
      <c r="AQ39" s="6">
        <f>Tabla2[[#This Row],[Deforestation 2022]]/Tabla2[[#This Row],[Forest cover 2011]]</f>
        <v>1.6031743938845142E-3</v>
      </c>
      <c r="AR39" s="6">
        <f>Tabla2[[#This Row],[Deforestation 2023]]/Tabla2[[#This Row],[Forest cover 2011]]</f>
        <v>1.6419546162813334E-3</v>
      </c>
      <c r="AS39" s="6">
        <f>Tabla2[[#This Row],[Deforestation 2024]]/Tabla2[[#This Row],[Forest cover 2011]]</f>
        <v>5.16862804104809E-3</v>
      </c>
      <c r="AT39" s="6">
        <f>Tabla2[[#This Row],[Forest Loss 2012]]/Tabla2[[#This Row],[Forest cover 2011]]</f>
        <v>4.6064699371837957E-2</v>
      </c>
      <c r="AU39" s="6">
        <f>Tabla2[[#This Row],[Forest Loss 2013]]/Tabla2[[#This Row],[Forest cover 2011]]</f>
        <v>1.8260055517766383E-2</v>
      </c>
      <c r="AV39" s="6">
        <f>Tabla2[[#This Row],[Forest Loss 2014]]/Tabla2[[#This Row],[Forest cover 2011]]</f>
        <v>1.2328232699948887E-2</v>
      </c>
      <c r="AW39" s="6">
        <f>Tabla2[[#This Row],[Forest Loss 2015]]/Tabla2[[#This Row],[Forest cover 2011]]</f>
        <v>9.24210260161E-3</v>
      </c>
      <c r="AX39" s="6">
        <f>Tabla2[[#This Row],[Forest Loss 2016]]/Tabla2[[#This Row],[Forest cover 2011]]</f>
        <v>5.5354889449220016E-3</v>
      </c>
      <c r="AY39" s="6">
        <f>Tabla2[[#This Row],[Forest Loss 2017]]/Tabla2[[#This Row],[Forest cover 2011]]</f>
        <v>5.8883889687330578E-3</v>
      </c>
      <c r="AZ39" s="6">
        <f>Tabla2[[#This Row],[Forest Loss 2018]]/Tabla2[[#This Row],[Forest cover 2011]]</f>
        <v>1.0365177842221889E-2</v>
      </c>
      <c r="BA39" s="6">
        <f>Tabla2[[#This Row],[Forest Loss 2019]]/Tabla2[[#This Row],[Forest cover 2011]]</f>
        <v>7.4357198423661511E-3</v>
      </c>
      <c r="BB39" s="6">
        <f>Tabla2[[#This Row],[Forest Loss 2020]]/Tabla2[[#This Row],[Forest cover 2011]]</f>
        <v>9.3250922775391931E-3</v>
      </c>
      <c r="BC39" s="6">
        <f>Tabla2[[#This Row],[Forest Loss 2021]]/Tabla2[[#This Row],[Forest cover 2011]]</f>
        <v>2.3989445574672482E-3</v>
      </c>
      <c r="BD39" s="6">
        <f>Tabla2[[#This Row],[Forest Loss 2022]]/Tabla2[[#This Row],[Forest cover 2011]]</f>
        <v>2.9635845955649385E-3</v>
      </c>
      <c r="BE39" s="6">
        <f>Tabla2[[#This Row],[Forest Loss 2023]]/Tabla2[[#This Row],[Forest cover 2011]]</f>
        <v>5.3074612372287031E-3</v>
      </c>
      <c r="BF39" s="6">
        <f>Tabla2[[#This Row],[Forest Loss 2024]]/Tabla2[[#This Row],[Forest cover 2011]]</f>
        <v>4.4267623865969344E-2</v>
      </c>
    </row>
    <row r="40" spans="1:58" x14ac:dyDescent="0.25">
      <c r="A40" s="2">
        <v>71005</v>
      </c>
      <c r="B40" s="3" t="s">
        <v>310</v>
      </c>
      <c r="C40" t="s">
        <v>274</v>
      </c>
      <c r="D40">
        <v>48195.360000000001</v>
      </c>
      <c r="E40" s="4">
        <f>AVERAGE(Tabla2[[#This Row],[Deforestation 2012]:[Deforestation 2014]])</f>
        <v>1728.54</v>
      </c>
      <c r="F40" s="4">
        <f>AVERAGE(Tabla2[[#This Row],[Deforestation 2022]:[Deforestation 2024]])</f>
        <v>1016.58</v>
      </c>
      <c r="G40">
        <v>2547.1799999999998</v>
      </c>
      <c r="H40">
        <v>1864.98</v>
      </c>
      <c r="I40">
        <v>773.46</v>
      </c>
      <c r="J40">
        <v>329.85</v>
      </c>
      <c r="K40">
        <v>1754.01</v>
      </c>
      <c r="L40">
        <v>654.48</v>
      </c>
      <c r="M40">
        <v>652.95000000000005</v>
      </c>
      <c r="N40">
        <v>348.48</v>
      </c>
      <c r="O40">
        <v>415.71</v>
      </c>
      <c r="P40">
        <v>451.26</v>
      </c>
      <c r="Q40">
        <v>660.33</v>
      </c>
      <c r="R40">
        <v>999.72</v>
      </c>
      <c r="S40">
        <v>1389.69</v>
      </c>
      <c r="T40">
        <v>3596.58</v>
      </c>
      <c r="U40">
        <v>2199.5100000000002</v>
      </c>
      <c r="V40">
        <v>1057.23</v>
      </c>
      <c r="W40">
        <v>669.42</v>
      </c>
      <c r="X40">
        <v>2072.34</v>
      </c>
      <c r="Y40">
        <v>858.78</v>
      </c>
      <c r="Z40">
        <v>824.4</v>
      </c>
      <c r="AA40">
        <v>561.6</v>
      </c>
      <c r="AB40">
        <v>596.06999999999994</v>
      </c>
      <c r="AC40">
        <v>575.01</v>
      </c>
      <c r="AD40">
        <v>672.3</v>
      </c>
      <c r="AE40">
        <v>1230.21</v>
      </c>
      <c r="AF40">
        <v>2080.5300000000002</v>
      </c>
      <c r="AG40" s="5">
        <f>Tabla2[[#This Row],[Deforestation 2012]]/Tabla2[[#This Row],[Forest cover 2011]]</f>
        <v>5.2851145836445665E-2</v>
      </c>
      <c r="AH40" s="6">
        <f>Tabla2[[#This Row],[Deforestation 2013]]/Tabla2[[#This Row],[Forest cover 2011]]</f>
        <v>3.8696256237114944E-2</v>
      </c>
      <c r="AI40" s="6">
        <f>Tabla2[[#This Row],[Deforestation 2014]]/Tabla2[[#This Row],[Forest cover 2011]]</f>
        <v>1.6048432878185786E-2</v>
      </c>
      <c r="AJ40" s="6">
        <f>Tabla2[[#This Row],[Deforestation 2015]]/Tabla2[[#This Row],[Forest cover 2011]]</f>
        <v>6.8440198392542353E-3</v>
      </c>
      <c r="AK40" s="6">
        <f>Tabla2[[#This Row],[Deforestation 2016]]/Tabla2[[#This Row],[Forest cover 2011]]</f>
        <v>3.6393752427619587E-2</v>
      </c>
      <c r="AL40" s="6">
        <f>Tabla2[[#This Row],[Deforestation 2017]]/Tabla2[[#This Row],[Forest cover 2011]]</f>
        <v>1.3579730496877707E-2</v>
      </c>
      <c r="AM40" s="6">
        <f>Tabla2[[#This Row],[Deforestation 2018]]/Tabla2[[#This Row],[Forest cover 2011]]</f>
        <v>1.3547984702261795E-2</v>
      </c>
      <c r="AN40" s="6">
        <f>Tabla2[[#This Row],[Deforestation 2019]]/Tabla2[[#This Row],[Forest cover 2011]]</f>
        <v>7.2305715736950618E-3</v>
      </c>
      <c r="AO40" s="6">
        <f>Tabla2[[#This Row],[Deforestation 2020]]/Tabla2[[#This Row],[Forest cover 2011]]</f>
        <v>8.6255191371119536E-3</v>
      </c>
      <c r="AP40" s="6">
        <f>Tabla2[[#This Row],[Deforestation 2021]]/Tabla2[[#This Row],[Forest cover 2011]]</f>
        <v>9.363142012011114E-3</v>
      </c>
      <c r="AQ40" s="6">
        <f>Tabla2[[#This Row],[Deforestation 2022]]/Tabla2[[#This Row],[Forest cover 2011]]</f>
        <v>1.3701111476291494E-2</v>
      </c>
      <c r="AR40" s="6">
        <f>Tabla2[[#This Row],[Deforestation 2023]]/Tabla2[[#This Row],[Forest cover 2011]]</f>
        <v>2.0743075681974366E-2</v>
      </c>
      <c r="AS40" s="6">
        <f>Tabla2[[#This Row],[Deforestation 2024]]/Tabla2[[#This Row],[Forest cover 2011]]</f>
        <v>2.883451850966566E-2</v>
      </c>
      <c r="AT40" s="6">
        <f>Tabla2[[#This Row],[Forest Loss 2012]]/Tabla2[[#This Row],[Forest cover 2011]]</f>
        <v>7.4625026143595563E-2</v>
      </c>
      <c r="AU40" s="6">
        <f>Tabla2[[#This Row],[Forest Loss 2013]]/Tabla2[[#This Row],[Forest cover 2011]]</f>
        <v>4.5637380859900212E-2</v>
      </c>
      <c r="AV40" s="6">
        <f>Tabla2[[#This Row],[Forest Loss 2014]]/Tabla2[[#This Row],[Forest cover 2011]]</f>
        <v>2.1936344079596045E-2</v>
      </c>
      <c r="AW40" s="6">
        <f>Tabla2[[#This Row],[Forest Loss 2015]]/Tabla2[[#This Row],[Forest cover 2011]]</f>
        <v>1.3889718844303683E-2</v>
      </c>
      <c r="AX40" s="6">
        <f>Tabla2[[#This Row],[Forest Loss 2016]]/Tabla2[[#This Row],[Forest cover 2011]]</f>
        <v>4.2998745107412834E-2</v>
      </c>
      <c r="AY40" s="6">
        <f>Tabla2[[#This Row],[Forest Loss 2017]]/Tabla2[[#This Row],[Forest cover 2011]]</f>
        <v>1.7818727777943768E-2</v>
      </c>
      <c r="AZ40" s="6">
        <f>Tabla2[[#This Row],[Forest Loss 2018]]/Tabla2[[#This Row],[Forest cover 2011]]</f>
        <v>1.7105381098927366E-2</v>
      </c>
      <c r="BA40" s="6">
        <f>Tabla2[[#This Row],[Forest Loss 2019]]/Tabla2[[#This Row],[Forest cover 2011]]</f>
        <v>1.1652574023723446E-2</v>
      </c>
      <c r="BB40" s="6">
        <f>Tabla2[[#This Row],[Forest Loss 2020]]/Tabla2[[#This Row],[Forest cover 2011]]</f>
        <v>1.2367788102423137E-2</v>
      </c>
      <c r="BC40" s="6">
        <f>Tabla2[[#This Row],[Forest Loss 2021]]/Tabla2[[#This Row],[Forest cover 2011]]</f>
        <v>1.1930816576533509E-2</v>
      </c>
      <c r="BD40" s="6">
        <f>Tabla2[[#This Row],[Forest Loss 2022]]/Tabla2[[#This Row],[Forest cover 2011]]</f>
        <v>1.3949475634168932E-2</v>
      </c>
      <c r="BE40" s="6">
        <f>Tabla2[[#This Row],[Forest Loss 2023]]/Tabla2[[#This Row],[Forest cover 2011]]</f>
        <v>2.5525486270877529E-2</v>
      </c>
      <c r="BF40" s="6">
        <f>Tabla2[[#This Row],[Forest Loss 2024]]/Tabla2[[#This Row],[Forest cover 2011]]</f>
        <v>4.3168678478592133E-2</v>
      </c>
    </row>
    <row r="41" spans="1:58" x14ac:dyDescent="0.25">
      <c r="A41" s="2">
        <v>80101</v>
      </c>
      <c r="B41" s="3" t="s">
        <v>365</v>
      </c>
      <c r="C41" t="s">
        <v>366</v>
      </c>
      <c r="D41">
        <v>60176.43</v>
      </c>
      <c r="E41" s="4">
        <f>AVERAGE(Tabla2[[#This Row],[Deforestation 2012]:[Deforestation 2014]])</f>
        <v>86.43</v>
      </c>
      <c r="F41" s="4">
        <f>AVERAGE(Tabla2[[#This Row],[Deforestation 2022]:[Deforestation 2024]])</f>
        <v>173.91</v>
      </c>
      <c r="G41">
        <v>85.77</v>
      </c>
      <c r="H41">
        <v>75.150000000000006</v>
      </c>
      <c r="I41">
        <v>98.37</v>
      </c>
      <c r="J41">
        <v>81.990000000000009</v>
      </c>
      <c r="K41">
        <v>42.66</v>
      </c>
      <c r="L41">
        <v>60.21</v>
      </c>
      <c r="M41">
        <v>67.5</v>
      </c>
      <c r="N41">
        <v>90.18</v>
      </c>
      <c r="O41">
        <v>85.68</v>
      </c>
      <c r="P41">
        <v>89.19</v>
      </c>
      <c r="Q41">
        <v>59.849999999999987</v>
      </c>
      <c r="R41">
        <v>235.62</v>
      </c>
      <c r="S41">
        <v>226.26</v>
      </c>
      <c r="T41">
        <v>923.49</v>
      </c>
      <c r="U41">
        <v>576</v>
      </c>
      <c r="V41">
        <v>782.73</v>
      </c>
      <c r="W41">
        <v>409.67999999999989</v>
      </c>
      <c r="X41">
        <v>167.67</v>
      </c>
      <c r="Y41">
        <v>219.42</v>
      </c>
      <c r="Z41">
        <v>207</v>
      </c>
      <c r="AA41">
        <v>294.66000000000003</v>
      </c>
      <c r="AB41">
        <v>219.51</v>
      </c>
      <c r="AC41">
        <v>322.83</v>
      </c>
      <c r="AD41">
        <v>609.03</v>
      </c>
      <c r="AE41">
        <v>780.03</v>
      </c>
      <c r="AF41">
        <v>2544.75</v>
      </c>
      <c r="AG41" s="5">
        <f>Tabla2[[#This Row],[Deforestation 2012]]/Tabla2[[#This Row],[Forest cover 2011]]</f>
        <v>1.425308879240593E-3</v>
      </c>
      <c r="AH41" s="6">
        <f>Tabla2[[#This Row],[Deforestation 2013]]/Tabla2[[#This Row],[Forest cover 2011]]</f>
        <v>1.2488278217900265E-3</v>
      </c>
      <c r="AI41" s="6">
        <f>Tabla2[[#This Row],[Deforestation 2014]]/Tabla2[[#This Row],[Forest cover 2011]]</f>
        <v>1.6346931846904179E-3</v>
      </c>
      <c r="AJ41" s="6">
        <f>Tabla2[[#This Row],[Deforestation 2015]]/Tabla2[[#This Row],[Forest cover 2011]]</f>
        <v>1.3624935876056458E-3</v>
      </c>
      <c r="AK41" s="6">
        <f>Tabla2[[#This Row],[Deforestation 2016]]/Tabla2[[#This Row],[Forest cover 2011]]</f>
        <v>7.0891543416583529E-4</v>
      </c>
      <c r="AL41" s="6">
        <f>Tabla2[[#This Row],[Deforestation 2017]]/Tabla2[[#This Row],[Forest cover 2011]]</f>
        <v>1.0005578596138057E-3</v>
      </c>
      <c r="AM41" s="6">
        <f>Tabla2[[#This Row],[Deforestation 2018]]/Tabla2[[#This Row],[Forest cover 2011]]</f>
        <v>1.1217016363383472E-3</v>
      </c>
      <c r="AN41" s="6">
        <f>Tabla2[[#This Row],[Deforestation 2019]]/Tabla2[[#This Row],[Forest cover 2011]]</f>
        <v>1.4985933861480318E-3</v>
      </c>
      <c r="AO41" s="6">
        <f>Tabla2[[#This Row],[Deforestation 2020]]/Tabla2[[#This Row],[Forest cover 2011]]</f>
        <v>1.4238132770588087E-3</v>
      </c>
      <c r="AP41" s="6">
        <f>Tabla2[[#This Row],[Deforestation 2021]]/Tabla2[[#This Row],[Forest cover 2011]]</f>
        <v>1.4821417621484025E-3</v>
      </c>
      <c r="AQ41" s="6">
        <f>Tabla2[[#This Row],[Deforestation 2022]]/Tabla2[[#This Row],[Forest cover 2011]]</f>
        <v>9.9457545088666756E-4</v>
      </c>
      <c r="AR41" s="6">
        <f>Tabla2[[#This Row],[Deforestation 2023]]/Tabla2[[#This Row],[Forest cover 2011]]</f>
        <v>3.9154865119117232E-3</v>
      </c>
      <c r="AS41" s="6">
        <f>Tabla2[[#This Row],[Deforestation 2024]]/Tabla2[[#This Row],[Forest cover 2011]]</f>
        <v>3.7599438850061391E-3</v>
      </c>
      <c r="AT41" s="6">
        <f>Tabla2[[#This Row],[Forest Loss 2012]]/Tabla2[[#This Row],[Forest cover 2011]]</f>
        <v>1.5346373987290373E-2</v>
      </c>
      <c r="AU41" s="6">
        <f>Tabla2[[#This Row],[Forest Loss 2013]]/Tabla2[[#This Row],[Forest cover 2011]]</f>
        <v>9.571853963420562E-3</v>
      </c>
      <c r="AV41" s="6">
        <f>Tabla2[[#This Row],[Forest Loss 2014]]/Tabla2[[#This Row],[Forest cover 2011]]</f>
        <v>1.3007252174979472E-2</v>
      </c>
      <c r="AW41" s="6">
        <f>Tabla2[[#This Row],[Forest Loss 2015]]/Tabla2[[#This Row],[Forest cover 2011]]</f>
        <v>6.8079811314828726E-3</v>
      </c>
      <c r="AX41" s="6">
        <f>Tabla2[[#This Row],[Forest Loss 2016]]/Tabla2[[#This Row],[Forest cover 2011]]</f>
        <v>2.7863068646644539E-3</v>
      </c>
      <c r="AY41" s="6">
        <f>Tabla2[[#This Row],[Forest Loss 2017]]/Tabla2[[#This Row],[Forest cover 2011]]</f>
        <v>3.6462781191905201E-3</v>
      </c>
      <c r="AZ41" s="6">
        <f>Tabla2[[#This Row],[Forest Loss 2018]]/Tabla2[[#This Row],[Forest cover 2011]]</f>
        <v>3.4398850181042643E-3</v>
      </c>
      <c r="BA41" s="6">
        <f>Tabla2[[#This Row],[Forest Loss 2019]]/Tabla2[[#This Row],[Forest cover 2011]]</f>
        <v>4.8966015431623315E-3</v>
      </c>
      <c r="BB41" s="6">
        <f>Tabla2[[#This Row],[Forest Loss 2020]]/Tabla2[[#This Row],[Forest cover 2011]]</f>
        <v>3.6477737213723048E-3</v>
      </c>
      <c r="BC41" s="6">
        <f>Tabla2[[#This Row],[Forest Loss 2021]]/Tabla2[[#This Row],[Forest cover 2011]]</f>
        <v>5.3647250260608677E-3</v>
      </c>
      <c r="BD41" s="6">
        <f>Tabla2[[#This Row],[Forest Loss 2022]]/Tabla2[[#This Row],[Forest cover 2011]]</f>
        <v>1.0120739964135459E-2</v>
      </c>
      <c r="BE41" s="6">
        <f>Tabla2[[#This Row],[Forest Loss 2023]]/Tabla2[[#This Row],[Forest cover 2011]]</f>
        <v>1.2962384109525939E-2</v>
      </c>
      <c r="BF41" s="6">
        <f>Tabla2[[#This Row],[Forest Loss 2024]]/Tabla2[[#This Row],[Forest cover 2011]]</f>
        <v>4.2288151689955686E-2</v>
      </c>
    </row>
    <row r="42" spans="1:58" x14ac:dyDescent="0.25">
      <c r="A42" s="2">
        <v>70101</v>
      </c>
      <c r="B42" s="3" t="s">
        <v>310</v>
      </c>
      <c r="C42" t="s">
        <v>311</v>
      </c>
      <c r="D42">
        <v>23281.02</v>
      </c>
      <c r="E42" s="4">
        <f>AVERAGE(Tabla2[[#This Row],[Deforestation 2012]:[Deforestation 2014]])</f>
        <v>1715.61</v>
      </c>
      <c r="F42" s="4">
        <f>AVERAGE(Tabla2[[#This Row],[Deforestation 2022]:[Deforestation 2024]])</f>
        <v>864.81000000000006</v>
      </c>
      <c r="G42">
        <v>2353.9499999999998</v>
      </c>
      <c r="H42">
        <v>1699.02</v>
      </c>
      <c r="I42">
        <v>1093.8599999999999</v>
      </c>
      <c r="J42">
        <v>1085.76</v>
      </c>
      <c r="K42">
        <v>629.37</v>
      </c>
      <c r="L42">
        <v>851.22</v>
      </c>
      <c r="M42">
        <v>431.1</v>
      </c>
      <c r="N42">
        <v>531.18000000000006</v>
      </c>
      <c r="O42">
        <v>420.84</v>
      </c>
      <c r="P42">
        <v>705.6</v>
      </c>
      <c r="Q42">
        <v>338.4</v>
      </c>
      <c r="R42">
        <v>1341.54</v>
      </c>
      <c r="S42">
        <v>914.49</v>
      </c>
      <c r="T42">
        <v>2459.4299999999998</v>
      </c>
      <c r="U42">
        <v>1786.23</v>
      </c>
      <c r="V42">
        <v>1160.28</v>
      </c>
      <c r="W42">
        <v>1131.8399999999999</v>
      </c>
      <c r="X42">
        <v>660.6</v>
      </c>
      <c r="Y42">
        <v>871.92000000000007</v>
      </c>
      <c r="Z42">
        <v>517.32000000000005</v>
      </c>
      <c r="AA42">
        <v>555.21</v>
      </c>
      <c r="AB42">
        <v>436.23</v>
      </c>
      <c r="AC42">
        <v>798.12</v>
      </c>
      <c r="AD42">
        <v>396.27</v>
      </c>
      <c r="AE42">
        <v>1354.05</v>
      </c>
      <c r="AF42">
        <v>980.01</v>
      </c>
      <c r="AG42" s="5">
        <f>Tabla2[[#This Row],[Deforestation 2012]]/Tabla2[[#This Row],[Forest cover 2011]]</f>
        <v>0.1011102606329104</v>
      </c>
      <c r="AH42" s="6">
        <f>Tabla2[[#This Row],[Deforestation 2013]]/Tabla2[[#This Row],[Forest cover 2011]]</f>
        <v>7.2978761239842579E-2</v>
      </c>
      <c r="AI42" s="6">
        <f>Tabla2[[#This Row],[Deforestation 2014]]/Tabla2[[#This Row],[Forest cover 2011]]</f>
        <v>4.6985054778527741E-2</v>
      </c>
      <c r="AJ42" s="6">
        <f>Tabla2[[#This Row],[Deforestation 2015]]/Tabla2[[#This Row],[Forest cover 2011]]</f>
        <v>4.6637131878242449E-2</v>
      </c>
      <c r="AK42" s="6">
        <f>Tabla2[[#This Row],[Deforestation 2016]]/Tabla2[[#This Row],[Forest cover 2011]]</f>
        <v>2.7033609352167559E-2</v>
      </c>
      <c r="AL42" s="6">
        <f>Tabla2[[#This Row],[Deforestation 2017]]/Tabla2[[#This Row],[Forest cover 2011]]</f>
        <v>3.656283100998152E-2</v>
      </c>
      <c r="AM42" s="6">
        <f>Tabla2[[#This Row],[Deforestation 2018]]/Tabla2[[#This Row],[Forest cover 2011]]</f>
        <v>1.851722991518413E-2</v>
      </c>
      <c r="AN42" s="6">
        <f>Tabla2[[#This Row],[Deforestation 2019]]/Tabla2[[#This Row],[Forest cover 2011]]</f>
        <v>2.2816010638709132E-2</v>
      </c>
      <c r="AO42" s="6">
        <f>Tabla2[[#This Row],[Deforestation 2020]]/Tabla2[[#This Row],[Forest cover 2011]]</f>
        <v>1.807652757482275E-2</v>
      </c>
      <c r="AP42" s="6">
        <f>Tabla2[[#This Row],[Deforestation 2021]]/Tabla2[[#This Row],[Forest cover 2011]]</f>
        <v>3.0307950424852521E-2</v>
      </c>
      <c r="AQ42" s="6">
        <f>Tabla2[[#This Row],[Deforestation 2022]]/Tabla2[[#This Row],[Forest cover 2011]]</f>
        <v>1.4535445611919063E-2</v>
      </c>
      <c r="AR42" s="6">
        <f>Tabla2[[#This Row],[Deforestation 2023]]/Tabla2[[#This Row],[Forest cover 2011]]</f>
        <v>5.7623763907251484E-2</v>
      </c>
      <c r="AS42" s="6">
        <f>Tabla2[[#This Row],[Deforestation 2024]]/Tabla2[[#This Row],[Forest cover 2011]]</f>
        <v>3.9280495442210003E-2</v>
      </c>
      <c r="AT42" s="6">
        <f>Tabla2[[#This Row],[Forest Loss 2012]]/Tabla2[[#This Row],[Forest cover 2011]]</f>
        <v>0.1056409899566256</v>
      </c>
      <c r="AU42" s="6">
        <f>Tabla2[[#This Row],[Forest Loss 2013]]/Tabla2[[#This Row],[Forest cover 2011]]</f>
        <v>7.6724731132914281E-2</v>
      </c>
      <c r="AV42" s="6">
        <f>Tabla2[[#This Row],[Forest Loss 2014]]/Tabla2[[#This Row],[Forest cover 2011]]</f>
        <v>4.9838022560867175E-2</v>
      </c>
      <c r="AW42" s="6">
        <f>Tabla2[[#This Row],[Forest Loss 2015]]/Tabla2[[#This Row],[Forest cover 2011]]</f>
        <v>4.8616426599865467E-2</v>
      </c>
      <c r="AX42" s="6">
        <f>Tabla2[[#This Row],[Forest Loss 2016]]/Tabla2[[#This Row],[Forest cover 2011]]</f>
        <v>2.8375045423267537E-2</v>
      </c>
      <c r="AY42" s="6">
        <f>Tabla2[[#This Row],[Forest Loss 2017]]/Tabla2[[#This Row],[Forest cover 2011]]</f>
        <v>3.7451967310710613E-2</v>
      </c>
      <c r="AZ42" s="6">
        <f>Tabla2[[#This Row],[Forest Loss 2018]]/Tabla2[[#This Row],[Forest cover 2011]]</f>
        <v>2.2220675898220955E-2</v>
      </c>
      <c r="BA42" s="6">
        <f>Tabla2[[#This Row],[Forest Loss 2019]]/Tabla2[[#This Row],[Forest cover 2011]]</f>
        <v>2.384818190955551E-2</v>
      </c>
      <c r="BB42" s="6">
        <f>Tabla2[[#This Row],[Forest Loss 2020]]/Tabla2[[#This Row],[Forest cover 2011]]</f>
        <v>1.8737581085364816E-2</v>
      </c>
      <c r="BC42" s="6">
        <f>Tabla2[[#This Row],[Forest Loss 2021]]/Tabla2[[#This Row],[Forest cover 2011]]</f>
        <v>3.4282003108111241E-2</v>
      </c>
      <c r="BD42" s="6">
        <f>Tabla2[[#This Row],[Forest Loss 2022]]/Tabla2[[#This Row],[Forest cover 2011]]</f>
        <v>1.702116144395735E-2</v>
      </c>
      <c r="BE42" s="6">
        <f>Tabla2[[#This Row],[Forest Loss 2023]]/Tabla2[[#This Row],[Forest cover 2011]]</f>
        <v>5.8161111497692111E-2</v>
      </c>
      <c r="BF42" s="6">
        <f>Tabla2[[#This Row],[Forest Loss 2024]]/Tabla2[[#This Row],[Forest cover 2011]]</f>
        <v>4.2094805124517742E-2</v>
      </c>
    </row>
    <row r="43" spans="1:58" x14ac:dyDescent="0.25">
      <c r="A43" s="2">
        <v>71501</v>
      </c>
      <c r="B43" s="3" t="s">
        <v>310</v>
      </c>
      <c r="C43" t="s">
        <v>363</v>
      </c>
      <c r="D43">
        <v>707265.36</v>
      </c>
      <c r="E43" s="4">
        <f>AVERAGE(Tabla2[[#This Row],[Deforestation 2012]:[Deforestation 2014]])</f>
        <v>7006.3500000000013</v>
      </c>
      <c r="F43" s="4">
        <f>AVERAGE(Tabla2[[#This Row],[Deforestation 2022]:[Deforestation 2024]])</f>
        <v>15127.35</v>
      </c>
      <c r="G43">
        <v>6665.67</v>
      </c>
      <c r="H43">
        <v>5420.43</v>
      </c>
      <c r="I43">
        <v>8932.9500000000007</v>
      </c>
      <c r="J43">
        <v>4007.61</v>
      </c>
      <c r="K43">
        <v>10606.68</v>
      </c>
      <c r="L43">
        <v>10287</v>
      </c>
      <c r="M43">
        <v>7907.58</v>
      </c>
      <c r="N43">
        <v>9283.41</v>
      </c>
      <c r="O43">
        <v>10115.73</v>
      </c>
      <c r="P43">
        <v>11061.9</v>
      </c>
      <c r="Q43">
        <v>10897.74</v>
      </c>
      <c r="R43">
        <v>17150.13</v>
      </c>
      <c r="S43">
        <v>17334.18</v>
      </c>
      <c r="T43">
        <v>9355.77</v>
      </c>
      <c r="U43">
        <v>7587.45</v>
      </c>
      <c r="V43">
        <v>14311.8</v>
      </c>
      <c r="W43">
        <v>5741.82</v>
      </c>
      <c r="X43">
        <v>12599.28</v>
      </c>
      <c r="Y43">
        <v>15897.33</v>
      </c>
      <c r="Z43">
        <v>8945.91</v>
      </c>
      <c r="AA43">
        <v>10971</v>
      </c>
      <c r="AB43">
        <v>14993.1</v>
      </c>
      <c r="AC43">
        <v>11292.48</v>
      </c>
      <c r="AD43">
        <v>11047.41</v>
      </c>
      <c r="AE43">
        <v>17998.38</v>
      </c>
      <c r="AF43">
        <v>29664.45</v>
      </c>
      <c r="AG43" s="5">
        <f>Tabla2[[#This Row],[Deforestation 2012]]/Tabla2[[#This Row],[Forest cover 2011]]</f>
        <v>9.424567322228251E-3</v>
      </c>
      <c r="AH43" s="6">
        <f>Tabla2[[#This Row],[Deforestation 2013]]/Tabla2[[#This Row],[Forest cover 2011]]</f>
        <v>7.6639268746316099E-3</v>
      </c>
      <c r="AI43" s="6">
        <f>Tabla2[[#This Row],[Deforestation 2014]]/Tabla2[[#This Row],[Forest cover 2011]]</f>
        <v>1.263026652401017E-2</v>
      </c>
      <c r="AJ43" s="6">
        <f>Tabla2[[#This Row],[Deforestation 2015]]/Tabla2[[#This Row],[Forest cover 2011]]</f>
        <v>5.6663456556107885E-3</v>
      </c>
      <c r="AK43" s="6">
        <f>Tabla2[[#This Row],[Deforestation 2016]]/Tabla2[[#This Row],[Forest cover 2011]]</f>
        <v>1.4996747472546939E-2</v>
      </c>
      <c r="AL43" s="6">
        <f>Tabla2[[#This Row],[Deforestation 2017]]/Tabla2[[#This Row],[Forest cover 2011]]</f>
        <v>1.4544753047144851E-2</v>
      </c>
      <c r="AM43" s="6">
        <f>Tabla2[[#This Row],[Deforestation 2018]]/Tabla2[[#This Row],[Forest cover 2011]]</f>
        <v>1.1180499494560289E-2</v>
      </c>
      <c r="AN43" s="6">
        <f>Tabla2[[#This Row],[Deforestation 2019]]/Tabla2[[#This Row],[Forest cover 2011]]</f>
        <v>1.3125780682939145E-2</v>
      </c>
      <c r="AO43" s="6">
        <f>Tabla2[[#This Row],[Deforestation 2020]]/Tabla2[[#This Row],[Forest cover 2011]]</f>
        <v>1.4302594997724757E-2</v>
      </c>
      <c r="AP43" s="6">
        <f>Tabla2[[#This Row],[Deforestation 2021]]/Tabla2[[#This Row],[Forest cover 2011]]</f>
        <v>1.5640381426286733E-2</v>
      </c>
      <c r="AQ43" s="6">
        <f>Tabla2[[#This Row],[Deforestation 2022]]/Tabla2[[#This Row],[Forest cover 2011]]</f>
        <v>1.5408276180809987E-2</v>
      </c>
      <c r="AR43" s="6">
        <f>Tabla2[[#This Row],[Deforestation 2023]]/Tabla2[[#This Row],[Forest cover 2011]]</f>
        <v>2.42485083674959E-2</v>
      </c>
      <c r="AS43" s="6">
        <f>Tabla2[[#This Row],[Deforestation 2024]]/Tabla2[[#This Row],[Forest cover 2011]]</f>
        <v>2.4508736013877451E-2</v>
      </c>
      <c r="AT43" s="6">
        <f>Tabla2[[#This Row],[Forest Loss 2012]]/Tabla2[[#This Row],[Forest cover 2011]]</f>
        <v>1.3228090231932185E-2</v>
      </c>
      <c r="AU43" s="6">
        <f>Tabla2[[#This Row],[Forest Loss 2013]]/Tabla2[[#This Row],[Forest cover 2011]]</f>
        <v>1.0727868815744066E-2</v>
      </c>
      <c r="AV43" s="6">
        <f>Tabla2[[#This Row],[Forest Loss 2014]]/Tabla2[[#This Row],[Forest cover 2011]]</f>
        <v>2.0235403583175628E-2</v>
      </c>
      <c r="AW43" s="6">
        <f>Tabla2[[#This Row],[Forest Loss 2015]]/Tabla2[[#This Row],[Forest cover 2011]]</f>
        <v>8.1183390630074122E-3</v>
      </c>
      <c r="AX43" s="6">
        <f>Tabla2[[#This Row],[Forest Loss 2016]]/Tabla2[[#This Row],[Forest cover 2011]]</f>
        <v>1.7814077590340351E-2</v>
      </c>
      <c r="AY43" s="6">
        <f>Tabla2[[#This Row],[Forest Loss 2017]]/Tabla2[[#This Row],[Forest cover 2011]]</f>
        <v>2.2477178862541778E-2</v>
      </c>
      <c r="AZ43" s="6">
        <f>Tabla2[[#This Row],[Forest Loss 2018]]/Tabla2[[#This Row],[Forest cover 2011]]</f>
        <v>1.264859062233728E-2</v>
      </c>
      <c r="BA43" s="6">
        <f>Tabla2[[#This Row],[Forest Loss 2019]]/Tabla2[[#This Row],[Forest cover 2011]]</f>
        <v>1.5511858236631298E-2</v>
      </c>
      <c r="BB43" s="6">
        <f>Tabla2[[#This Row],[Forest Loss 2020]]/Tabla2[[#This Row],[Forest cover 2011]]</f>
        <v>2.119869125217726E-2</v>
      </c>
      <c r="BC43" s="6">
        <f>Tabla2[[#This Row],[Forest Loss 2021]]/Tabla2[[#This Row],[Forest cover 2011]]</f>
        <v>1.5966397675689928E-2</v>
      </c>
      <c r="BD43" s="6">
        <f>Tabla2[[#This Row],[Forest Loss 2022]]/Tabla2[[#This Row],[Forest cover 2011]]</f>
        <v>1.561989406635156E-2</v>
      </c>
      <c r="BE43" s="6">
        <f>Tabla2[[#This Row],[Forest Loss 2023]]/Tabla2[[#This Row],[Forest cover 2011]]</f>
        <v>2.5447846053141925E-2</v>
      </c>
      <c r="BF43" s="6">
        <f>Tabla2[[#This Row],[Forest Loss 2024]]/Tabla2[[#This Row],[Forest cover 2011]]</f>
        <v>4.1942461313247408E-2</v>
      </c>
    </row>
    <row r="44" spans="1:58" x14ac:dyDescent="0.25">
      <c r="A44" s="2">
        <v>80102</v>
      </c>
      <c r="B44" s="3" t="s">
        <v>365</v>
      </c>
      <c r="C44" t="s">
        <v>352</v>
      </c>
      <c r="D44">
        <v>334434.24</v>
      </c>
      <c r="E44" s="4">
        <f>AVERAGE(Tabla2[[#This Row],[Deforestation 2012]:[Deforestation 2014]])</f>
        <v>534.84</v>
      </c>
      <c r="F44" s="4">
        <f>AVERAGE(Tabla2[[#This Row],[Deforestation 2022]:[Deforestation 2024]])</f>
        <v>3359.76</v>
      </c>
      <c r="G44">
        <v>652.5</v>
      </c>
      <c r="H44">
        <v>462.42</v>
      </c>
      <c r="I44">
        <v>489.6</v>
      </c>
      <c r="J44">
        <v>1235.97</v>
      </c>
      <c r="K44">
        <v>777.24</v>
      </c>
      <c r="L44">
        <v>2388.6</v>
      </c>
      <c r="M44">
        <v>2213.2800000000002</v>
      </c>
      <c r="N44">
        <v>2565.9899999999998</v>
      </c>
      <c r="O44">
        <v>2011.68</v>
      </c>
      <c r="P44">
        <v>1411.02</v>
      </c>
      <c r="Q44">
        <v>1925.19</v>
      </c>
      <c r="R44">
        <v>4627.17</v>
      </c>
      <c r="S44">
        <v>3526.92</v>
      </c>
      <c r="T44">
        <v>7365.6900000000014</v>
      </c>
      <c r="U44">
        <v>2780.91</v>
      </c>
      <c r="V44">
        <v>3033.45</v>
      </c>
      <c r="W44">
        <v>2496.96</v>
      </c>
      <c r="X44">
        <v>1256.04</v>
      </c>
      <c r="Y44">
        <v>3185.1</v>
      </c>
      <c r="Z44">
        <v>3185.37</v>
      </c>
      <c r="AA44">
        <v>3984.21</v>
      </c>
      <c r="AB44">
        <v>3581.1</v>
      </c>
      <c r="AC44">
        <v>1700.01</v>
      </c>
      <c r="AD44">
        <v>2290.0500000000002</v>
      </c>
      <c r="AE44">
        <v>5715.18</v>
      </c>
      <c r="AF44">
        <v>14024.7</v>
      </c>
      <c r="AG44" s="5">
        <f>Tabla2[[#This Row],[Deforestation 2012]]/Tabla2[[#This Row],[Forest cover 2011]]</f>
        <v>1.951056207641897E-3</v>
      </c>
      <c r="AH44" s="6">
        <f>Tabla2[[#This Row],[Deforestation 2013]]/Tabla2[[#This Row],[Forest cover 2011]]</f>
        <v>1.3826933510157333E-3</v>
      </c>
      <c r="AI44" s="6">
        <f>Tabla2[[#This Row],[Deforestation 2014]]/Tabla2[[#This Row],[Forest cover 2011]]</f>
        <v>1.4639649337340581E-3</v>
      </c>
      <c r="AJ44" s="6">
        <f>Tabla2[[#This Row],[Deforestation 2015]]/Tabla2[[#This Row],[Forest cover 2011]]</f>
        <v>3.695704124075334E-3</v>
      </c>
      <c r="AK44" s="6">
        <f>Tabla2[[#This Row],[Deforestation 2016]]/Tabla2[[#This Row],[Forest cover 2011]]</f>
        <v>2.3240443323028171E-3</v>
      </c>
      <c r="AL44" s="6">
        <f>Tabla2[[#This Row],[Deforestation 2017]]/Tabla2[[#This Row],[Forest cover 2011]]</f>
        <v>7.1422112759746128E-3</v>
      </c>
      <c r="AM44" s="6">
        <f>Tabla2[[#This Row],[Deforestation 2018]]/Tabla2[[#This Row],[Forest cover 2011]]</f>
        <v>6.6179826563213156E-3</v>
      </c>
      <c r="AN44" s="6">
        <f>Tabla2[[#This Row],[Deforestation 2019]]/Tabla2[[#This Row],[Forest cover 2011]]</f>
        <v>7.6726294532521548E-3</v>
      </c>
      <c r="AO44" s="6">
        <f>Tabla2[[#This Row],[Deforestation 2020]]/Tabla2[[#This Row],[Forest cover 2011]]</f>
        <v>6.0151735659602322E-3</v>
      </c>
      <c r="AP44" s="6">
        <f>Tabla2[[#This Row],[Deforestation 2021]]/Tabla2[[#This Row],[Forest cover 2011]]</f>
        <v>4.2191254101254707E-3</v>
      </c>
      <c r="AQ44" s="6">
        <f>Tabla2[[#This Row],[Deforestation 2022]]/Tabla2[[#This Row],[Forest cover 2011]]</f>
        <v>5.7565577017472851E-3</v>
      </c>
      <c r="AR44" s="6">
        <f>Tabla2[[#This Row],[Deforestation 2023]]/Tabla2[[#This Row],[Forest cover 2011]]</f>
        <v>1.3835814179792117E-2</v>
      </c>
      <c r="AS44" s="6">
        <f>Tabla2[[#This Row],[Deforestation 2024]]/Tabla2[[#This Row],[Forest cover 2011]]</f>
        <v>1.0545929746906298E-2</v>
      </c>
      <c r="AT44" s="6">
        <f>Tabla2[[#This Row],[Forest Loss 2012]]/Tabla2[[#This Row],[Forest cover 2011]]</f>
        <v>2.2024329805464898E-2</v>
      </c>
      <c r="AU44" s="6">
        <f>Tabla2[[#This Row],[Forest Loss 2013]]/Tabla2[[#This Row],[Forest cover 2011]]</f>
        <v>8.3152670013692375E-3</v>
      </c>
      <c r="AV44" s="6">
        <f>Tabla2[[#This Row],[Forest Loss 2014]]/Tabla2[[#This Row],[Forest cover 2011]]</f>
        <v>9.0703930315269143E-3</v>
      </c>
      <c r="AW44" s="6">
        <f>Tabla2[[#This Row],[Forest Loss 2015]]/Tabla2[[#This Row],[Forest cover 2011]]</f>
        <v>7.4662211620436956E-3</v>
      </c>
      <c r="AX44" s="6">
        <f>Tabla2[[#This Row],[Forest Loss 2016]]/Tabla2[[#This Row],[Forest cover 2011]]</f>
        <v>3.7557159219103881E-3</v>
      </c>
      <c r="AY44" s="6">
        <f>Tabla2[[#This Row],[Forest Loss 2017]]/Tabla2[[#This Row],[Forest cover 2011]]</f>
        <v>9.5238454053029973E-3</v>
      </c>
      <c r="AZ44" s="6">
        <f>Tabla2[[#This Row],[Forest Loss 2018]]/Tabla2[[#This Row],[Forest cover 2011]]</f>
        <v>9.52465273890616E-3</v>
      </c>
      <c r="BA44" s="6">
        <f>Tabla2[[#This Row],[Forest Loss 2019]]/Tabla2[[#This Row],[Forest cover 2011]]</f>
        <v>1.191328375946195E-2</v>
      </c>
      <c r="BB44" s="6">
        <f>Tabla2[[#This Row],[Forest Loss 2020]]/Tabla2[[#This Row],[Forest cover 2011]]</f>
        <v>1.0707934689940839E-2</v>
      </c>
      <c r="BC44" s="6">
        <f>Tabla2[[#This Row],[Forest Loss 2021]]/Tabla2[[#This Row],[Forest cover 2011]]</f>
        <v>5.08324147671004E-3</v>
      </c>
      <c r="BD44" s="6">
        <f>Tabla2[[#This Row],[Forest Loss 2022]]/Tabla2[[#This Row],[Forest cover 2011]]</f>
        <v>6.8475345108204239E-3</v>
      </c>
      <c r="BE44" s="6">
        <f>Tabla2[[#This Row],[Forest Loss 2023]]/Tabla2[[#This Row],[Forest cover 2011]]</f>
        <v>1.7089099489334587E-2</v>
      </c>
      <c r="BF44" s="6">
        <f>Tabla2[[#This Row],[Forest Loss 2024]]/Tabla2[[#This Row],[Forest cover 2011]]</f>
        <v>4.1935598460253354E-2</v>
      </c>
    </row>
    <row r="45" spans="1:58" x14ac:dyDescent="0.25">
      <c r="A45" s="2">
        <v>71001</v>
      </c>
      <c r="B45" s="3" t="s">
        <v>310</v>
      </c>
      <c r="C45" t="s">
        <v>347</v>
      </c>
      <c r="D45">
        <v>3696.57</v>
      </c>
      <c r="E45" s="4">
        <f>AVERAGE(Tabla2[[#This Row],[Deforestation 2012]:[Deforestation 2014]])</f>
        <v>195.66</v>
      </c>
      <c r="F45" s="4">
        <f>AVERAGE(Tabla2[[#This Row],[Deforestation 2022]:[Deforestation 2024]])</f>
        <v>104.64</v>
      </c>
      <c r="G45">
        <v>285.57</v>
      </c>
      <c r="H45">
        <v>179.01</v>
      </c>
      <c r="I45">
        <v>122.4</v>
      </c>
      <c r="J45">
        <v>103.59</v>
      </c>
      <c r="K45">
        <v>80.37</v>
      </c>
      <c r="L45">
        <v>130.94999999999999</v>
      </c>
      <c r="M45">
        <v>87.210000000000008</v>
      </c>
      <c r="N45">
        <v>58.41</v>
      </c>
      <c r="O45">
        <v>82.08</v>
      </c>
      <c r="P45">
        <v>134.91</v>
      </c>
      <c r="Q45">
        <v>5.58</v>
      </c>
      <c r="R45">
        <v>157.41</v>
      </c>
      <c r="S45">
        <v>150.93</v>
      </c>
      <c r="T45">
        <v>292.23</v>
      </c>
      <c r="U45">
        <v>189.27</v>
      </c>
      <c r="V45">
        <v>137.79</v>
      </c>
      <c r="W45">
        <v>111.06</v>
      </c>
      <c r="X45">
        <v>83.25</v>
      </c>
      <c r="Y45">
        <v>136.53</v>
      </c>
      <c r="Z45">
        <v>91.62</v>
      </c>
      <c r="AA45">
        <v>59.85</v>
      </c>
      <c r="AB45">
        <v>86.13</v>
      </c>
      <c r="AC45">
        <v>136.26</v>
      </c>
      <c r="AD45">
        <v>6.48</v>
      </c>
      <c r="AE45">
        <v>158.04</v>
      </c>
      <c r="AF45">
        <v>151.19999999999999</v>
      </c>
      <c r="AG45" s="5">
        <f>Tabla2[[#This Row],[Deforestation 2012]]/Tabla2[[#This Row],[Forest cover 2011]]</f>
        <v>7.7252696418571812E-2</v>
      </c>
      <c r="AH45" s="6">
        <f>Tabla2[[#This Row],[Deforestation 2013]]/Tabla2[[#This Row],[Forest cover 2011]]</f>
        <v>4.8425973267109776E-2</v>
      </c>
      <c r="AI45" s="6">
        <f>Tabla2[[#This Row],[Deforestation 2014]]/Tabla2[[#This Row],[Forest cover 2011]]</f>
        <v>3.3111776592895575E-2</v>
      </c>
      <c r="AJ45" s="6">
        <f>Tabla2[[#This Row],[Deforestation 2015]]/Tabla2[[#This Row],[Forest cover 2011]]</f>
        <v>2.802327563119324E-2</v>
      </c>
      <c r="AK45" s="6">
        <f>Tabla2[[#This Row],[Deforestation 2016]]/Tabla2[[#This Row],[Forest cover 2011]]</f>
        <v>2.1741776836364524E-2</v>
      </c>
      <c r="AL45" s="6">
        <f>Tabla2[[#This Row],[Deforestation 2017]]/Tabla2[[#This Row],[Forest cover 2011]]</f>
        <v>3.5424731575487541E-2</v>
      </c>
      <c r="AM45" s="6">
        <f>Tabla2[[#This Row],[Deforestation 2018]]/Tabla2[[#This Row],[Forest cover 2011]]</f>
        <v>2.3592140822438098E-2</v>
      </c>
      <c r="AN45" s="6">
        <f>Tabla2[[#This Row],[Deforestation 2019]]/Tabla2[[#This Row],[Forest cover 2011]]</f>
        <v>1.5801134565286198E-2</v>
      </c>
      <c r="AO45" s="6">
        <f>Tabla2[[#This Row],[Deforestation 2020]]/Tabla2[[#This Row],[Forest cover 2011]]</f>
        <v>2.2204367832882915E-2</v>
      </c>
      <c r="AP45" s="6">
        <f>Tabla2[[#This Row],[Deforestation 2021]]/Tabla2[[#This Row],[Forest cover 2011]]</f>
        <v>3.6495994935845932E-2</v>
      </c>
      <c r="AQ45" s="6">
        <f>Tabla2[[#This Row],[Deforestation 2022]]/Tabla2[[#This Row],[Forest cover 2011]]</f>
        <v>1.5095074623231806E-3</v>
      </c>
      <c r="AR45" s="6">
        <f>Tabla2[[#This Row],[Deforestation 2023]]/Tabla2[[#This Row],[Forest cover 2011]]</f>
        <v>4.2582718574245851E-2</v>
      </c>
      <c r="AS45" s="6">
        <f>Tabla2[[#This Row],[Deforestation 2024]]/Tabla2[[#This Row],[Forest cover 2011]]</f>
        <v>4.0829742166386677E-2</v>
      </c>
      <c r="AT45" s="6">
        <f>Tabla2[[#This Row],[Forest Loss 2012]]/Tabla2[[#This Row],[Forest cover 2011]]</f>
        <v>7.9054366615538191E-2</v>
      </c>
      <c r="AU45" s="6">
        <f>Tabla2[[#This Row],[Forest Loss 2013]]/Tabla2[[#This Row],[Forest cover 2011]]</f>
        <v>5.1201519246220142E-2</v>
      </c>
      <c r="AV45" s="6">
        <f>Tabla2[[#This Row],[Forest Loss 2014]]/Tabla2[[#This Row],[Forest cover 2011]]</f>
        <v>3.7275095561561118E-2</v>
      </c>
      <c r="AW45" s="6">
        <f>Tabla2[[#This Row],[Forest Loss 2015]]/Tabla2[[#This Row],[Forest cover 2011]]</f>
        <v>3.0044067879142013E-2</v>
      </c>
      <c r="AX45" s="6">
        <f>Tabla2[[#This Row],[Forest Loss 2016]]/Tabla2[[#This Row],[Forest cover 2011]]</f>
        <v>2.2520877462079709E-2</v>
      </c>
      <c r="AY45" s="6">
        <f>Tabla2[[#This Row],[Forest Loss 2017]]/Tabla2[[#This Row],[Forest cover 2011]]</f>
        <v>3.6934239037810727E-2</v>
      </c>
      <c r="AZ45" s="6">
        <f>Tabla2[[#This Row],[Forest Loss 2018]]/Tabla2[[#This Row],[Forest cover 2011]]</f>
        <v>2.4785138655564483E-2</v>
      </c>
      <c r="BA45" s="6">
        <f>Tabla2[[#This Row],[Forest Loss 2019]]/Tabla2[[#This Row],[Forest cover 2011]]</f>
        <v>1.6190684878143794E-2</v>
      </c>
      <c r="BB45" s="6">
        <f>Tabla2[[#This Row],[Forest Loss 2020]]/Tabla2[[#This Row],[Forest cover 2011]]</f>
        <v>2.3299978087794899E-2</v>
      </c>
      <c r="BC45" s="6">
        <f>Tabla2[[#This Row],[Forest Loss 2021]]/Tabla2[[#This Row],[Forest cover 2011]]</f>
        <v>3.6861198354149922E-2</v>
      </c>
      <c r="BD45" s="6">
        <f>Tabla2[[#This Row],[Forest Loss 2022]]/Tabla2[[#This Row],[Forest cover 2011]]</f>
        <v>1.7529764078591777E-3</v>
      </c>
      <c r="BE45" s="6">
        <f>Tabla2[[#This Row],[Forest Loss 2023]]/Tabla2[[#This Row],[Forest cover 2011]]</f>
        <v>4.2753146836121046E-2</v>
      </c>
      <c r="BF45" s="6">
        <f>Tabla2[[#This Row],[Forest Loss 2024]]/Tabla2[[#This Row],[Forest cover 2011]]</f>
        <v>4.0902782850047469E-2</v>
      </c>
    </row>
    <row r="46" spans="1:58" x14ac:dyDescent="0.25">
      <c r="A46" s="2">
        <v>71503</v>
      </c>
      <c r="B46" s="3" t="s">
        <v>310</v>
      </c>
      <c r="C46" t="s">
        <v>309</v>
      </c>
      <c r="D46">
        <v>510386.49</v>
      </c>
      <c r="E46" s="4">
        <f>AVERAGE(Tabla2[[#This Row],[Deforestation 2012]:[Deforestation 2014]])</f>
        <v>11598.54</v>
      </c>
      <c r="F46" s="4">
        <f>AVERAGE(Tabla2[[#This Row],[Deforestation 2022]:[Deforestation 2024]])</f>
        <v>14565.57</v>
      </c>
      <c r="G46">
        <v>15236.28</v>
      </c>
      <c r="H46">
        <v>8314.65</v>
      </c>
      <c r="I46">
        <v>11244.69</v>
      </c>
      <c r="J46">
        <v>4313.7</v>
      </c>
      <c r="K46">
        <v>14021.19</v>
      </c>
      <c r="L46">
        <v>9323.82</v>
      </c>
      <c r="M46">
        <v>6845.13</v>
      </c>
      <c r="N46">
        <v>6126.57</v>
      </c>
      <c r="O46">
        <v>10240.290000000001</v>
      </c>
      <c r="P46">
        <v>11431.53</v>
      </c>
      <c r="Q46">
        <v>11861.73</v>
      </c>
      <c r="R46">
        <v>15912.45</v>
      </c>
      <c r="S46">
        <v>15922.53</v>
      </c>
      <c r="T46">
        <v>23825.52</v>
      </c>
      <c r="U46">
        <v>13485.96</v>
      </c>
      <c r="V46">
        <v>14507.01</v>
      </c>
      <c r="W46">
        <v>6713.1</v>
      </c>
      <c r="X46">
        <v>15859.8</v>
      </c>
      <c r="Y46">
        <v>10500.57</v>
      </c>
      <c r="Z46">
        <v>8526.7800000000007</v>
      </c>
      <c r="AA46">
        <v>8269.74</v>
      </c>
      <c r="AB46">
        <v>12306.96</v>
      </c>
      <c r="AC46">
        <v>11681.37</v>
      </c>
      <c r="AD46">
        <v>11948.13</v>
      </c>
      <c r="AE46">
        <v>16453.53</v>
      </c>
      <c r="AF46">
        <v>20580.3</v>
      </c>
      <c r="AG46" s="5">
        <f>Tabla2[[#This Row],[Deforestation 2012]]/Tabla2[[#This Row],[Forest cover 2011]]</f>
        <v>2.9852435945159912E-2</v>
      </c>
      <c r="AH46" s="6">
        <f>Tabla2[[#This Row],[Deforestation 2013]]/Tabla2[[#This Row],[Forest cover 2011]]</f>
        <v>1.6290889674607179E-2</v>
      </c>
      <c r="AI46" s="6">
        <f>Tabla2[[#This Row],[Deforestation 2014]]/Tabla2[[#This Row],[Forest cover 2011]]</f>
        <v>2.2031715612221635E-2</v>
      </c>
      <c r="AJ46" s="6">
        <f>Tabla2[[#This Row],[Deforestation 2015]]/Tabla2[[#This Row],[Forest cover 2011]]</f>
        <v>8.4518302982510372E-3</v>
      </c>
      <c r="AK46" s="6">
        <f>Tabla2[[#This Row],[Deforestation 2016]]/Tabla2[[#This Row],[Forest cover 2011]]</f>
        <v>2.7471710703000779E-2</v>
      </c>
      <c r="AL46" s="6">
        <f>Tabla2[[#This Row],[Deforestation 2017]]/Tabla2[[#This Row],[Forest cover 2011]]</f>
        <v>1.8268155961573357E-2</v>
      </c>
      <c r="AM46" s="6">
        <f>Tabla2[[#This Row],[Deforestation 2018]]/Tabla2[[#This Row],[Forest cover 2011]]</f>
        <v>1.3411659858002902E-2</v>
      </c>
      <c r="AN46" s="6">
        <f>Tabla2[[#This Row],[Deforestation 2019]]/Tabla2[[#This Row],[Forest cover 2011]]</f>
        <v>1.200378560177014E-2</v>
      </c>
      <c r="AO46" s="6">
        <f>Tabla2[[#This Row],[Deforestation 2020]]/Tabla2[[#This Row],[Forest cover 2011]]</f>
        <v>2.0063795183920329E-2</v>
      </c>
      <c r="AP46" s="6">
        <f>Tabla2[[#This Row],[Deforestation 2021]]/Tabla2[[#This Row],[Forest cover 2011]]</f>
        <v>2.2397791132755102E-2</v>
      </c>
      <c r="AQ46" s="6">
        <f>Tabla2[[#This Row],[Deforestation 2022]]/Tabla2[[#This Row],[Forest cover 2011]]</f>
        <v>2.324068178215297E-2</v>
      </c>
      <c r="AR46" s="6">
        <f>Tabla2[[#This Row],[Deforestation 2023]]/Tabla2[[#This Row],[Forest cover 2011]]</f>
        <v>3.1177255495144475E-2</v>
      </c>
      <c r="AS46" s="6">
        <f>Tabla2[[#This Row],[Deforestation 2024]]/Tabla2[[#This Row],[Forest cover 2011]]</f>
        <v>3.1197005234209867E-2</v>
      </c>
      <c r="AT46" s="6">
        <f>Tabla2[[#This Row],[Forest Loss 2012]]/Tabla2[[#This Row],[Forest cover 2011]]</f>
        <v>4.6681329672343015E-2</v>
      </c>
      <c r="AU46" s="6">
        <f>Tabla2[[#This Row],[Forest Loss 2013]]/Tabla2[[#This Row],[Forest cover 2011]]</f>
        <v>2.6423034826019785E-2</v>
      </c>
      <c r="AV46" s="6">
        <f>Tabla2[[#This Row],[Forest Loss 2014]]/Tabla2[[#This Row],[Forest cover 2011]]</f>
        <v>2.8423577591170174E-2</v>
      </c>
      <c r="AW46" s="6">
        <f>Tabla2[[#This Row],[Forest Loss 2015]]/Tabla2[[#This Row],[Forest cover 2011]]</f>
        <v>1.3152973543637491E-2</v>
      </c>
      <c r="AX46" s="6">
        <f>Tabla2[[#This Row],[Forest Loss 2016]]/Tabla2[[#This Row],[Forest cover 2011]]</f>
        <v>3.1074098375919002E-2</v>
      </c>
      <c r="AY46" s="6">
        <f>Tabla2[[#This Row],[Forest Loss 2017]]/Tabla2[[#This Row],[Forest cover 2011]]</f>
        <v>2.0573761660501632E-2</v>
      </c>
      <c r="AZ46" s="6">
        <f>Tabla2[[#This Row],[Forest Loss 2018]]/Tabla2[[#This Row],[Forest cover 2011]]</f>
        <v>1.6706515879760065E-2</v>
      </c>
      <c r="BA46" s="6">
        <f>Tabla2[[#This Row],[Forest Loss 2019]]/Tabla2[[#This Row],[Forest cover 2011]]</f>
        <v>1.6202897533592629E-2</v>
      </c>
      <c r="BB46" s="6">
        <f>Tabla2[[#This Row],[Forest Loss 2020]]/Tabla2[[#This Row],[Forest cover 2011]]</f>
        <v>2.4113020703192985E-2</v>
      </c>
      <c r="BC46" s="6">
        <f>Tabla2[[#This Row],[Forest Loss 2021]]/Tabla2[[#This Row],[Forest cover 2011]]</f>
        <v>2.2887302522447257E-2</v>
      </c>
      <c r="BD46" s="6">
        <f>Tabla2[[#This Row],[Forest Loss 2022]]/Tabla2[[#This Row],[Forest cover 2011]]</f>
        <v>2.3409965259856308E-2</v>
      </c>
      <c r="BE46" s="6">
        <f>Tabla2[[#This Row],[Forest Loss 2023]]/Tabla2[[#This Row],[Forest cover 2011]]</f>
        <v>3.223739327426163E-2</v>
      </c>
      <c r="BF46" s="6">
        <f>Tabla2[[#This Row],[Forest Loss 2024]]/Tabla2[[#This Row],[Forest cover 2011]]</f>
        <v>4.0322971715023255E-2</v>
      </c>
    </row>
    <row r="47" spans="1:58" x14ac:dyDescent="0.25">
      <c r="A47" s="2">
        <v>50404</v>
      </c>
      <c r="B47" s="3" t="s">
        <v>258</v>
      </c>
      <c r="C47" t="s">
        <v>272</v>
      </c>
      <c r="D47">
        <v>242.19</v>
      </c>
      <c r="E47" s="4">
        <f>AVERAGE(Tabla2[[#This Row],[Deforestation 2012]:[Deforestation 2014]])</f>
        <v>0.03</v>
      </c>
      <c r="F47" s="4">
        <f>AVERAGE(Tabla2[[#This Row],[Deforestation 2022]:[Deforestation 2024]])</f>
        <v>2.5500000000000003</v>
      </c>
      <c r="G47">
        <v>0</v>
      </c>
      <c r="H47">
        <v>0.09</v>
      </c>
      <c r="I47">
        <v>0</v>
      </c>
      <c r="J47">
        <v>0</v>
      </c>
      <c r="K47">
        <v>0</v>
      </c>
      <c r="L47">
        <v>0.09</v>
      </c>
      <c r="M47">
        <v>0</v>
      </c>
      <c r="N47">
        <v>0</v>
      </c>
      <c r="O47">
        <v>0</v>
      </c>
      <c r="P47">
        <v>0</v>
      </c>
      <c r="Q47">
        <v>0</v>
      </c>
      <c r="R47">
        <v>1.53</v>
      </c>
      <c r="S47">
        <v>6.12</v>
      </c>
      <c r="T47">
        <v>0.72</v>
      </c>
      <c r="U47">
        <v>0.27</v>
      </c>
      <c r="V47">
        <v>2.34</v>
      </c>
      <c r="W47">
        <v>1.08</v>
      </c>
      <c r="X47">
        <v>0.18</v>
      </c>
      <c r="Y47">
        <v>0.45</v>
      </c>
      <c r="Z47">
        <v>1.17</v>
      </c>
      <c r="AA47">
        <v>1.35</v>
      </c>
      <c r="AB47">
        <v>7.6499999999999986</v>
      </c>
      <c r="AC47">
        <v>0</v>
      </c>
      <c r="AD47">
        <v>0.09</v>
      </c>
      <c r="AE47">
        <v>1.89</v>
      </c>
      <c r="AF47">
        <v>9.5399999999999991</v>
      </c>
      <c r="AG47" s="5">
        <f>Tabla2[[#This Row],[Deforestation 2012]]/Tabla2[[#This Row],[Forest cover 2011]]</f>
        <v>0</v>
      </c>
      <c r="AH47" s="6">
        <f>Tabla2[[#This Row],[Deforestation 2013]]/Tabla2[[#This Row],[Forest cover 2011]]</f>
        <v>3.7160906726124119E-4</v>
      </c>
      <c r="AI47" s="6">
        <f>Tabla2[[#This Row],[Deforestation 2014]]/Tabla2[[#This Row],[Forest cover 2011]]</f>
        <v>0</v>
      </c>
      <c r="AJ47" s="6">
        <f>Tabla2[[#This Row],[Deforestation 2015]]/Tabla2[[#This Row],[Forest cover 2011]]</f>
        <v>0</v>
      </c>
      <c r="AK47" s="6">
        <f>Tabla2[[#This Row],[Deforestation 2016]]/Tabla2[[#This Row],[Forest cover 2011]]</f>
        <v>0</v>
      </c>
      <c r="AL47" s="6">
        <f>Tabla2[[#This Row],[Deforestation 2017]]/Tabla2[[#This Row],[Forest cover 2011]]</f>
        <v>3.7160906726124119E-4</v>
      </c>
      <c r="AM47" s="6">
        <f>Tabla2[[#This Row],[Deforestation 2018]]/Tabla2[[#This Row],[Forest cover 2011]]</f>
        <v>0</v>
      </c>
      <c r="AN47" s="6">
        <f>Tabla2[[#This Row],[Deforestation 2019]]/Tabla2[[#This Row],[Forest cover 2011]]</f>
        <v>0</v>
      </c>
      <c r="AO47" s="6">
        <f>Tabla2[[#This Row],[Deforestation 2020]]/Tabla2[[#This Row],[Forest cover 2011]]</f>
        <v>0</v>
      </c>
      <c r="AP47" s="6">
        <f>Tabla2[[#This Row],[Deforestation 2021]]/Tabla2[[#This Row],[Forest cover 2011]]</f>
        <v>0</v>
      </c>
      <c r="AQ47" s="6">
        <f>Tabla2[[#This Row],[Deforestation 2022]]/Tabla2[[#This Row],[Forest cover 2011]]</f>
        <v>0</v>
      </c>
      <c r="AR47" s="6">
        <f>Tabla2[[#This Row],[Deforestation 2023]]/Tabla2[[#This Row],[Forest cover 2011]]</f>
        <v>6.3173541434411E-3</v>
      </c>
      <c r="AS47" s="6">
        <f>Tabla2[[#This Row],[Deforestation 2024]]/Tabla2[[#This Row],[Forest cover 2011]]</f>
        <v>2.52694165737644E-2</v>
      </c>
      <c r="AT47" s="6">
        <f>Tabla2[[#This Row],[Forest Loss 2012]]/Tabla2[[#This Row],[Forest cover 2011]]</f>
        <v>2.9728725380899295E-3</v>
      </c>
      <c r="AU47" s="6">
        <f>Tabla2[[#This Row],[Forest Loss 2013]]/Tabla2[[#This Row],[Forest cover 2011]]</f>
        <v>1.1148272017837235E-3</v>
      </c>
      <c r="AV47" s="6">
        <f>Tabla2[[#This Row],[Forest Loss 2014]]/Tabla2[[#This Row],[Forest cover 2011]]</f>
        <v>9.6618357487922701E-3</v>
      </c>
      <c r="AW47" s="6">
        <f>Tabla2[[#This Row],[Forest Loss 2015]]/Tabla2[[#This Row],[Forest cover 2011]]</f>
        <v>4.459308807134894E-3</v>
      </c>
      <c r="AX47" s="6">
        <f>Tabla2[[#This Row],[Forest Loss 2016]]/Tabla2[[#This Row],[Forest cover 2011]]</f>
        <v>7.4321813452248237E-4</v>
      </c>
      <c r="AY47" s="6">
        <f>Tabla2[[#This Row],[Forest Loss 2017]]/Tabla2[[#This Row],[Forest cover 2011]]</f>
        <v>1.858045336306206E-3</v>
      </c>
      <c r="AZ47" s="6">
        <f>Tabla2[[#This Row],[Forest Loss 2018]]/Tabla2[[#This Row],[Forest cover 2011]]</f>
        <v>4.830917874396135E-3</v>
      </c>
      <c r="BA47" s="6">
        <f>Tabla2[[#This Row],[Forest Loss 2019]]/Tabla2[[#This Row],[Forest cover 2011]]</f>
        <v>5.5741360089186179E-3</v>
      </c>
      <c r="BB47" s="6">
        <f>Tabla2[[#This Row],[Forest Loss 2020]]/Tabla2[[#This Row],[Forest cover 2011]]</f>
        <v>3.1586770717205497E-2</v>
      </c>
      <c r="BC47" s="6">
        <f>Tabla2[[#This Row],[Forest Loss 2021]]/Tabla2[[#This Row],[Forest cover 2011]]</f>
        <v>0</v>
      </c>
      <c r="BD47" s="6">
        <f>Tabla2[[#This Row],[Forest Loss 2022]]/Tabla2[[#This Row],[Forest cover 2011]]</f>
        <v>3.7160906726124119E-4</v>
      </c>
      <c r="BE47" s="6">
        <f>Tabla2[[#This Row],[Forest Loss 2023]]/Tabla2[[#This Row],[Forest cover 2011]]</f>
        <v>7.8037904124860641E-3</v>
      </c>
      <c r="BF47" s="6">
        <f>Tabla2[[#This Row],[Forest Loss 2024]]/Tabla2[[#This Row],[Forest cover 2011]]</f>
        <v>3.9390561129691561E-2</v>
      </c>
    </row>
    <row r="48" spans="1:58" x14ac:dyDescent="0.25">
      <c r="A48" s="2">
        <v>20905</v>
      </c>
      <c r="B48" s="3" t="s">
        <v>88</v>
      </c>
      <c r="C48" t="s">
        <v>137</v>
      </c>
      <c r="D48">
        <v>4399.29</v>
      </c>
      <c r="E48" s="4">
        <f>AVERAGE(Tabla2[[#This Row],[Deforestation 2012]:[Deforestation 2014]])</f>
        <v>10.41</v>
      </c>
      <c r="F48" s="4">
        <f>AVERAGE(Tabla2[[#This Row],[Deforestation 2022]:[Deforestation 2024]])</f>
        <v>100.62</v>
      </c>
      <c r="G48">
        <v>9.09</v>
      </c>
      <c r="H48">
        <v>11.16</v>
      </c>
      <c r="I48">
        <v>10.98</v>
      </c>
      <c r="J48">
        <v>6.84</v>
      </c>
      <c r="K48">
        <v>5.1300000000000008</v>
      </c>
      <c r="L48">
        <v>6.66</v>
      </c>
      <c r="M48">
        <v>10.89</v>
      </c>
      <c r="N48">
        <v>35.549999999999997</v>
      </c>
      <c r="O48">
        <v>20.16</v>
      </c>
      <c r="P48">
        <v>13.86</v>
      </c>
      <c r="Q48">
        <v>18.899999999999999</v>
      </c>
      <c r="R48">
        <v>237.42</v>
      </c>
      <c r="S48">
        <v>45.54</v>
      </c>
      <c r="T48">
        <v>57.87</v>
      </c>
      <c r="U48">
        <v>85.05</v>
      </c>
      <c r="V48">
        <v>86.669999999999987</v>
      </c>
      <c r="W48">
        <v>42.66</v>
      </c>
      <c r="X48">
        <v>17.46</v>
      </c>
      <c r="Y48">
        <v>19.89</v>
      </c>
      <c r="Z48">
        <v>41.76</v>
      </c>
      <c r="AA48">
        <v>114.75</v>
      </c>
      <c r="AB48">
        <v>91.89</v>
      </c>
      <c r="AC48">
        <v>26.19</v>
      </c>
      <c r="AD48">
        <v>19.440000000000001</v>
      </c>
      <c r="AE48">
        <v>257.85000000000002</v>
      </c>
      <c r="AF48">
        <v>170.82</v>
      </c>
      <c r="AG48" s="5">
        <f>Tabla2[[#This Row],[Deforestation 2012]]/Tabla2[[#This Row],[Forest cover 2011]]</f>
        <v>2.06624250731368E-3</v>
      </c>
      <c r="AH48" s="6">
        <f>Tabla2[[#This Row],[Deforestation 2013]]/Tabla2[[#This Row],[Forest cover 2011]]</f>
        <v>2.5367729792762014E-3</v>
      </c>
      <c r="AI48" s="6">
        <f>Tabla2[[#This Row],[Deforestation 2014]]/Tabla2[[#This Row],[Forest cover 2011]]</f>
        <v>2.4958572860620692E-3</v>
      </c>
      <c r="AJ48" s="6">
        <f>Tabla2[[#This Row],[Deforestation 2015]]/Tabla2[[#This Row],[Forest cover 2011]]</f>
        <v>1.5547963421370266E-3</v>
      </c>
      <c r="AK48" s="6">
        <f>Tabla2[[#This Row],[Deforestation 2016]]/Tabla2[[#This Row],[Forest cover 2011]]</f>
        <v>1.1660972566027701E-3</v>
      </c>
      <c r="AL48" s="6">
        <f>Tabla2[[#This Row],[Deforestation 2017]]/Tabla2[[#This Row],[Forest cover 2011]]</f>
        <v>1.5138806489228944E-3</v>
      </c>
      <c r="AM48" s="6">
        <f>Tabla2[[#This Row],[Deforestation 2018]]/Tabla2[[#This Row],[Forest cover 2011]]</f>
        <v>2.4753994394550033E-3</v>
      </c>
      <c r="AN48" s="6">
        <f>Tabla2[[#This Row],[Deforestation 2019]]/Tabla2[[#This Row],[Forest cover 2011]]</f>
        <v>8.080849409791124E-3</v>
      </c>
      <c r="AO48" s="6">
        <f>Tabla2[[#This Row],[Deforestation 2020]]/Tabla2[[#This Row],[Forest cover 2011]]</f>
        <v>4.5825576399828151E-3</v>
      </c>
      <c r="AP48" s="6">
        <f>Tabla2[[#This Row],[Deforestation 2021]]/Tabla2[[#This Row],[Forest cover 2011]]</f>
        <v>3.1505083774881855E-3</v>
      </c>
      <c r="AQ48" s="6">
        <f>Tabla2[[#This Row],[Deforestation 2022]]/Tabla2[[#This Row],[Forest cover 2011]]</f>
        <v>4.296147787483889E-3</v>
      </c>
      <c r="AR48" s="6">
        <f>Tabla2[[#This Row],[Deforestation 2023]]/Tabla2[[#This Row],[Forest cover 2011]]</f>
        <v>5.3967799349440473E-2</v>
      </c>
      <c r="AS48" s="6">
        <f>Tabla2[[#This Row],[Deforestation 2024]]/Tabla2[[#This Row],[Forest cover 2011]]</f>
        <v>1.0351670383175467E-2</v>
      </c>
      <c r="AT48" s="6">
        <f>Tabla2[[#This Row],[Forest Loss 2012]]/Tabla2[[#This Row],[Forest cover 2011]]</f>
        <v>1.3154395368343527E-2</v>
      </c>
      <c r="AU48" s="6">
        <f>Tabla2[[#This Row],[Forest Loss 2013]]/Tabla2[[#This Row],[Forest cover 2011]]</f>
        <v>1.9332665043677501E-2</v>
      </c>
      <c r="AV48" s="6">
        <f>Tabla2[[#This Row],[Forest Loss 2014]]/Tabla2[[#This Row],[Forest cover 2011]]</f>
        <v>1.970090628260469E-2</v>
      </c>
      <c r="AW48" s="6">
        <f>Tabla2[[#This Row],[Forest Loss 2015]]/Tabla2[[#This Row],[Forest cover 2011]]</f>
        <v>9.6970192917493498E-3</v>
      </c>
      <c r="AX48" s="6">
        <f>Tabla2[[#This Row],[Forest Loss 2016]]/Tabla2[[#This Row],[Forest cover 2011]]</f>
        <v>3.9688222417708311E-3</v>
      </c>
      <c r="AY48" s="6">
        <f>Tabla2[[#This Row],[Forest Loss 2017]]/Tabla2[[#This Row],[Forest cover 2011]]</f>
        <v>4.521184100161617E-3</v>
      </c>
      <c r="AZ48" s="6">
        <f>Tabla2[[#This Row],[Forest Loss 2018]]/Tabla2[[#This Row],[Forest cover 2011]]</f>
        <v>9.4924408256786882E-3</v>
      </c>
      <c r="BA48" s="6">
        <f>Tabla2[[#This Row],[Forest Loss 2019]]/Tabla2[[#This Row],[Forest cover 2011]]</f>
        <v>2.6083754424009328E-2</v>
      </c>
      <c r="BB48" s="6">
        <f>Tabla2[[#This Row],[Forest Loss 2020]]/Tabla2[[#This Row],[Forest cover 2011]]</f>
        <v>2.0887461385814529E-2</v>
      </c>
      <c r="BC48" s="6">
        <f>Tabla2[[#This Row],[Forest Loss 2021]]/Tabla2[[#This Row],[Forest cover 2011]]</f>
        <v>5.9532333626562475E-3</v>
      </c>
      <c r="BD48" s="6">
        <f>Tabla2[[#This Row],[Forest Loss 2022]]/Tabla2[[#This Row],[Forest cover 2011]]</f>
        <v>4.418894867126287E-3</v>
      </c>
      <c r="BE48" s="6">
        <f>Tabla2[[#This Row],[Forest Loss 2023]]/Tabla2[[#This Row],[Forest cover 2011]]</f>
        <v>5.8611730529244496E-2</v>
      </c>
      <c r="BF48" s="6">
        <f>Tabla2[[#This Row],[Forest Loss 2024]]/Tabla2[[#This Row],[Forest cover 2011]]</f>
        <v>3.8828992860211534E-2</v>
      </c>
    </row>
    <row r="49" spans="1:58" x14ac:dyDescent="0.25">
      <c r="A49" s="2">
        <v>80601</v>
      </c>
      <c r="B49" s="3" t="s">
        <v>365</v>
      </c>
      <c r="C49" t="s">
        <v>376</v>
      </c>
      <c r="D49">
        <v>267892.65000000002</v>
      </c>
      <c r="E49" s="4">
        <f>AVERAGE(Tabla2[[#This Row],[Deforestation 2012]:[Deforestation 2014]])</f>
        <v>46.71</v>
      </c>
      <c r="F49" s="4">
        <f>AVERAGE(Tabla2[[#This Row],[Deforestation 2022]:[Deforestation 2024]])</f>
        <v>190.04999999999998</v>
      </c>
      <c r="G49">
        <v>75.510000000000005</v>
      </c>
      <c r="H49">
        <v>33.659999999999997</v>
      </c>
      <c r="I49">
        <v>30.96</v>
      </c>
      <c r="J49">
        <v>14.76</v>
      </c>
      <c r="K49">
        <v>19.53</v>
      </c>
      <c r="L49">
        <v>22.41</v>
      </c>
      <c r="M49">
        <v>28.62</v>
      </c>
      <c r="N49">
        <v>18.27</v>
      </c>
      <c r="O49">
        <v>42.39</v>
      </c>
      <c r="P49">
        <v>132.47999999999999</v>
      </c>
      <c r="Q49">
        <v>31.77</v>
      </c>
      <c r="R49">
        <v>194.13</v>
      </c>
      <c r="S49">
        <v>344.25</v>
      </c>
      <c r="T49">
        <v>8147.16</v>
      </c>
      <c r="U49">
        <v>2517.39</v>
      </c>
      <c r="V49">
        <v>3193.2</v>
      </c>
      <c r="W49">
        <v>1632.69</v>
      </c>
      <c r="X49">
        <v>763.2</v>
      </c>
      <c r="Y49">
        <v>764.1</v>
      </c>
      <c r="Z49">
        <v>1235.8800000000001</v>
      </c>
      <c r="AA49">
        <v>1533.78</v>
      </c>
      <c r="AB49">
        <v>1239.1199999999999</v>
      </c>
      <c r="AC49">
        <v>656.91000000000008</v>
      </c>
      <c r="AD49">
        <v>540.36</v>
      </c>
      <c r="AE49">
        <v>1326.96</v>
      </c>
      <c r="AF49">
        <v>10383.84</v>
      </c>
      <c r="AG49" s="5">
        <f>Tabla2[[#This Row],[Deforestation 2012]]/Tabla2[[#This Row],[Forest cover 2011]]</f>
        <v>2.818666357587638E-4</v>
      </c>
      <c r="AH49" s="6">
        <f>Tabla2[[#This Row],[Deforestation 2013]]/Tabla2[[#This Row],[Forest cover 2011]]</f>
        <v>1.2564734418805441E-4</v>
      </c>
      <c r="AI49" s="6">
        <f>Tabla2[[#This Row],[Deforestation 2014]]/Tabla2[[#This Row],[Forest cover 2011]]</f>
        <v>1.1556868021575059E-4</v>
      </c>
      <c r="AJ49" s="6">
        <f>Tabla2[[#This Row],[Deforestation 2015]]/Tabla2[[#This Row],[Forest cover 2011]]</f>
        <v>5.5096696381927603E-5</v>
      </c>
      <c r="AK49" s="6">
        <f>Tabla2[[#This Row],[Deforestation 2016]]/Tabla2[[#This Row],[Forest cover 2011]]</f>
        <v>7.2902336066331042E-5</v>
      </c>
      <c r="AL49" s="6">
        <f>Tabla2[[#This Row],[Deforestation 2017]]/Tabla2[[#This Row],[Forest cover 2011]]</f>
        <v>8.3652910970121797E-5</v>
      </c>
      <c r="AM49" s="6">
        <f>Tabla2[[#This Row],[Deforestation 2018]]/Tabla2[[#This Row],[Forest cover 2011]]</f>
        <v>1.0683383810642061E-4</v>
      </c>
      <c r="AN49" s="6">
        <f>Tabla2[[#This Row],[Deforestation 2019]]/Tabla2[[#This Row],[Forest cover 2011]]</f>
        <v>6.8198959545922591E-5</v>
      </c>
      <c r="AO49" s="6">
        <f>Tabla2[[#This Row],[Deforestation 2020]]/Tabla2[[#This Row],[Forest cover 2011]]</f>
        <v>1.5823502436517015E-4</v>
      </c>
      <c r="AP49" s="6">
        <f>Tabla2[[#This Row],[Deforestation 2021]]/Tabla2[[#This Row],[Forest cover 2011]]</f>
        <v>4.9452644557437461E-4</v>
      </c>
      <c r="AQ49" s="6">
        <f>Tabla2[[#This Row],[Deforestation 2022]]/Tabla2[[#This Row],[Forest cover 2011]]</f>
        <v>1.1859227940744174E-4</v>
      </c>
      <c r="AR49" s="6">
        <f>Tabla2[[#This Row],[Deforestation 2023]]/Tabla2[[#This Row],[Forest cover 2011]]</f>
        <v>7.2465593960864539E-4</v>
      </c>
      <c r="AS49" s="6">
        <f>Tabla2[[#This Row],[Deforestation 2024]]/Tabla2[[#This Row],[Forest cover 2011]]</f>
        <v>1.2850296564687383E-3</v>
      </c>
      <c r="AT49" s="6">
        <f>Tabla2[[#This Row],[Forest Loss 2012]]/Tabla2[[#This Row],[Forest cover 2011]]</f>
        <v>3.0412032580961066E-2</v>
      </c>
      <c r="AU49" s="6">
        <f>Tabla2[[#This Row],[Forest Loss 2013]]/Tabla2[[#This Row],[Forest cover 2011]]</f>
        <v>9.3970103323103484E-3</v>
      </c>
      <c r="AV49" s="6">
        <f>Tabla2[[#This Row],[Forest Loss 2014]]/Tabla2[[#This Row],[Forest cover 2011]]</f>
        <v>1.1919699924577996E-2</v>
      </c>
      <c r="AW49" s="6">
        <f>Tabla2[[#This Row],[Forest Loss 2015]]/Tabla2[[#This Row],[Forest cover 2011]]</f>
        <v>6.0945681040521262E-3</v>
      </c>
      <c r="AX49" s="6">
        <f>Tabla2[[#This Row],[Forest Loss 2016]]/Tabla2[[#This Row],[Forest cover 2011]]</f>
        <v>2.8489023495045498E-3</v>
      </c>
      <c r="AY49" s="6">
        <f>Tabla2[[#This Row],[Forest Loss 2017]]/Tabla2[[#This Row],[Forest cover 2011]]</f>
        <v>2.852261904161984E-3</v>
      </c>
      <c r="AZ49" s="6">
        <f>Tabla2[[#This Row],[Forest Loss 2018]]/Tabla2[[#This Row],[Forest cover 2011]]</f>
        <v>4.6133404555892075E-3</v>
      </c>
      <c r="BA49" s="6">
        <f>Tabla2[[#This Row],[Forest Loss 2019]]/Tabla2[[#This Row],[Forest cover 2011]]</f>
        <v>5.7253530472000623E-3</v>
      </c>
      <c r="BB49" s="6">
        <f>Tabla2[[#This Row],[Forest Loss 2020]]/Tabla2[[#This Row],[Forest cover 2011]]</f>
        <v>4.6254348523559708E-3</v>
      </c>
      <c r="BC49" s="6">
        <f>Tabla2[[#This Row],[Forest Loss 2021]]/Tabla2[[#This Row],[Forest cover 2011]]</f>
        <v>2.4521389444615224E-3</v>
      </c>
      <c r="BD49" s="6">
        <f>Tabla2[[#This Row],[Forest Loss 2022]]/Tabla2[[#This Row],[Forest cover 2011]]</f>
        <v>2.0170766163237399E-3</v>
      </c>
      <c r="BE49" s="6">
        <f>Tabla2[[#This Row],[Forest Loss 2023]]/Tabla2[[#This Row],[Forest cover 2011]]</f>
        <v>4.9533273869215898E-3</v>
      </c>
      <c r="BF49" s="6">
        <f>Tabla2[[#This Row],[Forest Loss 2024]]/Tabla2[[#This Row],[Forest cover 2011]]</f>
        <v>3.8761197815617557E-2</v>
      </c>
    </row>
    <row r="50" spans="1:58" x14ac:dyDescent="0.25">
      <c r="A50" s="2">
        <v>60401</v>
      </c>
      <c r="B50" s="3" t="s">
        <v>300</v>
      </c>
      <c r="C50" t="s">
        <v>306</v>
      </c>
      <c r="D50">
        <v>12931.2</v>
      </c>
      <c r="E50" s="4">
        <f>AVERAGE(Tabla2[[#This Row],[Deforestation 2012]:[Deforestation 2014]])</f>
        <v>21.209999999999997</v>
      </c>
      <c r="F50" s="4">
        <f>AVERAGE(Tabla2[[#This Row],[Deforestation 2022]:[Deforestation 2024]])</f>
        <v>148.67999999999998</v>
      </c>
      <c r="G50">
        <v>5.04</v>
      </c>
      <c r="H50">
        <v>11.16</v>
      </c>
      <c r="I50">
        <v>47.43</v>
      </c>
      <c r="J50">
        <v>10.26</v>
      </c>
      <c r="K50">
        <v>10.62</v>
      </c>
      <c r="L50">
        <v>14.67</v>
      </c>
      <c r="M50">
        <v>12.69</v>
      </c>
      <c r="N50">
        <v>8.1900000000000013</v>
      </c>
      <c r="O50">
        <v>9.4499999999999993</v>
      </c>
      <c r="P50">
        <v>10.98</v>
      </c>
      <c r="Q50">
        <v>1.89</v>
      </c>
      <c r="R50">
        <v>8.01</v>
      </c>
      <c r="S50">
        <v>436.14</v>
      </c>
      <c r="T50">
        <v>48.06</v>
      </c>
      <c r="U50">
        <v>75.42</v>
      </c>
      <c r="V50">
        <v>205.56</v>
      </c>
      <c r="W50">
        <v>41.22</v>
      </c>
      <c r="X50">
        <v>52.02</v>
      </c>
      <c r="Y50">
        <v>30.06</v>
      </c>
      <c r="Z50">
        <v>70.2</v>
      </c>
      <c r="AA50">
        <v>107.37</v>
      </c>
      <c r="AB50">
        <v>77.31</v>
      </c>
      <c r="AC50">
        <v>162.81</v>
      </c>
      <c r="AD50">
        <v>5.58</v>
      </c>
      <c r="AE50">
        <v>18.09</v>
      </c>
      <c r="AF50">
        <v>459.09</v>
      </c>
      <c r="AG50" s="5">
        <f>Tabla2[[#This Row],[Deforestation 2012]]/Tabla2[[#This Row],[Forest cover 2011]]</f>
        <v>3.8975501113585747E-4</v>
      </c>
      <c r="AH50" s="6">
        <f>Tabla2[[#This Row],[Deforestation 2013]]/Tabla2[[#This Row],[Forest cover 2011]]</f>
        <v>8.6302895322939858E-4</v>
      </c>
      <c r="AI50" s="6">
        <f>Tabla2[[#This Row],[Deforestation 2014]]/Tabla2[[#This Row],[Forest cover 2011]]</f>
        <v>3.6678730512249443E-3</v>
      </c>
      <c r="AJ50" s="6">
        <f>Tabla2[[#This Row],[Deforestation 2015]]/Tabla2[[#This Row],[Forest cover 2011]]</f>
        <v>7.934298440979955E-4</v>
      </c>
      <c r="AK50" s="6">
        <f>Tabla2[[#This Row],[Deforestation 2016]]/Tabla2[[#This Row],[Forest cover 2011]]</f>
        <v>8.2126948775055665E-4</v>
      </c>
      <c r="AL50" s="6">
        <f>Tabla2[[#This Row],[Deforestation 2017]]/Tabla2[[#This Row],[Forest cover 2011]]</f>
        <v>1.1344654788418708E-3</v>
      </c>
      <c r="AM50" s="6">
        <f>Tabla2[[#This Row],[Deforestation 2018]]/Tabla2[[#This Row],[Forest cover 2011]]</f>
        <v>9.8134743875278392E-4</v>
      </c>
      <c r="AN50" s="6">
        <f>Tabla2[[#This Row],[Deforestation 2019]]/Tabla2[[#This Row],[Forest cover 2011]]</f>
        <v>6.3335189309576844E-4</v>
      </c>
      <c r="AO50" s="6">
        <f>Tabla2[[#This Row],[Deforestation 2020]]/Tabla2[[#This Row],[Forest cover 2011]]</f>
        <v>7.3079064587973266E-4</v>
      </c>
      <c r="AP50" s="6">
        <f>Tabla2[[#This Row],[Deforestation 2021]]/Tabla2[[#This Row],[Forest cover 2011]]</f>
        <v>8.4910913140311801E-4</v>
      </c>
      <c r="AQ50" s="6">
        <f>Tabla2[[#This Row],[Deforestation 2022]]/Tabla2[[#This Row],[Forest cover 2011]]</f>
        <v>1.4615812917594654E-4</v>
      </c>
      <c r="AR50" s="6">
        <f>Tabla2[[#This Row],[Deforestation 2023]]/Tabla2[[#This Row],[Forest cover 2011]]</f>
        <v>6.1943207126948765E-4</v>
      </c>
      <c r="AS50" s="6">
        <f>Tabla2[[#This Row],[Deforestation 2024]]/Tabla2[[#This Row],[Forest cover 2011]]</f>
        <v>3.3727728285077946E-2</v>
      </c>
      <c r="AT50" s="6">
        <f>Tabla2[[#This Row],[Forest Loss 2012]]/Tabla2[[#This Row],[Forest cover 2011]]</f>
        <v>3.7165924276169266E-3</v>
      </c>
      <c r="AU50" s="6">
        <f>Tabla2[[#This Row],[Forest Loss 2013]]/Tabla2[[#This Row],[Forest cover 2011]]</f>
        <v>5.8324053452115813E-3</v>
      </c>
      <c r="AV50" s="6">
        <f>Tabla2[[#This Row],[Forest Loss 2014]]/Tabla2[[#This Row],[Forest cover 2011]]</f>
        <v>1.589643652561247E-2</v>
      </c>
      <c r="AW50" s="6">
        <f>Tabla2[[#This Row],[Forest Loss 2015]]/Tabla2[[#This Row],[Forest cover 2011]]</f>
        <v>3.1876391982182625E-3</v>
      </c>
      <c r="AX50" s="6">
        <f>Tabla2[[#This Row],[Forest Loss 2016]]/Tabla2[[#This Row],[Forest cover 2011]]</f>
        <v>4.0228285077951002E-3</v>
      </c>
      <c r="AY50" s="6">
        <f>Tabla2[[#This Row],[Forest Loss 2017]]/Tabla2[[#This Row],[Forest cover 2011]]</f>
        <v>2.3246102449888638E-3</v>
      </c>
      <c r="AZ50" s="6">
        <f>Tabla2[[#This Row],[Forest Loss 2018]]/Tabla2[[#This Row],[Forest cover 2011]]</f>
        <v>5.4287305122494431E-3</v>
      </c>
      <c r="BA50" s="6">
        <f>Tabla2[[#This Row],[Forest Loss 2019]]/Tabla2[[#This Row],[Forest cover 2011]]</f>
        <v>8.3031737193763923E-3</v>
      </c>
      <c r="BB50" s="6">
        <f>Tabla2[[#This Row],[Forest Loss 2020]]/Tabla2[[#This Row],[Forest cover 2011]]</f>
        <v>5.9785634743875276E-3</v>
      </c>
      <c r="BC50" s="6">
        <f>Tabla2[[#This Row],[Forest Loss 2021]]/Tabla2[[#This Row],[Forest cover 2011]]</f>
        <v>1.2590478841870823E-2</v>
      </c>
      <c r="BD50" s="6">
        <f>Tabla2[[#This Row],[Forest Loss 2022]]/Tabla2[[#This Row],[Forest cover 2011]]</f>
        <v>4.3151447661469929E-4</v>
      </c>
      <c r="BE50" s="6">
        <f>Tabla2[[#This Row],[Forest Loss 2023]]/Tabla2[[#This Row],[Forest cover 2011]]</f>
        <v>1.3989420935412026E-3</v>
      </c>
      <c r="BF50" s="6">
        <f>Tabla2[[#This Row],[Forest Loss 2024]]/Tabla2[[#This Row],[Forest cover 2011]]</f>
        <v>3.5502505567928729E-2</v>
      </c>
    </row>
    <row r="51" spans="1:58" x14ac:dyDescent="0.25">
      <c r="A51" s="2">
        <v>70201</v>
      </c>
      <c r="B51" s="3" t="s">
        <v>310</v>
      </c>
      <c r="C51" t="s">
        <v>316</v>
      </c>
      <c r="D51">
        <v>17938.169999999998</v>
      </c>
      <c r="E51" s="4">
        <f>AVERAGE(Tabla2[[#This Row],[Deforestation 2012]:[Deforestation 2014]])</f>
        <v>939.11999999999989</v>
      </c>
      <c r="F51" s="4">
        <f>AVERAGE(Tabla2[[#This Row],[Deforestation 2022]:[Deforestation 2024]])</f>
        <v>506.52</v>
      </c>
      <c r="G51">
        <v>1319.13</v>
      </c>
      <c r="H51">
        <v>880.2</v>
      </c>
      <c r="I51">
        <v>618.03</v>
      </c>
      <c r="J51">
        <v>578.52</v>
      </c>
      <c r="K51">
        <v>563.94000000000005</v>
      </c>
      <c r="L51">
        <v>537.66</v>
      </c>
      <c r="M51">
        <v>331.83</v>
      </c>
      <c r="N51">
        <v>432.9</v>
      </c>
      <c r="O51">
        <v>465.84</v>
      </c>
      <c r="P51">
        <v>447.39</v>
      </c>
      <c r="Q51">
        <v>101.52</v>
      </c>
      <c r="R51">
        <v>795.87</v>
      </c>
      <c r="S51">
        <v>622.16999999999996</v>
      </c>
      <c r="T51">
        <v>1336.77</v>
      </c>
      <c r="U51">
        <v>901.98</v>
      </c>
      <c r="V51">
        <v>633.06000000000006</v>
      </c>
      <c r="W51">
        <v>594.36</v>
      </c>
      <c r="X51">
        <v>569.70000000000005</v>
      </c>
      <c r="Y51">
        <v>543.87</v>
      </c>
      <c r="Z51">
        <v>339.48</v>
      </c>
      <c r="AA51">
        <v>440.64</v>
      </c>
      <c r="AB51">
        <v>472.86</v>
      </c>
      <c r="AC51">
        <v>460.17</v>
      </c>
      <c r="AD51">
        <v>107.55</v>
      </c>
      <c r="AE51">
        <v>806.49</v>
      </c>
      <c r="AF51">
        <v>623.79</v>
      </c>
      <c r="AG51" s="5">
        <f>Tabla2[[#This Row],[Deforestation 2012]]/Tabla2[[#This Row],[Forest cover 2011]]</f>
        <v>7.3537601661707974E-2</v>
      </c>
      <c r="AH51" s="6">
        <f>Tabla2[[#This Row],[Deforestation 2013]]/Tabla2[[#This Row],[Forest cover 2011]]</f>
        <v>4.9068550470867438E-2</v>
      </c>
      <c r="AI51" s="6">
        <f>Tabla2[[#This Row],[Deforestation 2014]]/Tabla2[[#This Row],[Forest cover 2011]]</f>
        <v>3.4453347247796182E-2</v>
      </c>
      <c r="AJ51" s="6">
        <f>Tabla2[[#This Row],[Deforestation 2015]]/Tabla2[[#This Row],[Forest cover 2011]]</f>
        <v>3.2250781434226571E-2</v>
      </c>
      <c r="AK51" s="6">
        <f>Tabla2[[#This Row],[Deforestation 2016]]/Tabla2[[#This Row],[Forest cover 2011]]</f>
        <v>3.1437989493911592E-2</v>
      </c>
      <c r="AL51" s="6">
        <f>Tabla2[[#This Row],[Deforestation 2017]]/Tabla2[[#This Row],[Forest cover 2011]]</f>
        <v>2.997295710766483E-2</v>
      </c>
      <c r="AM51" s="6">
        <f>Tabla2[[#This Row],[Deforestation 2018]]/Tabla2[[#This Row],[Forest cover 2011]]</f>
        <v>1.8498542493465053E-2</v>
      </c>
      <c r="AN51" s="6">
        <f>Tabla2[[#This Row],[Deforestation 2019]]/Tabla2[[#This Row],[Forest cover 2011]]</f>
        <v>2.4132896499475701E-2</v>
      </c>
      <c r="AO51" s="6">
        <f>Tabla2[[#This Row],[Deforestation 2020]]/Tabla2[[#This Row],[Forest cover 2011]]</f>
        <v>2.5969204216483622E-2</v>
      </c>
      <c r="AP51" s="6">
        <f>Tabla2[[#This Row],[Deforestation 2021]]/Tabla2[[#This Row],[Forest cover 2011]]</f>
        <v>2.4940671205591208E-2</v>
      </c>
      <c r="AQ51" s="6">
        <f>Tabla2[[#This Row],[Deforestation 2022]]/Tabla2[[#This Row],[Forest cover 2011]]</f>
        <v>5.6594401770080228E-3</v>
      </c>
      <c r="AR51" s="6">
        <f>Tabla2[[#This Row],[Deforestation 2023]]/Tabla2[[#This Row],[Forest cover 2011]]</f>
        <v>4.4367402025959173E-2</v>
      </c>
      <c r="AS51" s="6">
        <f>Tabla2[[#This Row],[Deforestation 2024]]/Tabla2[[#This Row],[Forest cover 2011]]</f>
        <v>3.4684140020972039E-2</v>
      </c>
      <c r="AT51" s="6">
        <f>Tabla2[[#This Row],[Forest Loss 2012]]/Tabla2[[#This Row],[Forest cover 2011]]</f>
        <v>7.4520979564805107E-2</v>
      </c>
      <c r="AU51" s="6">
        <f>Tabla2[[#This Row],[Forest Loss 2013]]/Tabla2[[#This Row],[Forest cover 2011]]</f>
        <v>5.0282721147140434E-2</v>
      </c>
      <c r="AV51" s="6">
        <f>Tabla2[[#This Row],[Forest Loss 2014]]/Tabla2[[#This Row],[Forest cover 2011]]</f>
        <v>3.5291225359108544E-2</v>
      </c>
      <c r="AW51" s="6">
        <f>Tabla2[[#This Row],[Forest Loss 2015]]/Tabla2[[#This Row],[Forest cover 2011]]</f>
        <v>3.3133814653334204E-2</v>
      </c>
      <c r="AX51" s="6">
        <f>Tabla2[[#This Row],[Forest Loss 2016]]/Tabla2[[#This Row],[Forest cover 2011]]</f>
        <v>3.1759092482678004E-2</v>
      </c>
      <c r="AY51" s="6">
        <f>Tabla2[[#This Row],[Forest Loss 2017]]/Tabla2[[#This Row],[Forest cover 2011]]</f>
        <v>3.0319146267428619E-2</v>
      </c>
      <c r="AZ51" s="6">
        <f>Tabla2[[#This Row],[Forest Loss 2018]]/Tabla2[[#This Row],[Forest cover 2011]]</f>
        <v>1.8925007400420447E-2</v>
      </c>
      <c r="BA51" s="6">
        <f>Tabla2[[#This Row],[Forest Loss 2019]]/Tabla2[[#This Row],[Forest cover 2011]]</f>
        <v>2.4564378640630567E-2</v>
      </c>
      <c r="BB51" s="6">
        <f>Tabla2[[#This Row],[Forest Loss 2020]]/Tabla2[[#This Row],[Forest cover 2011]]</f>
        <v>2.6360548484042689E-2</v>
      </c>
      <c r="BC51" s="6">
        <f>Tabla2[[#This Row],[Forest Loss 2021]]/Tabla2[[#This Row],[Forest cover 2011]]</f>
        <v>2.5653118461916688E-2</v>
      </c>
      <c r="BD51" s="6">
        <f>Tabla2[[#This Row],[Forest Loss 2022]]/Tabla2[[#This Row],[Forest cover 2011]]</f>
        <v>5.9955948683728614E-3</v>
      </c>
      <c r="BE51" s="6">
        <f>Tabla2[[#This Row],[Forest Loss 2023]]/Tabla2[[#This Row],[Forest cover 2011]]</f>
        <v>4.4959435661497245E-2</v>
      </c>
      <c r="BF51" s="6">
        <f>Tabla2[[#This Row],[Forest Loss 2024]]/Tabla2[[#This Row],[Forest cover 2011]]</f>
        <v>3.4774450236562594E-2</v>
      </c>
    </row>
    <row r="52" spans="1:58" x14ac:dyDescent="0.25">
      <c r="A52" s="2">
        <v>71004</v>
      </c>
      <c r="B52" s="3" t="s">
        <v>310</v>
      </c>
      <c r="C52" t="s">
        <v>350</v>
      </c>
      <c r="D52">
        <v>4884.21</v>
      </c>
      <c r="E52" s="4">
        <f>AVERAGE(Tabla2[[#This Row],[Deforestation 2012]:[Deforestation 2014]])</f>
        <v>309.42</v>
      </c>
      <c r="F52" s="4">
        <f>AVERAGE(Tabla2[[#This Row],[Deforestation 2022]:[Deforestation 2024]])</f>
        <v>224.58</v>
      </c>
      <c r="G52">
        <v>445.32</v>
      </c>
      <c r="H52">
        <v>326.97000000000003</v>
      </c>
      <c r="I52">
        <v>155.97</v>
      </c>
      <c r="J52">
        <v>141.84</v>
      </c>
      <c r="K52">
        <v>486.18</v>
      </c>
      <c r="L52">
        <v>278.10000000000002</v>
      </c>
      <c r="M52">
        <v>186.21</v>
      </c>
      <c r="N52">
        <v>95.22</v>
      </c>
      <c r="O52">
        <v>109.98</v>
      </c>
      <c r="P52">
        <v>183.87</v>
      </c>
      <c r="Q52">
        <v>133.38</v>
      </c>
      <c r="R52">
        <v>379.17</v>
      </c>
      <c r="S52">
        <v>161.19</v>
      </c>
      <c r="T52">
        <v>525.6</v>
      </c>
      <c r="U52">
        <v>356.67</v>
      </c>
      <c r="V52">
        <v>193.23</v>
      </c>
      <c r="W52">
        <v>162.72</v>
      </c>
      <c r="X52">
        <v>509.22</v>
      </c>
      <c r="Y52">
        <v>308.79000000000002</v>
      </c>
      <c r="Z52">
        <v>199.98</v>
      </c>
      <c r="AA52">
        <v>105.57</v>
      </c>
      <c r="AB52">
        <v>140.13</v>
      </c>
      <c r="AC52">
        <v>189.09</v>
      </c>
      <c r="AD52">
        <v>133.47</v>
      </c>
      <c r="AE52">
        <v>457.11</v>
      </c>
      <c r="AF52">
        <v>167.49</v>
      </c>
      <c r="AG52" s="5">
        <f>Tabla2[[#This Row],[Deforestation 2012]]/Tabla2[[#This Row],[Forest cover 2011]]</f>
        <v>9.1175440859422502E-2</v>
      </c>
      <c r="AH52" s="6">
        <f>Tabla2[[#This Row],[Deforestation 2013]]/Tabla2[[#This Row],[Forest cover 2011]]</f>
        <v>6.6944296006928458E-2</v>
      </c>
      <c r="AI52" s="6">
        <f>Tabla2[[#This Row],[Deforestation 2014]]/Tabla2[[#This Row],[Forest cover 2011]]</f>
        <v>3.1933516372146163E-2</v>
      </c>
      <c r="AJ52" s="6">
        <f>Tabla2[[#This Row],[Deforestation 2015]]/Tabla2[[#This Row],[Forest cover 2011]]</f>
        <v>2.9040520370745729E-2</v>
      </c>
      <c r="AK52" s="6">
        <f>Tabla2[[#This Row],[Deforestation 2016]]/Tabla2[[#This Row],[Forest cover 2011]]</f>
        <v>9.9541174519523115E-2</v>
      </c>
      <c r="AL52" s="6">
        <f>Tabla2[[#This Row],[Deforestation 2017]]/Tabla2[[#This Row],[Forest cover 2011]]</f>
        <v>5.6938583721830145E-2</v>
      </c>
      <c r="AM52" s="6">
        <f>Tabla2[[#This Row],[Deforestation 2018]]/Tabla2[[#This Row],[Forest cover 2011]]</f>
        <v>3.8124896349665559E-2</v>
      </c>
      <c r="AN52" s="6">
        <f>Tabla2[[#This Row],[Deforestation 2019]]/Tabla2[[#This Row],[Forest cover 2011]]</f>
        <v>1.9495476238736664E-2</v>
      </c>
      <c r="AO52" s="6">
        <f>Tabla2[[#This Row],[Deforestation 2020]]/Tabla2[[#This Row],[Forest cover 2011]]</f>
        <v>2.2517459323002083E-2</v>
      </c>
      <c r="AP52" s="6">
        <f>Tabla2[[#This Row],[Deforestation 2021]]/Tabla2[[#This Row],[Forest cover 2011]]</f>
        <v>3.7645801470452746E-2</v>
      </c>
      <c r="AQ52" s="6">
        <f>Tabla2[[#This Row],[Deforestation 2022]]/Tabla2[[#This Row],[Forest cover 2011]]</f>
        <v>2.7308408115130182E-2</v>
      </c>
      <c r="AR52" s="6">
        <f>Tabla2[[#This Row],[Deforestation 2023]]/Tabla2[[#This Row],[Forest cover 2011]]</f>
        <v>7.7631797158598831E-2</v>
      </c>
      <c r="AS52" s="6">
        <f>Tabla2[[#This Row],[Deforestation 2024]]/Tabla2[[#This Row],[Forest cover 2011]]</f>
        <v>3.3002266487313199E-2</v>
      </c>
      <c r="AT52" s="6">
        <f>Tabla2[[#This Row],[Forest Loss 2012]]/Tabla2[[#This Row],[Forest cover 2011]]</f>
        <v>0.10761208056164662</v>
      </c>
      <c r="AU52" s="6">
        <f>Tabla2[[#This Row],[Forest Loss 2013]]/Tabla2[[#This Row],[Forest cover 2011]]</f>
        <v>7.302511562770643E-2</v>
      </c>
      <c r="AV52" s="6">
        <f>Tabla2[[#This Row],[Forest Loss 2014]]/Tabla2[[#This Row],[Forest cover 2011]]</f>
        <v>3.9562180987303984E-2</v>
      </c>
      <c r="AW52" s="6">
        <f>Tabla2[[#This Row],[Forest Loss 2015]]/Tabla2[[#This Row],[Forest cover 2011]]</f>
        <v>3.3315520831413883E-2</v>
      </c>
      <c r="AX52" s="6">
        <f>Tabla2[[#This Row],[Forest Loss 2016]]/Tabla2[[#This Row],[Forest cover 2011]]</f>
        <v>0.10425841640715694</v>
      </c>
      <c r="AY52" s="6">
        <f>Tabla2[[#This Row],[Forest Loss 2017]]/Tabla2[[#This Row],[Forest cover 2011]]</f>
        <v>6.3222097329967392E-2</v>
      </c>
      <c r="AZ52" s="6">
        <f>Tabla2[[#This Row],[Forest Loss 2018]]/Tabla2[[#This Row],[Forest cover 2011]]</f>
        <v>4.0944185446571704E-2</v>
      </c>
      <c r="BA52" s="6">
        <f>Tabla2[[#This Row],[Forest Loss 2019]]/Tabla2[[#This Row],[Forest cover 2011]]</f>
        <v>2.1614549742947169E-2</v>
      </c>
      <c r="BB52" s="6">
        <f>Tabla2[[#This Row],[Forest Loss 2020]]/Tabla2[[#This Row],[Forest cover 2011]]</f>
        <v>2.8690412574397906E-2</v>
      </c>
      <c r="BC52" s="6">
        <f>Tabla2[[#This Row],[Forest Loss 2021]]/Tabla2[[#This Row],[Forest cover 2011]]</f>
        <v>3.8714551585619782E-2</v>
      </c>
      <c r="BD52" s="6">
        <f>Tabla2[[#This Row],[Forest Loss 2022]]/Tabla2[[#This Row],[Forest cover 2011]]</f>
        <v>2.7326834841253755E-2</v>
      </c>
      <c r="BE52" s="6">
        <f>Tabla2[[#This Row],[Forest Loss 2023]]/Tabla2[[#This Row],[Forest cover 2011]]</f>
        <v>9.3589341981610133E-2</v>
      </c>
      <c r="BF52" s="6">
        <f>Tabla2[[#This Row],[Forest Loss 2024]]/Tabla2[[#This Row],[Forest cover 2011]]</f>
        <v>3.4292137315963075E-2</v>
      </c>
    </row>
    <row r="53" spans="1:58" x14ac:dyDescent="0.25">
      <c r="A53" s="2">
        <v>20503</v>
      </c>
      <c r="B53" s="3" t="s">
        <v>88</v>
      </c>
      <c r="C53" t="s">
        <v>115</v>
      </c>
      <c r="D53">
        <v>5304.06</v>
      </c>
      <c r="E53" s="4">
        <f>AVERAGE(Tabla2[[#This Row],[Deforestation 2012]:[Deforestation 2014]])</f>
        <v>4.8600000000000003</v>
      </c>
      <c r="F53" s="4">
        <f>AVERAGE(Tabla2[[#This Row],[Deforestation 2022]:[Deforestation 2024]])</f>
        <v>15.15</v>
      </c>
      <c r="G53">
        <v>5.85</v>
      </c>
      <c r="H53">
        <v>5.04</v>
      </c>
      <c r="I53">
        <v>3.69</v>
      </c>
      <c r="J53">
        <v>3.6</v>
      </c>
      <c r="K53">
        <v>4.7699999999999996</v>
      </c>
      <c r="L53">
        <v>5.94</v>
      </c>
      <c r="M53">
        <v>5.13</v>
      </c>
      <c r="N53">
        <v>2.16</v>
      </c>
      <c r="O53">
        <v>2.88</v>
      </c>
      <c r="P53">
        <v>0.27</v>
      </c>
      <c r="Q53">
        <v>1.17</v>
      </c>
      <c r="R53">
        <v>12.87</v>
      </c>
      <c r="S53">
        <v>31.41</v>
      </c>
      <c r="T53">
        <v>83.07</v>
      </c>
      <c r="U53">
        <v>34.200000000000003</v>
      </c>
      <c r="V53">
        <v>46.349999999999987</v>
      </c>
      <c r="W53">
        <v>22.23</v>
      </c>
      <c r="X53">
        <v>13.77</v>
      </c>
      <c r="Y53">
        <v>8.73</v>
      </c>
      <c r="Z53">
        <v>11.61</v>
      </c>
      <c r="AA53">
        <v>7.92</v>
      </c>
      <c r="AB53">
        <v>10.53</v>
      </c>
      <c r="AC53">
        <v>1.98</v>
      </c>
      <c r="AD53">
        <v>2.4300000000000002</v>
      </c>
      <c r="AE53">
        <v>15.03</v>
      </c>
      <c r="AF53">
        <v>181.8</v>
      </c>
      <c r="AG53" s="5">
        <f>Tabla2[[#This Row],[Deforestation 2012]]/Tabla2[[#This Row],[Forest cover 2011]]</f>
        <v>1.1029286999015846E-3</v>
      </c>
      <c r="AH53" s="6">
        <f>Tabla2[[#This Row],[Deforestation 2013]]/Tabla2[[#This Row],[Forest cover 2011]]</f>
        <v>9.5021549529982689E-4</v>
      </c>
      <c r="AI53" s="6">
        <f>Tabla2[[#This Row],[Deforestation 2014]]/Tabla2[[#This Row],[Forest cover 2011]]</f>
        <v>6.9569348763023041E-4</v>
      </c>
      <c r="AJ53" s="6">
        <f>Tabla2[[#This Row],[Deforestation 2015]]/Tabla2[[#This Row],[Forest cover 2011]]</f>
        <v>6.7872535378559059E-4</v>
      </c>
      <c r="AK53" s="6">
        <f>Tabla2[[#This Row],[Deforestation 2016]]/Tabla2[[#This Row],[Forest cover 2011]]</f>
        <v>8.9931109376590744E-4</v>
      </c>
      <c r="AL53" s="6">
        <f>Tabla2[[#This Row],[Deforestation 2017]]/Tabla2[[#This Row],[Forest cover 2011]]</f>
        <v>1.1198968337462246E-3</v>
      </c>
      <c r="AM53" s="6">
        <f>Tabla2[[#This Row],[Deforestation 2018]]/Tabla2[[#This Row],[Forest cover 2011]]</f>
        <v>9.671836291444666E-4</v>
      </c>
      <c r="AN53" s="6">
        <f>Tabla2[[#This Row],[Deforestation 2019]]/Tabla2[[#This Row],[Forest cover 2011]]</f>
        <v>4.072352122713544E-4</v>
      </c>
      <c r="AO53" s="6">
        <f>Tabla2[[#This Row],[Deforestation 2020]]/Tabla2[[#This Row],[Forest cover 2011]]</f>
        <v>5.4298028302847249E-4</v>
      </c>
      <c r="AP53" s="6">
        <f>Tabla2[[#This Row],[Deforestation 2021]]/Tabla2[[#This Row],[Forest cover 2011]]</f>
        <v>5.09044015339193E-5</v>
      </c>
      <c r="AQ53" s="6">
        <f>Tabla2[[#This Row],[Deforestation 2022]]/Tabla2[[#This Row],[Forest cover 2011]]</f>
        <v>2.2058573998031693E-4</v>
      </c>
      <c r="AR53" s="6">
        <f>Tabla2[[#This Row],[Deforestation 2023]]/Tabla2[[#This Row],[Forest cover 2011]]</f>
        <v>2.4264431397834864E-3</v>
      </c>
      <c r="AS53" s="6">
        <f>Tabla2[[#This Row],[Deforestation 2024]]/Tabla2[[#This Row],[Forest cover 2011]]</f>
        <v>5.9218787117792781E-3</v>
      </c>
      <c r="AT53" s="6">
        <f>Tabla2[[#This Row],[Forest Loss 2012]]/Tabla2[[#This Row],[Forest cover 2011]]</f>
        <v>1.5661587538602501E-2</v>
      </c>
      <c r="AU53" s="6">
        <f>Tabla2[[#This Row],[Forest Loss 2013]]/Tabla2[[#This Row],[Forest cover 2011]]</f>
        <v>6.4478908609631111E-3</v>
      </c>
      <c r="AV53" s="6">
        <f>Tabla2[[#This Row],[Forest Loss 2014]]/Tabla2[[#This Row],[Forest cover 2011]]</f>
        <v>8.7385889299894763E-3</v>
      </c>
      <c r="AW53" s="6">
        <f>Tabla2[[#This Row],[Forest Loss 2015]]/Tabla2[[#This Row],[Forest cover 2011]]</f>
        <v>4.191129059626022E-3</v>
      </c>
      <c r="AX53" s="6">
        <f>Tabla2[[#This Row],[Forest Loss 2016]]/Tabla2[[#This Row],[Forest cover 2011]]</f>
        <v>2.5961244782298841E-3</v>
      </c>
      <c r="AY53" s="6">
        <f>Tabla2[[#This Row],[Forest Loss 2017]]/Tabla2[[#This Row],[Forest cover 2011]]</f>
        <v>1.6459089829300574E-3</v>
      </c>
      <c r="AZ53" s="6">
        <f>Tabla2[[#This Row],[Forest Loss 2018]]/Tabla2[[#This Row],[Forest cover 2011]]</f>
        <v>2.1888892659585298E-3</v>
      </c>
      <c r="BA53" s="6">
        <f>Tabla2[[#This Row],[Forest Loss 2019]]/Tabla2[[#This Row],[Forest cover 2011]]</f>
        <v>1.4931957783282993E-3</v>
      </c>
      <c r="BB53" s="6">
        <f>Tabla2[[#This Row],[Forest Loss 2020]]/Tabla2[[#This Row],[Forest cover 2011]]</f>
        <v>1.9852716598228524E-3</v>
      </c>
      <c r="BC53" s="6">
        <f>Tabla2[[#This Row],[Forest Loss 2021]]/Tabla2[[#This Row],[Forest cover 2011]]</f>
        <v>3.7329894458207482E-4</v>
      </c>
      <c r="BD53" s="6">
        <f>Tabla2[[#This Row],[Forest Loss 2022]]/Tabla2[[#This Row],[Forest cover 2011]]</f>
        <v>4.5813961380527368E-4</v>
      </c>
      <c r="BE53" s="6">
        <f>Tabla2[[#This Row],[Forest Loss 2023]]/Tabla2[[#This Row],[Forest cover 2011]]</f>
        <v>2.8336783520548406E-3</v>
      </c>
      <c r="BF53" s="6">
        <f>Tabla2[[#This Row],[Forest Loss 2024]]/Tabla2[[#This Row],[Forest cover 2011]]</f>
        <v>3.427563036617233E-2</v>
      </c>
    </row>
    <row r="54" spans="1:58" x14ac:dyDescent="0.25">
      <c r="A54" s="2">
        <v>21004</v>
      </c>
      <c r="B54" s="3" t="s">
        <v>88</v>
      </c>
      <c r="C54" t="s">
        <v>141</v>
      </c>
      <c r="D54">
        <v>366.03</v>
      </c>
      <c r="E54" s="4">
        <f>AVERAGE(Tabla2[[#This Row],[Deforestation 2012]:[Deforestation 2014]])</f>
        <v>0</v>
      </c>
      <c r="F54" s="4">
        <f>AVERAGE(Tabla2[[#This Row],[Deforestation 2022]:[Deforestation 2024]])</f>
        <v>0.69000000000000006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0.45</v>
      </c>
      <c r="P54">
        <v>0</v>
      </c>
      <c r="Q54">
        <v>0.09</v>
      </c>
      <c r="R54">
        <v>0.36</v>
      </c>
      <c r="S54">
        <v>1.62</v>
      </c>
      <c r="T54">
        <v>9.99</v>
      </c>
      <c r="U54">
        <v>4.3199999999999994</v>
      </c>
      <c r="V54">
        <v>6.93</v>
      </c>
      <c r="W54">
        <v>0.72</v>
      </c>
      <c r="X54">
        <v>0.81</v>
      </c>
      <c r="Y54">
        <v>1.26</v>
      </c>
      <c r="Z54">
        <v>1.17</v>
      </c>
      <c r="AA54">
        <v>0.36</v>
      </c>
      <c r="AB54">
        <v>1.08</v>
      </c>
      <c r="AC54">
        <v>0.27</v>
      </c>
      <c r="AD54">
        <v>0.36</v>
      </c>
      <c r="AE54">
        <v>0.9</v>
      </c>
      <c r="AF54">
        <v>12.51</v>
      </c>
      <c r="AG54" s="5">
        <f>Tabla2[[#This Row],[Deforestation 2012]]/Tabla2[[#This Row],[Forest cover 2011]]</f>
        <v>0</v>
      </c>
      <c r="AH54" s="6">
        <f>Tabla2[[#This Row],[Deforestation 2013]]/Tabla2[[#This Row],[Forest cover 2011]]</f>
        <v>0</v>
      </c>
      <c r="AI54" s="6">
        <f>Tabla2[[#This Row],[Deforestation 2014]]/Tabla2[[#This Row],[Forest cover 2011]]</f>
        <v>0</v>
      </c>
      <c r="AJ54" s="6">
        <f>Tabla2[[#This Row],[Deforestation 2015]]/Tabla2[[#This Row],[Forest cover 2011]]</f>
        <v>0</v>
      </c>
      <c r="AK54" s="6">
        <f>Tabla2[[#This Row],[Deforestation 2016]]/Tabla2[[#This Row],[Forest cover 2011]]</f>
        <v>0</v>
      </c>
      <c r="AL54" s="6">
        <f>Tabla2[[#This Row],[Deforestation 2017]]/Tabla2[[#This Row],[Forest cover 2011]]</f>
        <v>0</v>
      </c>
      <c r="AM54" s="6">
        <f>Tabla2[[#This Row],[Deforestation 2018]]/Tabla2[[#This Row],[Forest cover 2011]]</f>
        <v>0</v>
      </c>
      <c r="AN54" s="6">
        <f>Tabla2[[#This Row],[Deforestation 2019]]/Tabla2[[#This Row],[Forest cover 2011]]</f>
        <v>0</v>
      </c>
      <c r="AO54" s="6">
        <f>Tabla2[[#This Row],[Deforestation 2020]]/Tabla2[[#This Row],[Forest cover 2011]]</f>
        <v>1.2294074256208509E-3</v>
      </c>
      <c r="AP54" s="6">
        <f>Tabla2[[#This Row],[Deforestation 2021]]/Tabla2[[#This Row],[Forest cover 2011]]</f>
        <v>0</v>
      </c>
      <c r="AQ54" s="6">
        <f>Tabla2[[#This Row],[Deforestation 2022]]/Tabla2[[#This Row],[Forest cover 2011]]</f>
        <v>2.4588148512417015E-4</v>
      </c>
      <c r="AR54" s="6">
        <f>Tabla2[[#This Row],[Deforestation 2023]]/Tabla2[[#This Row],[Forest cover 2011]]</f>
        <v>9.835259404966806E-4</v>
      </c>
      <c r="AS54" s="6">
        <f>Tabla2[[#This Row],[Deforestation 2024]]/Tabla2[[#This Row],[Forest cover 2011]]</f>
        <v>4.425866732235063E-3</v>
      </c>
      <c r="AT54" s="6">
        <f>Tabla2[[#This Row],[Forest Loss 2012]]/Tabla2[[#This Row],[Forest cover 2011]]</f>
        <v>2.7292844848782888E-2</v>
      </c>
      <c r="AU54" s="6">
        <f>Tabla2[[#This Row],[Forest Loss 2013]]/Tabla2[[#This Row],[Forest cover 2011]]</f>
        <v>1.1802311285960166E-2</v>
      </c>
      <c r="AV54" s="6">
        <f>Tabla2[[#This Row],[Forest Loss 2014]]/Tabla2[[#This Row],[Forest cover 2011]]</f>
        <v>1.8932874354561102E-2</v>
      </c>
      <c r="AW54" s="6">
        <f>Tabla2[[#This Row],[Forest Loss 2015]]/Tabla2[[#This Row],[Forest cover 2011]]</f>
        <v>1.9670518809933612E-3</v>
      </c>
      <c r="AX54" s="6">
        <f>Tabla2[[#This Row],[Forest Loss 2016]]/Tabla2[[#This Row],[Forest cover 2011]]</f>
        <v>2.2129333661175315E-3</v>
      </c>
      <c r="AY54" s="6">
        <f>Tabla2[[#This Row],[Forest Loss 2017]]/Tabla2[[#This Row],[Forest cover 2011]]</f>
        <v>3.4423407917383822E-3</v>
      </c>
      <c r="AZ54" s="6">
        <f>Tabla2[[#This Row],[Forest Loss 2018]]/Tabla2[[#This Row],[Forest cover 2011]]</f>
        <v>3.1964593066142119E-3</v>
      </c>
      <c r="BA54" s="6">
        <f>Tabla2[[#This Row],[Forest Loss 2019]]/Tabla2[[#This Row],[Forest cover 2011]]</f>
        <v>9.835259404966806E-4</v>
      </c>
      <c r="BB54" s="6">
        <f>Tabla2[[#This Row],[Forest Loss 2020]]/Tabla2[[#This Row],[Forest cover 2011]]</f>
        <v>2.950577821490042E-3</v>
      </c>
      <c r="BC54" s="6">
        <f>Tabla2[[#This Row],[Forest Loss 2021]]/Tabla2[[#This Row],[Forest cover 2011]]</f>
        <v>7.3764445537251051E-4</v>
      </c>
      <c r="BD54" s="6">
        <f>Tabla2[[#This Row],[Forest Loss 2022]]/Tabla2[[#This Row],[Forest cover 2011]]</f>
        <v>9.835259404966806E-4</v>
      </c>
      <c r="BE54" s="6">
        <f>Tabla2[[#This Row],[Forest Loss 2023]]/Tabla2[[#This Row],[Forest cover 2011]]</f>
        <v>2.4588148512417018E-3</v>
      </c>
      <c r="BF54" s="6">
        <f>Tabla2[[#This Row],[Forest Loss 2024]]/Tabla2[[#This Row],[Forest cover 2011]]</f>
        <v>3.4177526432259651E-2</v>
      </c>
    </row>
    <row r="55" spans="1:58" x14ac:dyDescent="0.25">
      <c r="A55" s="2">
        <v>70501</v>
      </c>
      <c r="B55" s="3" t="s">
        <v>310</v>
      </c>
      <c r="C55" t="s">
        <v>325</v>
      </c>
      <c r="D55">
        <v>1537017.93</v>
      </c>
      <c r="E55" s="4">
        <f>AVERAGE(Tabla2[[#This Row],[Deforestation 2012]:[Deforestation 2014]])</f>
        <v>6662.670000000001</v>
      </c>
      <c r="F55" s="4">
        <f>AVERAGE(Tabla2[[#This Row],[Deforestation 2022]:[Deforestation 2024]])</f>
        <v>22728.27</v>
      </c>
      <c r="G55">
        <v>4860.72</v>
      </c>
      <c r="H55">
        <v>6765.57</v>
      </c>
      <c r="I55">
        <v>8361.7199999999993</v>
      </c>
      <c r="J55">
        <v>20469.78</v>
      </c>
      <c r="K55">
        <v>35641.17</v>
      </c>
      <c r="L55">
        <v>28642.59</v>
      </c>
      <c r="M55">
        <v>30788.37</v>
      </c>
      <c r="N55">
        <v>26914.59</v>
      </c>
      <c r="O55">
        <v>22511.61</v>
      </c>
      <c r="P55">
        <v>28116.54</v>
      </c>
      <c r="Q55">
        <v>17601.03</v>
      </c>
      <c r="R55">
        <v>22755.69</v>
      </c>
      <c r="S55">
        <v>27828.09</v>
      </c>
      <c r="T55">
        <v>5717.07</v>
      </c>
      <c r="U55">
        <v>8434.619999999999</v>
      </c>
      <c r="V55">
        <v>10016.1</v>
      </c>
      <c r="W55">
        <v>20787.57</v>
      </c>
      <c r="X55">
        <v>36036.629999999997</v>
      </c>
      <c r="Y55">
        <v>29143.17</v>
      </c>
      <c r="Z55">
        <v>31646.16</v>
      </c>
      <c r="AA55">
        <v>75588.75</v>
      </c>
      <c r="AB55">
        <v>29845.8</v>
      </c>
      <c r="AC55">
        <v>43343.37</v>
      </c>
      <c r="AD55">
        <v>17625.599999999999</v>
      </c>
      <c r="AE55">
        <v>22902.39</v>
      </c>
      <c r="AF55">
        <v>49189.41</v>
      </c>
      <c r="AG55" s="5">
        <f>Tabla2[[#This Row],[Deforestation 2012]]/Tabla2[[#This Row],[Forest cover 2011]]</f>
        <v>3.1624354570801917E-3</v>
      </c>
      <c r="AH55" s="6">
        <f>Tabla2[[#This Row],[Deforestation 2013]]/Tabla2[[#This Row],[Forest cover 2011]]</f>
        <v>4.4017508631145246E-3</v>
      </c>
      <c r="AI55" s="6">
        <f>Tabla2[[#This Row],[Deforestation 2014]]/Tabla2[[#This Row],[Forest cover 2011]]</f>
        <v>5.4402228085914392E-3</v>
      </c>
      <c r="AJ55" s="6">
        <f>Tabla2[[#This Row],[Deforestation 2015]]/Tabla2[[#This Row],[Forest cover 2011]]</f>
        <v>1.3317853748134221E-2</v>
      </c>
      <c r="AK55" s="6">
        <f>Tabla2[[#This Row],[Deforestation 2016]]/Tabla2[[#This Row],[Forest cover 2011]]</f>
        <v>2.3188519342776957E-2</v>
      </c>
      <c r="AL55" s="6">
        <f>Tabla2[[#This Row],[Deforestation 2017]]/Tabla2[[#This Row],[Forest cover 2011]]</f>
        <v>1.8635169727655682E-2</v>
      </c>
      <c r="AM55" s="6">
        <f>Tabla2[[#This Row],[Deforestation 2018]]/Tabla2[[#This Row],[Forest cover 2011]]</f>
        <v>2.0031236720836433E-2</v>
      </c>
      <c r="AN55" s="6">
        <f>Tabla2[[#This Row],[Deforestation 2019]]/Tabla2[[#This Row],[Forest cover 2011]]</f>
        <v>1.7510914788092292E-2</v>
      </c>
      <c r="AO55" s="6">
        <f>Tabla2[[#This Row],[Deforestation 2020]]/Tabla2[[#This Row],[Forest cover 2011]]</f>
        <v>1.4646289780106861E-2</v>
      </c>
      <c r="AP55" s="6">
        <f>Tabla2[[#This Row],[Deforestation 2021]]/Tabla2[[#This Row],[Forest cover 2011]]</f>
        <v>1.8292916075481308E-2</v>
      </c>
      <c r="AQ55" s="6">
        <f>Tabla2[[#This Row],[Deforestation 2022]]/Tabla2[[#This Row],[Forest cover 2011]]</f>
        <v>1.1451414883624682E-2</v>
      </c>
      <c r="AR55" s="6">
        <f>Tabla2[[#This Row],[Deforestation 2023]]/Tabla2[[#This Row],[Forest cover 2011]]</f>
        <v>1.4805090790320188E-2</v>
      </c>
      <c r="AS55" s="6">
        <f>Tabla2[[#This Row],[Deforestation 2024]]/Tabla2[[#This Row],[Forest cover 2011]]</f>
        <v>1.8105247477496898E-2</v>
      </c>
      <c r="AT55" s="6">
        <f>Tabla2[[#This Row],[Forest Loss 2012]]/Tabla2[[#This Row],[Forest cover 2011]]</f>
        <v>3.7195857565565289E-3</v>
      </c>
      <c r="AU55" s="6">
        <f>Tabla2[[#This Row],[Forest Loss 2013]]/Tabla2[[#This Row],[Forest cover 2011]]</f>
        <v>5.4876523138542689E-3</v>
      </c>
      <c r="AV55" s="6">
        <f>Tabla2[[#This Row],[Forest Loss 2014]]/Tabla2[[#This Row],[Forest cover 2011]]</f>
        <v>6.5165798033338497E-3</v>
      </c>
      <c r="AW55" s="6">
        <f>Tabla2[[#This Row],[Forest Loss 2015]]/Tabla2[[#This Row],[Forest cover 2011]]</f>
        <v>1.35246112581133E-2</v>
      </c>
      <c r="AX55" s="6">
        <f>Tabla2[[#This Row],[Forest Loss 2016]]/Tabla2[[#This Row],[Forest cover 2011]]</f>
        <v>2.344580977009162E-2</v>
      </c>
      <c r="AY55" s="6">
        <f>Tabla2[[#This Row],[Forest Loss 2017]]/Tabla2[[#This Row],[Forest cover 2011]]</f>
        <v>1.8960852330460451E-2</v>
      </c>
      <c r="AZ55" s="6">
        <f>Tabla2[[#This Row],[Forest Loss 2018]]/Tabla2[[#This Row],[Forest cover 2011]]</f>
        <v>2.0589323899429073E-2</v>
      </c>
      <c r="BA55" s="6">
        <f>Tabla2[[#This Row],[Forest Loss 2019]]/Tabla2[[#This Row],[Forest cover 2011]]</f>
        <v>4.9178834237802289E-2</v>
      </c>
      <c r="BB55" s="6">
        <f>Tabla2[[#This Row],[Forest Loss 2020]]/Tabla2[[#This Row],[Forest cover 2011]]</f>
        <v>1.9417990784271463E-2</v>
      </c>
      <c r="BC55" s="6">
        <f>Tabla2[[#This Row],[Forest Loss 2021]]/Tabla2[[#This Row],[Forest cover 2011]]</f>
        <v>2.8199651516101706E-2</v>
      </c>
      <c r="BD55" s="6">
        <f>Tabla2[[#This Row],[Forest Loss 2022]]/Tabla2[[#This Row],[Forest cover 2011]]</f>
        <v>1.1467400383546598E-2</v>
      </c>
      <c r="BE55" s="6">
        <f>Tabla2[[#This Row],[Forest Loss 2023]]/Tabla2[[#This Row],[Forest cover 2011]]</f>
        <v>1.4900535350293538E-2</v>
      </c>
      <c r="BF55" s="6">
        <f>Tabla2[[#This Row],[Forest Loss 2024]]/Tabla2[[#This Row],[Forest cover 2011]]</f>
        <v>3.2003146508512104E-2</v>
      </c>
    </row>
    <row r="56" spans="1:58" x14ac:dyDescent="0.25">
      <c r="A56" s="2">
        <v>71104</v>
      </c>
      <c r="B56" s="3" t="s">
        <v>310</v>
      </c>
      <c r="C56" t="s">
        <v>354</v>
      </c>
      <c r="D56">
        <v>119226.78</v>
      </c>
      <c r="E56" s="4">
        <f>AVERAGE(Tabla2[[#This Row],[Deforestation 2012]:[Deforestation 2014]])</f>
        <v>12716.549999999997</v>
      </c>
      <c r="F56" s="4">
        <f>AVERAGE(Tabla2[[#This Row],[Deforestation 2022]:[Deforestation 2024]])</f>
        <v>4158.87</v>
      </c>
      <c r="G56">
        <v>21138.12</v>
      </c>
      <c r="H56">
        <v>8841.33</v>
      </c>
      <c r="I56">
        <v>8170.2</v>
      </c>
      <c r="J56">
        <v>3632.22</v>
      </c>
      <c r="K56">
        <v>4919.4000000000005</v>
      </c>
      <c r="L56">
        <v>2968.2</v>
      </c>
      <c r="M56">
        <v>2700</v>
      </c>
      <c r="N56">
        <v>4270.2299999999996</v>
      </c>
      <c r="O56">
        <v>2542.3200000000002</v>
      </c>
      <c r="P56">
        <v>4615.7400000000007</v>
      </c>
      <c r="Q56">
        <v>3076.65</v>
      </c>
      <c r="R56">
        <v>6271.02</v>
      </c>
      <c r="S56">
        <v>3128.94</v>
      </c>
      <c r="T56">
        <v>21680.82</v>
      </c>
      <c r="U56">
        <v>9136.5300000000007</v>
      </c>
      <c r="V56">
        <v>8329.9500000000007</v>
      </c>
      <c r="W56">
        <v>3785.13</v>
      </c>
      <c r="X56">
        <v>5069.43</v>
      </c>
      <c r="Y56">
        <v>3045.6</v>
      </c>
      <c r="Z56">
        <v>2811.87</v>
      </c>
      <c r="AA56">
        <v>4530.78</v>
      </c>
      <c r="AB56">
        <v>2660.4</v>
      </c>
      <c r="AC56">
        <v>4703.8500000000004</v>
      </c>
      <c r="AD56">
        <v>3190.23</v>
      </c>
      <c r="AE56">
        <v>6556.68</v>
      </c>
      <c r="AF56">
        <v>3736.44</v>
      </c>
      <c r="AG56" s="5">
        <f>Tabla2[[#This Row],[Deforestation 2012]]/Tabla2[[#This Row],[Forest cover 2011]]</f>
        <v>0.17729338995819563</v>
      </c>
      <c r="AH56" s="6">
        <f>Tabla2[[#This Row],[Deforestation 2013]]/Tabla2[[#This Row],[Forest cover 2011]]</f>
        <v>7.4155571424473599E-2</v>
      </c>
      <c r="AI56" s="6">
        <f>Tabla2[[#This Row],[Deforestation 2014]]/Tabla2[[#This Row],[Forest cover 2011]]</f>
        <v>6.8526550830274882E-2</v>
      </c>
      <c r="AJ56" s="6">
        <f>Tabla2[[#This Row],[Deforestation 2015]]/Tabla2[[#This Row],[Forest cover 2011]]</f>
        <v>3.0464799938403099E-2</v>
      </c>
      <c r="AK56" s="6">
        <f>Tabla2[[#This Row],[Deforestation 2016]]/Tabla2[[#This Row],[Forest cover 2011]]</f>
        <v>4.1260864379630155E-2</v>
      </c>
      <c r="AL56" s="6">
        <f>Tabla2[[#This Row],[Deforestation 2017]]/Tabla2[[#This Row],[Forest cover 2011]]</f>
        <v>2.4895413597515591E-2</v>
      </c>
      <c r="AM56" s="6">
        <f>Tabla2[[#This Row],[Deforestation 2018]]/Tabla2[[#This Row],[Forest cover 2011]]</f>
        <v>2.2645918978940804E-2</v>
      </c>
      <c r="AN56" s="6">
        <f>Tabla2[[#This Row],[Deforestation 2019]]/Tabla2[[#This Row],[Forest cover 2011]]</f>
        <v>3.581603059312681E-2</v>
      </c>
      <c r="AO56" s="6">
        <f>Tabla2[[#This Row],[Deforestation 2020]]/Tabla2[[#This Row],[Forest cover 2011]]</f>
        <v>2.1323397310570664E-2</v>
      </c>
      <c r="AP56" s="6">
        <f>Tabla2[[#This Row],[Deforestation 2021]]/Tabla2[[#This Row],[Forest cover 2011]]</f>
        <v>3.8713953358465274E-2</v>
      </c>
      <c r="AQ56" s="6">
        <f>Tabla2[[#This Row],[Deforestation 2022]]/Tabla2[[#This Row],[Forest cover 2011]]</f>
        <v>2.5805024676503047E-2</v>
      </c>
      <c r="AR56" s="6">
        <f>Tabla2[[#This Row],[Deforestation 2023]]/Tabla2[[#This Row],[Forest cover 2011]]</f>
        <v>5.2597411420487919E-2</v>
      </c>
      <c r="AS56" s="6">
        <f>Tabla2[[#This Row],[Deforestation 2024]]/Tabla2[[#This Row],[Forest cover 2011]]</f>
        <v>2.6243600640728535E-2</v>
      </c>
      <c r="AT56" s="6">
        <f>Tabla2[[#This Row],[Forest Loss 2012]]/Tabla2[[#This Row],[Forest cover 2011]]</f>
        <v>0.18184521967296274</v>
      </c>
      <c r="AU56" s="6">
        <f>Tabla2[[#This Row],[Forest Loss 2013]]/Tabla2[[#This Row],[Forest cover 2011]]</f>
        <v>7.6631525232837797E-2</v>
      </c>
      <c r="AV56" s="6">
        <f>Tabla2[[#This Row],[Forest Loss 2014]]/Tabla2[[#This Row],[Forest cover 2011]]</f>
        <v>6.9866434369862215E-2</v>
      </c>
      <c r="AW56" s="6">
        <f>Tabla2[[#This Row],[Forest Loss 2015]]/Tabla2[[#This Row],[Forest cover 2011]]</f>
        <v>3.1747313816577118E-2</v>
      </c>
      <c r="AX56" s="6">
        <f>Tabla2[[#This Row],[Forest Loss 2016]]/Tabla2[[#This Row],[Forest cover 2011]]</f>
        <v>4.2519222610893297E-2</v>
      </c>
      <c r="AY56" s="6">
        <f>Tabla2[[#This Row],[Forest Loss 2017]]/Tabla2[[#This Row],[Forest cover 2011]]</f>
        <v>2.5544596608245228E-2</v>
      </c>
      <c r="AZ56" s="6">
        <f>Tabla2[[#This Row],[Forest Loss 2018]]/Tabla2[[#This Row],[Forest cover 2011]]</f>
        <v>2.3584214888634918E-2</v>
      </c>
      <c r="BA56" s="6">
        <f>Tabla2[[#This Row],[Forest Loss 2019]]/Tabla2[[#This Row],[Forest cover 2011]]</f>
        <v>3.8001361774594601E-2</v>
      </c>
      <c r="BB56" s="6">
        <f>Tabla2[[#This Row],[Forest Loss 2020]]/Tabla2[[#This Row],[Forest cover 2011]]</f>
        <v>2.2313778833916342E-2</v>
      </c>
      <c r="BC56" s="6">
        <f>Tabla2[[#This Row],[Forest Loss 2021]]/Tabla2[[#This Row],[Forest cover 2011]]</f>
        <v>3.945296518114471E-2</v>
      </c>
      <c r="BD56" s="6">
        <f>Tabla2[[#This Row],[Forest Loss 2022]]/Tabla2[[#This Row],[Forest cover 2011]]</f>
        <v>2.675766300155049E-2</v>
      </c>
      <c r="BE56" s="6">
        <f>Tabla2[[#This Row],[Forest Loss 2023]]/Tabla2[[#This Row],[Forest cover 2011]]</f>
        <v>5.4993349648459852E-2</v>
      </c>
      <c r="BF56" s="6">
        <f>Tabla2[[#This Row],[Forest Loss 2024]]/Tabla2[[#This Row],[Forest cover 2011]]</f>
        <v>3.1338932410990214E-2</v>
      </c>
    </row>
    <row r="57" spans="1:58" x14ac:dyDescent="0.25">
      <c r="A57" s="2">
        <v>70601</v>
      </c>
      <c r="B57" s="3" t="s">
        <v>310</v>
      </c>
      <c r="C57" t="s">
        <v>328</v>
      </c>
      <c r="D57">
        <v>37691.46</v>
      </c>
      <c r="E57" s="4">
        <f>AVERAGE(Tabla2[[#This Row],[Deforestation 2012]:[Deforestation 2014]])</f>
        <v>1650.03</v>
      </c>
      <c r="F57" s="4">
        <f>AVERAGE(Tabla2[[#This Row],[Deforestation 2022]:[Deforestation 2024]])</f>
        <v>950.00999999999988</v>
      </c>
      <c r="G57">
        <v>2712.24</v>
      </c>
      <c r="H57">
        <v>1307.25</v>
      </c>
      <c r="I57">
        <v>930.6</v>
      </c>
      <c r="J57">
        <v>998.1</v>
      </c>
      <c r="K57">
        <v>1262.3399999999999</v>
      </c>
      <c r="L57">
        <v>939.33</v>
      </c>
      <c r="M57">
        <v>924.12</v>
      </c>
      <c r="N57">
        <v>969.21</v>
      </c>
      <c r="O57">
        <v>406.08</v>
      </c>
      <c r="P57">
        <v>1169.0999999999999</v>
      </c>
      <c r="Q57">
        <v>144.54</v>
      </c>
      <c r="R57">
        <v>1596.33</v>
      </c>
      <c r="S57">
        <v>1109.1600000000001</v>
      </c>
      <c r="T57">
        <v>2725.11</v>
      </c>
      <c r="U57">
        <v>1324.26</v>
      </c>
      <c r="V57">
        <v>949.59</v>
      </c>
      <c r="W57">
        <v>1022.4</v>
      </c>
      <c r="X57">
        <v>1268.28</v>
      </c>
      <c r="Y57">
        <v>952.56</v>
      </c>
      <c r="Z57">
        <v>941.04</v>
      </c>
      <c r="AA57">
        <v>982.17</v>
      </c>
      <c r="AB57">
        <v>425.25</v>
      </c>
      <c r="AC57">
        <v>1258.47</v>
      </c>
      <c r="AD57">
        <v>154.88999999999999</v>
      </c>
      <c r="AE57">
        <v>1691.19</v>
      </c>
      <c r="AF57">
        <v>1113.21</v>
      </c>
      <c r="AG57" s="5">
        <f>Tabla2[[#This Row],[Deforestation 2012]]/Tabla2[[#This Row],[Forest cover 2011]]</f>
        <v>7.1959006098463674E-2</v>
      </c>
      <c r="AH57" s="6">
        <f>Tabla2[[#This Row],[Deforestation 2013]]/Tabla2[[#This Row],[Forest cover 2011]]</f>
        <v>3.4682922869000037E-2</v>
      </c>
      <c r="AI57" s="6">
        <f>Tabla2[[#This Row],[Deforestation 2014]]/Tabla2[[#This Row],[Forest cover 2011]]</f>
        <v>2.4689943026881954E-2</v>
      </c>
      <c r="AJ57" s="6">
        <f>Tabla2[[#This Row],[Deforestation 2015]]/Tabla2[[#This Row],[Forest cover 2011]]</f>
        <v>2.6480799629412074E-2</v>
      </c>
      <c r="AK57" s="6">
        <f>Tabla2[[#This Row],[Deforestation 2016]]/Tabla2[[#This Row],[Forest cover 2011]]</f>
        <v>3.3491406276116659E-2</v>
      </c>
      <c r="AL57" s="6">
        <f>Tabla2[[#This Row],[Deforestation 2017]]/Tabla2[[#This Row],[Forest cover 2011]]</f>
        <v>2.4921560480809183E-2</v>
      </c>
      <c r="AM57" s="6">
        <f>Tabla2[[#This Row],[Deforestation 2018]]/Tabla2[[#This Row],[Forest cover 2011]]</f>
        <v>2.451802079303906E-2</v>
      </c>
      <c r="AN57" s="6">
        <f>Tabla2[[#This Row],[Deforestation 2019]]/Tabla2[[#This Row],[Forest cover 2011]]</f>
        <v>2.5714313003529183E-2</v>
      </c>
      <c r="AO57" s="6">
        <f>Tabla2[[#This Row],[Deforestation 2020]]/Tabla2[[#This Row],[Forest cover 2011]]</f>
        <v>1.0773793320821215E-2</v>
      </c>
      <c r="AP57" s="6">
        <f>Tabla2[[#This Row],[Deforestation 2021]]/Tabla2[[#This Row],[Forest cover 2011]]</f>
        <v>3.1017636355821714E-2</v>
      </c>
      <c r="AQ57" s="6">
        <f>Tabla2[[#This Row],[Deforestation 2022]]/Tabla2[[#This Row],[Forest cover 2011]]</f>
        <v>3.8348209382178351E-3</v>
      </c>
      <c r="AR57" s="6">
        <f>Tabla2[[#This Row],[Deforestation 2023]]/Tabla2[[#This Row],[Forest cover 2011]]</f>
        <v>4.2352564745435702E-2</v>
      </c>
      <c r="AS57" s="6">
        <f>Tabla2[[#This Row],[Deforestation 2024]]/Tabla2[[#This Row],[Forest cover 2011]]</f>
        <v>2.9427355692774972E-2</v>
      </c>
      <c r="AT57" s="6">
        <f>Tabla2[[#This Row],[Forest Loss 2012]]/Tabla2[[#This Row],[Forest cover 2011]]</f>
        <v>7.2300462757346098E-2</v>
      </c>
      <c r="AU57" s="6">
        <f>Tabla2[[#This Row],[Forest Loss 2013]]/Tabla2[[#This Row],[Forest cover 2011]]</f>
        <v>3.5134218732837626E-2</v>
      </c>
      <c r="AV57" s="6">
        <f>Tabla2[[#This Row],[Forest Loss 2014]]/Tabla2[[#This Row],[Forest cover 2011]]</f>
        <v>2.5193770684393761E-2</v>
      </c>
      <c r="AW57" s="6">
        <f>Tabla2[[#This Row],[Forest Loss 2015]]/Tabla2[[#This Row],[Forest cover 2011]]</f>
        <v>2.7125508006322917E-2</v>
      </c>
      <c r="AX57" s="6">
        <f>Tabla2[[#This Row],[Forest Loss 2016]]/Tabla2[[#This Row],[Forest cover 2011]]</f>
        <v>3.3649001657139313E-2</v>
      </c>
      <c r="AY57" s="6">
        <f>Tabla2[[#This Row],[Forest Loss 2017]]/Tabla2[[#This Row],[Forest cover 2011]]</f>
        <v>2.5272568374905085E-2</v>
      </c>
      <c r="AZ57" s="6">
        <f>Tabla2[[#This Row],[Forest Loss 2018]]/Tabla2[[#This Row],[Forest cover 2011]]</f>
        <v>2.4966928848073278E-2</v>
      </c>
      <c r="BA57" s="6">
        <f>Tabla2[[#This Row],[Forest Loss 2019]]/Tabla2[[#This Row],[Forest cover 2011]]</f>
        <v>2.6058157471214965E-2</v>
      </c>
      <c r="BB57" s="6">
        <f>Tabla2[[#This Row],[Forest Loss 2020]]/Tabla2[[#This Row],[Forest cover 2011]]</f>
        <v>1.128239659593977E-2</v>
      </c>
      <c r="BC57" s="6">
        <f>Tabla2[[#This Row],[Forest Loss 2021]]/Tabla2[[#This Row],[Forest cover 2011]]</f>
        <v>3.33887304975716E-2</v>
      </c>
      <c r="BD57" s="6">
        <f>Tabla2[[#This Row],[Forest Loss 2022]]/Tabla2[[#This Row],[Forest cover 2011]]</f>
        <v>4.1094189506057869E-3</v>
      </c>
      <c r="BE57" s="6">
        <f>Tabla2[[#This Row],[Forest Loss 2023]]/Tabla2[[#This Row],[Forest cover 2011]]</f>
        <v>4.4869315224191374E-2</v>
      </c>
      <c r="BF57" s="6">
        <f>Tabla2[[#This Row],[Forest Loss 2024]]/Tabla2[[#This Row],[Forest cover 2011]]</f>
        <v>2.9534807088926775E-2</v>
      </c>
    </row>
    <row r="58" spans="1:58" x14ac:dyDescent="0.25">
      <c r="A58" s="2">
        <v>10101</v>
      </c>
      <c r="B58" s="3" t="s">
        <v>58</v>
      </c>
      <c r="C58" t="s">
        <v>59</v>
      </c>
      <c r="D58">
        <v>17890.560000000001</v>
      </c>
      <c r="E58" s="4">
        <f>AVERAGE(Tabla2[[#This Row],[Deforestation 2012]:[Deforestation 2014]])</f>
        <v>1.83</v>
      </c>
      <c r="F58" s="4">
        <f>AVERAGE(Tabla2[[#This Row],[Deforestation 2022]:[Deforestation 2024]])</f>
        <v>16.32</v>
      </c>
      <c r="G58">
        <v>0.72</v>
      </c>
      <c r="H58">
        <v>1.98</v>
      </c>
      <c r="I58">
        <v>2.79</v>
      </c>
      <c r="J58">
        <v>1.26</v>
      </c>
      <c r="K58">
        <v>3.15</v>
      </c>
      <c r="L58">
        <v>2.7</v>
      </c>
      <c r="M58">
        <v>1.08</v>
      </c>
      <c r="N58">
        <v>0.45</v>
      </c>
      <c r="O58">
        <v>1.8</v>
      </c>
      <c r="P58">
        <v>0.72</v>
      </c>
      <c r="Q58">
        <v>0.09</v>
      </c>
      <c r="R58">
        <v>28.8</v>
      </c>
      <c r="S58">
        <v>20.07</v>
      </c>
      <c r="T58">
        <v>34.56</v>
      </c>
      <c r="U58">
        <v>19.53</v>
      </c>
      <c r="V58">
        <v>233.73</v>
      </c>
      <c r="W58">
        <v>5.58</v>
      </c>
      <c r="X58">
        <v>7.1999999999999993</v>
      </c>
      <c r="Y58">
        <v>11.7</v>
      </c>
      <c r="Z58">
        <v>14.4</v>
      </c>
      <c r="AA58">
        <v>7.65</v>
      </c>
      <c r="AB58">
        <v>41.22</v>
      </c>
      <c r="AC58">
        <v>3.87</v>
      </c>
      <c r="AD58">
        <v>1.08</v>
      </c>
      <c r="AE58">
        <v>44.64</v>
      </c>
      <c r="AF58">
        <v>527.57999999999993</v>
      </c>
      <c r="AG58" s="5">
        <f>Tabla2[[#This Row],[Deforestation 2012]]/Tabla2[[#This Row],[Forest cover 2011]]</f>
        <v>4.0244687701223431E-5</v>
      </c>
      <c r="AH58" s="5">
        <f>Tabla2[[#This Row],[Deforestation 2013]]/Tabla2[[#This Row],[Forest cover 2011]]</f>
        <v>1.1067289117836445E-4</v>
      </c>
      <c r="AI58" s="5">
        <f>Tabla2[[#This Row],[Deforestation 2014]]/Tabla2[[#This Row],[Forest cover 2011]]</f>
        <v>1.5594816484224081E-4</v>
      </c>
      <c r="AJ58" s="5">
        <f>Tabla2[[#This Row],[Deforestation 2015]]/Tabla2[[#This Row],[Forest cover 2011]]</f>
        <v>7.0428203477141017E-5</v>
      </c>
      <c r="AK58" s="5">
        <f>Tabla2[[#This Row],[Deforestation 2016]]/Tabla2[[#This Row],[Forest cover 2011]]</f>
        <v>1.7607050869285253E-4</v>
      </c>
      <c r="AL58" s="5">
        <f>Tabla2[[#This Row],[Deforestation 2017]]/Tabla2[[#This Row],[Forest cover 2011]]</f>
        <v>1.5091757887958791E-4</v>
      </c>
      <c r="AM58" s="5">
        <f>Tabla2[[#This Row],[Deforestation 2018]]/Tabla2[[#This Row],[Forest cover 2011]]</f>
        <v>6.036703155183516E-5</v>
      </c>
      <c r="AN58" s="5">
        <f>Tabla2[[#This Row],[Deforestation 2019]]/Tabla2[[#This Row],[Forest cover 2011]]</f>
        <v>2.5152929813264648E-5</v>
      </c>
      <c r="AO58" s="5">
        <f>Tabla2[[#This Row],[Deforestation 2020]]/Tabla2[[#This Row],[Forest cover 2011]]</f>
        <v>1.0061171925305859E-4</v>
      </c>
      <c r="AP58" s="5">
        <f>Tabla2[[#This Row],[Deforestation 2021]]/Tabla2[[#This Row],[Forest cover 2011]]</f>
        <v>4.0244687701223431E-5</v>
      </c>
      <c r="AQ58" s="5">
        <f>Tabla2[[#This Row],[Deforestation 2022]]/Tabla2[[#This Row],[Forest cover 2011]]</f>
        <v>5.0305859626529288E-6</v>
      </c>
      <c r="AR58" s="5">
        <f>Tabla2[[#This Row],[Deforestation 2023]]/Tabla2[[#This Row],[Forest cover 2011]]</f>
        <v>1.6097875080489374E-3</v>
      </c>
      <c r="AS58" s="5">
        <f>Tabla2[[#This Row],[Deforestation 2024]]/Tabla2[[#This Row],[Forest cover 2011]]</f>
        <v>1.1218206696716033E-3</v>
      </c>
      <c r="AT58" s="5">
        <f>Tabla2[[#This Row],[Forest Loss 2012]]/Tabla2[[#This Row],[Forest cover 2011]]</f>
        <v>1.9317450096587251E-3</v>
      </c>
      <c r="AU58" s="5">
        <f>Tabla2[[#This Row],[Forest Loss 2013]]/Tabla2[[#This Row],[Forest cover 2011]]</f>
        <v>1.0916371538956858E-3</v>
      </c>
      <c r="AV58" s="5">
        <f>Tabla2[[#This Row],[Forest Loss 2014]]/Tabla2[[#This Row],[Forest cover 2011]]</f>
        <v>1.3064431745009658E-2</v>
      </c>
      <c r="AW58" s="5">
        <f>Tabla2[[#This Row],[Forest Loss 2015]]/Tabla2[[#This Row],[Forest cover 2011]]</f>
        <v>3.1189632968448163E-4</v>
      </c>
      <c r="AX58" s="5">
        <f>Tabla2[[#This Row],[Forest Loss 2016]]/Tabla2[[#This Row],[Forest cover 2011]]</f>
        <v>4.0244687701223431E-4</v>
      </c>
      <c r="AY58" s="5">
        <f>Tabla2[[#This Row],[Forest Loss 2017]]/Tabla2[[#This Row],[Forest cover 2011]]</f>
        <v>6.5397617514488082E-4</v>
      </c>
      <c r="AZ58" s="5">
        <f>Tabla2[[#This Row],[Forest Loss 2018]]/Tabla2[[#This Row],[Forest cover 2011]]</f>
        <v>8.0489375402446872E-4</v>
      </c>
      <c r="BA58" s="5">
        <f>Tabla2[[#This Row],[Forest Loss 2019]]/Tabla2[[#This Row],[Forest cover 2011]]</f>
        <v>4.2759980682549901E-4</v>
      </c>
      <c r="BB58" s="5">
        <f>Tabla2[[#This Row],[Forest Loss 2020]]/Tabla2[[#This Row],[Forest cover 2011]]</f>
        <v>2.3040083708950414E-3</v>
      </c>
      <c r="BC58" s="5">
        <f>Tabla2[[#This Row],[Forest Loss 2021]]/Tabla2[[#This Row],[Forest cover 2011]]</f>
        <v>2.1631519639407596E-4</v>
      </c>
      <c r="BD58" s="5">
        <f>Tabla2[[#This Row],[Forest Loss 2022]]/Tabla2[[#This Row],[Forest cover 2011]]</f>
        <v>6.036703155183516E-5</v>
      </c>
      <c r="BE58" s="5">
        <f>Tabla2[[#This Row],[Forest Loss 2023]]/Tabla2[[#This Row],[Forest cover 2011]]</f>
        <v>2.495170637475853E-3</v>
      </c>
      <c r="BF58" s="5">
        <f>Tabla2[[#This Row],[Forest Loss 2024]]/Tabla2[[#This Row],[Forest cover 2011]]</f>
        <v>2.9489294913071468E-2</v>
      </c>
    </row>
    <row r="59" spans="1:58" x14ac:dyDescent="0.25">
      <c r="A59" s="2">
        <v>21102</v>
      </c>
      <c r="B59" s="3" t="s">
        <v>88</v>
      </c>
      <c r="C59" t="s">
        <v>145</v>
      </c>
      <c r="D59">
        <v>75065.94</v>
      </c>
      <c r="E59" s="4">
        <f>AVERAGE(Tabla2[[#This Row],[Deforestation 2012]:[Deforestation 2014]])</f>
        <v>74.160000000000011</v>
      </c>
      <c r="F59" s="4">
        <f>AVERAGE(Tabla2[[#This Row],[Deforestation 2022]:[Deforestation 2024]])</f>
        <v>809.34</v>
      </c>
      <c r="G59">
        <v>44.28</v>
      </c>
      <c r="H59">
        <v>75.06</v>
      </c>
      <c r="I59">
        <v>103.14</v>
      </c>
      <c r="J59">
        <v>60.12</v>
      </c>
      <c r="K59">
        <v>51.930000000000007</v>
      </c>
      <c r="L59">
        <v>52.83</v>
      </c>
      <c r="M59">
        <v>59.22</v>
      </c>
      <c r="N59">
        <v>29.52</v>
      </c>
      <c r="O59">
        <v>51.93</v>
      </c>
      <c r="P59">
        <v>36.99</v>
      </c>
      <c r="Q59">
        <v>74.34</v>
      </c>
      <c r="R59">
        <v>909.27</v>
      </c>
      <c r="S59">
        <v>1444.41</v>
      </c>
      <c r="T59">
        <v>170.19</v>
      </c>
      <c r="U59">
        <v>200.97</v>
      </c>
      <c r="V59">
        <v>316.89</v>
      </c>
      <c r="W59">
        <v>112.23</v>
      </c>
      <c r="X59">
        <v>74.069999999999993</v>
      </c>
      <c r="Y59">
        <v>65.430000000000007</v>
      </c>
      <c r="Z59">
        <v>75.69</v>
      </c>
      <c r="AA59">
        <v>42.84</v>
      </c>
      <c r="AB59">
        <v>67.14</v>
      </c>
      <c r="AC59">
        <v>60.39</v>
      </c>
      <c r="AD59">
        <v>82.62</v>
      </c>
      <c r="AE59">
        <v>972.99</v>
      </c>
      <c r="AF59">
        <v>2210.13</v>
      </c>
      <c r="AG59" s="5">
        <f>Tabla2[[#This Row],[Deforestation 2012]]/Tabla2[[#This Row],[Forest cover 2011]]</f>
        <v>5.8988137629396235E-4</v>
      </c>
      <c r="AH59" s="6">
        <f>Tabla2[[#This Row],[Deforestation 2013]]/Tabla2[[#This Row],[Forest cover 2011]]</f>
        <v>9.9992086957147283E-4</v>
      </c>
      <c r="AI59" s="6">
        <f>Tabla2[[#This Row],[Deforestation 2014]]/Tabla2[[#This Row],[Forest cover 2011]]</f>
        <v>1.3739919862456927E-3</v>
      </c>
      <c r="AJ59" s="6">
        <f>Tabla2[[#This Row],[Deforestation 2015]]/Tabla2[[#This Row],[Forest cover 2011]]</f>
        <v>8.0089585236659921E-4</v>
      </c>
      <c r="AK59" s="6">
        <f>Tabla2[[#This Row],[Deforestation 2016]]/Tabla2[[#This Row],[Forest cover 2011]]</f>
        <v>6.9179177666995185E-4</v>
      </c>
      <c r="AL59" s="6">
        <f>Tabla2[[#This Row],[Deforestation 2017]]/Tabla2[[#This Row],[Forest cover 2011]]</f>
        <v>7.037812355377152E-4</v>
      </c>
      <c r="AM59" s="6">
        <f>Tabla2[[#This Row],[Deforestation 2018]]/Tabla2[[#This Row],[Forest cover 2011]]</f>
        <v>7.8890639349883575E-4</v>
      </c>
      <c r="AN59" s="6">
        <f>Tabla2[[#This Row],[Deforestation 2019]]/Tabla2[[#This Row],[Forest cover 2011]]</f>
        <v>3.9325425086264153E-4</v>
      </c>
      <c r="AO59" s="6">
        <f>Tabla2[[#This Row],[Deforestation 2020]]/Tabla2[[#This Row],[Forest cover 2011]]</f>
        <v>6.9179177666995174E-4</v>
      </c>
      <c r="AP59" s="6">
        <f>Tabla2[[#This Row],[Deforestation 2021]]/Tabla2[[#This Row],[Forest cover 2011]]</f>
        <v>4.9276675946507834E-4</v>
      </c>
      <c r="AQ59" s="6">
        <f>Tabla2[[#This Row],[Deforestation 2022]]/Tabla2[[#This Row],[Forest cover 2011]]</f>
        <v>9.9032930247726207E-4</v>
      </c>
      <c r="AR59" s="6">
        <f>Tabla2[[#This Row],[Deforestation 2023]]/Tabla2[[#This Row],[Forest cover 2011]]</f>
        <v>1.2112950294101425E-2</v>
      </c>
      <c r="AS59" s="6">
        <f>Tabla2[[#This Row],[Deforestation 2024]]/Tabla2[[#This Row],[Forest cover 2011]]</f>
        <v>1.9241882536873582E-2</v>
      </c>
      <c r="AT59" s="6">
        <f>Tabla2[[#This Row],[Forest Loss 2012]]/Tabla2[[#This Row],[Forest cover 2011]]</f>
        <v>2.2672066718940707E-3</v>
      </c>
      <c r="AU59" s="6">
        <f>Tabla2[[#This Row],[Forest Loss 2013]]/Tabla2[[#This Row],[Forest cover 2011]]</f>
        <v>2.6772461651715812E-3</v>
      </c>
      <c r="AV59" s="6">
        <f>Tabla2[[#This Row],[Forest Loss 2014]]/Tabla2[[#This Row],[Forest cover 2011]]</f>
        <v>4.221488467339515E-3</v>
      </c>
      <c r="AW59" s="6">
        <f>Tabla2[[#This Row],[Forest Loss 2015]]/Tabla2[[#This Row],[Forest cover 2011]]</f>
        <v>1.4950855208101038E-3</v>
      </c>
      <c r="AX59" s="6">
        <f>Tabla2[[#This Row],[Forest Loss 2016]]/Tabla2[[#This Row],[Forest cover 2011]]</f>
        <v>9.8673246481693292E-4</v>
      </c>
      <c r="AY59" s="6">
        <f>Tabla2[[#This Row],[Forest Loss 2017]]/Tabla2[[#This Row],[Forest cover 2011]]</f>
        <v>8.7163365968640372E-4</v>
      </c>
      <c r="AZ59" s="6">
        <f>Tabla2[[#This Row],[Forest Loss 2018]]/Tabla2[[#This Row],[Forest cover 2011]]</f>
        <v>1.0083134907789071E-3</v>
      </c>
      <c r="BA59" s="6">
        <f>Tabla2[[#This Row],[Forest Loss 2019]]/Tabla2[[#This Row],[Forest cover 2011]]</f>
        <v>5.7069824210554082E-4</v>
      </c>
      <c r="BB59" s="6">
        <f>Tabla2[[#This Row],[Forest Loss 2020]]/Tabla2[[#This Row],[Forest cover 2011]]</f>
        <v>8.9441363153515429E-4</v>
      </c>
      <c r="BC59" s="6">
        <f>Tabla2[[#This Row],[Forest Loss 2021]]/Tabla2[[#This Row],[Forest cover 2011]]</f>
        <v>8.0449269002692836E-4</v>
      </c>
      <c r="BD59" s="6">
        <f>Tabla2[[#This Row],[Forest Loss 2022]]/Tabla2[[#This Row],[Forest cover 2011]]</f>
        <v>1.1006323240606859E-3</v>
      </c>
      <c r="BE59" s="6">
        <f>Tabla2[[#This Row],[Forest Loss 2023]]/Tabla2[[#This Row],[Forest cover 2011]]</f>
        <v>1.296180398193908E-2</v>
      </c>
      <c r="BF59" s="6">
        <f>Tabla2[[#This Row],[Forest Loss 2024]]/Tabla2[[#This Row],[Forest cover 2011]]</f>
        <v>2.9442514141566734E-2</v>
      </c>
    </row>
    <row r="60" spans="1:58" x14ac:dyDescent="0.25">
      <c r="A60" s="2">
        <v>80701</v>
      </c>
      <c r="B60" s="3" t="s">
        <v>365</v>
      </c>
      <c r="C60" t="s">
        <v>378</v>
      </c>
      <c r="D60">
        <v>265375.17</v>
      </c>
      <c r="E60" s="4">
        <f>AVERAGE(Tabla2[[#This Row],[Deforestation 2012]:[Deforestation 2014]])</f>
        <v>201.39</v>
      </c>
      <c r="F60" s="4">
        <f>AVERAGE(Tabla2[[#This Row],[Deforestation 2022]:[Deforestation 2024]])</f>
        <v>237.99</v>
      </c>
      <c r="G60">
        <v>246.96</v>
      </c>
      <c r="H60">
        <v>134.72999999999999</v>
      </c>
      <c r="I60">
        <v>222.48</v>
      </c>
      <c r="J60">
        <v>124.38</v>
      </c>
      <c r="K60">
        <v>105.12</v>
      </c>
      <c r="L60">
        <v>69.39</v>
      </c>
      <c r="M60">
        <v>78.48</v>
      </c>
      <c r="N60">
        <v>126.9</v>
      </c>
      <c r="O60">
        <v>110.52</v>
      </c>
      <c r="P60">
        <v>220.41</v>
      </c>
      <c r="Q60">
        <v>105.93</v>
      </c>
      <c r="R60">
        <v>199.89</v>
      </c>
      <c r="S60">
        <v>408.15</v>
      </c>
      <c r="T60">
        <v>4831.83</v>
      </c>
      <c r="U60">
        <v>2160.63</v>
      </c>
      <c r="V60">
        <v>4587.93</v>
      </c>
      <c r="W60">
        <v>1743.66</v>
      </c>
      <c r="X60">
        <v>1102.8599999999999</v>
      </c>
      <c r="Y60">
        <v>1326.24</v>
      </c>
      <c r="Z60">
        <v>693.27</v>
      </c>
      <c r="AA60">
        <v>913.05</v>
      </c>
      <c r="AB60">
        <v>930.32999999999993</v>
      </c>
      <c r="AC60">
        <v>497.25</v>
      </c>
      <c r="AD60">
        <v>560.97</v>
      </c>
      <c r="AE60">
        <v>992.97</v>
      </c>
      <c r="AF60">
        <v>7752.42</v>
      </c>
      <c r="AG60" s="5">
        <f>Tabla2[[#This Row],[Deforestation 2012]]/Tabla2[[#This Row],[Forest cover 2011]]</f>
        <v>9.3060703456167369E-4</v>
      </c>
      <c r="AH60" s="6">
        <f>Tabla2[[#This Row],[Deforestation 2013]]/Tabla2[[#This Row],[Forest cover 2011]]</f>
        <v>5.0769633044417829E-4</v>
      </c>
      <c r="AI60" s="6">
        <f>Tabla2[[#This Row],[Deforestation 2014]]/Tabla2[[#This Row],[Forest cover 2011]]</f>
        <v>8.3836027311824234E-4</v>
      </c>
      <c r="AJ60" s="6">
        <f>Tabla2[[#This Row],[Deforestation 2015]]/Tabla2[[#This Row],[Forest cover 2011]]</f>
        <v>4.6869494233390413E-4</v>
      </c>
      <c r="AK60" s="6">
        <f>Tabla2[[#This Row],[Deforestation 2016]]/Tabla2[[#This Row],[Forest cover 2011]]</f>
        <v>3.9611844619826344E-4</v>
      </c>
      <c r="AL60" s="6">
        <f>Tabla2[[#This Row],[Deforestation 2017]]/Tabla2[[#This Row],[Forest cover 2011]]</f>
        <v>2.6147887159149065E-4</v>
      </c>
      <c r="AM60" s="6">
        <f>Tabla2[[#This Row],[Deforestation 2018]]/Tabla2[[#This Row],[Forest cover 2011]]</f>
        <v>2.9573226462747065E-4</v>
      </c>
      <c r="AN60" s="6">
        <f>Tabla2[[#This Row],[Deforestation 2019]]/Tabla2[[#This Row],[Forest cover 2011]]</f>
        <v>4.7819093248249267E-4</v>
      </c>
      <c r="AO60" s="6">
        <f>Tabla2[[#This Row],[Deforestation 2020]]/Tabla2[[#This Row],[Forest cover 2011]]</f>
        <v>4.1646699651666735E-4</v>
      </c>
      <c r="AP60" s="6">
        <f>Tabla2[[#This Row],[Deforestation 2021]]/Tabla2[[#This Row],[Forest cover 2011]]</f>
        <v>8.3055999549618757E-4</v>
      </c>
      <c r="AQ60" s="6">
        <f>Tabla2[[#This Row],[Deforestation 2022]]/Tabla2[[#This Row],[Forest cover 2011]]</f>
        <v>3.9917072874602404E-4</v>
      </c>
      <c r="AR60" s="6">
        <f>Tabla2[[#This Row],[Deforestation 2023]]/Tabla2[[#This Row],[Forest cover 2011]]</f>
        <v>7.5323550428625251E-4</v>
      </c>
      <c r="AS60" s="6">
        <f>Tabla2[[#This Row],[Deforestation 2024]]/Tabla2[[#This Row],[Forest cover 2011]]</f>
        <v>1.5380112615660311E-3</v>
      </c>
      <c r="AT60" s="6">
        <f>Tabla2[[#This Row],[Forest Loss 2012]]/Tabla2[[#This Row],[Forest cover 2011]]</f>
        <v>1.820754368240254E-2</v>
      </c>
      <c r="AU60" s="6">
        <f>Tabla2[[#This Row],[Forest Loss 2013]]/Tabla2[[#This Row],[Forest cover 2011]]</f>
        <v>8.1417941248987241E-3</v>
      </c>
      <c r="AV60" s="6">
        <f>Tabla2[[#This Row],[Forest Loss 2014]]/Tabla2[[#This Row],[Forest cover 2011]]</f>
        <v>1.7288467493021296E-2</v>
      </c>
      <c r="AW60" s="6">
        <f>Tabla2[[#This Row],[Forest Loss 2015]]/Tabla2[[#This Row],[Forest cover 2011]]</f>
        <v>6.5705468978126333E-3</v>
      </c>
      <c r="AX60" s="6">
        <f>Tabla2[[#This Row],[Forest Loss 2016]]/Tabla2[[#This Row],[Forest cover 2011]]</f>
        <v>4.155852260028698E-3</v>
      </c>
      <c r="AY60" s="6">
        <f>Tabla2[[#This Row],[Forest Loss 2017]]/Tabla2[[#This Row],[Forest cover 2011]]</f>
        <v>4.9976039582000087E-3</v>
      </c>
      <c r="AZ60" s="6">
        <f>Tabla2[[#This Row],[Forest Loss 2018]]/Tabla2[[#This Row],[Forest cover 2011]]</f>
        <v>2.6124147183777596E-3</v>
      </c>
      <c r="BA60" s="6">
        <f>Tabla2[[#This Row],[Forest Loss 2019]]/Tabla2[[#This Row],[Forest cover 2011]]</f>
        <v>3.4406007163367996E-3</v>
      </c>
      <c r="BB60" s="6">
        <f>Tabla2[[#This Row],[Forest Loss 2020]]/Tabla2[[#This Row],[Forest cover 2011]]</f>
        <v>3.5057160773556925E-3</v>
      </c>
      <c r="BC60" s="6">
        <f>Tabla2[[#This Row],[Forest Loss 2021]]/Tabla2[[#This Row],[Forest cover 2011]]</f>
        <v>1.8737623418196964E-3</v>
      </c>
      <c r="BD60" s="6">
        <f>Tabla2[[#This Row],[Forest Loss 2022]]/Tabla2[[#This Row],[Forest cover 2011]]</f>
        <v>2.113875235576863E-3</v>
      </c>
      <c r="BE60" s="6">
        <f>Tabla2[[#This Row],[Forest Loss 2023]]/Tabla2[[#This Row],[Forest cover 2011]]</f>
        <v>3.7417592610491783E-3</v>
      </c>
      <c r="BF60" s="6">
        <f>Tabla2[[#This Row],[Forest Loss 2024]]/Tabla2[[#This Row],[Forest cover 2011]]</f>
        <v>2.9213057122111315E-2</v>
      </c>
    </row>
    <row r="61" spans="1:58" x14ac:dyDescent="0.25">
      <c r="A61" s="2">
        <v>21003</v>
      </c>
      <c r="B61" s="3" t="s">
        <v>88</v>
      </c>
      <c r="C61" t="s">
        <v>140</v>
      </c>
      <c r="D61">
        <v>46961.19</v>
      </c>
      <c r="E61" s="4">
        <f>AVERAGE(Tabla2[[#This Row],[Deforestation 2012]:[Deforestation 2014]])</f>
        <v>84.96</v>
      </c>
      <c r="F61" s="4">
        <f>AVERAGE(Tabla2[[#This Row],[Deforestation 2022]:[Deforestation 2024]])</f>
        <v>452.96999999999997</v>
      </c>
      <c r="G61">
        <v>47.61</v>
      </c>
      <c r="H61">
        <v>81.72</v>
      </c>
      <c r="I61">
        <v>125.55</v>
      </c>
      <c r="J61">
        <v>68.670000000000016</v>
      </c>
      <c r="K61">
        <v>67.319999999999993</v>
      </c>
      <c r="L61">
        <v>46.8</v>
      </c>
      <c r="M61">
        <v>50.76</v>
      </c>
      <c r="N61">
        <v>60.12</v>
      </c>
      <c r="O61">
        <v>59.49</v>
      </c>
      <c r="P61">
        <v>103.23</v>
      </c>
      <c r="Q61">
        <v>149.49</v>
      </c>
      <c r="R61">
        <v>379.08</v>
      </c>
      <c r="S61">
        <v>830.34</v>
      </c>
      <c r="T61">
        <v>107.19</v>
      </c>
      <c r="U61">
        <v>146.61000000000001</v>
      </c>
      <c r="V61">
        <v>266.04000000000002</v>
      </c>
      <c r="W61">
        <v>90.36</v>
      </c>
      <c r="X61">
        <v>82.62</v>
      </c>
      <c r="Y61">
        <v>55.17</v>
      </c>
      <c r="Z61">
        <v>57.33</v>
      </c>
      <c r="AA61">
        <v>81.27</v>
      </c>
      <c r="AB61">
        <v>74.430000000000007</v>
      </c>
      <c r="AC61">
        <v>112.86</v>
      </c>
      <c r="AD61">
        <v>158.04</v>
      </c>
      <c r="AE61">
        <v>408.15</v>
      </c>
      <c r="AF61">
        <v>1329.66</v>
      </c>
      <c r="AG61" s="5">
        <f>Tabla2[[#This Row],[Deforestation 2012]]/Tabla2[[#This Row],[Forest cover 2011]]</f>
        <v>1.013815876471614E-3</v>
      </c>
      <c r="AH61" s="6">
        <f>Tabla2[[#This Row],[Deforestation 2013]]/Tabla2[[#This Row],[Forest cover 2011]]</f>
        <v>1.740160332393621E-3</v>
      </c>
      <c r="AI61" s="6">
        <f>Tabla2[[#This Row],[Deforestation 2014]]/Tabla2[[#This Row],[Forest cover 2011]]</f>
        <v>2.6734842111113453E-3</v>
      </c>
      <c r="AJ61" s="6">
        <f>Tabla2[[#This Row],[Deforestation 2015]]/Tabla2[[#This Row],[Forest cover 2011]]</f>
        <v>1.4622712925290013E-3</v>
      </c>
      <c r="AK61" s="6">
        <f>Tabla2[[#This Row],[Deforestation 2016]]/Tabla2[[#This Row],[Forest cover 2011]]</f>
        <v>1.4335241504740402E-3</v>
      </c>
      <c r="AL61" s="6">
        <f>Tabla2[[#This Row],[Deforestation 2017]]/Tabla2[[#This Row],[Forest cover 2011]]</f>
        <v>9.9656759123863754E-4</v>
      </c>
      <c r="AM61" s="6">
        <f>Tabla2[[#This Row],[Deforestation 2018]]/Tabla2[[#This Row],[Forest cover 2011]]</f>
        <v>1.0808925412665222E-3</v>
      </c>
      <c r="AN61" s="6">
        <f>Tabla2[[#This Row],[Deforestation 2019]]/Tabla2[[#This Row],[Forest cover 2011]]</f>
        <v>1.2802060595142497E-3</v>
      </c>
      <c r="AO61" s="6">
        <f>Tabla2[[#This Row],[Deforestation 2020]]/Tabla2[[#This Row],[Forest cover 2011]]</f>
        <v>1.2667907265552683E-3</v>
      </c>
      <c r="AP61" s="6">
        <f>Tabla2[[#This Row],[Deforestation 2021]]/Tabla2[[#This Row],[Forest cover 2011]]</f>
        <v>2.198198129135995E-3</v>
      </c>
      <c r="AQ61" s="6">
        <f>Tabla2[[#This Row],[Deforestation 2022]]/Tabla2[[#This Row],[Forest cover 2011]]</f>
        <v>3.1832668635526484E-3</v>
      </c>
      <c r="AR61" s="6">
        <f>Tabla2[[#This Row],[Deforestation 2023]]/Tabla2[[#This Row],[Forest cover 2011]]</f>
        <v>8.0721974890329649E-3</v>
      </c>
      <c r="AS61" s="6">
        <f>Tabla2[[#This Row],[Deforestation 2024]]/Tabla2[[#This Row],[Forest cover 2011]]</f>
        <v>1.768140883993783E-2</v>
      </c>
      <c r="AT61" s="6">
        <f>Tabla2[[#This Row],[Forest Loss 2012]]/Tabla2[[#This Row],[Forest cover 2011]]</f>
        <v>2.2825230791638797E-3</v>
      </c>
      <c r="AU61" s="6">
        <f>Tabla2[[#This Row],[Forest Loss 2013]]/Tabla2[[#This Row],[Forest cover 2011]]</f>
        <v>3.1219396271687325E-3</v>
      </c>
      <c r="AV61" s="6">
        <f>Tabla2[[#This Row],[Forest Loss 2014]]/Tabla2[[#This Row],[Forest cover 2011]]</f>
        <v>5.6651034609642558E-3</v>
      </c>
      <c r="AW61" s="6">
        <f>Tabla2[[#This Row],[Forest Loss 2015]]/Tabla2[[#This Row],[Forest cover 2011]]</f>
        <v>1.9241420415453696E-3</v>
      </c>
      <c r="AX61" s="6">
        <f>Tabla2[[#This Row],[Forest Loss 2016]]/Tabla2[[#This Row],[Forest cover 2011]]</f>
        <v>1.7593250937635949E-3</v>
      </c>
      <c r="AY61" s="6">
        <f>Tabla2[[#This Row],[Forest Loss 2017]]/Tabla2[[#This Row],[Forest cover 2011]]</f>
        <v>1.1747998719793941E-3</v>
      </c>
      <c r="AZ61" s="6">
        <f>Tabla2[[#This Row],[Forest Loss 2018]]/Tabla2[[#This Row],[Forest cover 2011]]</f>
        <v>1.2207952992673312E-3</v>
      </c>
      <c r="BA61" s="6">
        <f>Tabla2[[#This Row],[Forest Loss 2019]]/Tabla2[[#This Row],[Forest cover 2011]]</f>
        <v>1.7305779517086341E-3</v>
      </c>
      <c r="BB61" s="6">
        <f>Tabla2[[#This Row],[Forest Loss 2020]]/Tabla2[[#This Row],[Forest cover 2011]]</f>
        <v>1.5849257652968335E-3</v>
      </c>
      <c r="BC61" s="6">
        <f>Tabla2[[#This Row],[Forest Loss 2021]]/Tabla2[[#This Row],[Forest cover 2011]]</f>
        <v>2.4032610757947145E-3</v>
      </c>
      <c r="BD61" s="6">
        <f>Tabla2[[#This Row],[Forest Loss 2022]]/Tabla2[[#This Row],[Forest cover 2011]]</f>
        <v>3.3653320965673994E-3</v>
      </c>
      <c r="BE61" s="6">
        <f>Tabla2[[#This Row],[Forest Loss 2023]]/Tabla2[[#This Row],[Forest cover 2011]]</f>
        <v>8.6912192812831184E-3</v>
      </c>
      <c r="BF61" s="6">
        <f>Tabla2[[#This Row],[Forest Loss 2024]]/Tabla2[[#This Row],[Forest cover 2011]]</f>
        <v>2.8314018447999294E-2</v>
      </c>
    </row>
    <row r="62" spans="1:58" x14ac:dyDescent="0.25">
      <c r="A62" s="2">
        <v>70402</v>
      </c>
      <c r="B62" s="3" t="s">
        <v>310</v>
      </c>
      <c r="C62" t="s">
        <v>322</v>
      </c>
      <c r="D62">
        <v>43491.24</v>
      </c>
      <c r="E62" s="4">
        <f>AVERAGE(Tabla2[[#This Row],[Deforestation 2012]:[Deforestation 2014]])</f>
        <v>1203.4799999999998</v>
      </c>
      <c r="F62" s="4">
        <f>AVERAGE(Tabla2[[#This Row],[Deforestation 2022]:[Deforestation 2024]])</f>
        <v>1209.75</v>
      </c>
      <c r="G62">
        <v>1689.21</v>
      </c>
      <c r="H62">
        <v>1039.4100000000001</v>
      </c>
      <c r="I62">
        <v>881.81999999999994</v>
      </c>
      <c r="J62">
        <v>628.47</v>
      </c>
      <c r="K62">
        <v>1713.51</v>
      </c>
      <c r="L62">
        <v>1228.5899999999999</v>
      </c>
      <c r="M62">
        <v>523.89</v>
      </c>
      <c r="N62">
        <v>588.24</v>
      </c>
      <c r="O62">
        <v>787.23</v>
      </c>
      <c r="P62">
        <v>1225.26</v>
      </c>
      <c r="Q62">
        <v>288.89999999999998</v>
      </c>
      <c r="R62">
        <v>2162.34</v>
      </c>
      <c r="S62">
        <v>1178.01</v>
      </c>
      <c r="T62">
        <v>1853.01</v>
      </c>
      <c r="U62">
        <v>1087.56</v>
      </c>
      <c r="V62">
        <v>981.45</v>
      </c>
      <c r="W62">
        <v>679.5</v>
      </c>
      <c r="X62">
        <v>1730.25</v>
      </c>
      <c r="Y62">
        <v>1253.97</v>
      </c>
      <c r="Z62">
        <v>566.37</v>
      </c>
      <c r="AA62">
        <v>612.9</v>
      </c>
      <c r="AB62">
        <v>827.1</v>
      </c>
      <c r="AC62">
        <v>1502.28</v>
      </c>
      <c r="AD62">
        <v>300.24</v>
      </c>
      <c r="AE62">
        <v>2344.3200000000002</v>
      </c>
      <c r="AF62">
        <v>1198.8</v>
      </c>
      <c r="AG62" s="5">
        <f>Tabla2[[#This Row],[Deforestation 2012]]/Tabla2[[#This Row],[Forest cover 2011]]</f>
        <v>3.8840235412924536E-2</v>
      </c>
      <c r="AH62" s="6">
        <f>Tabla2[[#This Row],[Deforestation 2013]]/Tabla2[[#This Row],[Forest cover 2011]]</f>
        <v>2.3899295582282779E-2</v>
      </c>
      <c r="AI62" s="6">
        <f>Tabla2[[#This Row],[Deforestation 2014]]/Tabla2[[#This Row],[Forest cover 2011]]</f>
        <v>2.027580726601495E-2</v>
      </c>
      <c r="AJ62" s="6">
        <f>Tabla2[[#This Row],[Deforestation 2015]]/Tabla2[[#This Row],[Forest cover 2011]]</f>
        <v>1.4450496237863075E-2</v>
      </c>
      <c r="AK62" s="6">
        <f>Tabla2[[#This Row],[Deforestation 2016]]/Tabla2[[#This Row],[Forest cover 2011]]</f>
        <v>3.9398968619887592E-2</v>
      </c>
      <c r="AL62" s="6">
        <f>Tabla2[[#This Row],[Deforestation 2017]]/Tabla2[[#This Row],[Forest cover 2011]]</f>
        <v>2.824913706760258E-2</v>
      </c>
      <c r="AM62" s="6">
        <f>Tabla2[[#This Row],[Deforestation 2018]]/Tabla2[[#This Row],[Forest cover 2011]]</f>
        <v>1.2045874065673916E-2</v>
      </c>
      <c r="AN62" s="6">
        <f>Tabla2[[#This Row],[Deforestation 2019]]/Tabla2[[#This Row],[Forest cover 2011]]</f>
        <v>1.3525482373002013E-2</v>
      </c>
      <c r="AO62" s="6">
        <f>Tabla2[[#This Row],[Deforestation 2020]]/Tabla2[[#This Row],[Forest cover 2011]]</f>
        <v>1.810088652335505E-2</v>
      </c>
      <c r="AP62" s="6">
        <f>Tabla2[[#This Row],[Deforestation 2021]]/Tabla2[[#This Row],[Forest cover 2011]]</f>
        <v>2.8172569924426162E-2</v>
      </c>
      <c r="AQ62" s="6">
        <f>Tabla2[[#This Row],[Deforestation 2022]]/Tabla2[[#This Row],[Forest cover 2011]]</f>
        <v>6.6427170161163489E-3</v>
      </c>
      <c r="AR62" s="6">
        <f>Tabla2[[#This Row],[Deforestation 2023]]/Tabla2[[#This Row],[Forest cover 2011]]</f>
        <v>4.9718977890720065E-2</v>
      </c>
      <c r="AS62" s="6">
        <f>Tabla2[[#This Row],[Deforestation 2024]]/Tabla2[[#This Row],[Forest cover 2011]]</f>
        <v>2.7086144244220216E-2</v>
      </c>
      <c r="AT62" s="6">
        <f>Tabla2[[#This Row],[Forest Loss 2012]]/Tabla2[[#This Row],[Forest cover 2011]]</f>
        <v>4.2606511104305148E-2</v>
      </c>
      <c r="AU62" s="6">
        <f>Tabla2[[#This Row],[Forest Loss 2013]]/Tabla2[[#This Row],[Forest cover 2011]]</f>
        <v>2.5006415084968835E-2</v>
      </c>
      <c r="AV62" s="6">
        <f>Tabla2[[#This Row],[Forest Loss 2014]]/Tabla2[[#This Row],[Forest cover 2011]]</f>
        <v>2.2566613414563487E-2</v>
      </c>
      <c r="AW62" s="6">
        <f>Tabla2[[#This Row],[Forest Loss 2015]]/Tabla2[[#This Row],[Forest cover 2011]]</f>
        <v>1.5623835972485494E-2</v>
      </c>
      <c r="AX62" s="6">
        <f>Tabla2[[#This Row],[Forest Loss 2016]]/Tabla2[[#This Row],[Forest cover 2011]]</f>
        <v>3.9783873718017698E-2</v>
      </c>
      <c r="AY62" s="6">
        <f>Tabla2[[#This Row],[Forest Loss 2017]]/Tabla2[[#This Row],[Forest cover 2011]]</f>
        <v>2.8832702861541774E-2</v>
      </c>
      <c r="AZ62" s="6">
        <f>Tabla2[[#This Row],[Forest Loss 2018]]/Tabla2[[#This Row],[Forest cover 2011]]</f>
        <v>1.3022622486735261E-2</v>
      </c>
      <c r="BA62" s="6">
        <f>Tabla2[[#This Row],[Forest Loss 2019]]/Tabla2[[#This Row],[Forest cover 2011]]</f>
        <v>1.4092493108957114E-2</v>
      </c>
      <c r="BB62" s="6">
        <f>Tabla2[[#This Row],[Forest Loss 2020]]/Tabla2[[#This Row],[Forest cover 2011]]</f>
        <v>1.9017622859224065E-2</v>
      </c>
      <c r="BC62" s="6">
        <f>Tabla2[[#This Row],[Forest Loss 2021]]/Tabla2[[#This Row],[Forest cover 2011]]</f>
        <v>3.4542128483805015E-2</v>
      </c>
      <c r="BD62" s="6">
        <f>Tabla2[[#This Row],[Forest Loss 2022]]/Tabla2[[#This Row],[Forest cover 2011]]</f>
        <v>6.9034591793657764E-3</v>
      </c>
      <c r="BE62" s="6">
        <f>Tabla2[[#This Row],[Forest Loss 2023]]/Tabla2[[#This Row],[Forest cover 2011]]</f>
        <v>5.3903268796198965E-2</v>
      </c>
      <c r="BF62" s="6">
        <f>Tabla2[[#This Row],[Forest Loss 2024]]/Tabla2[[#This Row],[Forest cover 2011]]</f>
        <v>2.7564171543510832E-2</v>
      </c>
    </row>
    <row r="63" spans="1:58" x14ac:dyDescent="0.25">
      <c r="A63" s="2">
        <v>20501</v>
      </c>
      <c r="B63" s="3" t="s">
        <v>88</v>
      </c>
      <c r="C63" t="s">
        <v>113</v>
      </c>
      <c r="D63">
        <v>5788.62</v>
      </c>
      <c r="E63" s="4">
        <f>AVERAGE(Tabla2[[#This Row],[Deforestation 2012]:[Deforestation 2014]])</f>
        <v>5.7600000000000007</v>
      </c>
      <c r="F63" s="4">
        <f>AVERAGE(Tabla2[[#This Row],[Deforestation 2022]:[Deforestation 2024]])</f>
        <v>26.099999999999998</v>
      </c>
      <c r="G63">
        <v>2.16</v>
      </c>
      <c r="H63">
        <v>7.02</v>
      </c>
      <c r="I63">
        <v>8.1000000000000014</v>
      </c>
      <c r="J63">
        <v>10.71</v>
      </c>
      <c r="K63">
        <v>10.89</v>
      </c>
      <c r="L63">
        <v>8.4600000000000009</v>
      </c>
      <c r="M63">
        <v>5.76</v>
      </c>
      <c r="N63">
        <v>2.52</v>
      </c>
      <c r="O63">
        <v>21.96</v>
      </c>
      <c r="P63">
        <v>1.62</v>
      </c>
      <c r="Q63">
        <v>4.1400000000000006</v>
      </c>
      <c r="R63">
        <v>34.29</v>
      </c>
      <c r="S63">
        <v>39.869999999999997</v>
      </c>
      <c r="T63">
        <v>23.49</v>
      </c>
      <c r="U63">
        <v>25.38</v>
      </c>
      <c r="V63">
        <v>49.5</v>
      </c>
      <c r="W63">
        <v>17.73</v>
      </c>
      <c r="X63">
        <v>13.68</v>
      </c>
      <c r="Y63">
        <v>14.76</v>
      </c>
      <c r="Z63">
        <v>9.7200000000000006</v>
      </c>
      <c r="AA63">
        <v>12.69</v>
      </c>
      <c r="AB63">
        <v>29.88</v>
      </c>
      <c r="AC63">
        <v>6.21</v>
      </c>
      <c r="AD63">
        <v>6.75</v>
      </c>
      <c r="AE63">
        <v>35.46</v>
      </c>
      <c r="AF63">
        <v>156.78</v>
      </c>
      <c r="AG63" s="5">
        <f>Tabla2[[#This Row],[Deforestation 2012]]/Tabla2[[#This Row],[Forest cover 2011]]</f>
        <v>3.7314593115457572E-4</v>
      </c>
      <c r="AH63" s="6">
        <f>Tabla2[[#This Row],[Deforestation 2013]]/Tabla2[[#This Row],[Forest cover 2011]]</f>
        <v>1.2127242762523709E-3</v>
      </c>
      <c r="AI63" s="6">
        <f>Tabla2[[#This Row],[Deforestation 2014]]/Tabla2[[#This Row],[Forest cover 2011]]</f>
        <v>1.3992972418296592E-3</v>
      </c>
      <c r="AJ63" s="6">
        <f>Tabla2[[#This Row],[Deforestation 2015]]/Tabla2[[#This Row],[Forest cover 2011]]</f>
        <v>1.8501819086414381E-3</v>
      </c>
      <c r="AK63" s="6">
        <f>Tabla2[[#This Row],[Deforestation 2016]]/Tabla2[[#This Row],[Forest cover 2011]]</f>
        <v>1.8812774029043193E-3</v>
      </c>
      <c r="AL63" s="6">
        <f>Tabla2[[#This Row],[Deforestation 2017]]/Tabla2[[#This Row],[Forest cover 2011]]</f>
        <v>1.4614882303554217E-3</v>
      </c>
      <c r="AM63" s="6">
        <f>Tabla2[[#This Row],[Deforestation 2018]]/Tabla2[[#This Row],[Forest cover 2011]]</f>
        <v>9.9505581641220185E-4</v>
      </c>
      <c r="AN63" s="6">
        <f>Tabla2[[#This Row],[Deforestation 2019]]/Tabla2[[#This Row],[Forest cover 2011]]</f>
        <v>4.3533691968033832E-4</v>
      </c>
      <c r="AO63" s="6">
        <f>Tabla2[[#This Row],[Deforestation 2020]]/Tabla2[[#This Row],[Forest cover 2011]]</f>
        <v>3.7936503000715197E-3</v>
      </c>
      <c r="AP63" s="6">
        <f>Tabla2[[#This Row],[Deforestation 2021]]/Tabla2[[#This Row],[Forest cover 2011]]</f>
        <v>2.7985944836593182E-4</v>
      </c>
      <c r="AQ63" s="6">
        <f>Tabla2[[#This Row],[Deforestation 2022]]/Tabla2[[#This Row],[Forest cover 2011]]</f>
        <v>7.1519636804627019E-4</v>
      </c>
      <c r="AR63" s="6">
        <f>Tabla2[[#This Row],[Deforestation 2023]]/Tabla2[[#This Row],[Forest cover 2011]]</f>
        <v>5.9236916570788896E-3</v>
      </c>
      <c r="AS63" s="6">
        <f>Tabla2[[#This Row],[Deforestation 2024]]/Tabla2[[#This Row],[Forest cover 2011]]</f>
        <v>6.8876519792282096E-3</v>
      </c>
      <c r="AT63" s="6">
        <f>Tabla2[[#This Row],[Forest Loss 2012]]/Tabla2[[#This Row],[Forest cover 2011]]</f>
        <v>4.0579620013060109E-3</v>
      </c>
      <c r="AU63" s="6">
        <f>Tabla2[[#This Row],[Forest Loss 2013]]/Tabla2[[#This Row],[Forest cover 2011]]</f>
        <v>4.3844646910662644E-3</v>
      </c>
      <c r="AV63" s="6">
        <f>Tabla2[[#This Row],[Forest Loss 2014]]/Tabla2[[#This Row],[Forest cover 2011]]</f>
        <v>8.5512609222923603E-3</v>
      </c>
      <c r="AW63" s="6">
        <f>Tabla2[[#This Row],[Forest Loss 2015]]/Tabla2[[#This Row],[Forest cover 2011]]</f>
        <v>3.0629061848938088E-3</v>
      </c>
      <c r="AX63" s="6">
        <f>Tabla2[[#This Row],[Forest Loss 2016]]/Tabla2[[#This Row],[Forest cover 2011]]</f>
        <v>2.3632575639789795E-3</v>
      </c>
      <c r="AY63" s="6">
        <f>Tabla2[[#This Row],[Forest Loss 2017]]/Tabla2[[#This Row],[Forest cover 2011]]</f>
        <v>2.5498305295562672E-3</v>
      </c>
      <c r="AZ63" s="6">
        <f>Tabla2[[#This Row],[Forest Loss 2018]]/Tabla2[[#This Row],[Forest cover 2011]]</f>
        <v>1.6791566901955908E-3</v>
      </c>
      <c r="BA63" s="6">
        <f>Tabla2[[#This Row],[Forest Loss 2019]]/Tabla2[[#This Row],[Forest cover 2011]]</f>
        <v>2.1922323455331322E-3</v>
      </c>
      <c r="BB63" s="6">
        <f>Tabla2[[#This Row],[Forest Loss 2020]]/Tabla2[[#This Row],[Forest cover 2011]]</f>
        <v>5.1618520476382967E-3</v>
      </c>
      <c r="BC63" s="6">
        <f>Tabla2[[#This Row],[Forest Loss 2021]]/Tabla2[[#This Row],[Forest cover 2011]]</f>
        <v>1.0727945520694051E-3</v>
      </c>
      <c r="BD63" s="6">
        <f>Tabla2[[#This Row],[Forest Loss 2022]]/Tabla2[[#This Row],[Forest cover 2011]]</f>
        <v>1.1660810348580492E-3</v>
      </c>
      <c r="BE63" s="6">
        <f>Tabla2[[#This Row],[Forest Loss 2023]]/Tabla2[[#This Row],[Forest cover 2011]]</f>
        <v>6.1258123697876176E-3</v>
      </c>
      <c r="BF63" s="6">
        <f>Tabla2[[#This Row],[Forest Loss 2024]]/Tabla2[[#This Row],[Forest cover 2011]]</f>
        <v>2.7084175502969619E-2</v>
      </c>
    </row>
    <row r="64" spans="1:58" x14ac:dyDescent="0.25">
      <c r="A64" s="2">
        <v>21002</v>
      </c>
      <c r="B64" s="3" t="s">
        <v>88</v>
      </c>
      <c r="C64" t="s">
        <v>139</v>
      </c>
      <c r="D64">
        <v>23813.64</v>
      </c>
      <c r="E64" s="4">
        <f>AVERAGE(Tabla2[[#This Row],[Deforestation 2012]:[Deforestation 2014]])</f>
        <v>17.700000000000003</v>
      </c>
      <c r="F64" s="4">
        <f>AVERAGE(Tabla2[[#This Row],[Deforestation 2022]:[Deforestation 2024]])</f>
        <v>124.02</v>
      </c>
      <c r="G64">
        <v>16.29</v>
      </c>
      <c r="H64">
        <v>17.190000000000001</v>
      </c>
      <c r="I64">
        <v>19.62</v>
      </c>
      <c r="J64">
        <v>10.89</v>
      </c>
      <c r="K64">
        <v>12.15</v>
      </c>
      <c r="L64">
        <v>11.97</v>
      </c>
      <c r="M64">
        <v>14.76</v>
      </c>
      <c r="N64">
        <v>14.22</v>
      </c>
      <c r="O64">
        <v>11.34</v>
      </c>
      <c r="P64">
        <v>33.840000000000003</v>
      </c>
      <c r="Q64">
        <v>24.03</v>
      </c>
      <c r="R64">
        <v>199.26</v>
      </c>
      <c r="S64">
        <v>148.77000000000001</v>
      </c>
      <c r="T64">
        <v>102.87</v>
      </c>
      <c r="U64">
        <v>95.76</v>
      </c>
      <c r="V64">
        <v>163.71</v>
      </c>
      <c r="W64">
        <v>32.130000000000003</v>
      </c>
      <c r="X64">
        <v>25.65</v>
      </c>
      <c r="Y64">
        <v>21.78</v>
      </c>
      <c r="Z64">
        <v>23.94</v>
      </c>
      <c r="AA64">
        <v>28.62</v>
      </c>
      <c r="AB64">
        <v>39.78</v>
      </c>
      <c r="AC64">
        <v>43.11</v>
      </c>
      <c r="AD64">
        <v>30.78</v>
      </c>
      <c r="AE64">
        <v>223.02</v>
      </c>
      <c r="AF64">
        <v>633.33000000000004</v>
      </c>
      <c r="AG64" s="5">
        <f>Tabla2[[#This Row],[Deforestation 2012]]/Tabla2[[#This Row],[Forest cover 2011]]</f>
        <v>6.8406173940649135E-4</v>
      </c>
      <c r="AH64" s="6">
        <f>Tabla2[[#This Row],[Deforestation 2013]]/Tabla2[[#This Row],[Forest cover 2011]]</f>
        <v>7.218552056720435E-4</v>
      </c>
      <c r="AI64" s="6">
        <f>Tabla2[[#This Row],[Deforestation 2014]]/Tabla2[[#This Row],[Forest cover 2011]]</f>
        <v>8.2389756458903392E-4</v>
      </c>
      <c r="AJ64" s="6">
        <f>Tabla2[[#This Row],[Deforestation 2015]]/Tabla2[[#This Row],[Forest cover 2011]]</f>
        <v>4.5730094181317937E-4</v>
      </c>
      <c r="AK64" s="6">
        <f>Tabla2[[#This Row],[Deforestation 2016]]/Tabla2[[#This Row],[Forest cover 2011]]</f>
        <v>5.1021179458495219E-4</v>
      </c>
      <c r="AL64" s="6">
        <f>Tabla2[[#This Row],[Deforestation 2017]]/Tabla2[[#This Row],[Forest cover 2011]]</f>
        <v>5.0265310133184183E-4</v>
      </c>
      <c r="AM64" s="6">
        <f>Tabla2[[#This Row],[Deforestation 2018]]/Tabla2[[#This Row],[Forest cover 2011]]</f>
        <v>6.1981284675505298E-4</v>
      </c>
      <c r="AN64" s="6">
        <f>Tabla2[[#This Row],[Deforestation 2019]]/Tabla2[[#This Row],[Forest cover 2011]]</f>
        <v>5.9713676699572177E-4</v>
      </c>
      <c r="AO64" s="6">
        <f>Tabla2[[#This Row],[Deforestation 2020]]/Tabla2[[#This Row],[Forest cover 2011]]</f>
        <v>4.7619767494595533E-4</v>
      </c>
      <c r="AP64" s="6">
        <f>Tabla2[[#This Row],[Deforestation 2021]]/Tabla2[[#This Row],[Forest cover 2011]]</f>
        <v>1.4210343315847558E-3</v>
      </c>
      <c r="AQ64" s="6">
        <f>Tabla2[[#This Row],[Deforestation 2022]]/Tabla2[[#This Row],[Forest cover 2011]]</f>
        <v>1.0090855492902388E-3</v>
      </c>
      <c r="AR64" s="6">
        <f>Tabla2[[#This Row],[Deforestation 2023]]/Tabla2[[#This Row],[Forest cover 2011]]</f>
        <v>8.3674734311932151E-3</v>
      </c>
      <c r="AS64" s="6">
        <f>Tabla2[[#This Row],[Deforestation 2024]]/Tabla2[[#This Row],[Forest cover 2011]]</f>
        <v>6.247259973695748E-3</v>
      </c>
      <c r="AT64" s="6">
        <f>Tabla2[[#This Row],[Forest Loss 2012]]/Tabla2[[#This Row],[Forest cover 2011]]</f>
        <v>4.3197931941525948E-3</v>
      </c>
      <c r="AU64" s="6">
        <f>Tabla2[[#This Row],[Forest Loss 2013]]/Tabla2[[#This Row],[Forest cover 2011]]</f>
        <v>4.0212248106547346E-3</v>
      </c>
      <c r="AV64" s="6">
        <f>Tabla2[[#This Row],[Forest Loss 2014]]/Tabla2[[#This Row],[Forest cover 2011]]</f>
        <v>6.874631513703911E-3</v>
      </c>
      <c r="AW64" s="6">
        <f>Tabla2[[#This Row],[Forest Loss 2015]]/Tabla2[[#This Row],[Forest cover 2011]]</f>
        <v>1.3492267456802068E-3</v>
      </c>
      <c r="AX64" s="6">
        <f>Tabla2[[#This Row],[Forest Loss 2016]]/Tabla2[[#This Row],[Forest cover 2011]]</f>
        <v>1.0771137885682322E-3</v>
      </c>
      <c r="AY64" s="6">
        <f>Tabla2[[#This Row],[Forest Loss 2017]]/Tabla2[[#This Row],[Forest cover 2011]]</f>
        <v>9.1460188362635874E-4</v>
      </c>
      <c r="AZ64" s="6">
        <f>Tabla2[[#This Row],[Forest Loss 2018]]/Tabla2[[#This Row],[Forest cover 2011]]</f>
        <v>1.0053062026636837E-3</v>
      </c>
      <c r="BA64" s="6">
        <f>Tabla2[[#This Row],[Forest Loss 2019]]/Tabla2[[#This Row],[Forest cover 2011]]</f>
        <v>1.201832227244554E-3</v>
      </c>
      <c r="BB64" s="6">
        <f>Tabla2[[#This Row],[Forest Loss 2020]]/Tabla2[[#This Row],[Forest cover 2011]]</f>
        <v>1.670471208937399E-3</v>
      </c>
      <c r="BC64" s="6">
        <f>Tabla2[[#This Row],[Forest Loss 2021]]/Tabla2[[#This Row],[Forest cover 2011]]</f>
        <v>1.8103070341199414E-3</v>
      </c>
      <c r="BD64" s="6">
        <f>Tabla2[[#This Row],[Forest Loss 2022]]/Tabla2[[#This Row],[Forest cover 2011]]</f>
        <v>1.2925365462818788E-3</v>
      </c>
      <c r="BE64" s="6">
        <f>Tabla2[[#This Row],[Forest Loss 2023]]/Tabla2[[#This Row],[Forest cover 2011]]</f>
        <v>9.3652209406037898E-3</v>
      </c>
      <c r="BF64" s="6">
        <f>Tabla2[[#This Row],[Forest Loss 2024]]/Tabla2[[#This Row],[Forest cover 2011]]</f>
        <v>2.6595262211068952E-2</v>
      </c>
    </row>
    <row r="65" spans="1:58" x14ac:dyDescent="0.25">
      <c r="A65" s="2">
        <v>22002</v>
      </c>
      <c r="B65" s="3" t="s">
        <v>88</v>
      </c>
      <c r="C65" t="s">
        <v>175</v>
      </c>
      <c r="D65">
        <v>94250.25</v>
      </c>
      <c r="E65" s="4">
        <f>AVERAGE(Tabla2[[#This Row],[Deforestation 2012]:[Deforestation 2014]])</f>
        <v>782.69999999999993</v>
      </c>
      <c r="F65" s="4">
        <f>AVERAGE(Tabla2[[#This Row],[Deforestation 2022]:[Deforestation 2024]])</f>
        <v>1688.64</v>
      </c>
      <c r="G65">
        <v>579.24</v>
      </c>
      <c r="H65">
        <v>863.01</v>
      </c>
      <c r="I65">
        <v>905.85</v>
      </c>
      <c r="J65">
        <v>707.67</v>
      </c>
      <c r="K65">
        <v>554.49</v>
      </c>
      <c r="L65">
        <v>250.2</v>
      </c>
      <c r="M65">
        <v>811.62</v>
      </c>
      <c r="N65">
        <v>796.58999999999992</v>
      </c>
      <c r="O65">
        <v>1015.02</v>
      </c>
      <c r="P65">
        <v>650.16</v>
      </c>
      <c r="Q65">
        <v>377.46</v>
      </c>
      <c r="R65">
        <v>2315.4299999999998</v>
      </c>
      <c r="S65">
        <v>2373.0300000000002</v>
      </c>
      <c r="T65">
        <v>623.42999999999995</v>
      </c>
      <c r="U65">
        <v>882.72</v>
      </c>
      <c r="V65">
        <v>1000.98</v>
      </c>
      <c r="W65">
        <v>715.68000000000006</v>
      </c>
      <c r="X65">
        <v>560.52</v>
      </c>
      <c r="Y65">
        <v>254.16</v>
      </c>
      <c r="Z65">
        <v>820.71</v>
      </c>
      <c r="AA65">
        <v>821.79</v>
      </c>
      <c r="AB65">
        <v>1023.57</v>
      </c>
      <c r="AC65">
        <v>660.96</v>
      </c>
      <c r="AD65">
        <v>383.13</v>
      </c>
      <c r="AE65">
        <v>2332.62</v>
      </c>
      <c r="AF65">
        <v>2453.94</v>
      </c>
      <c r="AG65" s="5">
        <f>Tabla2[[#This Row],[Deforestation 2012]]/Tabla2[[#This Row],[Forest cover 2011]]</f>
        <v>6.1457661916016135E-3</v>
      </c>
      <c r="AH65" s="6">
        <f>Tabla2[[#This Row],[Deforestation 2013]]/Tabla2[[#This Row],[Forest cover 2011]]</f>
        <v>9.1565804865239089E-3</v>
      </c>
      <c r="AI65" s="6">
        <f>Tabla2[[#This Row],[Deforestation 2014]]/Tabla2[[#This Row],[Forest cover 2011]]</f>
        <v>9.6111150898803982E-3</v>
      </c>
      <c r="AJ65" s="6">
        <f>Tabla2[[#This Row],[Deforestation 2015]]/Tabla2[[#This Row],[Forest cover 2011]]</f>
        <v>7.5084150970421825E-3</v>
      </c>
      <c r="AK65" s="6">
        <f>Tabla2[[#This Row],[Deforestation 2016]]/Tabla2[[#This Row],[Forest cover 2011]]</f>
        <v>5.8831674186540618E-3</v>
      </c>
      <c r="AL65" s="6">
        <f>Tabla2[[#This Row],[Deforestation 2017]]/Tabla2[[#This Row],[Forest cover 2011]]</f>
        <v>2.6546348683425241E-3</v>
      </c>
      <c r="AM65" s="6">
        <f>Tabla2[[#This Row],[Deforestation 2018]]/Tabla2[[#This Row],[Forest cover 2011]]</f>
        <v>8.6113299434219005E-3</v>
      </c>
      <c r="AN65" s="6">
        <f>Tabla2[[#This Row],[Deforestation 2019]]/Tabla2[[#This Row],[Forest cover 2011]]</f>
        <v>8.4518608703955684E-3</v>
      </c>
      <c r="AO65" s="6">
        <f>Tabla2[[#This Row],[Deforestation 2020]]/Tabla2[[#This Row],[Forest cover 2011]]</f>
        <v>1.0769414404736328E-2</v>
      </c>
      <c r="AP65" s="6">
        <f>Tabla2[[#This Row],[Deforestation 2021]]/Tabla2[[#This Row],[Forest cover 2011]]</f>
        <v>6.8982310391749622E-3</v>
      </c>
      <c r="AQ65" s="6">
        <f>Tabla2[[#This Row],[Deforestation 2022]]/Tabla2[[#This Row],[Forest cover 2011]]</f>
        <v>4.004870013607391E-3</v>
      </c>
      <c r="AR65" s="6">
        <f>Tabla2[[#This Row],[Deforestation 2023]]/Tabla2[[#This Row],[Forest cover 2011]]</f>
        <v>2.4566831387715149E-2</v>
      </c>
      <c r="AS65" s="6">
        <f>Tabla2[[#This Row],[Deforestation 2024]]/Tabla2[[#This Row],[Forest cover 2011]]</f>
        <v>2.5177970350211274E-2</v>
      </c>
      <c r="AT65" s="6">
        <f>Tabla2[[#This Row],[Forest Loss 2012]]/Tabla2[[#This Row],[Forest cover 2011]]</f>
        <v>6.6146243643916058E-3</v>
      </c>
      <c r="AU65" s="6">
        <f>Tabla2[[#This Row],[Forest Loss 2013]]/Tabla2[[#This Row],[Forest cover 2011]]</f>
        <v>9.3657046002530494E-3</v>
      </c>
      <c r="AV65" s="6">
        <f>Tabla2[[#This Row],[Forest Loss 2014]]/Tabla2[[#This Row],[Forest cover 2011]]</f>
        <v>1.0620449282627897E-2</v>
      </c>
      <c r="AW65" s="6">
        <f>Tabla2[[#This Row],[Forest Loss 2015]]/Tabla2[[#This Row],[Forest cover 2011]]</f>
        <v>7.5934016090143004E-3</v>
      </c>
      <c r="AX65" s="6">
        <f>Tabla2[[#This Row],[Forest Loss 2016]]/Tabla2[[#This Row],[Forest cover 2011]]</f>
        <v>5.9471460287903741E-3</v>
      </c>
      <c r="AY65" s="6">
        <f>Tabla2[[#This Row],[Forest Loss 2017]]/Tabla2[[#This Row],[Forest cover 2011]]</f>
        <v>2.6966506720141324E-3</v>
      </c>
      <c r="AZ65" s="6">
        <f>Tabla2[[#This Row],[Forest Loss 2018]]/Tabla2[[#This Row],[Forest cover 2011]]</f>
        <v>8.7077753109408209E-3</v>
      </c>
      <c r="BA65" s="6">
        <f>Tabla2[[#This Row],[Forest Loss 2019]]/Tabla2[[#This Row],[Forest cover 2011]]</f>
        <v>8.7192341664876216E-3</v>
      </c>
      <c r="BB65" s="6">
        <f>Tabla2[[#This Row],[Forest Loss 2020]]/Tabla2[[#This Row],[Forest cover 2011]]</f>
        <v>1.0860130344481845E-2</v>
      </c>
      <c r="BC65" s="6">
        <f>Tabla2[[#This Row],[Forest Loss 2021]]/Tabla2[[#This Row],[Forest cover 2011]]</f>
        <v>7.012819594642985E-3</v>
      </c>
      <c r="BD65" s="6">
        <f>Tabla2[[#This Row],[Forest Loss 2022]]/Tabla2[[#This Row],[Forest cover 2011]]</f>
        <v>4.0650290052281031E-3</v>
      </c>
      <c r="BE65" s="6">
        <f>Tabla2[[#This Row],[Forest Loss 2023]]/Tabla2[[#This Row],[Forest cover 2011]]</f>
        <v>2.4749218171835088E-2</v>
      </c>
      <c r="BF65" s="6">
        <f>Tabla2[[#This Row],[Forest Loss 2024]]/Tabla2[[#This Row],[Forest cover 2011]]</f>
        <v>2.6036429611592544E-2</v>
      </c>
    </row>
    <row r="66" spans="1:58" x14ac:dyDescent="0.25">
      <c r="A66" s="2">
        <v>21001</v>
      </c>
      <c r="B66" s="3" t="s">
        <v>88</v>
      </c>
      <c r="C66" t="s">
        <v>138</v>
      </c>
      <c r="D66">
        <v>174734.82</v>
      </c>
      <c r="E66" s="4">
        <f>AVERAGE(Tabla2[[#This Row],[Deforestation 2012]:[Deforestation 2014]])</f>
        <v>89.19</v>
      </c>
      <c r="F66" s="4">
        <f>AVERAGE(Tabla2[[#This Row],[Deforestation 2022]:[Deforestation 2024]])</f>
        <v>933.75</v>
      </c>
      <c r="G66">
        <v>64.349999999999994</v>
      </c>
      <c r="H66">
        <v>85.5</v>
      </c>
      <c r="I66">
        <v>117.72</v>
      </c>
      <c r="J66">
        <v>96.11999999999999</v>
      </c>
      <c r="K66">
        <v>123.03</v>
      </c>
      <c r="L66">
        <v>94.95</v>
      </c>
      <c r="M66">
        <v>103.05</v>
      </c>
      <c r="N66">
        <v>113.04</v>
      </c>
      <c r="O66">
        <v>165.87</v>
      </c>
      <c r="P66">
        <v>148.59</v>
      </c>
      <c r="Q66">
        <v>191.88</v>
      </c>
      <c r="R66">
        <v>640.71</v>
      </c>
      <c r="S66">
        <v>1968.66</v>
      </c>
      <c r="T66">
        <v>301.05</v>
      </c>
      <c r="U66">
        <v>299.97000000000003</v>
      </c>
      <c r="V66">
        <v>621.99</v>
      </c>
      <c r="W66">
        <v>155.97</v>
      </c>
      <c r="X66">
        <v>197.28</v>
      </c>
      <c r="Y66">
        <v>151.65</v>
      </c>
      <c r="Z66">
        <v>162.44999999999999</v>
      </c>
      <c r="AA66">
        <v>156.6</v>
      </c>
      <c r="AB66">
        <v>223.11</v>
      </c>
      <c r="AC66">
        <v>209.88</v>
      </c>
      <c r="AD66">
        <v>211.68</v>
      </c>
      <c r="AE66">
        <v>762.56999999999994</v>
      </c>
      <c r="AF66">
        <v>4410.18</v>
      </c>
      <c r="AG66" s="5">
        <f>Tabla2[[#This Row],[Deforestation 2012]]/Tabla2[[#This Row],[Forest cover 2011]]</f>
        <v>3.6827233404309451E-4</v>
      </c>
      <c r="AH66" s="6">
        <f>Tabla2[[#This Row],[Deforestation 2013]]/Tabla2[[#This Row],[Forest cover 2011]]</f>
        <v>4.893128913859298E-4</v>
      </c>
      <c r="AI66" s="6">
        <f>Tabla2[[#This Row],[Deforestation 2014]]/Tabla2[[#This Row],[Forest cover 2011]]</f>
        <v>6.737065915082065E-4</v>
      </c>
      <c r="AJ66" s="6">
        <f>Tabla2[[#This Row],[Deforestation 2015]]/Tabla2[[#This Row],[Forest cover 2011]]</f>
        <v>5.5009070315807684E-4</v>
      </c>
      <c r="AK66" s="6">
        <f>Tabla2[[#This Row],[Deforestation 2016]]/Tabla2[[#This Row],[Forest cover 2011]]</f>
        <v>7.0409549739428002E-4</v>
      </c>
      <c r="AL66" s="6">
        <f>Tabla2[[#This Row],[Deforestation 2017]]/Tabla2[[#This Row],[Forest cover 2011]]</f>
        <v>5.433948425391115E-4</v>
      </c>
      <c r="AM66" s="6">
        <f>Tabla2[[#This Row],[Deforestation 2018]]/Tabla2[[#This Row],[Forest cover 2011]]</f>
        <v>5.8975080067041018E-4</v>
      </c>
      <c r="AN66" s="6">
        <f>Tabla2[[#This Row],[Deforestation 2019]]/Tabla2[[#This Row],[Forest cover 2011]]</f>
        <v>6.4692314903234515E-4</v>
      </c>
      <c r="AO66" s="6">
        <f>Tabla2[[#This Row],[Deforestation 2020]]/Tabla2[[#This Row],[Forest cover 2011]]</f>
        <v>9.4926700928870387E-4</v>
      </c>
      <c r="AP66" s="6">
        <f>Tabla2[[#This Row],[Deforestation 2021]]/Tabla2[[#This Row],[Forest cover 2011]]</f>
        <v>8.5037429860860018E-4</v>
      </c>
      <c r="AQ66" s="6">
        <f>Tabla2[[#This Row],[Deforestation 2022]]/Tabla2[[#This Row],[Forest cover 2011]]</f>
        <v>1.0981211415103183E-3</v>
      </c>
      <c r="AR66" s="6">
        <f>Tabla2[[#This Row],[Deforestation 2023]]/Tabla2[[#This Row],[Forest cover 2011]]</f>
        <v>3.6667562881857207E-3</v>
      </c>
      <c r="AS66" s="6">
        <f>Tabla2[[#This Row],[Deforestation 2024]]/Tabla2[[#This Row],[Forest cover 2011]]</f>
        <v>1.12665580907114E-2</v>
      </c>
      <c r="AT66" s="6">
        <f>Tabla2[[#This Row],[Forest Loss 2012]]/Tabla2[[#This Row],[Forest cover 2011]]</f>
        <v>1.722896443879932E-3</v>
      </c>
      <c r="AU66" s="6">
        <f>Tabla2[[#This Row],[Forest Loss 2013]]/Tabla2[[#This Row],[Forest cover 2011]]</f>
        <v>1.7167156494624254E-3</v>
      </c>
      <c r="AV66" s="6">
        <f>Tabla2[[#This Row],[Forest Loss 2014]]/Tabla2[[#This Row],[Forest cover 2011]]</f>
        <v>3.5596225182822749E-3</v>
      </c>
      <c r="AW66" s="6">
        <f>Tabla2[[#This Row],[Forest Loss 2015]]/Tabla2[[#This Row],[Forest cover 2011]]</f>
        <v>8.9260972712822779E-4</v>
      </c>
      <c r="AX66" s="6">
        <f>Tabla2[[#This Row],[Forest Loss 2016]]/Tabla2[[#This Row],[Forest cover 2011]]</f>
        <v>1.1290251135978506E-3</v>
      </c>
      <c r="AY66" s="6">
        <f>Tabla2[[#This Row],[Forest Loss 2017]]/Tabla2[[#This Row],[Forest cover 2011]]</f>
        <v>8.6788654945820182E-4</v>
      </c>
      <c r="AZ66" s="6">
        <f>Tabla2[[#This Row],[Forest Loss 2018]]/Tabla2[[#This Row],[Forest cover 2011]]</f>
        <v>9.2969449363326654E-4</v>
      </c>
      <c r="BA66" s="6">
        <f>Tabla2[[#This Row],[Forest Loss 2019]]/Tabla2[[#This Row],[Forest cover 2011]]</f>
        <v>8.9621519053843985E-4</v>
      </c>
      <c r="BB66" s="6">
        <f>Tabla2[[#This Row],[Forest Loss 2020]]/Tabla2[[#This Row],[Forest cover 2011]]</f>
        <v>1.2768491134165475E-3</v>
      </c>
      <c r="BC66" s="6">
        <f>Tabla2[[#This Row],[Forest Loss 2021]]/Tabla2[[#This Row],[Forest cover 2011]]</f>
        <v>1.2011343818020929E-3</v>
      </c>
      <c r="BD66" s="6">
        <f>Tabla2[[#This Row],[Forest Loss 2022]]/Tabla2[[#This Row],[Forest cover 2011]]</f>
        <v>1.2114357058312705E-3</v>
      </c>
      <c r="BE66" s="6">
        <f>Tabla2[[#This Row],[Forest Loss 2023]]/Tabla2[[#This Row],[Forest cover 2011]]</f>
        <v>4.3641559249610346E-3</v>
      </c>
      <c r="BF66" s="6">
        <f>Tabla2[[#This Row],[Forest Loss 2024]]/Tabla2[[#This Row],[Forest cover 2011]]</f>
        <v>2.5239274003887719E-2</v>
      </c>
    </row>
    <row r="67" spans="1:58" x14ac:dyDescent="0.25">
      <c r="A67" s="2">
        <v>80301</v>
      </c>
      <c r="B67" s="3" t="s">
        <v>365</v>
      </c>
      <c r="C67" t="s">
        <v>369</v>
      </c>
      <c r="D67">
        <v>603961.47</v>
      </c>
      <c r="E67" s="4">
        <f>AVERAGE(Tabla2[[#This Row],[Deforestation 2012]:[Deforestation 2014]])</f>
        <v>541.32000000000005</v>
      </c>
      <c r="F67" s="4">
        <f>AVERAGE(Tabla2[[#This Row],[Deforestation 2022]:[Deforestation 2024]])</f>
        <v>938.04</v>
      </c>
      <c r="G67">
        <v>676.17000000000007</v>
      </c>
      <c r="H67">
        <v>512.91</v>
      </c>
      <c r="I67">
        <v>434.88</v>
      </c>
      <c r="J67">
        <v>312.83999999999997</v>
      </c>
      <c r="K67">
        <v>245.79</v>
      </c>
      <c r="L67">
        <v>328.32</v>
      </c>
      <c r="M67">
        <v>336.06</v>
      </c>
      <c r="N67">
        <v>392.31</v>
      </c>
      <c r="O67">
        <v>276.93</v>
      </c>
      <c r="P67">
        <v>229.41</v>
      </c>
      <c r="Q67">
        <v>735.12</v>
      </c>
      <c r="R67">
        <v>416.97</v>
      </c>
      <c r="S67">
        <v>1662.03</v>
      </c>
      <c r="T67">
        <v>9737.01</v>
      </c>
      <c r="U67">
        <v>3540.78</v>
      </c>
      <c r="V67">
        <v>4527.3600000000006</v>
      </c>
      <c r="W67">
        <v>2651.4</v>
      </c>
      <c r="X67">
        <v>1462.5</v>
      </c>
      <c r="Y67">
        <v>1627.56</v>
      </c>
      <c r="Z67">
        <v>2100.5100000000002</v>
      </c>
      <c r="AA67">
        <v>1984.32</v>
      </c>
      <c r="AB67">
        <v>1984.59</v>
      </c>
      <c r="AC67">
        <v>1893.51</v>
      </c>
      <c r="AD67">
        <v>2584.08</v>
      </c>
      <c r="AE67">
        <v>1852.92</v>
      </c>
      <c r="AF67">
        <v>14850.81</v>
      </c>
      <c r="AG67" s="5">
        <f>Tabla2[[#This Row],[Deforestation 2012]]/Tabla2[[#This Row],[Forest cover 2011]]</f>
        <v>1.1195581731397535E-3</v>
      </c>
      <c r="AH67" s="6">
        <f>Tabla2[[#This Row],[Deforestation 2013]]/Tabla2[[#This Row],[Forest cover 2011]]</f>
        <v>8.4924291610853912E-4</v>
      </c>
      <c r="AI67" s="6">
        <f>Tabla2[[#This Row],[Deforestation 2014]]/Tabla2[[#This Row],[Forest cover 2011]]</f>
        <v>7.2004593273143733E-4</v>
      </c>
      <c r="AJ67" s="6">
        <f>Tabla2[[#This Row],[Deforestation 2015]]/Tabla2[[#This Row],[Forest cover 2011]]</f>
        <v>5.1798006253610848E-4</v>
      </c>
      <c r="AK67" s="6">
        <f>Tabla2[[#This Row],[Deforestation 2016]]/Tabla2[[#This Row],[Forest cover 2011]]</f>
        <v>4.0696304683144772E-4</v>
      </c>
      <c r="AL67" s="6">
        <f>Tabla2[[#This Row],[Deforestation 2017]]/Tabla2[[#This Row],[Forest cover 2011]]</f>
        <v>5.4361083663168118E-4</v>
      </c>
      <c r="AM67" s="6">
        <f>Tabla2[[#This Row],[Deforestation 2018]]/Tabla2[[#This Row],[Forest cover 2011]]</f>
        <v>5.5642622367946758E-4</v>
      </c>
      <c r="AN67" s="6">
        <f>Tabla2[[#This Row],[Deforestation 2019]]/Tabla2[[#This Row],[Forest cover 2011]]</f>
        <v>6.4956130396861243E-4</v>
      </c>
      <c r="AO67" s="6">
        <f>Tabla2[[#This Row],[Deforestation 2020]]/Tabla2[[#This Row],[Forest cover 2011]]</f>
        <v>4.5852262727951837E-4</v>
      </c>
      <c r="AP67" s="6">
        <f>Tabla2[[#This Row],[Deforestation 2021]]/Tabla2[[#This Row],[Forest cover 2011]]</f>
        <v>3.798421114512487E-4</v>
      </c>
      <c r="AQ67" s="6">
        <f>Tabla2[[#This Row],[Deforestation 2022]]/Tabla2[[#This Row],[Forest cover 2011]]</f>
        <v>1.2171637372827774E-3</v>
      </c>
      <c r="AR67" s="6">
        <f>Tabla2[[#This Row],[Deforestation 2023]]/Tabla2[[#This Row],[Forest cover 2011]]</f>
        <v>6.9039172316737369E-4</v>
      </c>
      <c r="AS67" s="6">
        <f>Tabla2[[#This Row],[Deforestation 2024]]/Tabla2[[#This Row],[Forest cover 2011]]</f>
        <v>2.7518808443194234E-3</v>
      </c>
      <c r="AT67" s="6">
        <f>Tabla2[[#This Row],[Forest Loss 2012]]/Tabla2[[#This Row],[Forest cover 2011]]</f>
        <v>1.6121905922243683E-2</v>
      </c>
      <c r="AU67" s="6">
        <f>Tabla2[[#This Row],[Forest Loss 2013]]/Tabla2[[#This Row],[Forest cover 2011]]</f>
        <v>5.8625925259768643E-3</v>
      </c>
      <c r="AV67" s="6">
        <f>Tabla2[[#This Row],[Forest Loss 2014]]/Tabla2[[#This Row],[Forest cover 2011]]</f>
        <v>7.496107326184236E-3</v>
      </c>
      <c r="AW67" s="6">
        <f>Tabla2[[#This Row],[Forest Loss 2015]]/Tabla2[[#This Row],[Forest cover 2011]]</f>
        <v>4.3900151445091361E-3</v>
      </c>
      <c r="AX67" s="6">
        <f>Tabla2[[#This Row],[Forest Loss 2016]]/Tabla2[[#This Row],[Forest cover 2011]]</f>
        <v>2.4215120875177684E-3</v>
      </c>
      <c r="AY67" s="6">
        <f>Tabla2[[#This Row],[Forest Loss 2017]]/Tabla2[[#This Row],[Forest cover 2011]]</f>
        <v>2.6948076671182352E-3</v>
      </c>
      <c r="AZ67" s="6">
        <f>Tabla2[[#This Row],[Forest Loss 2018]]/Tabla2[[#This Row],[Forest cover 2011]]</f>
        <v>3.4778874221893662E-3</v>
      </c>
      <c r="BA67" s="6">
        <f>Tabla2[[#This Row],[Forest Loss 2019]]/Tabla2[[#This Row],[Forest cover 2011]]</f>
        <v>3.2855076003441082E-3</v>
      </c>
      <c r="BB67" s="6">
        <f>Tabla2[[#This Row],[Forest Loss 2020]]/Tabla2[[#This Row],[Forest cover 2011]]</f>
        <v>3.2859546487294961E-3</v>
      </c>
      <c r="BC67" s="6">
        <f>Tabla2[[#This Row],[Forest Loss 2021]]/Tabla2[[#This Row],[Forest cover 2011]]</f>
        <v>3.1351503267253128E-3</v>
      </c>
      <c r="BD67" s="6">
        <f>Tabla2[[#This Row],[Forest Loss 2022]]/Tabla2[[#This Row],[Forest cover 2011]]</f>
        <v>4.2785510804190874E-3</v>
      </c>
      <c r="BE67" s="6">
        <f>Tabla2[[#This Row],[Forest Loss 2023]]/Tabla2[[#This Row],[Forest cover 2011]]</f>
        <v>3.0679440527886658E-3</v>
      </c>
      <c r="BF67" s="6">
        <f>Tabla2[[#This Row],[Forest Loss 2024]]/Tabla2[[#This Row],[Forest cover 2011]]</f>
        <v>2.4589002341490428E-2</v>
      </c>
    </row>
    <row r="68" spans="1:58" x14ac:dyDescent="0.25">
      <c r="A68" s="2">
        <v>90101</v>
      </c>
      <c r="B68" s="3" t="s">
        <v>384</v>
      </c>
      <c r="C68" t="s">
        <v>385</v>
      </c>
      <c r="D68">
        <v>23278.41</v>
      </c>
      <c r="E68" s="4">
        <f>AVERAGE(Tabla2[[#This Row],[Deforestation 2012]:[Deforestation 2014]])</f>
        <v>419.96999999999997</v>
      </c>
      <c r="F68" s="4">
        <f>AVERAGE(Tabla2[[#This Row],[Deforestation 2022]:[Deforestation 2024]])</f>
        <v>417.14999999999992</v>
      </c>
      <c r="G68">
        <v>465.21</v>
      </c>
      <c r="H68">
        <v>407.61</v>
      </c>
      <c r="I68">
        <v>387.09</v>
      </c>
      <c r="J68">
        <v>353.34</v>
      </c>
      <c r="K68">
        <v>437.67</v>
      </c>
      <c r="L68">
        <v>447.75</v>
      </c>
      <c r="M68">
        <v>442.26</v>
      </c>
      <c r="N68">
        <v>244.44</v>
      </c>
      <c r="O68">
        <v>273.87</v>
      </c>
      <c r="P68">
        <v>415.62</v>
      </c>
      <c r="Q68">
        <v>41.4</v>
      </c>
      <c r="R68">
        <v>660.32999999999993</v>
      </c>
      <c r="S68">
        <v>549.72</v>
      </c>
      <c r="T68">
        <v>493.74</v>
      </c>
      <c r="U68">
        <v>431.82</v>
      </c>
      <c r="V68">
        <v>409.95</v>
      </c>
      <c r="W68">
        <v>429.57000000000011</v>
      </c>
      <c r="X68">
        <v>460.08</v>
      </c>
      <c r="Y68">
        <v>461.61</v>
      </c>
      <c r="Z68">
        <v>446.67</v>
      </c>
      <c r="AA68">
        <v>264.24</v>
      </c>
      <c r="AB68">
        <v>282.69</v>
      </c>
      <c r="AC68">
        <v>417.6</v>
      </c>
      <c r="AD68">
        <v>41.67</v>
      </c>
      <c r="AE68">
        <v>677.97</v>
      </c>
      <c r="AF68">
        <v>558.45000000000005</v>
      </c>
      <c r="AG68" s="5">
        <f>Tabla2[[#This Row],[Deforestation 2012]]/Tabla2[[#This Row],[Forest cover 2011]]</f>
        <v>1.99846123511013E-2</v>
      </c>
      <c r="AH68" s="6">
        <f>Tabla2[[#This Row],[Deforestation 2013]]/Tabla2[[#This Row],[Forest cover 2011]]</f>
        <v>1.7510216548295182E-2</v>
      </c>
      <c r="AI68" s="6">
        <f>Tabla2[[#This Row],[Deforestation 2014]]/Tabla2[[#This Row],[Forest cover 2011]]</f>
        <v>1.66287130435455E-2</v>
      </c>
      <c r="AJ68" s="6">
        <f>Tabla2[[#This Row],[Deforestation 2015]]/Tabla2[[#This Row],[Forest cover 2011]]</f>
        <v>1.5178871752838788E-2</v>
      </c>
      <c r="AK68" s="6">
        <f>Tabla2[[#This Row],[Deforestation 2016]]/Tabla2[[#This Row],[Forest cover 2011]]</f>
        <v>1.8801541857884626E-2</v>
      </c>
      <c r="AL68" s="6">
        <f>Tabla2[[#This Row],[Deforestation 2017]]/Tabla2[[#This Row],[Forest cover 2011]]</f>
        <v>1.9234561123375696E-2</v>
      </c>
      <c r="AM68" s="6">
        <f>Tabla2[[#This Row],[Deforestation 2018]]/Tabla2[[#This Row],[Forest cover 2011]]</f>
        <v>1.8998720273420738E-2</v>
      </c>
      <c r="AN68" s="6">
        <f>Tabla2[[#This Row],[Deforestation 2019]]/Tabla2[[#This Row],[Forest cover 2011]]</f>
        <v>1.0500717188158469E-2</v>
      </c>
      <c r="AO68" s="6">
        <f>Tabla2[[#This Row],[Deforestation 2020]]/Tabla2[[#This Row],[Forest cover 2011]]</f>
        <v>1.1764978793654722E-2</v>
      </c>
      <c r="AP68" s="6">
        <f>Tabla2[[#This Row],[Deforestation 2021]]/Tabla2[[#This Row],[Forest cover 2011]]</f>
        <v>1.7854312214622907E-2</v>
      </c>
      <c r="AQ68" s="6">
        <f>Tabla2[[#This Row],[Deforestation 2022]]/Tabla2[[#This Row],[Forest cover 2011]]</f>
        <v>1.7784719832668982E-3</v>
      </c>
      <c r="AR68" s="6">
        <f>Tabla2[[#This Row],[Deforestation 2023]]/Tabla2[[#This Row],[Forest cover 2011]]</f>
        <v>2.8366628133107027E-2</v>
      </c>
      <c r="AS68" s="6">
        <f>Tabla2[[#This Row],[Deforestation 2024]]/Tabla2[[#This Row],[Forest cover 2011]]</f>
        <v>2.3615014943030904E-2</v>
      </c>
      <c r="AT68" s="6">
        <f>Tabla2[[#This Row],[Forest Loss 2012]]/Tabla2[[#This Row],[Forest cover 2011]]</f>
        <v>2.1210211522178706E-2</v>
      </c>
      <c r="AU68" s="6">
        <f>Tabla2[[#This Row],[Forest Loss 2013]]/Tabla2[[#This Row],[Forest cover 2011]]</f>
        <v>1.8550236034162126E-2</v>
      </c>
      <c r="AV68" s="6">
        <f>Tabla2[[#This Row],[Forest Loss 2014]]/Tabla2[[#This Row],[Forest cover 2011]]</f>
        <v>1.7610738877784179E-2</v>
      </c>
      <c r="AW68" s="6">
        <f>Tabla2[[#This Row],[Forest Loss 2015]]/Tabla2[[#This Row],[Forest cover 2011]]</f>
        <v>1.8453579948115018E-2</v>
      </c>
      <c r="AX68" s="6">
        <f>Tabla2[[#This Row],[Forest Loss 2016]]/Tabla2[[#This Row],[Forest cover 2011]]</f>
        <v>1.976423647491388E-2</v>
      </c>
      <c r="AY68" s="6">
        <f>Tabla2[[#This Row],[Forest Loss 2017]]/Tabla2[[#This Row],[Forest cover 2011]]</f>
        <v>1.9829962613425917E-2</v>
      </c>
      <c r="AZ68" s="6">
        <f>Tabla2[[#This Row],[Forest Loss 2018]]/Tabla2[[#This Row],[Forest cover 2011]]</f>
        <v>1.918816620207308E-2</v>
      </c>
      <c r="BA68" s="6">
        <f>Tabla2[[#This Row],[Forest Loss 2019]]/Tabla2[[#This Row],[Forest cover 2011]]</f>
        <v>1.1351290745373074E-2</v>
      </c>
      <c r="BB68" s="6">
        <f>Tabla2[[#This Row],[Forest Loss 2020]]/Tabla2[[#This Row],[Forest cover 2011]]</f>
        <v>1.2143870650959409E-2</v>
      </c>
      <c r="BC68" s="6">
        <f>Tabla2[[#This Row],[Forest Loss 2021]]/Tabla2[[#This Row],[Forest cover 2011]]</f>
        <v>1.7939369570344369E-2</v>
      </c>
      <c r="BD68" s="6">
        <f>Tabla2[[#This Row],[Forest Loss 2022]]/Tabla2[[#This Row],[Forest cover 2011]]</f>
        <v>1.7900707135925522E-3</v>
      </c>
      <c r="BE68" s="6">
        <f>Tabla2[[#This Row],[Forest Loss 2023]]/Tabla2[[#This Row],[Forest cover 2011]]</f>
        <v>2.9124411847716403E-2</v>
      </c>
      <c r="BF68" s="6">
        <f>Tabla2[[#This Row],[Forest Loss 2024]]/Tabla2[[#This Row],[Forest cover 2011]]</f>
        <v>2.3990040556893709E-2</v>
      </c>
    </row>
    <row r="69" spans="1:58" x14ac:dyDescent="0.25">
      <c r="A69" s="2">
        <v>70502</v>
      </c>
      <c r="B69" s="3" t="s">
        <v>310</v>
      </c>
      <c r="C69" t="s">
        <v>326</v>
      </c>
      <c r="D69">
        <v>707981.4</v>
      </c>
      <c r="E69" s="4">
        <f>AVERAGE(Tabla2[[#This Row],[Deforestation 2012]:[Deforestation 2014]])</f>
        <v>24522.84</v>
      </c>
      <c r="F69" s="4">
        <f>AVERAGE(Tabla2[[#This Row],[Deforestation 2022]:[Deforestation 2024]])</f>
        <v>17504.400000000001</v>
      </c>
      <c r="G69">
        <v>25811.55</v>
      </c>
      <c r="H69">
        <v>20873.25</v>
      </c>
      <c r="I69">
        <v>26883.72</v>
      </c>
      <c r="J69">
        <v>35346.06</v>
      </c>
      <c r="K69">
        <v>30641.759999999998</v>
      </c>
      <c r="L69">
        <v>33303.69</v>
      </c>
      <c r="M69">
        <v>29510.37</v>
      </c>
      <c r="N69">
        <v>28631.97</v>
      </c>
      <c r="O69">
        <v>18667.169999999998</v>
      </c>
      <c r="P69">
        <v>23820.21</v>
      </c>
      <c r="Q69">
        <v>17075.34</v>
      </c>
      <c r="R69">
        <v>19798.740000000002</v>
      </c>
      <c r="S69">
        <v>15639.12</v>
      </c>
      <c r="T69">
        <v>26173.17</v>
      </c>
      <c r="U69">
        <v>21198.87</v>
      </c>
      <c r="V69">
        <v>27307.8</v>
      </c>
      <c r="W69">
        <v>35503.919999999998</v>
      </c>
      <c r="X69">
        <v>30874.5</v>
      </c>
      <c r="Y69">
        <v>33463.800000000003</v>
      </c>
      <c r="Z69">
        <v>29939.22</v>
      </c>
      <c r="AA69">
        <v>28790.91</v>
      </c>
      <c r="AB69">
        <v>18754.740000000002</v>
      </c>
      <c r="AC69">
        <v>24263.82</v>
      </c>
      <c r="AD69">
        <v>17122.68</v>
      </c>
      <c r="AE69">
        <v>20419.830000000002</v>
      </c>
      <c r="AF69">
        <v>16542.810000000001</v>
      </c>
      <c r="AG69" s="5">
        <f>Tabla2[[#This Row],[Deforestation 2012]]/Tabla2[[#This Row],[Forest cover 2011]]</f>
        <v>3.6457949319007532E-2</v>
      </c>
      <c r="AH69" s="6">
        <f>Tabla2[[#This Row],[Deforestation 2013]]/Tabla2[[#This Row],[Forest cover 2011]]</f>
        <v>2.9482766072668011E-2</v>
      </c>
      <c r="AI69" s="6">
        <f>Tabla2[[#This Row],[Deforestation 2014]]/Tabla2[[#This Row],[Forest cover 2011]]</f>
        <v>3.797235351098207E-2</v>
      </c>
      <c r="AJ69" s="6">
        <f>Tabla2[[#This Row],[Deforestation 2015]]/Tabla2[[#This Row],[Forest cover 2011]]</f>
        <v>4.9925125151592961E-2</v>
      </c>
      <c r="AK69" s="6">
        <f>Tabla2[[#This Row],[Deforestation 2016]]/Tabla2[[#This Row],[Forest cover 2011]]</f>
        <v>4.3280459062907582E-2</v>
      </c>
      <c r="AL69" s="6">
        <f>Tabla2[[#This Row],[Deforestation 2017]]/Tabla2[[#This Row],[Forest cover 2011]]</f>
        <v>4.7040345975190877E-2</v>
      </c>
      <c r="AM69" s="6">
        <f>Tabla2[[#This Row],[Deforestation 2018]]/Tabla2[[#This Row],[Forest cover 2011]]</f>
        <v>4.1682408605649805E-2</v>
      </c>
      <c r="AN69" s="6">
        <f>Tabla2[[#This Row],[Deforestation 2019]]/Tabla2[[#This Row],[Forest cover 2011]]</f>
        <v>4.0441698044609647E-2</v>
      </c>
      <c r="AO69" s="6">
        <f>Tabla2[[#This Row],[Deforestation 2020]]/Tabla2[[#This Row],[Forest cover 2011]]</f>
        <v>2.6366752007891729E-2</v>
      </c>
      <c r="AP69" s="6">
        <f>Tabla2[[#This Row],[Deforestation 2021]]/Tabla2[[#This Row],[Forest cover 2011]]</f>
        <v>3.3645248307370784E-2</v>
      </c>
      <c r="AQ69" s="6">
        <f>Tabla2[[#This Row],[Deforestation 2022]]/Tabla2[[#This Row],[Forest cover 2011]]</f>
        <v>2.4118345481957577E-2</v>
      </c>
      <c r="AR69" s="6">
        <f>Tabla2[[#This Row],[Deforestation 2023]]/Tabla2[[#This Row],[Forest cover 2011]]</f>
        <v>2.7965056709116937E-2</v>
      </c>
      <c r="AS69" s="6">
        <f>Tabla2[[#This Row],[Deforestation 2024]]/Tabla2[[#This Row],[Forest cover 2011]]</f>
        <v>2.2089732865863427E-2</v>
      </c>
      <c r="AT69" s="6">
        <f>Tabla2[[#This Row],[Forest Loss 2012]]/Tabla2[[#This Row],[Forest cover 2011]]</f>
        <v>3.6968725449566892E-2</v>
      </c>
      <c r="AU69" s="6">
        <f>Tabla2[[#This Row],[Forest Loss 2013]]/Tabla2[[#This Row],[Forest cover 2011]]</f>
        <v>2.9942693409742118E-2</v>
      </c>
      <c r="AV69" s="6">
        <f>Tabla2[[#This Row],[Forest Loss 2014]]/Tabla2[[#This Row],[Forest cover 2011]]</f>
        <v>3.857135229823834E-2</v>
      </c>
      <c r="AW69" s="6">
        <f>Tabla2[[#This Row],[Forest Loss 2015]]/Tabla2[[#This Row],[Forest cover 2011]]</f>
        <v>5.0148097111025795E-2</v>
      </c>
      <c r="AX69" s="6">
        <f>Tabla2[[#This Row],[Forest Loss 2016]]/Tabla2[[#This Row],[Forest cover 2011]]</f>
        <v>4.3609196512789744E-2</v>
      </c>
      <c r="AY69" s="6">
        <f>Tabla2[[#This Row],[Forest Loss 2017]]/Tabla2[[#This Row],[Forest cover 2011]]</f>
        <v>4.726649598421654E-2</v>
      </c>
      <c r="AZ69" s="6">
        <f>Tabla2[[#This Row],[Forest Loss 2018]]/Tabla2[[#This Row],[Forest cover 2011]]</f>
        <v>4.228814485804288E-2</v>
      </c>
      <c r="BA69" s="6">
        <f>Tabla2[[#This Row],[Forest Loss 2019]]/Tabla2[[#This Row],[Forest cover 2011]]</f>
        <v>4.0666195467847034E-2</v>
      </c>
      <c r="BB69" s="6">
        <f>Tabla2[[#This Row],[Forest Loss 2020]]/Tabla2[[#This Row],[Forest cover 2011]]</f>
        <v>2.6490441698044612E-2</v>
      </c>
      <c r="BC69" s="6">
        <f>Tabla2[[#This Row],[Forest Loss 2021]]/Tabla2[[#This Row],[Forest cover 2011]]</f>
        <v>3.4271832565092808E-2</v>
      </c>
      <c r="BD69" s="6">
        <f>Tabla2[[#This Row],[Forest Loss 2022]]/Tabla2[[#This Row],[Forest cover 2011]]</f>
        <v>2.4185211645390683E-2</v>
      </c>
      <c r="BE69" s="6">
        <f>Tabla2[[#This Row],[Forest Loss 2023]]/Tabla2[[#This Row],[Forest cover 2011]]</f>
        <v>2.8842325518721255E-2</v>
      </c>
      <c r="BF69" s="6">
        <f>Tabla2[[#This Row],[Forest Loss 2024]]/Tabla2[[#This Row],[Forest cover 2011]]</f>
        <v>2.336616470432698E-2</v>
      </c>
    </row>
    <row r="70" spans="1:58" x14ac:dyDescent="0.25">
      <c r="A70" s="2">
        <v>31204</v>
      </c>
      <c r="B70" s="3" t="s">
        <v>176</v>
      </c>
      <c r="C70" t="s">
        <v>209</v>
      </c>
      <c r="D70">
        <v>207111.51</v>
      </c>
      <c r="E70" s="4">
        <f>AVERAGE(Tabla2[[#This Row],[Deforestation 2012]:[Deforestation 2014]])</f>
        <v>808.68</v>
      </c>
      <c r="F70" s="4">
        <f>AVERAGE(Tabla2[[#This Row],[Deforestation 2022]:[Deforestation 2024]])</f>
        <v>1281.51</v>
      </c>
      <c r="G70">
        <v>547.29</v>
      </c>
      <c r="H70">
        <v>892.08</v>
      </c>
      <c r="I70">
        <v>986.67</v>
      </c>
      <c r="J70">
        <v>665.81999999999994</v>
      </c>
      <c r="K70">
        <v>627.12</v>
      </c>
      <c r="L70">
        <v>667.35</v>
      </c>
      <c r="M70">
        <v>669.78</v>
      </c>
      <c r="N70">
        <v>658.17</v>
      </c>
      <c r="O70">
        <v>1328.49</v>
      </c>
      <c r="P70">
        <v>1800</v>
      </c>
      <c r="Q70">
        <v>205.92</v>
      </c>
      <c r="R70">
        <v>2027.07</v>
      </c>
      <c r="S70">
        <v>1611.54</v>
      </c>
      <c r="T70">
        <v>3354.48</v>
      </c>
      <c r="U70">
        <v>2905.38</v>
      </c>
      <c r="V70">
        <v>3168.72</v>
      </c>
      <c r="W70">
        <v>3292.56</v>
      </c>
      <c r="X70">
        <v>1374.03</v>
      </c>
      <c r="Y70">
        <v>1278.3599999999999</v>
      </c>
      <c r="Z70">
        <v>1834.11</v>
      </c>
      <c r="AA70">
        <v>1545.12</v>
      </c>
      <c r="AB70">
        <v>1945.44</v>
      </c>
      <c r="AC70">
        <v>2275.29</v>
      </c>
      <c r="AD70">
        <v>565.47</v>
      </c>
      <c r="AE70">
        <v>2681.46</v>
      </c>
      <c r="AF70">
        <v>4749.75</v>
      </c>
      <c r="AG70" s="5">
        <f>Tabla2[[#This Row],[Deforestation 2012]]/Tabla2[[#This Row],[Forest cover 2011]]</f>
        <v>2.6424895458489967E-3</v>
      </c>
      <c r="AH70" s="6">
        <f>Tabla2[[#This Row],[Deforestation 2013]]/Tabla2[[#This Row],[Forest cover 2011]]</f>
        <v>4.3072449232782863E-3</v>
      </c>
      <c r="AI70" s="6">
        <f>Tabla2[[#This Row],[Deforestation 2014]]/Tabla2[[#This Row],[Forest cover 2011]]</f>
        <v>4.7639554170601141E-3</v>
      </c>
      <c r="AJ70" s="6">
        <f>Tabla2[[#This Row],[Deforestation 2015]]/Tabla2[[#This Row],[Forest cover 2011]]</f>
        <v>3.2147899457639988E-3</v>
      </c>
      <c r="AK70" s="6">
        <f>Tabla2[[#This Row],[Deforestation 2016]]/Tabla2[[#This Row],[Forest cover 2011]]</f>
        <v>3.0279340824660105E-3</v>
      </c>
      <c r="AL70" s="6">
        <f>Tabla2[[#This Row],[Deforestation 2017]]/Tabla2[[#This Row],[Forest cover 2011]]</f>
        <v>3.2221772705920593E-3</v>
      </c>
      <c r="AM70" s="6">
        <f>Tabla2[[#This Row],[Deforestation 2018]]/Tabla2[[#This Row],[Forest cover 2011]]</f>
        <v>3.2339100806130956E-3</v>
      </c>
      <c r="AN70" s="6">
        <f>Tabla2[[#This Row],[Deforestation 2019]]/Tabla2[[#This Row],[Forest cover 2011]]</f>
        <v>3.177853321623699E-3</v>
      </c>
      <c r="AO70" s="6">
        <f>Tabla2[[#This Row],[Deforestation 2020]]/Tabla2[[#This Row],[Forest cover 2011]]</f>
        <v>6.414370693352581E-3</v>
      </c>
      <c r="AP70" s="6">
        <f>Tabla2[[#This Row],[Deforestation 2021]]/Tabla2[[#This Row],[Forest cover 2011]]</f>
        <v>8.6909703859529581E-3</v>
      </c>
      <c r="AQ70" s="6">
        <f>Tabla2[[#This Row],[Deforestation 2022]]/Tabla2[[#This Row],[Forest cover 2011]]</f>
        <v>9.9424701215301836E-4</v>
      </c>
      <c r="AR70" s="6">
        <f>Tabla2[[#This Row],[Deforestation 2023]]/Tabla2[[#This Row],[Forest cover 2011]]</f>
        <v>9.7873363001409232E-3</v>
      </c>
      <c r="AS70" s="6">
        <f>Tabla2[[#This Row],[Deforestation 2024]]/Tabla2[[#This Row],[Forest cover 2011]]</f>
        <v>7.7810257865436831E-3</v>
      </c>
      <c r="AT70" s="6">
        <f>Tabla2[[#This Row],[Forest Loss 2012]]/Tabla2[[#This Row],[Forest cover 2011]]</f>
        <v>1.6196492411261934E-2</v>
      </c>
      <c r="AU70" s="6">
        <f>Tabla2[[#This Row],[Forest Loss 2013]]/Tabla2[[#This Row],[Forest cover 2011]]</f>
        <v>1.402809529996667E-2</v>
      </c>
      <c r="AV70" s="6">
        <f>Tabla2[[#This Row],[Forest Loss 2014]]/Tabla2[[#This Row],[Forest cover 2011]]</f>
        <v>1.5299584267431587E-2</v>
      </c>
      <c r="AW70" s="6">
        <f>Tabla2[[#This Row],[Forest Loss 2015]]/Tabla2[[#This Row],[Forest cover 2011]]</f>
        <v>1.589752302998515E-2</v>
      </c>
      <c r="AX70" s="6">
        <f>Tabla2[[#This Row],[Forest Loss 2016]]/Tabla2[[#This Row],[Forest cover 2011]]</f>
        <v>6.6342522441171902E-3</v>
      </c>
      <c r="AY70" s="6">
        <f>Tabla2[[#This Row],[Forest Loss 2017]]/Tabla2[[#This Row],[Forest cover 2011]]</f>
        <v>6.1723271681037905E-3</v>
      </c>
      <c r="AZ70" s="6">
        <f>Tabla2[[#This Row],[Forest Loss 2018]]/Tabla2[[#This Row],[Forest cover 2011]]</f>
        <v>8.8556642747667658E-3</v>
      </c>
      <c r="BA70" s="6">
        <f>Tabla2[[#This Row],[Forest Loss 2019]]/Tabla2[[#This Row],[Forest cover 2011]]</f>
        <v>7.4603289793020184E-3</v>
      </c>
      <c r="BB70" s="6">
        <f>Tabla2[[#This Row],[Forest Loss 2020]]/Tabla2[[#This Row],[Forest cover 2011]]</f>
        <v>9.3932007931379572E-3</v>
      </c>
      <c r="BC70" s="6">
        <f>Tabla2[[#This Row],[Forest Loss 2021]]/Tabla2[[#This Row],[Forest cover 2011]]</f>
        <v>1.0985821116363837E-2</v>
      </c>
      <c r="BD70" s="6">
        <f>Tabla2[[#This Row],[Forest Loss 2022]]/Tabla2[[#This Row],[Forest cover 2011]]</f>
        <v>2.730268346747122E-3</v>
      </c>
      <c r="BE70" s="6">
        <f>Tabla2[[#This Row],[Forest Loss 2023]]/Tabla2[[#This Row],[Forest cover 2011]]</f>
        <v>1.2946938583954121E-2</v>
      </c>
      <c r="BF70" s="6">
        <f>Tabla2[[#This Row],[Forest Loss 2024]]/Tabla2[[#This Row],[Forest cover 2011]]</f>
        <v>2.2933298105933368E-2</v>
      </c>
    </row>
    <row r="71" spans="1:58" x14ac:dyDescent="0.25">
      <c r="A71" s="2">
        <v>31602</v>
      </c>
      <c r="B71" s="3" t="s">
        <v>176</v>
      </c>
      <c r="C71" t="s">
        <v>223</v>
      </c>
      <c r="D71">
        <v>54573.84</v>
      </c>
      <c r="E71" s="4">
        <f>AVERAGE(Tabla2[[#This Row],[Deforestation 2012]:[Deforestation 2014]])</f>
        <v>615.92999999999995</v>
      </c>
      <c r="F71" s="4">
        <f>AVERAGE(Tabla2[[#This Row],[Deforestation 2022]:[Deforestation 2024]])</f>
        <v>758.96999999999991</v>
      </c>
      <c r="G71">
        <v>536.30999999999995</v>
      </c>
      <c r="H71">
        <v>601.38</v>
      </c>
      <c r="I71">
        <v>710.1</v>
      </c>
      <c r="J71">
        <v>539.46</v>
      </c>
      <c r="K71">
        <v>217.44</v>
      </c>
      <c r="L71">
        <v>360.9</v>
      </c>
      <c r="M71">
        <v>269.19</v>
      </c>
      <c r="N71">
        <v>398.07</v>
      </c>
      <c r="O71">
        <v>663.3</v>
      </c>
      <c r="P71">
        <v>904.68</v>
      </c>
      <c r="Q71">
        <v>210.69</v>
      </c>
      <c r="R71">
        <v>836.37</v>
      </c>
      <c r="S71">
        <v>1229.8499999999999</v>
      </c>
      <c r="T71">
        <v>666.81000000000006</v>
      </c>
      <c r="U71">
        <v>663.66</v>
      </c>
      <c r="V71">
        <v>778.86</v>
      </c>
      <c r="W71">
        <v>605.70000000000005</v>
      </c>
      <c r="X71">
        <v>287.37</v>
      </c>
      <c r="Y71">
        <v>432.36</v>
      </c>
      <c r="Z71">
        <v>341.55</v>
      </c>
      <c r="AA71">
        <v>466.83</v>
      </c>
      <c r="AB71">
        <v>712.17</v>
      </c>
      <c r="AC71">
        <v>948.51</v>
      </c>
      <c r="AD71">
        <v>220.05</v>
      </c>
      <c r="AE71">
        <v>955.98</v>
      </c>
      <c r="AF71">
        <v>1234.98</v>
      </c>
      <c r="AG71" s="5">
        <f>Tabla2[[#This Row],[Deforestation 2012]]/Tabla2[[#This Row],[Forest cover 2011]]</f>
        <v>9.8272359064342906E-3</v>
      </c>
      <c r="AH71" s="6">
        <f>Tabla2[[#This Row],[Deforestation 2013]]/Tabla2[[#This Row],[Forest cover 2011]]</f>
        <v>1.1019565418156392E-2</v>
      </c>
      <c r="AI71" s="6">
        <f>Tabla2[[#This Row],[Deforestation 2014]]/Tabla2[[#This Row],[Forest cover 2011]]</f>
        <v>1.3011728696386402E-2</v>
      </c>
      <c r="AJ71" s="6">
        <f>Tabla2[[#This Row],[Deforestation 2015]]/Tabla2[[#This Row],[Forest cover 2011]]</f>
        <v>9.8849558689657908E-3</v>
      </c>
      <c r="AK71" s="6">
        <f>Tabla2[[#This Row],[Deforestation 2016]]/Tabla2[[#This Row],[Forest cover 2011]]</f>
        <v>3.9843265564600185E-3</v>
      </c>
      <c r="AL71" s="6">
        <f>Tabla2[[#This Row],[Deforestation 2017]]/Tabla2[[#This Row],[Forest cover 2011]]</f>
        <v>6.6130585643231262E-3</v>
      </c>
      <c r="AM71" s="6">
        <f>Tabla2[[#This Row],[Deforestation 2018]]/Tabla2[[#This Row],[Forest cover 2011]]</f>
        <v>4.9325830837632098E-3</v>
      </c>
      <c r="AN71" s="6">
        <f>Tabla2[[#This Row],[Deforestation 2019]]/Tabla2[[#This Row],[Forest cover 2011]]</f>
        <v>7.2941541221948104E-3</v>
      </c>
      <c r="AO71" s="6">
        <f>Tabla2[[#This Row],[Deforestation 2020]]/Tabla2[[#This Row],[Forest cover 2011]]</f>
        <v>1.2154174967346993E-2</v>
      </c>
      <c r="AP71" s="6">
        <f>Tabla2[[#This Row],[Deforestation 2021]]/Tabla2[[#This Row],[Forest cover 2011]]</f>
        <v>1.6577173239046401E-2</v>
      </c>
      <c r="AQ71" s="6">
        <f>Tabla2[[#This Row],[Deforestation 2022]]/Tabla2[[#This Row],[Forest cover 2011]]</f>
        <v>3.8606409224639501E-3</v>
      </c>
      <c r="AR71" s="6">
        <f>Tabla2[[#This Row],[Deforestation 2023]]/Tabla2[[#This Row],[Forest cover 2011]]</f>
        <v>1.5325474623006189E-2</v>
      </c>
      <c r="AS71" s="6">
        <f>Tabla2[[#This Row],[Deforestation 2024]]/Tabla2[[#This Row],[Forest cover 2011]]</f>
        <v>2.253552251408367E-2</v>
      </c>
      <c r="AT71" s="6">
        <f>Tabla2[[#This Row],[Forest Loss 2012]]/Tabla2[[#This Row],[Forest cover 2011]]</f>
        <v>1.221849149702495E-2</v>
      </c>
      <c r="AU71" s="6">
        <f>Tabla2[[#This Row],[Forest Loss 2013]]/Tabla2[[#This Row],[Forest cover 2011]]</f>
        <v>1.216077153449345E-2</v>
      </c>
      <c r="AV71" s="6">
        <f>Tabla2[[#This Row],[Forest Loss 2014]]/Tabla2[[#This Row],[Forest cover 2011]]</f>
        <v>1.4271673021359685E-2</v>
      </c>
      <c r="AW71" s="6">
        <f>Tabla2[[#This Row],[Forest Loss 2015]]/Tabla2[[#This Row],[Forest cover 2011]]</f>
        <v>1.1098724223913876E-2</v>
      </c>
      <c r="AX71" s="6">
        <f>Tabla2[[#This Row],[Forest Loss 2016]]/Tabla2[[#This Row],[Forest cover 2011]]</f>
        <v>5.2657097246592878E-3</v>
      </c>
      <c r="AY71" s="6">
        <f>Tabla2[[#This Row],[Forest Loss 2017]]/Tabla2[[#This Row],[Forest cover 2011]]</f>
        <v>7.922477142894839E-3</v>
      </c>
      <c r="AZ71" s="6">
        <f>Tabla2[[#This Row],[Forest Loss 2018]]/Tabla2[[#This Row],[Forest cover 2011]]</f>
        <v>6.2584930802010641E-3</v>
      </c>
      <c r="BA71" s="6">
        <f>Tabla2[[#This Row],[Forest Loss 2019]]/Tabla2[[#This Row],[Forest cover 2011]]</f>
        <v>8.5540984471680938E-3</v>
      </c>
      <c r="BB71" s="6">
        <f>Tabla2[[#This Row],[Forest Loss 2020]]/Tabla2[[#This Row],[Forest cover 2011]]</f>
        <v>1.3049658957478527E-2</v>
      </c>
      <c r="BC71" s="6">
        <f>Tabla2[[#This Row],[Forest Loss 2021]]/Tabla2[[#This Row],[Forest cover 2011]]</f>
        <v>1.738030528912754E-2</v>
      </c>
      <c r="BD71" s="6">
        <f>Tabla2[[#This Row],[Forest Loss 2022]]/Tabla2[[#This Row],[Forest cover 2011]]</f>
        <v>4.0321516682718314E-3</v>
      </c>
      <c r="BE71" s="6">
        <f>Tabla2[[#This Row],[Forest Loss 2023]]/Tabla2[[#This Row],[Forest cover 2011]]</f>
        <v>1.7517184057416521E-2</v>
      </c>
      <c r="BF71" s="6">
        <f>Tabla2[[#This Row],[Forest Loss 2024]]/Tabla2[[#This Row],[Forest cover 2011]]</f>
        <v>2.2629523595920683E-2</v>
      </c>
    </row>
    <row r="72" spans="1:58" x14ac:dyDescent="0.25">
      <c r="A72" s="2">
        <v>71106</v>
      </c>
      <c r="B72" s="3" t="s">
        <v>310</v>
      </c>
      <c r="C72" t="s">
        <v>356</v>
      </c>
      <c r="D72">
        <v>123518.34</v>
      </c>
      <c r="E72" s="4">
        <f>AVERAGE(Tabla2[[#This Row],[Deforestation 2012]:[Deforestation 2014]])</f>
        <v>6154.38</v>
      </c>
      <c r="F72" s="4">
        <f>AVERAGE(Tabla2[[#This Row],[Deforestation 2022]:[Deforestation 2024]])</f>
        <v>3558.6300000000006</v>
      </c>
      <c r="G72">
        <v>6118.56</v>
      </c>
      <c r="H72">
        <v>5441.76</v>
      </c>
      <c r="I72">
        <v>6902.82</v>
      </c>
      <c r="J72">
        <v>9030.69</v>
      </c>
      <c r="K72">
        <v>7889.67</v>
      </c>
      <c r="L72">
        <v>11116.08</v>
      </c>
      <c r="M72">
        <v>7031.52</v>
      </c>
      <c r="N72">
        <v>6243.93</v>
      </c>
      <c r="O72">
        <v>3253.23</v>
      </c>
      <c r="P72">
        <v>4026.6</v>
      </c>
      <c r="Q72">
        <v>3835.71</v>
      </c>
      <c r="R72">
        <v>4067.82</v>
      </c>
      <c r="S72">
        <v>2772.36</v>
      </c>
      <c r="T72">
        <v>6287.49</v>
      </c>
      <c r="U72">
        <v>5668.29</v>
      </c>
      <c r="V72">
        <v>7055.55</v>
      </c>
      <c r="W72">
        <v>9090.36</v>
      </c>
      <c r="X72">
        <v>7963.38</v>
      </c>
      <c r="Y72">
        <v>11136.96</v>
      </c>
      <c r="Z72">
        <v>7098.48</v>
      </c>
      <c r="AA72">
        <v>6284.52</v>
      </c>
      <c r="AB72">
        <v>3270.33</v>
      </c>
      <c r="AC72">
        <v>4147.1099999999997</v>
      </c>
      <c r="AD72">
        <v>3865.14</v>
      </c>
      <c r="AE72">
        <v>4085.46</v>
      </c>
      <c r="AF72">
        <v>2783.34</v>
      </c>
      <c r="AG72" s="5">
        <f>Tabla2[[#This Row],[Deforestation 2012]]/Tabla2[[#This Row],[Forest cover 2011]]</f>
        <v>4.9535639808630849E-2</v>
      </c>
      <c r="AH72" s="6">
        <f>Tabla2[[#This Row],[Deforestation 2013]]/Tabla2[[#This Row],[Forest cover 2011]]</f>
        <v>4.4056291559617787E-2</v>
      </c>
      <c r="AI72" s="6">
        <f>Tabla2[[#This Row],[Deforestation 2014]]/Tabla2[[#This Row],[Forest cover 2011]]</f>
        <v>5.5884980319521778E-2</v>
      </c>
      <c r="AJ72" s="6">
        <f>Tabla2[[#This Row],[Deforestation 2015]]/Tabla2[[#This Row],[Forest cover 2011]]</f>
        <v>7.311213865082708E-2</v>
      </c>
      <c r="AK72" s="6">
        <f>Tabla2[[#This Row],[Deforestation 2016]]/Tabla2[[#This Row],[Forest cover 2011]]</f>
        <v>6.3874482121440423E-2</v>
      </c>
      <c r="AL72" s="6">
        <f>Tabla2[[#This Row],[Deforestation 2017]]/Tabla2[[#This Row],[Forest cover 2011]]</f>
        <v>8.9995380443098572E-2</v>
      </c>
      <c r="AM72" s="6">
        <f>Tabla2[[#This Row],[Deforestation 2018]]/Tabla2[[#This Row],[Forest cover 2011]]</f>
        <v>5.692693085091656E-2</v>
      </c>
      <c r="AN72" s="6">
        <f>Tabla2[[#This Row],[Deforestation 2019]]/Tabla2[[#This Row],[Forest cover 2011]]</f>
        <v>5.0550630780821705E-2</v>
      </c>
      <c r="AO72" s="6">
        <f>Tabla2[[#This Row],[Deforestation 2020]]/Tabla2[[#This Row],[Forest cover 2011]]</f>
        <v>2.6338032068759992E-2</v>
      </c>
      <c r="AP72" s="6">
        <f>Tabla2[[#This Row],[Deforestation 2021]]/Tabla2[[#This Row],[Forest cover 2011]]</f>
        <v>3.2599207534686751E-2</v>
      </c>
      <c r="AQ72" s="6">
        <f>Tabla2[[#This Row],[Deforestation 2022]]/Tabla2[[#This Row],[Forest cover 2011]]</f>
        <v>3.1053769019240382E-2</v>
      </c>
      <c r="AR72" s="6">
        <f>Tabla2[[#This Row],[Deforestation 2023]]/Tabla2[[#This Row],[Forest cover 2011]]</f>
        <v>3.2932923159427176E-2</v>
      </c>
      <c r="AS72" s="6">
        <f>Tabla2[[#This Row],[Deforestation 2024]]/Tabla2[[#This Row],[Forest cover 2011]]</f>
        <v>2.2444925992366804E-2</v>
      </c>
      <c r="AT72" s="6">
        <f>Tabla2[[#This Row],[Forest Loss 2012]]/Tabla2[[#This Row],[Forest cover 2011]]</f>
        <v>5.0903290960678388E-2</v>
      </c>
      <c r="AU72" s="6">
        <f>Tabla2[[#This Row],[Forest Loss 2013]]/Tabla2[[#This Row],[Forest cover 2011]]</f>
        <v>4.5890270222219635E-2</v>
      </c>
      <c r="AV72" s="6">
        <f>Tabla2[[#This Row],[Forest Loss 2014]]/Tabla2[[#This Row],[Forest cover 2011]]</f>
        <v>5.7121476859225931E-2</v>
      </c>
      <c r="AW72" s="6">
        <f>Tabla2[[#This Row],[Forest Loss 2015]]/Tabla2[[#This Row],[Forest cover 2011]]</f>
        <v>7.3595224806291937E-2</v>
      </c>
      <c r="AX72" s="6">
        <f>Tabla2[[#This Row],[Forest Loss 2016]]/Tabla2[[#This Row],[Forest cover 2011]]</f>
        <v>6.4471235607602886E-2</v>
      </c>
      <c r="AY72" s="6">
        <f>Tabla2[[#This Row],[Forest Loss 2017]]/Tabla2[[#This Row],[Forest cover 2011]]</f>
        <v>9.0164424165674495E-2</v>
      </c>
      <c r="AZ72" s="6">
        <f>Tabla2[[#This Row],[Forest Loss 2018]]/Tabla2[[#This Row],[Forest cover 2011]]</f>
        <v>5.7469036581935924E-2</v>
      </c>
      <c r="BA72" s="6">
        <f>Tabla2[[#This Row],[Forest Loss 2019]]/Tabla2[[#This Row],[Forest cover 2011]]</f>
        <v>5.087924594841544E-2</v>
      </c>
      <c r="BB72" s="6">
        <f>Tabla2[[#This Row],[Forest Loss 2020]]/Tabla2[[#This Row],[Forest cover 2011]]</f>
        <v>2.6476473048455799E-2</v>
      </c>
      <c r="BC72" s="6">
        <f>Tabla2[[#This Row],[Forest Loss 2021]]/Tabla2[[#This Row],[Forest cover 2011]]</f>
        <v>3.3574852123174584E-2</v>
      </c>
      <c r="BD72" s="6">
        <f>Tabla2[[#This Row],[Forest Loss 2022]]/Tabla2[[#This Row],[Forest cover 2011]]</f>
        <v>3.1292033231664219E-2</v>
      </c>
      <c r="BE72" s="6">
        <f>Tabla2[[#This Row],[Forest Loss 2023]]/Tabla2[[#This Row],[Forest cover 2011]]</f>
        <v>3.3075735959534433E-2</v>
      </c>
      <c r="BF72" s="6">
        <f>Tabla2[[#This Row],[Forest Loss 2024]]/Tabla2[[#This Row],[Forest cover 2011]]</f>
        <v>2.2533819674066216E-2</v>
      </c>
    </row>
    <row r="73" spans="1:58" x14ac:dyDescent="0.25">
      <c r="A73" s="2">
        <v>80801</v>
      </c>
      <c r="B73" s="3" t="s">
        <v>365</v>
      </c>
      <c r="C73" t="s">
        <v>380</v>
      </c>
      <c r="D73">
        <v>762624.45</v>
      </c>
      <c r="E73" s="4">
        <f>AVERAGE(Tabla2[[#This Row],[Deforestation 2012]:[Deforestation 2014]])</f>
        <v>286.26</v>
      </c>
      <c r="F73" s="4">
        <f>AVERAGE(Tabla2[[#This Row],[Deforestation 2022]:[Deforestation 2024]])</f>
        <v>502.34999999999997</v>
      </c>
      <c r="G73">
        <v>223.65</v>
      </c>
      <c r="H73">
        <v>207.36</v>
      </c>
      <c r="I73">
        <v>427.77</v>
      </c>
      <c r="J73">
        <v>297.81</v>
      </c>
      <c r="K73">
        <v>217.71</v>
      </c>
      <c r="L73">
        <v>363.51</v>
      </c>
      <c r="M73">
        <v>144</v>
      </c>
      <c r="N73">
        <v>203.49</v>
      </c>
      <c r="O73">
        <v>357.75</v>
      </c>
      <c r="P73">
        <v>616.68000000000006</v>
      </c>
      <c r="Q73">
        <v>261.89999999999998</v>
      </c>
      <c r="R73">
        <v>743.49</v>
      </c>
      <c r="S73">
        <v>501.66</v>
      </c>
      <c r="T73">
        <v>7223.76</v>
      </c>
      <c r="U73">
        <v>2466.27</v>
      </c>
      <c r="V73">
        <v>3128.31</v>
      </c>
      <c r="W73">
        <v>1683.36</v>
      </c>
      <c r="X73">
        <v>1967.85</v>
      </c>
      <c r="Y73">
        <v>2811.78</v>
      </c>
      <c r="Z73">
        <v>1242.45</v>
      </c>
      <c r="AA73">
        <v>2079.09</v>
      </c>
      <c r="AB73">
        <v>1614.06</v>
      </c>
      <c r="AC73">
        <v>891.36</v>
      </c>
      <c r="AD73">
        <v>1069.92</v>
      </c>
      <c r="AE73">
        <v>2182.59</v>
      </c>
      <c r="AF73">
        <v>16606.71</v>
      </c>
      <c r="AG73" s="5">
        <f>Tabla2[[#This Row],[Deforestation 2012]]/Tabla2[[#This Row],[Forest cover 2011]]</f>
        <v>2.9326361094245015E-4</v>
      </c>
      <c r="AH73" s="6">
        <f>Tabla2[[#This Row],[Deforestation 2013]]/Tabla2[[#This Row],[Forest cover 2011]]</f>
        <v>2.7190316282149098E-4</v>
      </c>
      <c r="AI73" s="6">
        <f>Tabla2[[#This Row],[Deforestation 2014]]/Tabla2[[#This Row],[Forest cover 2011]]</f>
        <v>5.6091828684485525E-4</v>
      </c>
      <c r="AJ73" s="6">
        <f>Tabla2[[#This Row],[Deforestation 2015]]/Tabla2[[#This Row],[Forest cover 2011]]</f>
        <v>3.905067559793028E-4</v>
      </c>
      <c r="AK73" s="6">
        <f>Tabla2[[#This Row],[Deforestation 2016]]/Tabla2[[#This Row],[Forest cover 2011]]</f>
        <v>2.854747182574595E-4</v>
      </c>
      <c r="AL73" s="6">
        <f>Tabla2[[#This Row],[Deforestation 2017]]/Tabla2[[#This Row],[Forest cover 2011]]</f>
        <v>4.7665662961632034E-4</v>
      </c>
      <c r="AM73" s="6">
        <f>Tabla2[[#This Row],[Deforestation 2018]]/Tabla2[[#This Row],[Forest cover 2011]]</f>
        <v>1.8882164084825764E-4</v>
      </c>
      <c r="AN73" s="6">
        <f>Tabla2[[#This Row],[Deforestation 2019]]/Tabla2[[#This Row],[Forest cover 2011]]</f>
        <v>2.6682858122369405E-4</v>
      </c>
      <c r="AO73" s="6">
        <f>Tabla2[[#This Row],[Deforestation 2020]]/Tabla2[[#This Row],[Forest cover 2011]]</f>
        <v>4.6910376398239006E-4</v>
      </c>
      <c r="AP73" s="6">
        <f>Tabla2[[#This Row],[Deforestation 2021]]/Tabla2[[#This Row],[Forest cover 2011]]</f>
        <v>8.0862867693266339E-4</v>
      </c>
      <c r="AQ73" s="6">
        <f>Tabla2[[#This Row],[Deforestation 2022]]/Tabla2[[#This Row],[Forest cover 2011]]</f>
        <v>3.4341935929276852E-4</v>
      </c>
      <c r="AR73" s="6">
        <f>Tabla2[[#This Row],[Deforestation 2023]]/Tabla2[[#This Row],[Forest cover 2011]]</f>
        <v>9.7490973440466017E-4</v>
      </c>
      <c r="AS73" s="6">
        <f>Tabla2[[#This Row],[Deforestation 2024]]/Tabla2[[#This Row],[Forest cover 2011]]</f>
        <v>6.5780739130511759E-4</v>
      </c>
      <c r="AT73" s="6">
        <f>Tabla2[[#This Row],[Forest Loss 2012]]/Tabla2[[#This Row],[Forest cover 2011]]</f>
        <v>9.4722376131528441E-3</v>
      </c>
      <c r="AU73" s="6">
        <f>Tabla2[[#This Row],[Forest Loss 2013]]/Tabla2[[#This Row],[Forest cover 2011]]</f>
        <v>3.2339246401030023E-3</v>
      </c>
      <c r="AV73" s="6">
        <f>Tabla2[[#This Row],[Forest Loss 2014]]/Tabla2[[#This Row],[Forest cover 2011]]</f>
        <v>4.1020321339028665E-3</v>
      </c>
      <c r="AW73" s="6">
        <f>Tabla2[[#This Row],[Forest Loss 2015]]/Tabla2[[#This Row],[Forest cover 2011]]</f>
        <v>2.2073249815161315E-3</v>
      </c>
      <c r="AX73" s="6">
        <f>Tabla2[[#This Row],[Forest Loss 2016]]/Tabla2[[#This Row],[Forest cover 2011]]</f>
        <v>2.5803657357169707E-3</v>
      </c>
      <c r="AY73" s="6">
        <f>Tabla2[[#This Row],[Forest Loss 2017]]/Tabla2[[#This Row],[Forest cover 2011]]</f>
        <v>3.6869785646132906E-3</v>
      </c>
      <c r="AZ73" s="6">
        <f>Tabla2[[#This Row],[Forest Loss 2018]]/Tabla2[[#This Row],[Forest cover 2011]]</f>
        <v>1.6291767199438729E-3</v>
      </c>
      <c r="BA73" s="6">
        <f>Tabla2[[#This Row],[Forest Loss 2019]]/Tabla2[[#This Row],[Forest cover 2011]]</f>
        <v>2.7262304532722501E-3</v>
      </c>
      <c r="BB73" s="6">
        <f>Tabla2[[#This Row],[Forest Loss 2020]]/Tabla2[[#This Row],[Forest cover 2011]]</f>
        <v>2.1164545668579077E-3</v>
      </c>
      <c r="BC73" s="6">
        <f>Tabla2[[#This Row],[Forest Loss 2021]]/Tabla2[[#This Row],[Forest cover 2011]]</f>
        <v>1.1688059568507147E-3</v>
      </c>
      <c r="BD73" s="6">
        <f>Tabla2[[#This Row],[Forest Loss 2022]]/Tabla2[[#This Row],[Forest cover 2011]]</f>
        <v>1.4029447915025542E-3</v>
      </c>
      <c r="BE73" s="6">
        <f>Tabla2[[#This Row],[Forest Loss 2023]]/Tabla2[[#This Row],[Forest cover 2011]]</f>
        <v>2.8619460076319352E-3</v>
      </c>
      <c r="BF73" s="6">
        <f>Tabla2[[#This Row],[Forest Loss 2024]]/Tabla2[[#This Row],[Forest cover 2011]]</f>
        <v>2.1775737717299778E-2</v>
      </c>
    </row>
    <row r="74" spans="1:58" x14ac:dyDescent="0.25">
      <c r="A74" s="2">
        <v>20901</v>
      </c>
      <c r="B74" s="3" t="s">
        <v>88</v>
      </c>
      <c r="C74" t="s">
        <v>133</v>
      </c>
      <c r="D74">
        <v>468.09</v>
      </c>
      <c r="E74" s="4">
        <f>AVERAGE(Tabla2[[#This Row],[Deforestation 2012]:[Deforestation 2014]])</f>
        <v>0</v>
      </c>
      <c r="F74" s="4">
        <f>AVERAGE(Tabla2[[#This Row],[Deforestation 2022]:[Deforestation 2024]])</f>
        <v>8.6999999999999993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0.09</v>
      </c>
      <c r="N74">
        <v>0</v>
      </c>
      <c r="O74">
        <v>0</v>
      </c>
      <c r="P74">
        <v>0.9</v>
      </c>
      <c r="Q74">
        <v>2.88</v>
      </c>
      <c r="R74">
        <v>13.77</v>
      </c>
      <c r="S74">
        <v>9.4499999999999993</v>
      </c>
      <c r="T74">
        <v>0.54</v>
      </c>
      <c r="U74">
        <v>0.81</v>
      </c>
      <c r="V74">
        <v>8.4600000000000009</v>
      </c>
      <c r="W74">
        <v>0.54</v>
      </c>
      <c r="X74">
        <v>0.45</v>
      </c>
      <c r="Y74">
        <v>0.63</v>
      </c>
      <c r="Z74">
        <v>1.08</v>
      </c>
      <c r="AA74">
        <v>2.52</v>
      </c>
      <c r="AB74">
        <v>15.12</v>
      </c>
      <c r="AC74">
        <v>0.9</v>
      </c>
      <c r="AD74">
        <v>2.88</v>
      </c>
      <c r="AE74">
        <v>17.37</v>
      </c>
      <c r="AF74">
        <v>9.7199999999999989</v>
      </c>
      <c r="AG74" s="5">
        <f>Tabla2[[#This Row],[Deforestation 2012]]/Tabla2[[#This Row],[Forest cover 2011]]</f>
        <v>0</v>
      </c>
      <c r="AH74" s="6">
        <f>Tabla2[[#This Row],[Deforestation 2013]]/Tabla2[[#This Row],[Forest cover 2011]]</f>
        <v>0</v>
      </c>
      <c r="AI74" s="6">
        <f>Tabla2[[#This Row],[Deforestation 2014]]/Tabla2[[#This Row],[Forest cover 2011]]</f>
        <v>0</v>
      </c>
      <c r="AJ74" s="6">
        <f>Tabla2[[#This Row],[Deforestation 2015]]/Tabla2[[#This Row],[Forest cover 2011]]</f>
        <v>0</v>
      </c>
      <c r="AK74" s="6">
        <f>Tabla2[[#This Row],[Deforestation 2016]]/Tabla2[[#This Row],[Forest cover 2011]]</f>
        <v>0</v>
      </c>
      <c r="AL74" s="6">
        <f>Tabla2[[#This Row],[Deforestation 2017]]/Tabla2[[#This Row],[Forest cover 2011]]</f>
        <v>0</v>
      </c>
      <c r="AM74" s="6">
        <f>Tabla2[[#This Row],[Deforestation 2018]]/Tabla2[[#This Row],[Forest cover 2011]]</f>
        <v>1.9227071716977504E-4</v>
      </c>
      <c r="AN74" s="6">
        <f>Tabla2[[#This Row],[Deforestation 2019]]/Tabla2[[#This Row],[Forest cover 2011]]</f>
        <v>0</v>
      </c>
      <c r="AO74" s="6">
        <f>Tabla2[[#This Row],[Deforestation 2020]]/Tabla2[[#This Row],[Forest cover 2011]]</f>
        <v>0</v>
      </c>
      <c r="AP74" s="6">
        <f>Tabla2[[#This Row],[Deforestation 2021]]/Tabla2[[#This Row],[Forest cover 2011]]</f>
        <v>1.9227071716977505E-3</v>
      </c>
      <c r="AQ74" s="6">
        <f>Tabla2[[#This Row],[Deforestation 2022]]/Tabla2[[#This Row],[Forest cover 2011]]</f>
        <v>6.1526629494328012E-3</v>
      </c>
      <c r="AR74" s="6">
        <f>Tabla2[[#This Row],[Deforestation 2023]]/Tabla2[[#This Row],[Forest cover 2011]]</f>
        <v>2.9417419726975581E-2</v>
      </c>
      <c r="AS74" s="6">
        <f>Tabla2[[#This Row],[Deforestation 2024]]/Tabla2[[#This Row],[Forest cover 2011]]</f>
        <v>2.0188425302826378E-2</v>
      </c>
      <c r="AT74" s="6">
        <f>Tabla2[[#This Row],[Forest Loss 2012]]/Tabla2[[#This Row],[Forest cover 2011]]</f>
        <v>1.1536243030186503E-3</v>
      </c>
      <c r="AU74" s="6">
        <f>Tabla2[[#This Row],[Forest Loss 2013]]/Tabla2[[#This Row],[Forest cover 2011]]</f>
        <v>1.7304364545279755E-3</v>
      </c>
      <c r="AV74" s="6">
        <f>Tabla2[[#This Row],[Forest Loss 2014]]/Tabla2[[#This Row],[Forest cover 2011]]</f>
        <v>1.8073447413958856E-2</v>
      </c>
      <c r="AW74" s="6">
        <f>Tabla2[[#This Row],[Forest Loss 2015]]/Tabla2[[#This Row],[Forest cover 2011]]</f>
        <v>1.1536243030186503E-3</v>
      </c>
      <c r="AX74" s="6">
        <f>Tabla2[[#This Row],[Forest Loss 2016]]/Tabla2[[#This Row],[Forest cover 2011]]</f>
        <v>9.6135358584887524E-4</v>
      </c>
      <c r="AY74" s="6">
        <f>Tabla2[[#This Row],[Forest Loss 2017]]/Tabla2[[#This Row],[Forest cover 2011]]</f>
        <v>1.3458950201884253E-3</v>
      </c>
      <c r="AZ74" s="6">
        <f>Tabla2[[#This Row],[Forest Loss 2018]]/Tabla2[[#This Row],[Forest cover 2011]]</f>
        <v>2.3072486060373007E-3</v>
      </c>
      <c r="BA74" s="6">
        <f>Tabla2[[#This Row],[Forest Loss 2019]]/Tabla2[[#This Row],[Forest cover 2011]]</f>
        <v>5.3835800807537013E-3</v>
      </c>
      <c r="BB74" s="6">
        <f>Tabla2[[#This Row],[Forest Loss 2020]]/Tabla2[[#This Row],[Forest cover 2011]]</f>
        <v>3.2301480484522208E-2</v>
      </c>
      <c r="BC74" s="6">
        <f>Tabla2[[#This Row],[Forest Loss 2021]]/Tabla2[[#This Row],[Forest cover 2011]]</f>
        <v>1.9227071716977505E-3</v>
      </c>
      <c r="BD74" s="6">
        <f>Tabla2[[#This Row],[Forest Loss 2022]]/Tabla2[[#This Row],[Forest cover 2011]]</f>
        <v>6.1526629494328012E-3</v>
      </c>
      <c r="BE74" s="6">
        <f>Tabla2[[#This Row],[Forest Loss 2023]]/Tabla2[[#This Row],[Forest cover 2011]]</f>
        <v>3.7108248413766587E-2</v>
      </c>
      <c r="BF74" s="6">
        <f>Tabla2[[#This Row],[Forest Loss 2024]]/Tabla2[[#This Row],[Forest cover 2011]]</f>
        <v>2.0765237454335703E-2</v>
      </c>
    </row>
    <row r="75" spans="1:58" x14ac:dyDescent="0.25">
      <c r="A75" s="2">
        <v>30301</v>
      </c>
      <c r="B75" s="3" t="s">
        <v>176</v>
      </c>
      <c r="C75" t="s">
        <v>180</v>
      </c>
      <c r="D75">
        <v>22230.99</v>
      </c>
      <c r="E75" s="4">
        <f>AVERAGE(Tabla2[[#This Row],[Deforestation 2012]:[Deforestation 2014]])</f>
        <v>18.09</v>
      </c>
      <c r="F75" s="4">
        <f>AVERAGE(Tabla2[[#This Row],[Deforestation 2022]:[Deforestation 2024]])</f>
        <v>85.259999999999991</v>
      </c>
      <c r="G75">
        <v>14.22</v>
      </c>
      <c r="H75">
        <v>16.2</v>
      </c>
      <c r="I75">
        <v>23.85</v>
      </c>
      <c r="J75">
        <v>12.42</v>
      </c>
      <c r="K75">
        <v>14.58</v>
      </c>
      <c r="L75">
        <v>13.05</v>
      </c>
      <c r="M75">
        <v>11.16</v>
      </c>
      <c r="N75">
        <v>6.3000000000000007</v>
      </c>
      <c r="O75">
        <v>43.38</v>
      </c>
      <c r="P75">
        <v>3.24</v>
      </c>
      <c r="Q75">
        <v>9.36</v>
      </c>
      <c r="R75">
        <v>90.539999999999992</v>
      </c>
      <c r="S75">
        <v>155.88</v>
      </c>
      <c r="T75">
        <v>110.25</v>
      </c>
      <c r="U75">
        <v>71.099999999999994</v>
      </c>
      <c r="V75">
        <v>247.68</v>
      </c>
      <c r="W75">
        <v>31.77</v>
      </c>
      <c r="X75">
        <v>31.41</v>
      </c>
      <c r="Y75">
        <v>25.83</v>
      </c>
      <c r="Z75">
        <v>23.31</v>
      </c>
      <c r="AA75">
        <v>18.899999999999999</v>
      </c>
      <c r="AB75">
        <v>58.59</v>
      </c>
      <c r="AC75">
        <v>17.190000000000001</v>
      </c>
      <c r="AD75">
        <v>16.829999999999998</v>
      </c>
      <c r="AE75">
        <v>111.15</v>
      </c>
      <c r="AF75">
        <v>461.07</v>
      </c>
      <c r="AG75" s="5">
        <f>Tabla2[[#This Row],[Deforestation 2012]]/Tabla2[[#This Row],[Forest cover 2011]]</f>
        <v>6.3964762702875576E-4</v>
      </c>
      <c r="AH75" s="6">
        <f>Tabla2[[#This Row],[Deforestation 2013]]/Tabla2[[#This Row],[Forest cover 2011]]</f>
        <v>7.2871248648845592E-4</v>
      </c>
      <c r="AI75" s="6">
        <f>Tabla2[[#This Row],[Deforestation 2014]]/Tabla2[[#This Row],[Forest cover 2011]]</f>
        <v>1.0728267162191157E-3</v>
      </c>
      <c r="AJ75" s="6">
        <f>Tabla2[[#This Row],[Deforestation 2015]]/Tabla2[[#This Row],[Forest cover 2011]]</f>
        <v>5.5867957297448282E-4</v>
      </c>
      <c r="AK75" s="6">
        <f>Tabla2[[#This Row],[Deforestation 2016]]/Tabla2[[#This Row],[Forest cover 2011]]</f>
        <v>6.5584123783961031E-4</v>
      </c>
      <c r="AL75" s="6">
        <f>Tabla2[[#This Row],[Deforestation 2017]]/Tabla2[[#This Row],[Forest cover 2011]]</f>
        <v>5.8701839189347841E-4</v>
      </c>
      <c r="AM75" s="6">
        <f>Tabla2[[#This Row],[Deforestation 2018]]/Tabla2[[#This Row],[Forest cover 2011]]</f>
        <v>5.0200193513649186E-4</v>
      </c>
      <c r="AN75" s="6">
        <f>Tabla2[[#This Row],[Deforestation 2019]]/Tabla2[[#This Row],[Forest cover 2011]]</f>
        <v>2.8338818918995513E-4</v>
      </c>
      <c r="AO75" s="6">
        <f>Tabla2[[#This Row],[Deforestation 2020]]/Tabla2[[#This Row],[Forest cover 2011]]</f>
        <v>1.9513301027079765E-3</v>
      </c>
      <c r="AP75" s="6">
        <f>Tabla2[[#This Row],[Deforestation 2021]]/Tabla2[[#This Row],[Forest cover 2011]]</f>
        <v>1.457424972976912E-4</v>
      </c>
      <c r="AQ75" s="6">
        <f>Tabla2[[#This Row],[Deforestation 2022]]/Tabla2[[#This Row],[Forest cover 2011]]</f>
        <v>4.2103388108221898E-4</v>
      </c>
      <c r="AR75" s="6">
        <f>Tabla2[[#This Row],[Deforestation 2023]]/Tabla2[[#This Row],[Forest cover 2011]]</f>
        <v>4.0726931189299254E-3</v>
      </c>
      <c r="AS75" s="6">
        <f>Tabla2[[#This Row],[Deforestation 2024]]/Tabla2[[#This Row],[Forest cover 2011]]</f>
        <v>7.0118334811000316E-3</v>
      </c>
      <c r="AT75" s="6">
        <f>Tabla2[[#This Row],[Forest Loss 2012]]/Tabla2[[#This Row],[Forest cover 2011]]</f>
        <v>4.9592933108242136E-3</v>
      </c>
      <c r="AU75" s="6">
        <f>Tabla2[[#This Row],[Forest Loss 2013]]/Tabla2[[#This Row],[Forest cover 2011]]</f>
        <v>3.1982381351437785E-3</v>
      </c>
      <c r="AV75" s="6">
        <f>Tabla2[[#This Row],[Forest Loss 2014]]/Tabla2[[#This Row],[Forest cover 2011]]</f>
        <v>1.1141204237867949E-2</v>
      </c>
      <c r="AW75" s="6">
        <f>Tabla2[[#This Row],[Forest Loss 2015]]/Tabla2[[#This Row],[Forest cover 2011]]</f>
        <v>1.4290861540579164E-3</v>
      </c>
      <c r="AX75" s="6">
        <f>Tabla2[[#This Row],[Forest Loss 2016]]/Tabla2[[#This Row],[Forest cover 2011]]</f>
        <v>1.4128925432470617E-3</v>
      </c>
      <c r="AY75" s="6">
        <f>Tabla2[[#This Row],[Forest Loss 2017]]/Tabla2[[#This Row],[Forest cover 2011]]</f>
        <v>1.1618915756788158E-3</v>
      </c>
      <c r="AZ75" s="6">
        <f>Tabla2[[#This Row],[Forest Loss 2018]]/Tabla2[[#This Row],[Forest cover 2011]]</f>
        <v>1.0485363000028336E-3</v>
      </c>
      <c r="BA75" s="6">
        <f>Tabla2[[#This Row],[Forest Loss 2019]]/Tabla2[[#This Row],[Forest cover 2011]]</f>
        <v>8.5016456756986517E-4</v>
      </c>
      <c r="BB75" s="6">
        <f>Tabla2[[#This Row],[Forest Loss 2020]]/Tabla2[[#This Row],[Forest cover 2011]]</f>
        <v>2.6355101594665825E-3</v>
      </c>
      <c r="BC75" s="6">
        <f>Tabla2[[#This Row],[Forest Loss 2021]]/Tabla2[[#This Row],[Forest cover 2011]]</f>
        <v>7.7324491621830606E-4</v>
      </c>
      <c r="BD75" s="6">
        <f>Tabla2[[#This Row],[Forest Loss 2022]]/Tabla2[[#This Row],[Forest cover 2011]]</f>
        <v>7.570513054074514E-4</v>
      </c>
      <c r="BE75" s="6">
        <f>Tabla2[[#This Row],[Forest Loss 2023]]/Tabla2[[#This Row],[Forest cover 2011]]</f>
        <v>4.9997773378513506E-3</v>
      </c>
      <c r="BF75" s="6">
        <f>Tabla2[[#This Row],[Forest Loss 2024]]/Tabla2[[#This Row],[Forest cover 2011]]</f>
        <v>2.0739967046001999E-2</v>
      </c>
    </row>
    <row r="76" spans="1:58" x14ac:dyDescent="0.25">
      <c r="A76" s="2">
        <v>10702</v>
      </c>
      <c r="B76" s="3" t="s">
        <v>58</v>
      </c>
      <c r="C76" t="s">
        <v>78</v>
      </c>
      <c r="D76">
        <v>40473.81</v>
      </c>
      <c r="E76" s="4">
        <f>AVERAGE(Tabla2[[#This Row],[Deforestation 2012]:[Deforestation 2014]])</f>
        <v>43.410000000000004</v>
      </c>
      <c r="F76" s="4">
        <f>AVERAGE(Tabla2[[#This Row],[Deforestation 2022]:[Deforestation 2024]])</f>
        <v>19.830000000000002</v>
      </c>
      <c r="G76">
        <v>26.28</v>
      </c>
      <c r="H76">
        <v>39.33</v>
      </c>
      <c r="I76">
        <v>64.62</v>
      </c>
      <c r="J76">
        <v>46.98</v>
      </c>
      <c r="K76">
        <v>45.18</v>
      </c>
      <c r="L76">
        <v>85.77</v>
      </c>
      <c r="M76">
        <v>89.01</v>
      </c>
      <c r="N76">
        <v>68.58</v>
      </c>
      <c r="O76">
        <v>30.15</v>
      </c>
      <c r="P76">
        <v>10.44</v>
      </c>
      <c r="Q76">
        <v>9.6300000000000008</v>
      </c>
      <c r="R76">
        <v>10.26</v>
      </c>
      <c r="S76">
        <v>39.6</v>
      </c>
      <c r="T76">
        <v>33.03</v>
      </c>
      <c r="U76">
        <v>51.93</v>
      </c>
      <c r="V76">
        <v>279</v>
      </c>
      <c r="W76">
        <v>54.72</v>
      </c>
      <c r="X76">
        <v>51.39</v>
      </c>
      <c r="Y76">
        <v>92.88</v>
      </c>
      <c r="Z76">
        <v>97.649999999999991</v>
      </c>
      <c r="AA76">
        <v>80.819999999999993</v>
      </c>
      <c r="AB76">
        <v>36.9</v>
      </c>
      <c r="AC76">
        <v>28.35</v>
      </c>
      <c r="AD76">
        <v>11.34</v>
      </c>
      <c r="AE76">
        <v>13.59</v>
      </c>
      <c r="AF76">
        <v>829.44</v>
      </c>
      <c r="AG76" s="5">
        <f>Tabla2[[#This Row],[Deforestation 2012]]/Tabla2[[#This Row],[Forest cover 2011]]</f>
        <v>6.4930877523020449E-4</v>
      </c>
      <c r="AH76" s="6">
        <f>Tabla2[[#This Row],[Deforestation 2013]]/Tabla2[[#This Row],[Forest cover 2011]]</f>
        <v>9.7173950265616214E-4</v>
      </c>
      <c r="AI76" s="6">
        <f>Tabla2[[#This Row],[Deforestation 2014]]/Tabla2[[#This Row],[Forest cover 2011]]</f>
        <v>1.5965880158057767E-3</v>
      </c>
      <c r="AJ76" s="6">
        <f>Tabla2[[#This Row],[Deforestation 2015]]/Tabla2[[#This Row],[Forest cover 2011]]</f>
        <v>1.1607506187334476E-3</v>
      </c>
      <c r="AK76" s="6">
        <f>Tabla2[[#This Row],[Deforestation 2016]]/Tabla2[[#This Row],[Forest cover 2011]]</f>
        <v>1.1162774149505569E-3</v>
      </c>
      <c r="AL76" s="6">
        <f>Tabla2[[#This Row],[Deforestation 2017]]/Tabla2[[#This Row],[Forest cover 2011]]</f>
        <v>2.1191481602547426E-3</v>
      </c>
      <c r="AM76" s="6">
        <f>Tabla2[[#This Row],[Deforestation 2018]]/Tabla2[[#This Row],[Forest cover 2011]]</f>
        <v>2.1991999270639462E-3</v>
      </c>
      <c r="AN76" s="6">
        <f>Tabla2[[#This Row],[Deforestation 2019]]/Tabla2[[#This Row],[Forest cover 2011]]</f>
        <v>1.6944290641281363E-3</v>
      </c>
      <c r="AO76" s="6">
        <f>Tabla2[[#This Row],[Deforestation 2020]]/Tabla2[[#This Row],[Forest cover 2011]]</f>
        <v>7.449261633634195E-4</v>
      </c>
      <c r="AP76" s="6">
        <f>Tabla2[[#This Row],[Deforestation 2021]]/Tabla2[[#This Row],[Forest cover 2011]]</f>
        <v>2.5794458194076616E-4</v>
      </c>
      <c r="AQ76" s="6">
        <f>Tabla2[[#This Row],[Deforestation 2022]]/Tabla2[[#This Row],[Forest cover 2011]]</f>
        <v>2.3793164023846536E-4</v>
      </c>
      <c r="AR76" s="6">
        <f>Tabla2[[#This Row],[Deforestation 2023]]/Tabla2[[#This Row],[Forest cover 2011]]</f>
        <v>2.5349726156247707E-4</v>
      </c>
      <c r="AS76" s="6">
        <f>Tabla2[[#This Row],[Deforestation 2024]]/Tabla2[[#This Row],[Forest cover 2011]]</f>
        <v>9.7841048322359577E-4</v>
      </c>
      <c r="AT76" s="6">
        <f>Tabla2[[#This Row],[Forest Loss 2012]]/Tabla2[[#This Row],[Forest cover 2011]]</f>
        <v>8.1608328941604462E-4</v>
      </c>
      <c r="AU76" s="6">
        <f>Tabla2[[#This Row],[Forest Loss 2013]]/Tabla2[[#This Row],[Forest cover 2011]]</f>
        <v>1.2830519291363971E-3</v>
      </c>
      <c r="AV76" s="6">
        <f>Tabla2[[#This Row],[Forest Loss 2014]]/Tabla2[[#This Row],[Forest cover 2011]]</f>
        <v>6.8933465863480611E-3</v>
      </c>
      <c r="AW76" s="6">
        <f>Tabla2[[#This Row],[Forest Loss 2015]]/Tabla2[[#This Row],[Forest cover 2011]]</f>
        <v>1.3519853949998779E-3</v>
      </c>
      <c r="AX76" s="6">
        <f>Tabla2[[#This Row],[Forest Loss 2016]]/Tabla2[[#This Row],[Forest cover 2011]]</f>
        <v>1.26970996800153E-3</v>
      </c>
      <c r="AY76" s="6">
        <f>Tabla2[[#This Row],[Forest Loss 2017]]/Tabla2[[#This Row],[Forest cover 2011]]</f>
        <v>2.2948173151971607E-3</v>
      </c>
      <c r="AZ76" s="6">
        <f>Tabla2[[#This Row],[Forest Loss 2018]]/Tabla2[[#This Row],[Forest cover 2011]]</f>
        <v>2.4126713052218213E-3</v>
      </c>
      <c r="BA76" s="6">
        <f>Tabla2[[#This Row],[Forest Loss 2019]]/Tabla2[[#This Row],[Forest cover 2011]]</f>
        <v>1.9968468498517931E-3</v>
      </c>
      <c r="BB76" s="6">
        <f>Tabla2[[#This Row],[Forest Loss 2020]]/Tabla2[[#This Row],[Forest cover 2011]]</f>
        <v>9.1170067754925963E-4</v>
      </c>
      <c r="BC76" s="6">
        <f>Tabla2[[#This Row],[Forest Loss 2021]]/Tabla2[[#This Row],[Forest cover 2011]]</f>
        <v>7.0045295958052881E-4</v>
      </c>
      <c r="BD76" s="6">
        <f>Tabla2[[#This Row],[Forest Loss 2022]]/Tabla2[[#This Row],[Forest cover 2011]]</f>
        <v>2.801811838322115E-4</v>
      </c>
      <c r="BE76" s="6">
        <f>Tabla2[[#This Row],[Forest Loss 2023]]/Tabla2[[#This Row],[Forest cover 2011]]</f>
        <v>3.3577268856082492E-4</v>
      </c>
      <c r="BF76" s="6">
        <f>Tabla2[[#This Row],[Forest Loss 2024]]/Tabla2[[#This Row],[Forest cover 2011]]</f>
        <v>2.0493252303156042E-2</v>
      </c>
    </row>
    <row r="77" spans="1:58" x14ac:dyDescent="0.25">
      <c r="A77" s="2">
        <v>71103</v>
      </c>
      <c r="B77" s="3" t="s">
        <v>310</v>
      </c>
      <c r="C77" t="s">
        <v>353</v>
      </c>
      <c r="D77">
        <v>33668.82</v>
      </c>
      <c r="E77" s="4">
        <f>AVERAGE(Tabla2[[#This Row],[Deforestation 2012]:[Deforestation 2014]])</f>
        <v>498.62999999999994</v>
      </c>
      <c r="F77" s="4">
        <f>AVERAGE(Tabla2[[#This Row],[Deforestation 2022]:[Deforestation 2024]])</f>
        <v>926.28000000000009</v>
      </c>
      <c r="G77">
        <v>383.4</v>
      </c>
      <c r="H77">
        <v>503.1</v>
      </c>
      <c r="I77">
        <v>609.39</v>
      </c>
      <c r="J77">
        <v>425.88</v>
      </c>
      <c r="K77">
        <v>330.48</v>
      </c>
      <c r="L77">
        <v>300.33</v>
      </c>
      <c r="M77">
        <v>554.49</v>
      </c>
      <c r="N77">
        <v>708.66000000000008</v>
      </c>
      <c r="O77">
        <v>734.4</v>
      </c>
      <c r="P77">
        <v>1545.75</v>
      </c>
      <c r="Q77">
        <v>711.63</v>
      </c>
      <c r="R77">
        <v>1380.69</v>
      </c>
      <c r="S77">
        <v>686.52</v>
      </c>
      <c r="T77">
        <v>444.42</v>
      </c>
      <c r="U77">
        <v>538.02</v>
      </c>
      <c r="V77">
        <v>722.52</v>
      </c>
      <c r="W77">
        <v>504.36</v>
      </c>
      <c r="X77">
        <v>410.13</v>
      </c>
      <c r="Y77">
        <v>335.16</v>
      </c>
      <c r="Z77">
        <v>570.51</v>
      </c>
      <c r="AA77">
        <v>726.84</v>
      </c>
      <c r="AB77">
        <v>759.06</v>
      </c>
      <c r="AC77">
        <v>1866.42</v>
      </c>
      <c r="AD77">
        <v>715.59</v>
      </c>
      <c r="AE77">
        <v>1435.05</v>
      </c>
      <c r="AF77">
        <v>687.24</v>
      </c>
      <c r="AG77" s="5">
        <f>Tabla2[[#This Row],[Deforestation 2012]]/Tabla2[[#This Row],[Forest cover 2011]]</f>
        <v>1.1387390469876876E-2</v>
      </c>
      <c r="AH77" s="6">
        <f>Tabla2[[#This Row],[Deforestation 2013]]/Tabla2[[#This Row],[Forest cover 2011]]</f>
        <v>1.4942608621270363E-2</v>
      </c>
      <c r="AI77" s="6">
        <f>Tabla2[[#This Row],[Deforestation 2014]]/Tabla2[[#This Row],[Forest cover 2011]]</f>
        <v>1.8099535415853598E-2</v>
      </c>
      <c r="AJ77" s="6">
        <f>Tabla2[[#This Row],[Deforestation 2015]]/Tabla2[[#This Row],[Forest cover 2011]]</f>
        <v>1.26490919491684E-2</v>
      </c>
      <c r="AK77" s="6">
        <f>Tabla2[[#This Row],[Deforestation 2016]]/Tabla2[[#This Row],[Forest cover 2011]]</f>
        <v>9.8156098134713366E-3</v>
      </c>
      <c r="AL77" s="6">
        <f>Tabla2[[#This Row],[Deforestation 2017]]/Tabla2[[#This Row],[Forest cover 2011]]</f>
        <v>8.9201225347368875E-3</v>
      </c>
      <c r="AM77" s="6">
        <f>Tabla2[[#This Row],[Deforestation 2018]]/Tabla2[[#This Row],[Forest cover 2011]]</f>
        <v>1.6468946639650574E-2</v>
      </c>
      <c r="AN77" s="6">
        <f>Tabla2[[#This Row],[Deforestation 2019]]/Tabla2[[#This Row],[Forest cover 2011]]</f>
        <v>2.1047960694791208E-2</v>
      </c>
      <c r="AO77" s="6">
        <f>Tabla2[[#This Row],[Deforestation 2020]]/Tabla2[[#This Row],[Forest cover 2011]]</f>
        <v>2.1812466252158526E-2</v>
      </c>
      <c r="AP77" s="6">
        <f>Tabla2[[#This Row],[Deforestation 2021]]/Tabla2[[#This Row],[Forest cover 2011]]</f>
        <v>4.5910429887355719E-2</v>
      </c>
      <c r="AQ77" s="6">
        <f>Tabla2[[#This Row],[Deforestation 2022]]/Tabla2[[#This Row],[Forest cover 2011]]</f>
        <v>2.1136172874487436E-2</v>
      </c>
      <c r="AR77" s="6">
        <f>Tabla2[[#This Row],[Deforestation 2023]]/Tabla2[[#This Row],[Forest cover 2011]]</f>
        <v>4.1007971173328918E-2</v>
      </c>
      <c r="AS77" s="6">
        <f>Tabla2[[#This Row],[Deforestation 2024]]/Tabla2[[#This Row],[Forest cover 2011]]</f>
        <v>2.0390378991601132E-2</v>
      </c>
      <c r="AT77" s="6">
        <f>Tabla2[[#This Row],[Forest Loss 2012]]/Tabla2[[#This Row],[Forest cover 2011]]</f>
        <v>1.3199749798181226E-2</v>
      </c>
      <c r="AU77" s="6">
        <f>Tabla2[[#This Row],[Forest Loss 2013]]/Tabla2[[#This Row],[Forest cover 2011]]</f>
        <v>1.5979770006789663E-2</v>
      </c>
      <c r="AV77" s="6">
        <f>Tabla2[[#This Row],[Forest Loss 2014]]/Tabla2[[#This Row],[Forest cover 2011]]</f>
        <v>2.1459617533373606E-2</v>
      </c>
      <c r="AW77" s="6">
        <f>Tabla2[[#This Row],[Forest Loss 2015]]/Tabla2[[#This Row],[Forest cover 2011]]</f>
        <v>1.4980031970232399E-2</v>
      </c>
      <c r="AX77" s="6">
        <f>Tabla2[[#This Row],[Forest Loss 2016]]/Tabla2[[#This Row],[Forest cover 2011]]</f>
        <v>1.2181300087142941E-2</v>
      </c>
      <c r="AY77" s="6">
        <f>Tabla2[[#This Row],[Forest Loss 2017]]/Tabla2[[#This Row],[Forest cover 2011]]</f>
        <v>9.9546108239017585E-3</v>
      </c>
      <c r="AZ77" s="6">
        <f>Tabla2[[#This Row],[Forest Loss 2018]]/Tabla2[[#This Row],[Forest cover 2011]]</f>
        <v>1.6944757790739326E-2</v>
      </c>
      <c r="BA77" s="6">
        <f>Tabla2[[#This Row],[Forest Loss 2019]]/Tabla2[[#This Row],[Forest cover 2011]]</f>
        <v>2.1587926158386308E-2</v>
      </c>
      <c r="BB77" s="6">
        <f>Tabla2[[#This Row],[Forest Loss 2020]]/Tabla2[[#This Row],[Forest cover 2011]]</f>
        <v>2.2544894653272671E-2</v>
      </c>
      <c r="BC77" s="6">
        <f>Tabla2[[#This Row],[Forest Loss 2021]]/Tabla2[[#This Row],[Forest cover 2011]]</f>
        <v>5.5434672198194056E-2</v>
      </c>
      <c r="BD77" s="6">
        <f>Tabla2[[#This Row],[Forest Loss 2022]]/Tabla2[[#This Row],[Forest cover 2011]]</f>
        <v>2.1253789114082409E-2</v>
      </c>
      <c r="BE77" s="6">
        <f>Tabla2[[#This Row],[Forest Loss 2023]]/Tabla2[[#This Row],[Forest cover 2011]]</f>
        <v>4.2622521371405354E-2</v>
      </c>
      <c r="BF77" s="6">
        <f>Tabla2[[#This Row],[Forest Loss 2024]]/Tabla2[[#This Row],[Forest cover 2011]]</f>
        <v>2.0411763762436582E-2</v>
      </c>
    </row>
    <row r="78" spans="1:58" x14ac:dyDescent="0.25">
      <c r="A78" s="2">
        <v>80303</v>
      </c>
      <c r="B78" s="3" t="s">
        <v>365</v>
      </c>
      <c r="C78" t="s">
        <v>371</v>
      </c>
      <c r="D78">
        <v>201943.35</v>
      </c>
      <c r="E78" s="4">
        <f>AVERAGE(Tabla2[[#This Row],[Deforestation 2012]:[Deforestation 2014]])</f>
        <v>168.39</v>
      </c>
      <c r="F78" s="4">
        <f>AVERAGE(Tabla2[[#This Row],[Deforestation 2022]:[Deforestation 2024]])</f>
        <v>444.75</v>
      </c>
      <c r="G78">
        <v>191.07</v>
      </c>
      <c r="H78">
        <v>142.83000000000001</v>
      </c>
      <c r="I78">
        <v>171.27</v>
      </c>
      <c r="J78">
        <v>127.08</v>
      </c>
      <c r="K78">
        <v>67.5</v>
      </c>
      <c r="L78">
        <v>115.02</v>
      </c>
      <c r="M78">
        <v>71.459999999999994</v>
      </c>
      <c r="N78">
        <v>92.52</v>
      </c>
      <c r="O78">
        <v>166.77</v>
      </c>
      <c r="P78">
        <v>165.87</v>
      </c>
      <c r="Q78">
        <v>420.66</v>
      </c>
      <c r="R78">
        <v>143.72999999999999</v>
      </c>
      <c r="S78">
        <v>769.86</v>
      </c>
      <c r="T78">
        <v>1146.06</v>
      </c>
      <c r="U78">
        <v>578.97</v>
      </c>
      <c r="V78">
        <v>1156.1400000000001</v>
      </c>
      <c r="W78">
        <v>468.17999999999989</v>
      </c>
      <c r="X78">
        <v>222.66</v>
      </c>
      <c r="Y78">
        <v>288.36</v>
      </c>
      <c r="Z78">
        <v>216.72</v>
      </c>
      <c r="AA78">
        <v>235.26</v>
      </c>
      <c r="AB78">
        <v>448.92</v>
      </c>
      <c r="AC78">
        <v>294.39</v>
      </c>
      <c r="AD78">
        <v>1116.0899999999999</v>
      </c>
      <c r="AE78">
        <v>615.42000000000007</v>
      </c>
      <c r="AF78">
        <v>4005.45</v>
      </c>
      <c r="AG78" s="5">
        <f>Tabla2[[#This Row],[Deforestation 2012]]/Tabla2[[#This Row],[Forest cover 2011]]</f>
        <v>9.4615643446540817E-4</v>
      </c>
      <c r="AH78" s="6">
        <f>Tabla2[[#This Row],[Deforestation 2013]]/Tabla2[[#This Row],[Forest cover 2011]]</f>
        <v>7.0727756076147097E-4</v>
      </c>
      <c r="AI78" s="6">
        <f>Tabla2[[#This Row],[Deforestation 2014]]/Tabla2[[#This Row],[Forest cover 2011]]</f>
        <v>8.4810913555707576E-4</v>
      </c>
      <c r="AJ78" s="6">
        <f>Tabla2[[#This Row],[Deforestation 2015]]/Tabla2[[#This Row],[Forest cover 2011]]</f>
        <v>6.2928539117529738E-4</v>
      </c>
      <c r="AK78" s="6">
        <f>Tabla2[[#This Row],[Deforestation 2016]]/Tabla2[[#This Row],[Forest cover 2011]]</f>
        <v>3.3425215536931518E-4</v>
      </c>
      <c r="AL78" s="6">
        <f>Tabla2[[#This Row],[Deforestation 2017]]/Tabla2[[#This Row],[Forest cover 2011]]</f>
        <v>5.6956567274931303E-4</v>
      </c>
      <c r="AM78" s="6">
        <f>Tabla2[[#This Row],[Deforestation 2018]]/Tabla2[[#This Row],[Forest cover 2011]]</f>
        <v>3.5386161515098166E-4</v>
      </c>
      <c r="AN78" s="6">
        <f>Tabla2[[#This Row],[Deforestation 2019]]/Tabla2[[#This Row],[Forest cover 2011]]</f>
        <v>4.5814828762620803E-4</v>
      </c>
      <c r="AO78" s="6">
        <f>Tabla2[[#This Row],[Deforestation 2020]]/Tabla2[[#This Row],[Forest cover 2011]]</f>
        <v>8.2582565853245478E-4</v>
      </c>
      <c r="AP78" s="6">
        <f>Tabla2[[#This Row],[Deforestation 2021]]/Tabla2[[#This Row],[Forest cover 2011]]</f>
        <v>8.2136896312753058E-4</v>
      </c>
      <c r="AQ78" s="6">
        <f>Tabla2[[#This Row],[Deforestation 2022]]/Tabla2[[#This Row],[Forest cover 2011]]</f>
        <v>2.0830594322615724E-3</v>
      </c>
      <c r="AR78" s="6">
        <f>Tabla2[[#This Row],[Deforestation 2023]]/Tabla2[[#This Row],[Forest cover 2011]]</f>
        <v>7.1173425616639506E-4</v>
      </c>
      <c r="AS78" s="6">
        <f>Tabla2[[#This Row],[Deforestation 2024]]/Tabla2[[#This Row],[Forest cover 2011]]</f>
        <v>3.812257249372163E-3</v>
      </c>
      <c r="AT78" s="6">
        <f>Tabla2[[#This Row],[Forest Loss 2012]]/Tabla2[[#This Row],[Forest cover 2011]]</f>
        <v>5.6751559286304792E-3</v>
      </c>
      <c r="AU78" s="6">
        <f>Tabla2[[#This Row],[Forest Loss 2013]]/Tabla2[[#This Row],[Forest cover 2011]]</f>
        <v>2.8669921539877397E-3</v>
      </c>
      <c r="AV78" s="6">
        <f>Tabla2[[#This Row],[Forest Loss 2014]]/Tabla2[[#This Row],[Forest cover 2011]]</f>
        <v>5.7250709171656313E-3</v>
      </c>
      <c r="AW78" s="6">
        <f>Tabla2[[#This Row],[Forest Loss 2015]]/Tabla2[[#This Row],[Forest cover 2011]]</f>
        <v>2.3183729496415698E-3</v>
      </c>
      <c r="AX78" s="6">
        <f>Tabla2[[#This Row],[Forest Loss 2016]]/Tabla2[[#This Row],[Forest cover 2011]]</f>
        <v>1.1025864431782478E-3</v>
      </c>
      <c r="AY78" s="6">
        <f>Tabla2[[#This Row],[Forest Loss 2017]]/Tabla2[[#This Row],[Forest cover 2011]]</f>
        <v>1.4279252077377146E-3</v>
      </c>
      <c r="AZ78" s="6">
        <f>Tabla2[[#This Row],[Forest Loss 2018]]/Tabla2[[#This Row],[Forest cover 2011]]</f>
        <v>1.0731722535057479E-3</v>
      </c>
      <c r="BA78" s="6">
        <f>Tabla2[[#This Row],[Forest Loss 2019]]/Tabla2[[#This Row],[Forest cover 2011]]</f>
        <v>1.1649801788471865E-3</v>
      </c>
      <c r="BB78" s="6">
        <f>Tabla2[[#This Row],[Forest Loss 2020]]/Tabla2[[#This Row],[Forest cover 2011]]</f>
        <v>2.2229996679761924E-3</v>
      </c>
      <c r="BC78" s="6">
        <f>Tabla2[[#This Row],[Forest Loss 2021]]/Tabla2[[#This Row],[Forest cover 2011]]</f>
        <v>1.4577850669507066E-3</v>
      </c>
      <c r="BD78" s="6">
        <f>Tabla2[[#This Row],[Forest Loss 2022]]/Tabla2[[#This Row],[Forest cover 2011]]</f>
        <v>5.5267479716465031E-3</v>
      </c>
      <c r="BE78" s="6">
        <f>Tabla2[[#This Row],[Forest Loss 2023]]/Tabla2[[#This Row],[Forest cover 2011]]</f>
        <v>3.0474883178871703E-3</v>
      </c>
      <c r="BF78" s="6">
        <f>Tabla2[[#This Row],[Forest Loss 2024]]/Tabla2[[#This Row],[Forest cover 2011]]</f>
        <v>1.9834522899615164E-2</v>
      </c>
    </row>
    <row r="79" spans="1:58" x14ac:dyDescent="0.25">
      <c r="A79" s="2">
        <v>70702</v>
      </c>
      <c r="B79" s="3" t="s">
        <v>310</v>
      </c>
      <c r="C79" t="s">
        <v>332</v>
      </c>
      <c r="D79">
        <v>6326742.8700000001</v>
      </c>
      <c r="E79" s="4">
        <f>AVERAGE(Tabla2[[#This Row],[Deforestation 2012]:[Deforestation 2014]])</f>
        <v>13701.12</v>
      </c>
      <c r="F79" s="4">
        <f>AVERAGE(Tabla2[[#This Row],[Deforestation 2022]:[Deforestation 2024]])</f>
        <v>25182.240000000002</v>
      </c>
      <c r="G79">
        <v>17151.57</v>
      </c>
      <c r="H79">
        <v>12673.08</v>
      </c>
      <c r="I79">
        <v>11278.71</v>
      </c>
      <c r="J79">
        <v>18254.16</v>
      </c>
      <c r="K79">
        <v>18608.580000000002</v>
      </c>
      <c r="L79">
        <v>20119.95</v>
      </c>
      <c r="M79">
        <v>24153.57</v>
      </c>
      <c r="N79">
        <v>26660.7</v>
      </c>
      <c r="O79">
        <v>21047.13</v>
      </c>
      <c r="P79">
        <v>28980</v>
      </c>
      <c r="Q79">
        <v>29096.55</v>
      </c>
      <c r="R79">
        <v>20374.38</v>
      </c>
      <c r="S79">
        <v>26075.79</v>
      </c>
      <c r="T79">
        <v>19657.71</v>
      </c>
      <c r="U79">
        <v>14750.19</v>
      </c>
      <c r="V79">
        <v>16189.2</v>
      </c>
      <c r="W79">
        <v>19430.82</v>
      </c>
      <c r="X79">
        <v>19277.28</v>
      </c>
      <c r="Y79">
        <v>21028.59</v>
      </c>
      <c r="Z79">
        <v>24926.04</v>
      </c>
      <c r="AA79">
        <v>103411.98</v>
      </c>
      <c r="AB79">
        <v>63716.49</v>
      </c>
      <c r="AC79">
        <v>37802.61</v>
      </c>
      <c r="AD79">
        <v>31498.74</v>
      </c>
      <c r="AE79">
        <v>22288.41</v>
      </c>
      <c r="AF79">
        <v>124829.1</v>
      </c>
      <c r="AG79" s="5">
        <f>Tabla2[[#This Row],[Deforestation 2012]]/Tabla2[[#This Row],[Forest cover 2011]]</f>
        <v>2.7109636589356125E-3</v>
      </c>
      <c r="AH79" s="6">
        <f>Tabla2[[#This Row],[Deforestation 2013]]/Tabla2[[#This Row],[Forest cover 2011]]</f>
        <v>2.0030970533183689E-3</v>
      </c>
      <c r="AI79" s="6">
        <f>Tabla2[[#This Row],[Deforestation 2014]]/Tabla2[[#This Row],[Forest cover 2011]]</f>
        <v>1.7827040282419441E-3</v>
      </c>
      <c r="AJ79" s="6">
        <f>Tabla2[[#This Row],[Deforestation 2015]]/Tabla2[[#This Row],[Forest cover 2011]]</f>
        <v>2.8852381667915008E-3</v>
      </c>
      <c r="AK79" s="6">
        <f>Tabla2[[#This Row],[Deforestation 2016]]/Tabla2[[#This Row],[Forest cover 2011]]</f>
        <v>2.9412575131253912E-3</v>
      </c>
      <c r="AL79" s="6">
        <f>Tabla2[[#This Row],[Deforestation 2017]]/Tabla2[[#This Row],[Forest cover 2011]]</f>
        <v>3.1801434661434249E-3</v>
      </c>
      <c r="AM79" s="6">
        <f>Tabla2[[#This Row],[Deforestation 2018]]/Tabla2[[#This Row],[Forest cover 2011]]</f>
        <v>3.817694269594996E-3</v>
      </c>
      <c r="AN79" s="6">
        <f>Tabla2[[#This Row],[Deforestation 2019]]/Tabla2[[#This Row],[Forest cover 2011]]</f>
        <v>4.2139692647253108E-3</v>
      </c>
      <c r="AO79" s="6">
        <f>Tabla2[[#This Row],[Deforestation 2020]]/Tabla2[[#This Row],[Forest cover 2011]]</f>
        <v>3.3266928074160854E-3</v>
      </c>
      <c r="AP79" s="6">
        <f>Tabla2[[#This Row],[Deforestation 2021]]/Tabla2[[#This Row],[Forest cover 2011]]</f>
        <v>4.5805559978447487E-3</v>
      </c>
      <c r="AQ79" s="6">
        <f>Tabla2[[#This Row],[Deforestation 2022]]/Tabla2[[#This Row],[Forest cover 2011]]</f>
        <v>4.5989777991404289E-3</v>
      </c>
      <c r="AR79" s="6">
        <f>Tabla2[[#This Row],[Deforestation 2023]]/Tabla2[[#This Row],[Forest cover 2011]]</f>
        <v>3.220358471751832E-3</v>
      </c>
      <c r="AS79" s="6">
        <f>Tabla2[[#This Row],[Deforestation 2024]]/Tabla2[[#This Row],[Forest cover 2011]]</f>
        <v>4.1215188503464497E-3</v>
      </c>
      <c r="AT79" s="6">
        <f>Tabla2[[#This Row],[Forest Loss 2012]]/Tabla2[[#This Row],[Forest cover 2011]]</f>
        <v>3.1070821754448823E-3</v>
      </c>
      <c r="AU79" s="6">
        <f>Tabla2[[#This Row],[Forest Loss 2013]]/Tabla2[[#This Row],[Forest cover 2011]]</f>
        <v>2.3314034255986762E-3</v>
      </c>
      <c r="AV79" s="6">
        <f>Tabla2[[#This Row],[Forest Loss 2014]]/Tabla2[[#This Row],[Forest cover 2011]]</f>
        <v>2.5588522139512841E-3</v>
      </c>
      <c r="AW79" s="6">
        <f>Tabla2[[#This Row],[Forest Loss 2015]]/Tabla2[[#This Row],[Forest cover 2011]]</f>
        <v>3.0712201205673464E-3</v>
      </c>
      <c r="AX79" s="6">
        <f>Tabla2[[#This Row],[Forest Loss 2016]]/Tabla2[[#This Row],[Forest cover 2011]]</f>
        <v>3.0469517089762805E-3</v>
      </c>
      <c r="AY79" s="6">
        <f>Tabla2[[#This Row],[Forest Loss 2017]]/Tabla2[[#This Row],[Forest cover 2011]]</f>
        <v>3.3237623896037994E-3</v>
      </c>
      <c r="AZ79" s="6">
        <f>Tabla2[[#This Row],[Forest Loss 2018]]/Tabla2[[#This Row],[Forest cover 2011]]</f>
        <v>3.9397902699971751E-3</v>
      </c>
      <c r="BA79" s="6">
        <f>Tabla2[[#This Row],[Forest Loss 2019]]/Tabla2[[#This Row],[Forest cover 2011]]</f>
        <v>1.6345216191787481E-2</v>
      </c>
      <c r="BB79" s="6">
        <f>Tabla2[[#This Row],[Forest Loss 2020]]/Tabla2[[#This Row],[Forest cover 2011]]</f>
        <v>1.0070978275745858E-2</v>
      </c>
      <c r="BC79" s="6">
        <f>Tabla2[[#This Row],[Forest Loss 2021]]/Tabla2[[#This Row],[Forest cover 2011]]</f>
        <v>5.9750507926047578E-3</v>
      </c>
      <c r="BD79" s="6">
        <f>Tabla2[[#This Row],[Forest Loss 2022]]/Tabla2[[#This Row],[Forest cover 2011]]</f>
        <v>4.978666060440038E-3</v>
      </c>
      <c r="BE79" s="6">
        <f>Tabla2[[#This Row],[Forest Loss 2023]]/Tabla2[[#This Row],[Forest cover 2011]]</f>
        <v>3.5228885475473734E-3</v>
      </c>
      <c r="BF79" s="6">
        <f>Tabla2[[#This Row],[Forest Loss 2024]]/Tabla2[[#This Row],[Forest cover 2011]]</f>
        <v>1.9730389327486608E-2</v>
      </c>
    </row>
    <row r="80" spans="1:58" x14ac:dyDescent="0.25">
      <c r="A80" s="2">
        <v>30302</v>
      </c>
      <c r="B80" s="3" t="s">
        <v>176</v>
      </c>
      <c r="C80" t="s">
        <v>181</v>
      </c>
      <c r="D80">
        <v>7965.4499999999989</v>
      </c>
      <c r="E80" s="4">
        <f>AVERAGE(Tabla2[[#This Row],[Deforestation 2012]:[Deforestation 2014]])</f>
        <v>2.97</v>
      </c>
      <c r="F80" s="4">
        <f>AVERAGE(Tabla2[[#This Row],[Deforestation 2022]:[Deforestation 2024]])</f>
        <v>28.350000000000005</v>
      </c>
      <c r="G80">
        <v>1.89</v>
      </c>
      <c r="H80">
        <v>2.4300000000000002</v>
      </c>
      <c r="I80">
        <v>4.59</v>
      </c>
      <c r="J80">
        <v>2.61</v>
      </c>
      <c r="K80">
        <v>1.8</v>
      </c>
      <c r="L80">
        <v>1.98</v>
      </c>
      <c r="M80">
        <v>1.26</v>
      </c>
      <c r="N80">
        <v>0.81</v>
      </c>
      <c r="O80">
        <v>9.09</v>
      </c>
      <c r="P80">
        <v>0.36</v>
      </c>
      <c r="Q80">
        <v>1.08</v>
      </c>
      <c r="R80">
        <v>17.55</v>
      </c>
      <c r="S80">
        <v>66.42</v>
      </c>
      <c r="T80">
        <v>51.75</v>
      </c>
      <c r="U80">
        <v>18.63</v>
      </c>
      <c r="V80">
        <v>98.46</v>
      </c>
      <c r="W80">
        <v>15.93</v>
      </c>
      <c r="X80">
        <v>11.7</v>
      </c>
      <c r="Y80">
        <v>7.1099999999999994</v>
      </c>
      <c r="Z80">
        <v>4.68</v>
      </c>
      <c r="AA80">
        <v>7.1099999999999994</v>
      </c>
      <c r="AB80">
        <v>23.49</v>
      </c>
      <c r="AC80">
        <v>5.85</v>
      </c>
      <c r="AD80">
        <v>3.15</v>
      </c>
      <c r="AE80">
        <v>22.5</v>
      </c>
      <c r="AF80">
        <v>153.36000000000001</v>
      </c>
      <c r="AG80" s="5">
        <f>Tabla2[[#This Row],[Deforestation 2012]]/Tabla2[[#This Row],[Forest cover 2011]]</f>
        <v>2.3727473024122932E-4</v>
      </c>
      <c r="AH80" s="6">
        <f>Tabla2[[#This Row],[Deforestation 2013]]/Tabla2[[#This Row],[Forest cover 2011]]</f>
        <v>3.0506751031015206E-4</v>
      </c>
      <c r="AI80" s="6">
        <f>Tabla2[[#This Row],[Deforestation 2014]]/Tabla2[[#This Row],[Forest cover 2011]]</f>
        <v>5.7623863058584262E-4</v>
      </c>
      <c r="AJ80" s="6">
        <f>Tabla2[[#This Row],[Deforestation 2015]]/Tabla2[[#This Row],[Forest cover 2011]]</f>
        <v>3.2766510366645957E-4</v>
      </c>
      <c r="AK80" s="6">
        <f>Tabla2[[#This Row],[Deforestation 2016]]/Tabla2[[#This Row],[Forest cover 2011]]</f>
        <v>2.2597593356307556E-4</v>
      </c>
      <c r="AL80" s="6">
        <f>Tabla2[[#This Row],[Deforestation 2017]]/Tabla2[[#This Row],[Forest cover 2011]]</f>
        <v>2.4857352691938311E-4</v>
      </c>
      <c r="AM80" s="6">
        <f>Tabla2[[#This Row],[Deforestation 2018]]/Tabla2[[#This Row],[Forest cover 2011]]</f>
        <v>1.5818315349415291E-4</v>
      </c>
      <c r="AN80" s="6">
        <f>Tabla2[[#This Row],[Deforestation 2019]]/Tabla2[[#This Row],[Forest cover 2011]]</f>
        <v>1.0168917010338401E-4</v>
      </c>
      <c r="AO80" s="6">
        <f>Tabla2[[#This Row],[Deforestation 2020]]/Tabla2[[#This Row],[Forest cover 2011]]</f>
        <v>1.1411784644935316E-3</v>
      </c>
      <c r="AP80" s="6">
        <f>Tabla2[[#This Row],[Deforestation 2021]]/Tabla2[[#This Row],[Forest cover 2011]]</f>
        <v>4.5195186712615113E-5</v>
      </c>
      <c r="AQ80" s="6">
        <f>Tabla2[[#This Row],[Deforestation 2022]]/Tabla2[[#This Row],[Forest cover 2011]]</f>
        <v>1.3558556013784534E-4</v>
      </c>
      <c r="AR80" s="6">
        <f>Tabla2[[#This Row],[Deforestation 2023]]/Tabla2[[#This Row],[Forest cover 2011]]</f>
        <v>2.203265352239987E-3</v>
      </c>
      <c r="AS80" s="6">
        <f>Tabla2[[#This Row],[Deforestation 2024]]/Tabla2[[#This Row],[Forest cover 2011]]</f>
        <v>8.3385119484774891E-3</v>
      </c>
      <c r="AT80" s="6">
        <f>Tabla2[[#This Row],[Forest Loss 2012]]/Tabla2[[#This Row],[Forest cover 2011]]</f>
        <v>6.4968080899384228E-3</v>
      </c>
      <c r="AU80" s="6">
        <f>Tabla2[[#This Row],[Forest Loss 2013]]/Tabla2[[#This Row],[Forest cover 2011]]</f>
        <v>2.3388509123778321E-3</v>
      </c>
      <c r="AV80" s="6">
        <f>Tabla2[[#This Row],[Forest Loss 2014]]/Tabla2[[#This Row],[Forest cover 2011]]</f>
        <v>1.2360883565900233E-2</v>
      </c>
      <c r="AW80" s="6">
        <f>Tabla2[[#This Row],[Forest Loss 2015]]/Tabla2[[#This Row],[Forest cover 2011]]</f>
        <v>1.9998870120332187E-3</v>
      </c>
      <c r="AX80" s="6">
        <f>Tabla2[[#This Row],[Forest Loss 2016]]/Tabla2[[#This Row],[Forest cover 2011]]</f>
        <v>1.4688435681599911E-3</v>
      </c>
      <c r="AY80" s="6">
        <f>Tabla2[[#This Row],[Forest Loss 2017]]/Tabla2[[#This Row],[Forest cover 2011]]</f>
        <v>8.9260493757414839E-4</v>
      </c>
      <c r="AZ80" s="6">
        <f>Tabla2[[#This Row],[Forest Loss 2018]]/Tabla2[[#This Row],[Forest cover 2011]]</f>
        <v>5.8753742726399638E-4</v>
      </c>
      <c r="BA80" s="6">
        <f>Tabla2[[#This Row],[Forest Loss 2019]]/Tabla2[[#This Row],[Forest cover 2011]]</f>
        <v>8.9260493757414839E-4</v>
      </c>
      <c r="BB80" s="6">
        <f>Tabla2[[#This Row],[Forest Loss 2020]]/Tabla2[[#This Row],[Forest cover 2011]]</f>
        <v>2.9489859329981361E-3</v>
      </c>
      <c r="BC80" s="6">
        <f>Tabla2[[#This Row],[Forest Loss 2021]]/Tabla2[[#This Row],[Forest cover 2011]]</f>
        <v>7.3442178407999556E-4</v>
      </c>
      <c r="BD80" s="6">
        <f>Tabla2[[#This Row],[Forest Loss 2022]]/Tabla2[[#This Row],[Forest cover 2011]]</f>
        <v>3.9545788373538223E-4</v>
      </c>
      <c r="BE80" s="6">
        <f>Tabla2[[#This Row],[Forest Loss 2023]]/Tabla2[[#This Row],[Forest cover 2011]]</f>
        <v>2.8246991695384444E-3</v>
      </c>
      <c r="BF80" s="6">
        <f>Tabla2[[#This Row],[Forest Loss 2024]]/Tabla2[[#This Row],[Forest cover 2011]]</f>
        <v>1.9253149539574039E-2</v>
      </c>
    </row>
    <row r="81" spans="1:58" x14ac:dyDescent="0.25">
      <c r="A81" s="2">
        <v>21006</v>
      </c>
      <c r="B81" s="3" t="s">
        <v>88</v>
      </c>
      <c r="C81" t="s">
        <v>143</v>
      </c>
      <c r="D81">
        <v>13737.87</v>
      </c>
      <c r="E81" s="4">
        <f>AVERAGE(Tabla2[[#This Row],[Deforestation 2012]:[Deforestation 2014]])</f>
        <v>12.03</v>
      </c>
      <c r="F81" s="4">
        <f>AVERAGE(Tabla2[[#This Row],[Deforestation 2022]:[Deforestation 2024]])</f>
        <v>69.48</v>
      </c>
      <c r="G81">
        <v>10.35</v>
      </c>
      <c r="H81">
        <v>11.34</v>
      </c>
      <c r="I81">
        <v>14.4</v>
      </c>
      <c r="J81">
        <v>8.1</v>
      </c>
      <c r="K81">
        <v>12.96</v>
      </c>
      <c r="L81">
        <v>10.17</v>
      </c>
      <c r="M81">
        <v>7.29</v>
      </c>
      <c r="N81">
        <v>9.4499999999999993</v>
      </c>
      <c r="O81">
        <v>5.13</v>
      </c>
      <c r="P81">
        <v>7.4700000000000006</v>
      </c>
      <c r="Q81">
        <v>6.0299999999999994</v>
      </c>
      <c r="R81">
        <v>51.21</v>
      </c>
      <c r="S81">
        <v>151.19999999999999</v>
      </c>
      <c r="T81">
        <v>17.190000000000001</v>
      </c>
      <c r="U81">
        <v>21.78</v>
      </c>
      <c r="V81">
        <v>46.98</v>
      </c>
      <c r="W81">
        <v>10.08</v>
      </c>
      <c r="X81">
        <v>17.73</v>
      </c>
      <c r="Y81">
        <v>11.88</v>
      </c>
      <c r="Z81">
        <v>8.64</v>
      </c>
      <c r="AA81">
        <v>11.7</v>
      </c>
      <c r="AB81">
        <v>9.18</v>
      </c>
      <c r="AC81">
        <v>9.8999999999999986</v>
      </c>
      <c r="AD81">
        <v>6.75</v>
      </c>
      <c r="AE81">
        <v>56.25</v>
      </c>
      <c r="AF81">
        <v>261.63</v>
      </c>
      <c r="AG81" s="5">
        <f>Tabla2[[#This Row],[Deforestation 2012]]/Tabla2[[#This Row],[Forest cover 2011]]</f>
        <v>7.53391901364622E-4</v>
      </c>
      <c r="AH81" s="6">
        <f>Tabla2[[#This Row],[Deforestation 2013]]/Tabla2[[#This Row],[Forest cover 2011]]</f>
        <v>8.2545547453862932E-4</v>
      </c>
      <c r="AI81" s="6">
        <f>Tabla2[[#This Row],[Deforestation 2014]]/Tabla2[[#This Row],[Forest cover 2011]]</f>
        <v>1.0481974279855611E-3</v>
      </c>
      <c r="AJ81" s="6">
        <f>Tabla2[[#This Row],[Deforestation 2015]]/Tabla2[[#This Row],[Forest cover 2011]]</f>
        <v>5.8961105324187801E-4</v>
      </c>
      <c r="AK81" s="6">
        <f>Tabla2[[#This Row],[Deforestation 2016]]/Tabla2[[#This Row],[Forest cover 2011]]</f>
        <v>9.4337768518700502E-4</v>
      </c>
      <c r="AL81" s="6">
        <f>Tabla2[[#This Row],[Deforestation 2017]]/Tabla2[[#This Row],[Forest cover 2011]]</f>
        <v>7.4028943351480249E-4</v>
      </c>
      <c r="AM81" s="6">
        <f>Tabla2[[#This Row],[Deforestation 2018]]/Tabla2[[#This Row],[Forest cover 2011]]</f>
        <v>5.3064994791769031E-4</v>
      </c>
      <c r="AN81" s="6">
        <f>Tabla2[[#This Row],[Deforestation 2019]]/Tabla2[[#This Row],[Forest cover 2011]]</f>
        <v>6.8787956211552434E-4</v>
      </c>
      <c r="AO81" s="6">
        <f>Tabla2[[#This Row],[Deforestation 2020]]/Tabla2[[#This Row],[Forest cover 2011]]</f>
        <v>3.7342033371985612E-4</v>
      </c>
      <c r="AP81" s="6">
        <f>Tabla2[[#This Row],[Deforestation 2021]]/Tabla2[[#This Row],[Forest cover 2011]]</f>
        <v>5.4375241576750982E-4</v>
      </c>
      <c r="AQ81" s="6">
        <f>Tabla2[[#This Row],[Deforestation 2022]]/Tabla2[[#This Row],[Forest cover 2011]]</f>
        <v>4.3893267296895363E-4</v>
      </c>
      <c r="AR81" s="6">
        <f>Tabla2[[#This Row],[Deforestation 2023]]/Tabla2[[#This Row],[Forest cover 2011]]</f>
        <v>3.7276521032736515E-3</v>
      </c>
      <c r="AS81" s="6">
        <f>Tabla2[[#This Row],[Deforestation 2024]]/Tabla2[[#This Row],[Forest cover 2011]]</f>
        <v>1.1006072993848389E-2</v>
      </c>
      <c r="AT81" s="6">
        <f>Tabla2[[#This Row],[Forest Loss 2012]]/Tabla2[[#This Row],[Forest cover 2011]]</f>
        <v>1.2512856796577636E-3</v>
      </c>
      <c r="AU81" s="6">
        <f>Tabla2[[#This Row],[Forest Loss 2013]]/Tabla2[[#This Row],[Forest cover 2011]]</f>
        <v>1.5853986098281611E-3</v>
      </c>
      <c r="AV81" s="6">
        <f>Tabla2[[#This Row],[Forest Loss 2014]]/Tabla2[[#This Row],[Forest cover 2011]]</f>
        <v>3.4197441088028926E-3</v>
      </c>
      <c r="AW81" s="6">
        <f>Tabla2[[#This Row],[Forest Loss 2015]]/Tabla2[[#This Row],[Forest cover 2011]]</f>
        <v>7.3373819958989274E-4</v>
      </c>
      <c r="AX81" s="6">
        <f>Tabla2[[#This Row],[Forest Loss 2016]]/Tabla2[[#This Row],[Forest cover 2011]]</f>
        <v>1.290593083207222E-3</v>
      </c>
      <c r="AY81" s="6">
        <f>Tabla2[[#This Row],[Forest Loss 2017]]/Tabla2[[#This Row],[Forest cover 2011]]</f>
        <v>8.6476287808808785E-4</v>
      </c>
      <c r="AZ81" s="6">
        <f>Tabla2[[#This Row],[Forest Loss 2018]]/Tabla2[[#This Row],[Forest cover 2011]]</f>
        <v>6.2891845679133665E-4</v>
      </c>
      <c r="BA81" s="6">
        <f>Tabla2[[#This Row],[Forest Loss 2019]]/Tabla2[[#This Row],[Forest cover 2011]]</f>
        <v>8.5166041023826823E-4</v>
      </c>
      <c r="BB81" s="6">
        <f>Tabla2[[#This Row],[Forest Loss 2020]]/Tabla2[[#This Row],[Forest cover 2011]]</f>
        <v>6.6822586034079518E-4</v>
      </c>
      <c r="BC81" s="6">
        <f>Tabla2[[#This Row],[Forest Loss 2021]]/Tabla2[[#This Row],[Forest cover 2011]]</f>
        <v>7.2063573174007312E-4</v>
      </c>
      <c r="BD81" s="6">
        <f>Tabla2[[#This Row],[Forest Loss 2022]]/Tabla2[[#This Row],[Forest cover 2011]]</f>
        <v>4.9134254436823178E-4</v>
      </c>
      <c r="BE81" s="6">
        <f>Tabla2[[#This Row],[Forest Loss 2023]]/Tabla2[[#This Row],[Forest cover 2011]]</f>
        <v>4.0945212030685978E-3</v>
      </c>
      <c r="BF81" s="6">
        <f>Tabla2[[#This Row],[Forest Loss 2024]]/Tabla2[[#This Row],[Forest cover 2011]]</f>
        <v>1.9044437019712663E-2</v>
      </c>
    </row>
    <row r="82" spans="1:58" x14ac:dyDescent="0.25">
      <c r="A82" s="2">
        <v>71102</v>
      </c>
      <c r="B82" s="3" t="s">
        <v>310</v>
      </c>
      <c r="C82" t="s">
        <v>352</v>
      </c>
      <c r="D82">
        <v>144437.94</v>
      </c>
      <c r="E82" s="4">
        <f>AVERAGE(Tabla2[[#This Row],[Deforestation 2012]:[Deforestation 2014]])</f>
        <v>1977.45</v>
      </c>
      <c r="F82" s="4">
        <f>AVERAGE(Tabla2[[#This Row],[Deforestation 2022]:[Deforestation 2024]])</f>
        <v>3604.11</v>
      </c>
      <c r="G82">
        <v>2101.0500000000002</v>
      </c>
      <c r="H82">
        <v>1889.28</v>
      </c>
      <c r="I82">
        <v>1942.02</v>
      </c>
      <c r="J82">
        <v>1449.63</v>
      </c>
      <c r="K82">
        <v>1386.63</v>
      </c>
      <c r="L82">
        <v>2332.17</v>
      </c>
      <c r="M82">
        <v>1993.14</v>
      </c>
      <c r="N82">
        <v>3323.07</v>
      </c>
      <c r="O82">
        <v>2176.11</v>
      </c>
      <c r="P82">
        <v>3396.78</v>
      </c>
      <c r="Q82">
        <v>2731.95</v>
      </c>
      <c r="R82">
        <v>5335.29</v>
      </c>
      <c r="S82">
        <v>2745.09</v>
      </c>
      <c r="T82">
        <v>2414.61</v>
      </c>
      <c r="U82">
        <v>2028.15</v>
      </c>
      <c r="V82">
        <v>2257.83</v>
      </c>
      <c r="W82">
        <v>1844.91</v>
      </c>
      <c r="X82">
        <v>1671.84</v>
      </c>
      <c r="Y82">
        <v>2630.52</v>
      </c>
      <c r="Z82">
        <v>2045.79</v>
      </c>
      <c r="AA82">
        <v>3344.22</v>
      </c>
      <c r="AB82">
        <v>2240.37</v>
      </c>
      <c r="AC82">
        <v>5103.8999999999996</v>
      </c>
      <c r="AD82">
        <v>2735.1</v>
      </c>
      <c r="AE82">
        <v>5414.4</v>
      </c>
      <c r="AF82">
        <v>2750.04</v>
      </c>
      <c r="AG82" s="5">
        <f>Tabla2[[#This Row],[Deforestation 2012]]/Tabla2[[#This Row],[Forest cover 2011]]</f>
        <v>1.454638580417306E-2</v>
      </c>
      <c r="AH82" s="6">
        <f>Tabla2[[#This Row],[Deforestation 2013]]/Tabla2[[#This Row],[Forest cover 2011]]</f>
        <v>1.3080219781589242E-2</v>
      </c>
      <c r="AI82" s="6">
        <f>Tabla2[[#This Row],[Deforestation 2014]]/Tabla2[[#This Row],[Forest cover 2011]]</f>
        <v>1.3445359301025755E-2</v>
      </c>
      <c r="AJ82" s="6">
        <f>Tabla2[[#This Row],[Deforestation 2015]]/Tabla2[[#This Row],[Forest cover 2011]]</f>
        <v>1.0036351944648339E-2</v>
      </c>
      <c r="AK82" s="6">
        <f>Tabla2[[#This Row],[Deforestation 2016]]/Tabla2[[#This Row],[Forest cover 2011]]</f>
        <v>9.6001784572668381E-3</v>
      </c>
      <c r="AL82" s="6">
        <f>Tabla2[[#This Row],[Deforestation 2017]]/Tabla2[[#This Row],[Forest cover 2011]]</f>
        <v>1.6146519397881195E-2</v>
      </c>
      <c r="AM82" s="6">
        <f>Tabla2[[#This Row],[Deforestation 2018]]/Tabla2[[#This Row],[Forest cover 2011]]</f>
        <v>1.3799282930786746E-2</v>
      </c>
      <c r="AN82" s="6">
        <f>Tabla2[[#This Row],[Deforestation 2019]]/Tabla2[[#This Row],[Forest cover 2011]]</f>
        <v>2.3006905249410233E-2</v>
      </c>
      <c r="AO82" s="6">
        <f>Tabla2[[#This Row],[Deforestation 2020]]/Tabla2[[#This Row],[Forest cover 2011]]</f>
        <v>1.5066055359139019E-2</v>
      </c>
      <c r="AP82" s="6">
        <f>Tabla2[[#This Row],[Deforestation 2021]]/Tabla2[[#This Row],[Forest cover 2011]]</f>
        <v>2.3517228229646588E-2</v>
      </c>
      <c r="AQ82" s="6">
        <f>Tabla2[[#This Row],[Deforestation 2022]]/Tabla2[[#This Row],[Forest cover 2011]]</f>
        <v>1.8914351727807803E-2</v>
      </c>
      <c r="AR82" s="6">
        <f>Tabla2[[#This Row],[Deforestation 2023]]/Tabla2[[#This Row],[Forest cover 2011]]</f>
        <v>3.6938286436375374E-2</v>
      </c>
      <c r="AS82" s="6">
        <f>Tabla2[[#This Row],[Deforestation 2024]]/Tabla2[[#This Row],[Forest cover 2011]]</f>
        <v>1.9005325055175947E-2</v>
      </c>
      <c r="AT82" s="6">
        <f>Tabla2[[#This Row],[Forest Loss 2012]]/Tabla2[[#This Row],[Forest cover 2011]]</f>
        <v>1.6717283561368985E-2</v>
      </c>
      <c r="AU82" s="6">
        <f>Tabla2[[#This Row],[Forest Loss 2013]]/Tabla2[[#This Row],[Forest cover 2011]]</f>
        <v>1.4041670768774465E-2</v>
      </c>
      <c r="AV82" s="6">
        <f>Tabla2[[#This Row],[Forest Loss 2014]]/Tabla2[[#This Row],[Forest cover 2011]]</f>
        <v>1.5631834682771021E-2</v>
      </c>
      <c r="AW82" s="6">
        <f>Tabla2[[#This Row],[Forest Loss 2015]]/Tabla2[[#This Row],[Forest cover 2011]]</f>
        <v>1.277302902547627E-2</v>
      </c>
      <c r="AX82" s="6">
        <f>Tabla2[[#This Row],[Forest Loss 2016]]/Tabla2[[#This Row],[Forest cover 2011]]</f>
        <v>1.1574798145141089E-2</v>
      </c>
      <c r="AY82" s="6">
        <f>Tabla2[[#This Row],[Forest Loss 2017]]/Tabla2[[#This Row],[Forest cover 2011]]</f>
        <v>1.8212112413123586E-2</v>
      </c>
      <c r="AZ82" s="6">
        <f>Tabla2[[#This Row],[Forest Loss 2018]]/Tabla2[[#This Row],[Forest cover 2011]]</f>
        <v>1.4163799345241285E-2</v>
      </c>
      <c r="BA82" s="6">
        <f>Tabla2[[#This Row],[Forest Loss 2019]]/Tabla2[[#This Row],[Forest cover 2011]]</f>
        <v>2.3153334920174018E-2</v>
      </c>
      <c r="BB82" s="6">
        <f>Tabla2[[#This Row],[Forest Loss 2020]]/Tabla2[[#This Row],[Forest cover 2011]]</f>
        <v>1.5510952316268149E-2</v>
      </c>
      <c r="BC82" s="6">
        <f>Tabla2[[#This Row],[Forest Loss 2021]]/Tabla2[[#This Row],[Forest cover 2011]]</f>
        <v>3.5336283527721314E-2</v>
      </c>
      <c r="BD82" s="6">
        <f>Tabla2[[#This Row],[Forest Loss 2022]]/Tabla2[[#This Row],[Forest cover 2011]]</f>
        <v>1.8936160402176879E-2</v>
      </c>
      <c r="BE82" s="6">
        <f>Tabla2[[#This Row],[Forest Loss 2023]]/Tabla2[[#This Row],[Forest cover 2011]]</f>
        <v>3.7485995715530143E-2</v>
      </c>
      <c r="BF82" s="6">
        <f>Tabla2[[#This Row],[Forest Loss 2024]]/Tabla2[[#This Row],[Forest cover 2011]]</f>
        <v>1.9039595829184491E-2</v>
      </c>
    </row>
    <row r="83" spans="1:58" x14ac:dyDescent="0.25">
      <c r="A83" s="2">
        <v>70104</v>
      </c>
      <c r="B83" s="3" t="s">
        <v>310</v>
      </c>
      <c r="C83" t="s">
        <v>314</v>
      </c>
      <c r="D83">
        <v>44732.52</v>
      </c>
      <c r="E83" s="4">
        <f>AVERAGE(Tabla2[[#This Row],[Deforestation 2012]:[Deforestation 2014]])</f>
        <v>1785.1499999999999</v>
      </c>
      <c r="F83" s="4">
        <f>AVERAGE(Tabla2[[#This Row],[Deforestation 2022]:[Deforestation 2024]])</f>
        <v>1275.81</v>
      </c>
      <c r="G83">
        <v>2208.15</v>
      </c>
      <c r="H83">
        <v>1671.21</v>
      </c>
      <c r="I83">
        <v>1476.09</v>
      </c>
      <c r="J83">
        <v>1052.73</v>
      </c>
      <c r="K83">
        <v>1196.01</v>
      </c>
      <c r="L83">
        <v>1003.95</v>
      </c>
      <c r="M83">
        <v>633.33000000000004</v>
      </c>
      <c r="N83">
        <v>958.77</v>
      </c>
      <c r="O83">
        <v>616.23</v>
      </c>
      <c r="P83">
        <v>1682.37</v>
      </c>
      <c r="Q83">
        <v>238.41</v>
      </c>
      <c r="R83">
        <v>2743.56</v>
      </c>
      <c r="S83">
        <v>845.46</v>
      </c>
      <c r="T83">
        <v>2218.86</v>
      </c>
      <c r="U83">
        <v>1681.56</v>
      </c>
      <c r="V83">
        <v>1497.24</v>
      </c>
      <c r="W83">
        <v>1068.21</v>
      </c>
      <c r="X83">
        <v>1205.46</v>
      </c>
      <c r="Y83">
        <v>1007.64</v>
      </c>
      <c r="Z83">
        <v>638.37</v>
      </c>
      <c r="AA83">
        <v>969.48</v>
      </c>
      <c r="AB83">
        <v>622.35</v>
      </c>
      <c r="AC83">
        <v>1803.78</v>
      </c>
      <c r="AD83">
        <v>239.13</v>
      </c>
      <c r="AE83">
        <v>2746.62</v>
      </c>
      <c r="AF83">
        <v>846</v>
      </c>
      <c r="AG83" s="5">
        <f>Tabla2[[#This Row],[Deforestation 2012]]/Tabla2[[#This Row],[Forest cover 2011]]</f>
        <v>4.9363416145569272E-2</v>
      </c>
      <c r="AH83" s="6">
        <f>Tabla2[[#This Row],[Deforestation 2013]]/Tabla2[[#This Row],[Forest cover 2011]]</f>
        <v>3.7360068245652162E-2</v>
      </c>
      <c r="AI83" s="6">
        <f>Tabla2[[#This Row],[Deforestation 2014]]/Tabla2[[#This Row],[Forest cover 2011]]</f>
        <v>3.2998140949805646E-2</v>
      </c>
      <c r="AJ83" s="6">
        <f>Tabla2[[#This Row],[Deforestation 2015]]/Tabla2[[#This Row],[Forest cover 2011]]</f>
        <v>2.3533885414906204E-2</v>
      </c>
      <c r="AK83" s="6">
        <f>Tabla2[[#This Row],[Deforestation 2016]]/Tabla2[[#This Row],[Forest cover 2011]]</f>
        <v>2.6736924277907886E-2</v>
      </c>
      <c r="AL83" s="6">
        <f>Tabla2[[#This Row],[Deforestation 2017]]/Tabla2[[#This Row],[Forest cover 2011]]</f>
        <v>2.2443403590944579E-2</v>
      </c>
      <c r="AM83" s="6">
        <f>Tabla2[[#This Row],[Deforestation 2018]]/Tabla2[[#This Row],[Forest cover 2011]]</f>
        <v>1.4158156079737964E-2</v>
      </c>
      <c r="AN83" s="6">
        <f>Tabla2[[#This Row],[Deforestation 2019]]/Tabla2[[#This Row],[Forest cover 2011]]</f>
        <v>2.1433400130374949E-2</v>
      </c>
      <c r="AO83" s="6">
        <f>Tabla2[[#This Row],[Deforestation 2020]]/Tabla2[[#This Row],[Forest cover 2011]]</f>
        <v>1.3775883853625954E-2</v>
      </c>
      <c r="AP83" s="6">
        <f>Tabla2[[#This Row],[Deforestation 2021]]/Tabla2[[#This Row],[Forest cover 2011]]</f>
        <v>3.7609551172167362E-2</v>
      </c>
      <c r="AQ83" s="6">
        <f>Tabla2[[#This Row],[Deforestation 2022]]/Tabla2[[#This Row],[Forest cover 2011]]</f>
        <v>5.3296796156353365E-3</v>
      </c>
      <c r="AR83" s="6">
        <f>Tabla2[[#This Row],[Deforestation 2023]]/Tabla2[[#This Row],[Forest cover 2011]]</f>
        <v>6.1332560741044775E-2</v>
      </c>
      <c r="AS83" s="6">
        <f>Tabla2[[#This Row],[Deforestation 2024]]/Tabla2[[#This Row],[Forest cover 2011]]</f>
        <v>1.8900343642611686E-2</v>
      </c>
      <c r="AT83" s="6">
        <f>Tabla2[[#This Row],[Forest Loss 2012]]/Tabla2[[#This Row],[Forest cover 2011]]</f>
        <v>4.9602839276660475E-2</v>
      </c>
      <c r="AU83" s="6">
        <f>Tabla2[[#This Row],[Forest Loss 2013]]/Tabla2[[#This Row],[Forest cover 2011]]</f>
        <v>3.7591443540404161E-2</v>
      </c>
      <c r="AV83" s="6">
        <f>Tabla2[[#This Row],[Forest Loss 2014]]/Tabla2[[#This Row],[Forest cover 2011]]</f>
        <v>3.3470951334733656E-2</v>
      </c>
      <c r="AW83" s="6">
        <f>Tabla2[[#This Row],[Forest Loss 2015]]/Tabla2[[#This Row],[Forest cover 2011]]</f>
        <v>2.3879942377491813E-2</v>
      </c>
      <c r="AX83" s="6">
        <f>Tabla2[[#This Row],[Forest Loss 2016]]/Tabla2[[#This Row],[Forest cover 2011]]</f>
        <v>2.6948179981811891E-2</v>
      </c>
      <c r="AY83" s="6">
        <f>Tabla2[[#This Row],[Forest Loss 2017]]/Tabla2[[#This Row],[Forest cover 2011]]</f>
        <v>2.2525893913421378E-2</v>
      </c>
      <c r="AZ83" s="6">
        <f>Tabla2[[#This Row],[Forest Loss 2018]]/Tabla2[[#This Row],[Forest cover 2011]]</f>
        <v>1.4270825788486766E-2</v>
      </c>
      <c r="BA83" s="6">
        <f>Tabla2[[#This Row],[Forest Loss 2019]]/Tabla2[[#This Row],[Forest cover 2011]]</f>
        <v>2.1672823261466155E-2</v>
      </c>
      <c r="BB83" s="6">
        <f>Tabla2[[#This Row],[Forest Loss 2020]]/Tabla2[[#This Row],[Forest cover 2011]]</f>
        <v>1.3912697071392357E-2</v>
      </c>
      <c r="BC83" s="6">
        <f>Tabla2[[#This Row],[Forest Loss 2021]]/Tabla2[[#This Row],[Forest cover 2011]]</f>
        <v>4.0323683977562634E-2</v>
      </c>
      <c r="BD83" s="6">
        <f>Tabla2[[#This Row],[Forest Loss 2022]]/Tabla2[[#This Row],[Forest cover 2011]]</f>
        <v>5.3457752883137371E-3</v>
      </c>
      <c r="BE83" s="6">
        <f>Tabla2[[#This Row],[Forest Loss 2023]]/Tabla2[[#This Row],[Forest cover 2011]]</f>
        <v>6.1400967349927976E-2</v>
      </c>
      <c r="BF83" s="6">
        <f>Tabla2[[#This Row],[Forest Loss 2024]]/Tabla2[[#This Row],[Forest cover 2011]]</f>
        <v>1.8912415397120484E-2</v>
      </c>
    </row>
    <row r="84" spans="1:58" x14ac:dyDescent="0.25">
      <c r="A84" s="2">
        <v>31205</v>
      </c>
      <c r="B84" s="3" t="s">
        <v>176</v>
      </c>
      <c r="C84" t="s">
        <v>210</v>
      </c>
      <c r="D84">
        <v>123398.37</v>
      </c>
      <c r="E84" s="4">
        <f>AVERAGE(Tabla2[[#This Row],[Deforestation 2012]:[Deforestation 2014]])</f>
        <v>1733.8500000000001</v>
      </c>
      <c r="F84" s="4">
        <f>AVERAGE(Tabla2[[#This Row],[Deforestation 2022]:[Deforestation 2024]])</f>
        <v>1931.9099999999999</v>
      </c>
      <c r="G84">
        <v>1312.11</v>
      </c>
      <c r="H84">
        <v>1573.65</v>
      </c>
      <c r="I84">
        <v>2315.79</v>
      </c>
      <c r="J84">
        <v>1473.93</v>
      </c>
      <c r="K84">
        <v>1162.53</v>
      </c>
      <c r="L84">
        <v>1509.57</v>
      </c>
      <c r="M84">
        <v>1629</v>
      </c>
      <c r="N84">
        <v>1298.79</v>
      </c>
      <c r="O84">
        <v>2679.39</v>
      </c>
      <c r="P84">
        <v>3707.82</v>
      </c>
      <c r="Q84">
        <v>422.91</v>
      </c>
      <c r="R84">
        <v>3153.78</v>
      </c>
      <c r="S84">
        <v>2219.04</v>
      </c>
      <c r="T84">
        <v>1999.89</v>
      </c>
      <c r="U84">
        <v>1995.48</v>
      </c>
      <c r="V84">
        <v>2780.73</v>
      </c>
      <c r="W84">
        <v>2032.38</v>
      </c>
      <c r="X84">
        <v>1345.59</v>
      </c>
      <c r="Y84">
        <v>1718.82</v>
      </c>
      <c r="Z84">
        <v>1941.66</v>
      </c>
      <c r="AA84">
        <v>1659.78</v>
      </c>
      <c r="AB84">
        <v>2927.7</v>
      </c>
      <c r="AC84">
        <v>4068.27</v>
      </c>
      <c r="AD84">
        <v>580.77</v>
      </c>
      <c r="AE84">
        <v>3755.79</v>
      </c>
      <c r="AF84">
        <v>2308.59</v>
      </c>
      <c r="AG84" s="5">
        <f>Tabla2[[#This Row],[Deforestation 2012]]/Tabla2[[#This Row],[Forest cover 2011]]</f>
        <v>1.0633122625525767E-2</v>
      </c>
      <c r="AH84" s="6">
        <f>Tabla2[[#This Row],[Deforestation 2013]]/Tabla2[[#This Row],[Forest cover 2011]]</f>
        <v>1.2752599568373555E-2</v>
      </c>
      <c r="AI84" s="6">
        <f>Tabla2[[#This Row],[Deforestation 2014]]/Tabla2[[#This Row],[Forest cover 2011]]</f>
        <v>1.8766779496358015E-2</v>
      </c>
      <c r="AJ84" s="6">
        <f>Tabla2[[#This Row],[Deforestation 2015]]/Tabla2[[#This Row],[Forest cover 2011]]</f>
        <v>1.194448516621411E-2</v>
      </c>
      <c r="AK84" s="6">
        <f>Tabla2[[#This Row],[Deforestation 2016]]/Tabla2[[#This Row],[Forest cover 2011]]</f>
        <v>9.4209510222866E-3</v>
      </c>
      <c r="AL84" s="6">
        <f>Tabla2[[#This Row],[Deforestation 2017]]/Tabla2[[#This Row],[Forest cover 2011]]</f>
        <v>1.2233305837021997E-2</v>
      </c>
      <c r="AM84" s="6">
        <f>Tabla2[[#This Row],[Deforestation 2018]]/Tabla2[[#This Row],[Forest cover 2011]]</f>
        <v>1.3201146822279743E-2</v>
      </c>
      <c r="AN84" s="6">
        <f>Tabla2[[#This Row],[Deforestation 2019]]/Tabla2[[#This Row],[Forest cover 2011]]</f>
        <v>1.0525179546536961E-2</v>
      </c>
      <c r="AO84" s="6">
        <f>Tabla2[[#This Row],[Deforestation 2020]]/Tabla2[[#This Row],[Forest cover 2011]]</f>
        <v>2.1713333814701117E-2</v>
      </c>
      <c r="AP84" s="6">
        <f>Tabla2[[#This Row],[Deforestation 2021]]/Tabla2[[#This Row],[Forest cover 2011]]</f>
        <v>3.0047560595816626E-2</v>
      </c>
      <c r="AQ84" s="6">
        <f>Tabla2[[#This Row],[Deforestation 2022]]/Tabla2[[#This Row],[Forest cover 2011]]</f>
        <v>3.4271927578946142E-3</v>
      </c>
      <c r="AR84" s="6">
        <f>Tabla2[[#This Row],[Deforestation 2023]]/Tabla2[[#This Row],[Forest cover 2011]]</f>
        <v>2.5557711985984905E-2</v>
      </c>
      <c r="AS84" s="6">
        <f>Tabla2[[#This Row],[Deforestation 2024]]/Tabla2[[#This Row],[Forest cover 2011]]</f>
        <v>1.7982733483432562E-2</v>
      </c>
      <c r="AT84" s="6">
        <f>Tabla2[[#This Row],[Forest Loss 2012]]/Tabla2[[#This Row],[Forest cover 2011]]</f>
        <v>1.6206778096015371E-2</v>
      </c>
      <c r="AU84" s="6">
        <f>Tabla2[[#This Row],[Forest Loss 2013]]/Tabla2[[#This Row],[Forest cover 2011]]</f>
        <v>1.6171040184728536E-2</v>
      </c>
      <c r="AV84" s="6">
        <f>Tabla2[[#This Row],[Forest Loss 2014]]/Tabla2[[#This Row],[Forest cover 2011]]</f>
        <v>2.2534576429170013E-2</v>
      </c>
      <c r="AW84" s="6">
        <f>Tabla2[[#This Row],[Forest Loss 2015]]/Tabla2[[#This Row],[Forest cover 2011]]</f>
        <v>1.6470071687332662E-2</v>
      </c>
      <c r="AX84" s="6">
        <f>Tabla2[[#This Row],[Forest Loss 2016]]/Tabla2[[#This Row],[Forest cover 2011]]</f>
        <v>1.0904439013254389E-2</v>
      </c>
      <c r="AY84" s="6">
        <f>Tabla2[[#This Row],[Forest Loss 2017]]/Tabla2[[#This Row],[Forest cover 2011]]</f>
        <v>1.3929033260325886E-2</v>
      </c>
      <c r="AZ84" s="6">
        <f>Tabla2[[#This Row],[Forest Loss 2018]]/Tabla2[[#This Row],[Forest cover 2011]]</f>
        <v>1.5734891798003491E-2</v>
      </c>
      <c r="BA84" s="6">
        <f>Tabla2[[#This Row],[Forest Loss 2019]]/Tabla2[[#This Row],[Forest cover 2011]]</f>
        <v>1.3450582856159283E-2</v>
      </c>
      <c r="BB84" s="6">
        <f>Tabla2[[#This Row],[Forest Loss 2020]]/Tabla2[[#This Row],[Forest cover 2011]]</f>
        <v>2.37255970236884E-2</v>
      </c>
      <c r="BC84" s="6">
        <f>Tabla2[[#This Row],[Forest Loss 2021]]/Tabla2[[#This Row],[Forest cover 2011]]</f>
        <v>3.2968587834669133E-2</v>
      </c>
      <c r="BD84" s="6">
        <f>Tabla2[[#This Row],[Forest Loss 2022]]/Tabla2[[#This Row],[Forest cover 2011]]</f>
        <v>4.7064641129376346E-3</v>
      </c>
      <c r="BE84" s="6">
        <f>Tabla2[[#This Row],[Forest Loss 2023]]/Tabla2[[#This Row],[Forest cover 2011]]</f>
        <v>3.0436301549201988E-2</v>
      </c>
      <c r="BF84" s="6">
        <f>Tabla2[[#This Row],[Forest Loss 2024]]/Tabla2[[#This Row],[Forest cover 2011]]</f>
        <v>1.8708431886093797E-2</v>
      </c>
    </row>
    <row r="85" spans="1:58" x14ac:dyDescent="0.25">
      <c r="A85" s="2">
        <v>70703</v>
      </c>
      <c r="B85" s="3" t="s">
        <v>310</v>
      </c>
      <c r="C85" t="s">
        <v>333</v>
      </c>
      <c r="D85">
        <v>296407.53000000003</v>
      </c>
      <c r="E85" s="4">
        <f>AVERAGE(Tabla2[[#This Row],[Deforestation 2012]:[Deforestation 2014]])</f>
        <v>5367.18</v>
      </c>
      <c r="F85" s="4">
        <f>AVERAGE(Tabla2[[#This Row],[Deforestation 2022]:[Deforestation 2024]])</f>
        <v>4572.75</v>
      </c>
      <c r="G85">
        <v>6098.76</v>
      </c>
      <c r="H85">
        <v>5035.1400000000003</v>
      </c>
      <c r="I85">
        <v>4967.6400000000003</v>
      </c>
      <c r="J85">
        <v>6030.9</v>
      </c>
      <c r="K85">
        <v>5195.6099999999997</v>
      </c>
      <c r="L85">
        <v>4967.55</v>
      </c>
      <c r="M85">
        <v>2803.05</v>
      </c>
      <c r="N85">
        <v>2971.17</v>
      </c>
      <c r="O85">
        <v>2837.7</v>
      </c>
      <c r="P85">
        <v>6382.8</v>
      </c>
      <c r="Q85">
        <v>2914.2</v>
      </c>
      <c r="R85">
        <v>5526.72</v>
      </c>
      <c r="S85">
        <v>5277.33</v>
      </c>
      <c r="T85">
        <v>6353.82</v>
      </c>
      <c r="U85">
        <v>5191.6499999999996</v>
      </c>
      <c r="V85">
        <v>5211.2700000000004</v>
      </c>
      <c r="W85">
        <v>6127.02</v>
      </c>
      <c r="X85">
        <v>5271.03</v>
      </c>
      <c r="Y85">
        <v>5044.05</v>
      </c>
      <c r="Z85">
        <v>2956.95</v>
      </c>
      <c r="AA85">
        <v>3088.26</v>
      </c>
      <c r="AB85">
        <v>2980.8</v>
      </c>
      <c r="AC85">
        <v>6573.6900000000014</v>
      </c>
      <c r="AD85">
        <v>3291.84</v>
      </c>
      <c r="AE85">
        <v>5694.75</v>
      </c>
      <c r="AF85">
        <v>5455.89</v>
      </c>
      <c r="AG85" s="5">
        <f>Tabla2[[#This Row],[Deforestation 2012]]/Tabla2[[#This Row],[Forest cover 2011]]</f>
        <v>2.0575590640359236E-2</v>
      </c>
      <c r="AH85" s="6">
        <f>Tabla2[[#This Row],[Deforestation 2013]]/Tabla2[[#This Row],[Forest cover 2011]]</f>
        <v>1.6987220263938639E-2</v>
      </c>
      <c r="AI85" s="6">
        <f>Tabla2[[#This Row],[Deforestation 2014]]/Tabla2[[#This Row],[Forest cover 2011]]</f>
        <v>1.6759493255788745E-2</v>
      </c>
      <c r="AJ85" s="6">
        <f>Tabla2[[#This Row],[Deforestation 2015]]/Tabla2[[#This Row],[Forest cover 2011]]</f>
        <v>2.0346649088165875E-2</v>
      </c>
      <c r="AK85" s="6">
        <f>Tabla2[[#This Row],[Deforestation 2016]]/Tabla2[[#This Row],[Forest cover 2011]]</f>
        <v>1.7528603271313652E-2</v>
      </c>
      <c r="AL85" s="6">
        <f>Tabla2[[#This Row],[Deforestation 2017]]/Tabla2[[#This Row],[Forest cover 2011]]</f>
        <v>1.6759189619777876E-2</v>
      </c>
      <c r="AM85" s="6">
        <f>Tabla2[[#This Row],[Deforestation 2018]]/Tabla2[[#This Row],[Forest cover 2011]]</f>
        <v>9.4567435584379383E-3</v>
      </c>
      <c r="AN85" s="6">
        <f>Tabla2[[#This Row],[Deforestation 2019]]/Tabla2[[#This Row],[Forest cover 2011]]</f>
        <v>1.0023935626736608E-2</v>
      </c>
      <c r="AO85" s="6">
        <f>Tabla2[[#This Row],[Deforestation 2020]]/Tabla2[[#This Row],[Forest cover 2011]]</f>
        <v>9.5736434226215486E-3</v>
      </c>
      <c r="AP85" s="6">
        <f>Tabla2[[#This Row],[Deforestation 2021]]/Tabla2[[#This Row],[Forest cover 2011]]</f>
        <v>2.1533865890653991E-2</v>
      </c>
      <c r="AQ85" s="6">
        <f>Tabla2[[#This Row],[Deforestation 2022]]/Tabla2[[#This Row],[Forest cover 2011]]</f>
        <v>9.831734031858096E-3</v>
      </c>
      <c r="AR85" s="6">
        <f>Tabla2[[#This Row],[Deforestation 2023]]/Tabla2[[#This Row],[Forest cover 2011]]</f>
        <v>1.86456801552916E-2</v>
      </c>
      <c r="AS85" s="6">
        <f>Tabla2[[#This Row],[Deforestation 2024]]/Tabla2[[#This Row],[Forest cover 2011]]</f>
        <v>1.7804304769180459E-2</v>
      </c>
      <c r="AT85" s="6">
        <f>Tabla2[[#This Row],[Forest Loss 2012]]/Tabla2[[#This Row],[Forest cover 2011]]</f>
        <v>2.1436095095154969E-2</v>
      </c>
      <c r="AU85" s="6">
        <f>Tabla2[[#This Row],[Forest Loss 2013]]/Tabla2[[#This Row],[Forest cover 2011]]</f>
        <v>1.7515243286835524E-2</v>
      </c>
      <c r="AV85" s="6">
        <f>Tabla2[[#This Row],[Forest Loss 2014]]/Tabla2[[#This Row],[Forest cover 2011]]</f>
        <v>1.7581435937204428E-2</v>
      </c>
      <c r="AW85" s="6">
        <f>Tabla2[[#This Row],[Forest Loss 2015]]/Tabla2[[#This Row],[Forest cover 2011]]</f>
        <v>2.0670932347771325E-2</v>
      </c>
      <c r="AX85" s="6">
        <f>Tabla2[[#This Row],[Forest Loss 2016]]/Tabla2[[#This Row],[Forest cover 2011]]</f>
        <v>1.77830502484198E-2</v>
      </c>
      <c r="AY85" s="6">
        <f>Tabla2[[#This Row],[Forest Loss 2017]]/Tabla2[[#This Row],[Forest cover 2011]]</f>
        <v>1.7017280229014425E-2</v>
      </c>
      <c r="AZ85" s="6">
        <f>Tabla2[[#This Row],[Forest Loss 2018]]/Tabla2[[#This Row],[Forest cover 2011]]</f>
        <v>9.9759611370196961E-3</v>
      </c>
      <c r="BA85" s="6">
        <f>Tabla2[[#This Row],[Forest Loss 2019]]/Tabla2[[#This Row],[Forest cover 2011]]</f>
        <v>1.0418966076873959E-2</v>
      </c>
      <c r="BB85" s="6">
        <f>Tabla2[[#This Row],[Forest Loss 2020]]/Tabla2[[#This Row],[Forest cover 2011]]</f>
        <v>1.0056424679899326E-2</v>
      </c>
      <c r="BC85" s="6">
        <f>Tabla2[[#This Row],[Forest Loss 2021]]/Tabla2[[#This Row],[Forest cover 2011]]</f>
        <v>2.2177877869701896E-2</v>
      </c>
      <c r="BD85" s="6">
        <f>Tabla2[[#This Row],[Forest Loss 2022]]/Tabla2[[#This Row],[Forest cover 2011]]</f>
        <v>1.1105790733454038E-2</v>
      </c>
      <c r="BE85" s="6">
        <f>Tabla2[[#This Row],[Forest Loss 2023]]/Tabla2[[#This Row],[Forest cover 2011]]</f>
        <v>1.9212568587579401E-2</v>
      </c>
      <c r="BF85" s="6">
        <f>Tabla2[[#This Row],[Forest Loss 2024]]/Tabla2[[#This Row],[Forest cover 2011]]</f>
        <v>1.8406718614739644E-2</v>
      </c>
    </row>
    <row r="86" spans="1:58" x14ac:dyDescent="0.25">
      <c r="A86" s="2">
        <v>20902</v>
      </c>
      <c r="B86" s="3" t="s">
        <v>88</v>
      </c>
      <c r="C86" t="s">
        <v>134</v>
      </c>
      <c r="D86">
        <v>841.86</v>
      </c>
      <c r="E86" s="4">
        <f>AVERAGE(Tabla2[[#This Row],[Deforestation 2012]:[Deforestation 2014]])</f>
        <v>0.42</v>
      </c>
      <c r="F86" s="4">
        <f>AVERAGE(Tabla2[[#This Row],[Deforestation 2022]:[Deforestation 2024]])</f>
        <v>30.3</v>
      </c>
      <c r="G86">
        <v>0.63</v>
      </c>
      <c r="H86">
        <v>0.27</v>
      </c>
      <c r="I86">
        <v>0.36</v>
      </c>
      <c r="J86">
        <v>0</v>
      </c>
      <c r="K86">
        <v>0.18</v>
      </c>
      <c r="L86">
        <v>0.18</v>
      </c>
      <c r="M86">
        <v>0</v>
      </c>
      <c r="N86">
        <v>1.35</v>
      </c>
      <c r="O86">
        <v>0.9</v>
      </c>
      <c r="P86">
        <v>3.69</v>
      </c>
      <c r="Q86">
        <v>9.99</v>
      </c>
      <c r="R86">
        <v>66.240000000000009</v>
      </c>
      <c r="S86">
        <v>14.67</v>
      </c>
      <c r="T86">
        <v>3.87</v>
      </c>
      <c r="U86">
        <v>3.06</v>
      </c>
      <c r="V86">
        <v>17.91</v>
      </c>
      <c r="W86">
        <v>0.9</v>
      </c>
      <c r="X86">
        <v>1.89</v>
      </c>
      <c r="Y86">
        <v>0.72</v>
      </c>
      <c r="Z86">
        <v>0.99</v>
      </c>
      <c r="AA86">
        <v>2.52</v>
      </c>
      <c r="AB86">
        <v>3.42</v>
      </c>
      <c r="AC86">
        <v>4.05</v>
      </c>
      <c r="AD86">
        <v>9.99</v>
      </c>
      <c r="AE86">
        <v>73.08</v>
      </c>
      <c r="AF86">
        <v>15.03</v>
      </c>
      <c r="AG86" s="5">
        <f>Tabla2[[#This Row],[Deforestation 2012]]/Tabla2[[#This Row],[Forest cover 2011]]</f>
        <v>7.483429548856104E-4</v>
      </c>
      <c r="AH86" s="6">
        <f>Tabla2[[#This Row],[Deforestation 2013]]/Tabla2[[#This Row],[Forest cover 2011]]</f>
        <v>3.2071840923669022E-4</v>
      </c>
      <c r="AI86" s="6">
        <f>Tabla2[[#This Row],[Deforestation 2014]]/Tabla2[[#This Row],[Forest cover 2011]]</f>
        <v>4.2762454564892024E-4</v>
      </c>
      <c r="AJ86" s="6">
        <f>Tabla2[[#This Row],[Deforestation 2015]]/Tabla2[[#This Row],[Forest cover 2011]]</f>
        <v>0</v>
      </c>
      <c r="AK86" s="6">
        <f>Tabla2[[#This Row],[Deforestation 2016]]/Tabla2[[#This Row],[Forest cover 2011]]</f>
        <v>2.1381227282446012E-4</v>
      </c>
      <c r="AL86" s="6">
        <f>Tabla2[[#This Row],[Deforestation 2017]]/Tabla2[[#This Row],[Forest cover 2011]]</f>
        <v>2.1381227282446012E-4</v>
      </c>
      <c r="AM86" s="6">
        <f>Tabla2[[#This Row],[Deforestation 2018]]/Tabla2[[#This Row],[Forest cover 2011]]</f>
        <v>0</v>
      </c>
      <c r="AN86" s="6">
        <f>Tabla2[[#This Row],[Deforestation 2019]]/Tabla2[[#This Row],[Forest cover 2011]]</f>
        <v>1.603592046183451E-3</v>
      </c>
      <c r="AO86" s="6">
        <f>Tabla2[[#This Row],[Deforestation 2020]]/Tabla2[[#This Row],[Forest cover 2011]]</f>
        <v>1.0690613641223007E-3</v>
      </c>
      <c r="AP86" s="6">
        <f>Tabla2[[#This Row],[Deforestation 2021]]/Tabla2[[#This Row],[Forest cover 2011]]</f>
        <v>4.383151592901432E-3</v>
      </c>
      <c r="AQ86" s="6">
        <f>Tabla2[[#This Row],[Deforestation 2022]]/Tabla2[[#This Row],[Forest cover 2011]]</f>
        <v>1.1866581141757537E-2</v>
      </c>
      <c r="AR86" s="6">
        <f>Tabla2[[#This Row],[Deforestation 2023]]/Tabla2[[#This Row],[Forest cover 2011]]</f>
        <v>7.8682916399401337E-2</v>
      </c>
      <c r="AS86" s="6">
        <f>Tabla2[[#This Row],[Deforestation 2024]]/Tabla2[[#This Row],[Forest cover 2011]]</f>
        <v>1.7425700235193499E-2</v>
      </c>
      <c r="AT86" s="6">
        <f>Tabla2[[#This Row],[Forest Loss 2012]]/Tabla2[[#This Row],[Forest cover 2011]]</f>
        <v>4.5969638657258928E-3</v>
      </c>
      <c r="AU86" s="6">
        <f>Tabla2[[#This Row],[Forest Loss 2013]]/Tabla2[[#This Row],[Forest cover 2011]]</f>
        <v>3.6348086380158223E-3</v>
      </c>
      <c r="AV86" s="6">
        <f>Tabla2[[#This Row],[Forest Loss 2014]]/Tabla2[[#This Row],[Forest cover 2011]]</f>
        <v>2.1274321146033781E-2</v>
      </c>
      <c r="AW86" s="6">
        <f>Tabla2[[#This Row],[Forest Loss 2015]]/Tabla2[[#This Row],[Forest cover 2011]]</f>
        <v>1.0690613641223007E-3</v>
      </c>
      <c r="AX86" s="6">
        <f>Tabla2[[#This Row],[Forest Loss 2016]]/Tabla2[[#This Row],[Forest cover 2011]]</f>
        <v>2.245028864656831E-3</v>
      </c>
      <c r="AY86" s="6">
        <f>Tabla2[[#This Row],[Forest Loss 2017]]/Tabla2[[#This Row],[Forest cover 2011]]</f>
        <v>8.5524909129784047E-4</v>
      </c>
      <c r="AZ86" s="6">
        <f>Tabla2[[#This Row],[Forest Loss 2018]]/Tabla2[[#This Row],[Forest cover 2011]]</f>
        <v>1.1759675005345307E-3</v>
      </c>
      <c r="BA86" s="6">
        <f>Tabla2[[#This Row],[Forest Loss 2019]]/Tabla2[[#This Row],[Forest cover 2011]]</f>
        <v>2.9933718195424416E-3</v>
      </c>
      <c r="BB86" s="6">
        <f>Tabla2[[#This Row],[Forest Loss 2020]]/Tabla2[[#This Row],[Forest cover 2011]]</f>
        <v>4.0624331836647421E-3</v>
      </c>
      <c r="BC86" s="6">
        <f>Tabla2[[#This Row],[Forest Loss 2021]]/Tabla2[[#This Row],[Forest cover 2011]]</f>
        <v>4.8107761385503527E-3</v>
      </c>
      <c r="BD86" s="6">
        <f>Tabla2[[#This Row],[Forest Loss 2022]]/Tabla2[[#This Row],[Forest cover 2011]]</f>
        <v>1.1866581141757537E-2</v>
      </c>
      <c r="BE86" s="6">
        <f>Tabla2[[#This Row],[Forest Loss 2023]]/Tabla2[[#This Row],[Forest cover 2011]]</f>
        <v>8.6807782766730804E-2</v>
      </c>
      <c r="BF86" s="6">
        <f>Tabla2[[#This Row],[Forest Loss 2024]]/Tabla2[[#This Row],[Forest cover 2011]]</f>
        <v>1.7853324780842419E-2</v>
      </c>
    </row>
    <row r="87" spans="1:58" x14ac:dyDescent="0.25">
      <c r="A87" s="2">
        <v>80703</v>
      </c>
      <c r="B87" s="3" t="s">
        <v>365</v>
      </c>
      <c r="C87" t="s">
        <v>379</v>
      </c>
      <c r="D87">
        <v>85748.400000000009</v>
      </c>
      <c r="E87" s="4">
        <f>AVERAGE(Tabla2[[#This Row],[Deforestation 2012]:[Deforestation 2014]])</f>
        <v>83.43</v>
      </c>
      <c r="F87" s="4">
        <f>AVERAGE(Tabla2[[#This Row],[Deforestation 2022]:[Deforestation 2024]])</f>
        <v>182.85000000000002</v>
      </c>
      <c r="G87">
        <v>88.740000000000009</v>
      </c>
      <c r="H87">
        <v>44.55</v>
      </c>
      <c r="I87">
        <v>117</v>
      </c>
      <c r="J87">
        <v>153.99</v>
      </c>
      <c r="K87">
        <v>125.01</v>
      </c>
      <c r="L87">
        <v>62.55</v>
      </c>
      <c r="M87">
        <v>18</v>
      </c>
      <c r="N87">
        <v>30.42</v>
      </c>
      <c r="O87">
        <v>118.53</v>
      </c>
      <c r="P87">
        <v>191.7</v>
      </c>
      <c r="Q87">
        <v>45.18</v>
      </c>
      <c r="R87">
        <v>108.9</v>
      </c>
      <c r="S87">
        <v>394.47</v>
      </c>
      <c r="T87">
        <v>1965.6</v>
      </c>
      <c r="U87">
        <v>1055.97</v>
      </c>
      <c r="V87">
        <v>3889.71</v>
      </c>
      <c r="W87">
        <v>482.4</v>
      </c>
      <c r="X87">
        <v>619.29</v>
      </c>
      <c r="Y87">
        <v>323.10000000000002</v>
      </c>
      <c r="Z87">
        <v>230.85</v>
      </c>
      <c r="AA87">
        <v>269.10000000000002</v>
      </c>
      <c r="AB87">
        <v>536.94000000000005</v>
      </c>
      <c r="AC87">
        <v>379.26</v>
      </c>
      <c r="AD87">
        <v>273.24</v>
      </c>
      <c r="AE87">
        <v>410.67</v>
      </c>
      <c r="AF87">
        <v>1529.28</v>
      </c>
      <c r="AG87" s="5">
        <f>Tabla2[[#This Row],[Deforestation 2012]]/Tabla2[[#This Row],[Forest cover 2011]]</f>
        <v>1.0348881145304169E-3</v>
      </c>
      <c r="AH87" s="6">
        <f>Tabla2[[#This Row],[Deforestation 2013]]/Tabla2[[#This Row],[Forest cover 2011]]</f>
        <v>5.1954322179772442E-4</v>
      </c>
      <c r="AI87" s="6">
        <f>Tabla2[[#This Row],[Deforestation 2014]]/Tabla2[[#This Row],[Forest cover 2011]]</f>
        <v>1.364456946135438E-3</v>
      </c>
      <c r="AJ87" s="6">
        <f>Tabla2[[#This Row],[Deforestation 2015]]/Tabla2[[#This Row],[Forest cover 2011]]</f>
        <v>1.7958352575674881E-3</v>
      </c>
      <c r="AK87" s="6">
        <f>Tabla2[[#This Row],[Deforestation 2016]]/Tabla2[[#This Row],[Forest cover 2011]]</f>
        <v>1.4578697678324026E-3</v>
      </c>
      <c r="AL87" s="6">
        <f>Tabla2[[#This Row],[Deforestation 2017]]/Tabla2[[#This Row],[Forest cover 2011]]</f>
        <v>7.2945967504933025E-4</v>
      </c>
      <c r="AM87" s="6">
        <f>Tabla2[[#This Row],[Deforestation 2018]]/Tabla2[[#This Row],[Forest cover 2011]]</f>
        <v>2.0991645325160583E-4</v>
      </c>
      <c r="AN87" s="6">
        <f>Tabla2[[#This Row],[Deforestation 2019]]/Tabla2[[#This Row],[Forest cover 2011]]</f>
        <v>3.5475880599521387E-4</v>
      </c>
      <c r="AO87" s="6">
        <f>Tabla2[[#This Row],[Deforestation 2020]]/Tabla2[[#This Row],[Forest cover 2011]]</f>
        <v>1.3822998446618245E-3</v>
      </c>
      <c r="AP87" s="6">
        <f>Tabla2[[#This Row],[Deforestation 2021]]/Tabla2[[#This Row],[Forest cover 2011]]</f>
        <v>2.2356102271296019E-3</v>
      </c>
      <c r="AQ87" s="6">
        <f>Tabla2[[#This Row],[Deforestation 2022]]/Tabla2[[#This Row],[Forest cover 2011]]</f>
        <v>5.2689029766153064E-4</v>
      </c>
      <c r="AR87" s="6">
        <f>Tabla2[[#This Row],[Deforestation 2023]]/Tabla2[[#This Row],[Forest cover 2011]]</f>
        <v>1.2699945421722153E-3</v>
      </c>
      <c r="AS87" s="6">
        <f>Tabla2[[#This Row],[Deforestation 2024]]/Tabla2[[#This Row],[Forest cover 2011]]</f>
        <v>4.6003190730089421E-3</v>
      </c>
      <c r="AT87" s="6">
        <f>Tabla2[[#This Row],[Forest Loss 2012]]/Tabla2[[#This Row],[Forest cover 2011]]</f>
        <v>2.2922876695075357E-2</v>
      </c>
      <c r="AU87" s="6">
        <f>Tabla2[[#This Row],[Forest Loss 2013]]/Tabla2[[#This Row],[Forest cover 2011]]</f>
        <v>1.2314748730005457E-2</v>
      </c>
      <c r="AV87" s="6">
        <f>Tabla2[[#This Row],[Forest Loss 2014]]/Tabla2[[#This Row],[Forest cover 2011]]</f>
        <v>4.5361895965405762E-2</v>
      </c>
      <c r="AW87" s="6">
        <f>Tabla2[[#This Row],[Forest Loss 2015]]/Tabla2[[#This Row],[Forest cover 2011]]</f>
        <v>5.6257609471430364E-3</v>
      </c>
      <c r="AX87" s="6">
        <f>Tabla2[[#This Row],[Forest Loss 2016]]/Tabla2[[#This Row],[Forest cover 2011]]</f>
        <v>7.2221755741214986E-3</v>
      </c>
      <c r="AY87" s="6">
        <f>Tabla2[[#This Row],[Forest Loss 2017]]/Tabla2[[#This Row],[Forest cover 2011]]</f>
        <v>3.7680003358663253E-3</v>
      </c>
      <c r="AZ87" s="6">
        <f>Tabla2[[#This Row],[Forest Loss 2018]]/Tabla2[[#This Row],[Forest cover 2011]]</f>
        <v>2.692178512951845E-3</v>
      </c>
      <c r="BA87" s="6">
        <f>Tabla2[[#This Row],[Forest Loss 2019]]/Tabla2[[#This Row],[Forest cover 2011]]</f>
        <v>3.1382509761115076E-3</v>
      </c>
      <c r="BB87" s="6">
        <f>Tabla2[[#This Row],[Forest Loss 2020]]/Tabla2[[#This Row],[Forest cover 2011]]</f>
        <v>6.2618078004954029E-3</v>
      </c>
      <c r="BC87" s="6">
        <f>Tabla2[[#This Row],[Forest Loss 2021]]/Tabla2[[#This Row],[Forest cover 2011]]</f>
        <v>4.4229396700113353E-3</v>
      </c>
      <c r="BD87" s="6">
        <f>Tabla2[[#This Row],[Forest Loss 2022]]/Tabla2[[#This Row],[Forest cover 2011]]</f>
        <v>3.1865317603593768E-3</v>
      </c>
      <c r="BE87" s="6">
        <f>Tabla2[[#This Row],[Forest Loss 2023]]/Tabla2[[#This Row],[Forest cover 2011]]</f>
        <v>4.7892438809353875E-3</v>
      </c>
      <c r="BF87" s="6">
        <f>Tabla2[[#This Row],[Forest Loss 2024]]/Tabla2[[#This Row],[Forest cover 2011]]</f>
        <v>1.7834501868256431E-2</v>
      </c>
    </row>
    <row r="88" spans="1:58" x14ac:dyDescent="0.25">
      <c r="A88" s="2">
        <v>80802</v>
      </c>
      <c r="B88" s="3" t="s">
        <v>365</v>
      </c>
      <c r="C88" t="s">
        <v>381</v>
      </c>
      <c r="D88">
        <v>1158756.8400000001</v>
      </c>
      <c r="E88" s="4">
        <f>AVERAGE(Tabla2[[#This Row],[Deforestation 2012]:[Deforestation 2014]])</f>
        <v>224.82000000000002</v>
      </c>
      <c r="F88" s="4">
        <f>AVERAGE(Tabla2[[#This Row],[Deforestation 2022]:[Deforestation 2024]])</f>
        <v>1121.28</v>
      </c>
      <c r="G88">
        <v>279.45</v>
      </c>
      <c r="H88">
        <v>141.66</v>
      </c>
      <c r="I88">
        <v>253.35</v>
      </c>
      <c r="J88">
        <v>189.27</v>
      </c>
      <c r="K88">
        <v>137.69999999999999</v>
      </c>
      <c r="L88">
        <v>276.83999999999997</v>
      </c>
      <c r="M88">
        <v>307.70999999999998</v>
      </c>
      <c r="N88">
        <v>383.31</v>
      </c>
      <c r="O88">
        <v>437.49</v>
      </c>
      <c r="P88">
        <v>404.01</v>
      </c>
      <c r="Q88">
        <v>793.71</v>
      </c>
      <c r="R88">
        <v>1089.54</v>
      </c>
      <c r="S88">
        <v>1480.59</v>
      </c>
      <c r="T88">
        <v>8257.68</v>
      </c>
      <c r="U88">
        <v>3152.34</v>
      </c>
      <c r="V88">
        <v>2736.9</v>
      </c>
      <c r="W88">
        <v>1391.76</v>
      </c>
      <c r="X88">
        <v>1634.67</v>
      </c>
      <c r="Y88">
        <v>4236.03</v>
      </c>
      <c r="Z88">
        <v>1163.8800000000001</v>
      </c>
      <c r="AA88">
        <v>2065.14</v>
      </c>
      <c r="AB88">
        <v>2221.29</v>
      </c>
      <c r="AC88">
        <v>639.54</v>
      </c>
      <c r="AD88">
        <v>2014.02</v>
      </c>
      <c r="AE88">
        <v>2198.6999999999998</v>
      </c>
      <c r="AF88">
        <v>20389.95</v>
      </c>
      <c r="AG88" s="5">
        <f>Tabla2[[#This Row],[Deforestation 2012]]/Tabla2[[#This Row],[Forest cover 2011]]</f>
        <v>2.4116362497588362E-4</v>
      </c>
      <c r="AH88" s="6">
        <f>Tabla2[[#This Row],[Deforestation 2013]]/Tabla2[[#This Row],[Forest cover 2011]]</f>
        <v>1.2225170554333036E-4</v>
      </c>
      <c r="AI88" s="6">
        <f>Tabla2[[#This Row],[Deforestation 2014]]/Tabla2[[#This Row],[Forest cover 2011]]</f>
        <v>2.1863948608924713E-4</v>
      </c>
      <c r="AJ88" s="6">
        <f>Tabla2[[#This Row],[Deforestation 2015]]/Tabla2[[#This Row],[Forest cover 2011]]</f>
        <v>1.6333884165033278E-4</v>
      </c>
      <c r="AK88" s="6">
        <f>Tabla2[[#This Row],[Deforestation 2016]]/Tabla2[[#This Row],[Forest cover 2011]]</f>
        <v>1.1883424998811656E-4</v>
      </c>
      <c r="AL88" s="6">
        <f>Tabla2[[#This Row],[Deforestation 2017]]/Tabla2[[#This Row],[Forest cover 2011]]</f>
        <v>2.3891121108721996E-4</v>
      </c>
      <c r="AM88" s="6">
        <f>Tabla2[[#This Row],[Deforestation 2018]]/Tabla2[[#This Row],[Forest cover 2011]]</f>
        <v>2.6555183052900033E-4</v>
      </c>
      <c r="AN88" s="6">
        <f>Tabla2[[#This Row],[Deforestation 2019]]/Tabla2[[#This Row],[Forest cover 2011]]</f>
        <v>3.3079416385580943E-4</v>
      </c>
      <c r="AO88" s="6">
        <f>Tabla2[[#This Row],[Deforestation 2020]]/Tabla2[[#This Row],[Forest cover 2011]]</f>
        <v>3.7755116940668931E-4</v>
      </c>
      <c r="AP88" s="6">
        <f>Tabla2[[#This Row],[Deforestation 2021]]/Tabla2[[#This Row],[Forest cover 2011]]</f>
        <v>3.4865813607624528E-4</v>
      </c>
      <c r="AQ88" s="6">
        <f>Tabla2[[#This Row],[Deforestation 2022]]/Tabla2[[#This Row],[Forest cover 2011]]</f>
        <v>6.8496683048705886E-4</v>
      </c>
      <c r="AR88" s="6">
        <f>Tabla2[[#This Row],[Deforestation 2023]]/Tabla2[[#This Row],[Forest cover 2011]]</f>
        <v>9.4026629435041767E-4</v>
      </c>
      <c r="AS88" s="6">
        <f>Tabla2[[#This Row],[Deforestation 2024]]/Tabla2[[#This Row],[Forest cover 2011]]</f>
        <v>1.2777400304277815E-3</v>
      </c>
      <c r="AT88" s="6">
        <f>Tabla2[[#This Row],[Forest Loss 2012]]/Tabla2[[#This Row],[Forest cover 2011]]</f>
        <v>7.1263268659540338E-3</v>
      </c>
      <c r="AU88" s="6">
        <f>Tabla2[[#This Row],[Forest Loss 2013]]/Tabla2[[#This Row],[Forest cover 2011]]</f>
        <v>2.7204499608390661E-3</v>
      </c>
      <c r="AV88" s="6">
        <f>Tabla2[[#This Row],[Forest Loss 2014]]/Tabla2[[#This Row],[Forest cover 2011]]</f>
        <v>2.3619278053193626E-3</v>
      </c>
      <c r="AW88" s="6">
        <f>Tabla2[[#This Row],[Forest Loss 2015]]/Tabla2[[#This Row],[Forest cover 2011]]</f>
        <v>1.2010802887687808E-3</v>
      </c>
      <c r="AX88" s="6">
        <f>Tabla2[[#This Row],[Forest Loss 2016]]/Tabla2[[#This Row],[Forest cover 2011]]</f>
        <v>1.4107101193033733E-3</v>
      </c>
      <c r="AY88" s="6">
        <f>Tabla2[[#This Row],[Forest Loss 2017]]/Tabla2[[#This Row],[Forest cover 2011]]</f>
        <v>3.6556677413010995E-3</v>
      </c>
      <c r="AZ88" s="6">
        <f>Tabla2[[#This Row],[Forest Loss 2018]]/Tabla2[[#This Row],[Forest cover 2011]]</f>
        <v>1.0044212554551134E-3</v>
      </c>
      <c r="BA88" s="6">
        <f>Tabla2[[#This Row],[Forest Loss 2019]]/Tabla2[[#This Row],[Forest cover 2011]]</f>
        <v>1.7822030720440016E-3</v>
      </c>
      <c r="BB88" s="6">
        <f>Tabla2[[#This Row],[Forest Loss 2020]]/Tabla2[[#This Row],[Forest cover 2011]]</f>
        <v>1.9169595581416373E-3</v>
      </c>
      <c r="BC88" s="6">
        <f>Tabla2[[#This Row],[Forest Loss 2021]]/Tabla2[[#This Row],[Forest cover 2011]]</f>
        <v>5.5191907216703027E-4</v>
      </c>
      <c r="BD88" s="6">
        <f>Tabla2[[#This Row],[Forest Loss 2022]]/Tabla2[[#This Row],[Forest cover 2011]]</f>
        <v>1.7380868276039689E-3</v>
      </c>
      <c r="BE88" s="6">
        <f>Tabla2[[#This Row],[Forest Loss 2023]]/Tabla2[[#This Row],[Forest cover 2011]]</f>
        <v>1.897464527588031E-3</v>
      </c>
      <c r="BF88" s="6">
        <f>Tabla2[[#This Row],[Forest Loss 2024]]/Tabla2[[#This Row],[Forest cover 2011]]</f>
        <v>1.759640098435147E-2</v>
      </c>
    </row>
    <row r="89" spans="1:58" x14ac:dyDescent="0.25">
      <c r="A89" s="2">
        <v>20904</v>
      </c>
      <c r="B89" s="3" t="s">
        <v>88</v>
      </c>
      <c r="C89" t="s">
        <v>136</v>
      </c>
      <c r="D89">
        <v>222.03</v>
      </c>
      <c r="E89" s="4">
        <f>AVERAGE(Tabla2[[#This Row],[Deforestation 2012]:[Deforestation 2014]])</f>
        <v>0.03</v>
      </c>
      <c r="F89" s="4">
        <f>AVERAGE(Tabla2[[#This Row],[Deforestation 2022]:[Deforestation 2024]])</f>
        <v>4.7699999999999996</v>
      </c>
      <c r="G89">
        <v>0.09</v>
      </c>
      <c r="H89">
        <v>0</v>
      </c>
      <c r="I89">
        <v>0</v>
      </c>
      <c r="J89">
        <v>0</v>
      </c>
      <c r="K89">
        <v>0</v>
      </c>
      <c r="L89">
        <v>0</v>
      </c>
      <c r="M89">
        <v>0.09</v>
      </c>
      <c r="N89">
        <v>0.45</v>
      </c>
      <c r="O89">
        <v>0.72</v>
      </c>
      <c r="P89">
        <v>0.27</v>
      </c>
      <c r="Q89">
        <v>0</v>
      </c>
      <c r="R89">
        <v>10.53</v>
      </c>
      <c r="S89">
        <v>3.78</v>
      </c>
      <c r="T89">
        <v>1.44</v>
      </c>
      <c r="U89">
        <v>0.18</v>
      </c>
      <c r="V89">
        <v>2.34</v>
      </c>
      <c r="W89">
        <v>0.27</v>
      </c>
      <c r="X89">
        <v>0.09</v>
      </c>
      <c r="Y89">
        <v>1.08</v>
      </c>
      <c r="Z89">
        <v>1.26</v>
      </c>
      <c r="AA89">
        <v>5.94</v>
      </c>
      <c r="AB89">
        <v>8.73</v>
      </c>
      <c r="AC89">
        <v>0.27</v>
      </c>
      <c r="AD89">
        <v>0</v>
      </c>
      <c r="AE89">
        <v>11.97</v>
      </c>
      <c r="AF89">
        <v>3.78</v>
      </c>
      <c r="AG89" s="5">
        <f>Tabla2[[#This Row],[Deforestation 2012]]/Tabla2[[#This Row],[Forest cover 2011]]</f>
        <v>4.0535062829347385E-4</v>
      </c>
      <c r="AH89" s="6">
        <f>Tabla2[[#This Row],[Deforestation 2013]]/Tabla2[[#This Row],[Forest cover 2011]]</f>
        <v>0</v>
      </c>
      <c r="AI89" s="6">
        <f>Tabla2[[#This Row],[Deforestation 2014]]/Tabla2[[#This Row],[Forest cover 2011]]</f>
        <v>0</v>
      </c>
      <c r="AJ89" s="6">
        <f>Tabla2[[#This Row],[Deforestation 2015]]/Tabla2[[#This Row],[Forest cover 2011]]</f>
        <v>0</v>
      </c>
      <c r="AK89" s="6">
        <f>Tabla2[[#This Row],[Deforestation 2016]]/Tabla2[[#This Row],[Forest cover 2011]]</f>
        <v>0</v>
      </c>
      <c r="AL89" s="6">
        <f>Tabla2[[#This Row],[Deforestation 2017]]/Tabla2[[#This Row],[Forest cover 2011]]</f>
        <v>0</v>
      </c>
      <c r="AM89" s="6">
        <f>Tabla2[[#This Row],[Deforestation 2018]]/Tabla2[[#This Row],[Forest cover 2011]]</f>
        <v>4.0535062829347385E-4</v>
      </c>
      <c r="AN89" s="6">
        <f>Tabla2[[#This Row],[Deforestation 2019]]/Tabla2[[#This Row],[Forest cover 2011]]</f>
        <v>2.0267531414673691E-3</v>
      </c>
      <c r="AO89" s="6">
        <f>Tabla2[[#This Row],[Deforestation 2020]]/Tabla2[[#This Row],[Forest cover 2011]]</f>
        <v>3.2428050263477908E-3</v>
      </c>
      <c r="AP89" s="6">
        <f>Tabla2[[#This Row],[Deforestation 2021]]/Tabla2[[#This Row],[Forest cover 2011]]</f>
        <v>1.2160518848804217E-3</v>
      </c>
      <c r="AQ89" s="6">
        <f>Tabla2[[#This Row],[Deforestation 2022]]/Tabla2[[#This Row],[Forest cover 2011]]</f>
        <v>0</v>
      </c>
      <c r="AR89" s="6">
        <f>Tabla2[[#This Row],[Deforestation 2023]]/Tabla2[[#This Row],[Forest cover 2011]]</f>
        <v>4.7426023510336437E-2</v>
      </c>
      <c r="AS89" s="6">
        <f>Tabla2[[#This Row],[Deforestation 2024]]/Tabla2[[#This Row],[Forest cover 2011]]</f>
        <v>1.70247263883259E-2</v>
      </c>
      <c r="AT89" s="6">
        <f>Tabla2[[#This Row],[Forest Loss 2012]]/Tabla2[[#This Row],[Forest cover 2011]]</f>
        <v>6.4856100526955816E-3</v>
      </c>
      <c r="AU89" s="6">
        <f>Tabla2[[#This Row],[Forest Loss 2013]]/Tabla2[[#This Row],[Forest cover 2011]]</f>
        <v>8.107012565869477E-4</v>
      </c>
      <c r="AV89" s="6">
        <f>Tabla2[[#This Row],[Forest Loss 2014]]/Tabla2[[#This Row],[Forest cover 2011]]</f>
        <v>1.053911633563032E-2</v>
      </c>
      <c r="AW89" s="6">
        <f>Tabla2[[#This Row],[Forest Loss 2015]]/Tabla2[[#This Row],[Forest cover 2011]]</f>
        <v>1.2160518848804217E-3</v>
      </c>
      <c r="AX89" s="6">
        <f>Tabla2[[#This Row],[Forest Loss 2016]]/Tabla2[[#This Row],[Forest cover 2011]]</f>
        <v>4.0535062829347385E-4</v>
      </c>
      <c r="AY89" s="6">
        <f>Tabla2[[#This Row],[Forest Loss 2017]]/Tabla2[[#This Row],[Forest cover 2011]]</f>
        <v>4.8642075395216866E-3</v>
      </c>
      <c r="AZ89" s="6">
        <f>Tabla2[[#This Row],[Forest Loss 2018]]/Tabla2[[#This Row],[Forest cover 2011]]</f>
        <v>5.6749087961086341E-3</v>
      </c>
      <c r="BA89" s="6">
        <f>Tabla2[[#This Row],[Forest Loss 2019]]/Tabla2[[#This Row],[Forest cover 2011]]</f>
        <v>2.6753141467369276E-2</v>
      </c>
      <c r="BB89" s="6">
        <f>Tabla2[[#This Row],[Forest Loss 2020]]/Tabla2[[#This Row],[Forest cover 2011]]</f>
        <v>3.9319010944466964E-2</v>
      </c>
      <c r="BC89" s="6">
        <f>Tabla2[[#This Row],[Forest Loss 2021]]/Tabla2[[#This Row],[Forest cover 2011]]</f>
        <v>1.2160518848804217E-3</v>
      </c>
      <c r="BD89" s="6">
        <f>Tabla2[[#This Row],[Forest Loss 2022]]/Tabla2[[#This Row],[Forest cover 2011]]</f>
        <v>0</v>
      </c>
      <c r="BE89" s="6">
        <f>Tabla2[[#This Row],[Forest Loss 2023]]/Tabla2[[#This Row],[Forest cover 2011]]</f>
        <v>5.3911633563032024E-2</v>
      </c>
      <c r="BF89" s="6">
        <f>Tabla2[[#This Row],[Forest Loss 2024]]/Tabla2[[#This Row],[Forest cover 2011]]</f>
        <v>1.70247263883259E-2</v>
      </c>
    </row>
    <row r="90" spans="1:58" x14ac:dyDescent="0.25">
      <c r="A90" s="2">
        <v>60202</v>
      </c>
      <c r="B90" s="3" t="s">
        <v>300</v>
      </c>
      <c r="C90" t="s">
        <v>302</v>
      </c>
      <c r="D90">
        <v>25936.92</v>
      </c>
      <c r="E90" s="4">
        <f>AVERAGE(Tabla2[[#This Row],[Deforestation 2012]:[Deforestation 2014]])</f>
        <v>217.71000000000004</v>
      </c>
      <c r="F90" s="4">
        <f>AVERAGE(Tabla2[[#This Row],[Deforestation 2022]:[Deforestation 2024]])</f>
        <v>364.59</v>
      </c>
      <c r="G90">
        <v>108.45</v>
      </c>
      <c r="H90">
        <v>410.22</v>
      </c>
      <c r="I90">
        <v>134.46</v>
      </c>
      <c r="J90">
        <v>66.239999999999995</v>
      </c>
      <c r="K90">
        <v>54.54</v>
      </c>
      <c r="L90">
        <v>64.98</v>
      </c>
      <c r="M90">
        <v>52.74</v>
      </c>
      <c r="N90">
        <v>71.19</v>
      </c>
      <c r="O90">
        <v>188.37</v>
      </c>
      <c r="P90">
        <v>111.78</v>
      </c>
      <c r="Q90">
        <v>216.81</v>
      </c>
      <c r="R90">
        <v>471.69000000000011</v>
      </c>
      <c r="S90">
        <v>405.27</v>
      </c>
      <c r="T90">
        <v>120.96</v>
      </c>
      <c r="U90">
        <v>412.92</v>
      </c>
      <c r="V90">
        <v>137.43</v>
      </c>
      <c r="W90">
        <v>68.039999999999992</v>
      </c>
      <c r="X90">
        <v>61.38</v>
      </c>
      <c r="Y90">
        <v>65.88</v>
      </c>
      <c r="Z90">
        <v>63</v>
      </c>
      <c r="AA90">
        <v>77.400000000000006</v>
      </c>
      <c r="AB90">
        <v>203.04</v>
      </c>
      <c r="AC90">
        <v>125.64</v>
      </c>
      <c r="AD90">
        <v>233.46</v>
      </c>
      <c r="AE90">
        <v>484.92</v>
      </c>
      <c r="AF90">
        <v>429.48</v>
      </c>
      <c r="AG90" s="5">
        <f>Tabla2[[#This Row],[Deforestation 2012]]/Tabla2[[#This Row],[Forest cover 2011]]</f>
        <v>4.1812983191527753E-3</v>
      </c>
      <c r="AH90" s="6">
        <f>Tabla2[[#This Row],[Deforestation 2013]]/Tabla2[[#This Row],[Forest cover 2011]]</f>
        <v>1.5816064513442616E-2</v>
      </c>
      <c r="AI90" s="6">
        <f>Tabla2[[#This Row],[Deforestation 2014]]/Tabla2[[#This Row],[Forest cover 2011]]</f>
        <v>5.184115924327176E-3</v>
      </c>
      <c r="AJ90" s="6">
        <f>Tabla2[[#This Row],[Deforestation 2015]]/Tabla2[[#This Row],[Forest cover 2011]]</f>
        <v>2.5538884339389566E-3</v>
      </c>
      <c r="AK90" s="6">
        <f>Tabla2[[#This Row],[Deforestation 2016]]/Tabla2[[#This Row],[Forest cover 2011]]</f>
        <v>2.1027940094660432E-3</v>
      </c>
      <c r="AL90" s="6">
        <f>Tabla2[[#This Row],[Deforestation 2017]]/Tabla2[[#This Row],[Forest cover 2011]]</f>
        <v>2.5053090343803352E-3</v>
      </c>
      <c r="AM90" s="6">
        <f>Tabla2[[#This Row],[Deforestation 2018]]/Tabla2[[#This Row],[Forest cover 2011]]</f>
        <v>2.0333948672394413E-3</v>
      </c>
      <c r="AN90" s="6">
        <f>Tabla2[[#This Row],[Deforestation 2019]]/Tabla2[[#This Row],[Forest cover 2011]]</f>
        <v>2.7447360750621121E-3</v>
      </c>
      <c r="AO90" s="6">
        <f>Tabla2[[#This Row],[Deforestation 2020]]/Tabla2[[#This Row],[Forest cover 2011]]</f>
        <v>7.2626202340139081E-3</v>
      </c>
      <c r="AP90" s="6">
        <f>Tabla2[[#This Row],[Deforestation 2021]]/Tabla2[[#This Row],[Forest cover 2011]]</f>
        <v>4.3096867322719896E-3</v>
      </c>
      <c r="AQ90" s="6">
        <f>Tabla2[[#This Row],[Deforestation 2022]]/Tabla2[[#This Row],[Forest cover 2011]]</f>
        <v>8.3591266811942205E-3</v>
      </c>
      <c r="AR90" s="6">
        <f>Tabla2[[#This Row],[Deforestation 2023]]/Tabla2[[#This Row],[Forest cover 2011]]</f>
        <v>1.8186045220481079E-2</v>
      </c>
      <c r="AS90" s="6">
        <f>Tabla2[[#This Row],[Deforestation 2024]]/Tabla2[[#This Row],[Forest cover 2011]]</f>
        <v>1.5625216872319457E-2</v>
      </c>
      <c r="AT90" s="6">
        <f>Tabla2[[#This Row],[Forest Loss 2012]]/Tabla2[[#This Row],[Forest cover 2011]]</f>
        <v>4.6636223576276602E-3</v>
      </c>
      <c r="AU90" s="6">
        <f>Tabla2[[#This Row],[Forest Loss 2013]]/Tabla2[[#This Row],[Forest cover 2011]]</f>
        <v>1.5920163226782517E-2</v>
      </c>
      <c r="AV90" s="6">
        <f>Tabla2[[#This Row],[Forest Loss 2014]]/Tabla2[[#This Row],[Forest cover 2011]]</f>
        <v>5.2986245090010696E-3</v>
      </c>
      <c r="AW90" s="6">
        <f>Tabla2[[#This Row],[Forest Loss 2015]]/Tabla2[[#This Row],[Forest cover 2011]]</f>
        <v>2.6232875761655586E-3</v>
      </c>
      <c r="AX90" s="6">
        <f>Tabla2[[#This Row],[Forest Loss 2016]]/Tabla2[[#This Row],[Forest cover 2011]]</f>
        <v>2.3665107499271313E-3</v>
      </c>
      <c r="AY90" s="6">
        <f>Tabla2[[#This Row],[Forest Loss 2017]]/Tabla2[[#This Row],[Forest cover 2011]]</f>
        <v>2.540008605493636E-3</v>
      </c>
      <c r="AZ90" s="6">
        <f>Tabla2[[#This Row],[Forest Loss 2018]]/Tabla2[[#This Row],[Forest cover 2011]]</f>
        <v>2.4289699779310729E-3</v>
      </c>
      <c r="BA90" s="6">
        <f>Tabla2[[#This Row],[Forest Loss 2019]]/Tabla2[[#This Row],[Forest cover 2011]]</f>
        <v>2.9841631157438899E-3</v>
      </c>
      <c r="BB90" s="6">
        <f>Tabla2[[#This Row],[Forest Loss 2020]]/Tabla2[[#This Row],[Forest cover 2011]]</f>
        <v>7.8282232431607143E-3</v>
      </c>
      <c r="BC90" s="6">
        <f>Tabla2[[#This Row],[Forest Loss 2021]]/Tabla2[[#This Row],[Forest cover 2011]]</f>
        <v>4.8440601274168252E-3</v>
      </c>
      <c r="BD90" s="6">
        <f>Tabla2[[#This Row],[Forest Loss 2022]]/Tabla2[[#This Row],[Forest cover 2011]]</f>
        <v>9.0010687467902903E-3</v>
      </c>
      <c r="BE90" s="6">
        <f>Tabla2[[#This Row],[Forest Loss 2023]]/Tabla2[[#This Row],[Forest cover 2011]]</f>
        <v>1.8696128915846603E-2</v>
      </c>
      <c r="BF90" s="6">
        <f>Tabla2[[#This Row],[Forest Loss 2024]]/Tabla2[[#This Row],[Forest cover 2011]]</f>
        <v>1.6558635335267257E-2</v>
      </c>
    </row>
    <row r="91" spans="1:58" x14ac:dyDescent="0.25">
      <c r="A91" s="2">
        <v>60301</v>
      </c>
      <c r="B91" s="3" t="s">
        <v>300</v>
      </c>
      <c r="C91" t="s">
        <v>303</v>
      </c>
      <c r="D91">
        <v>305201.25</v>
      </c>
      <c r="E91" s="4">
        <f>AVERAGE(Tabla2[[#This Row],[Deforestation 2012]:[Deforestation 2014]])</f>
        <v>4233.1500000000005</v>
      </c>
      <c r="F91" s="4">
        <f>AVERAGE(Tabla2[[#This Row],[Deforestation 2022]:[Deforestation 2024]])</f>
        <v>7191.9900000000007</v>
      </c>
      <c r="G91">
        <v>5011.29</v>
      </c>
      <c r="H91">
        <v>5540.9400000000014</v>
      </c>
      <c r="I91">
        <v>2147.2199999999998</v>
      </c>
      <c r="J91">
        <v>1242.9000000000001</v>
      </c>
      <c r="K91">
        <v>2391.5700000000002</v>
      </c>
      <c r="L91">
        <v>1894.77</v>
      </c>
      <c r="M91">
        <v>6275.7</v>
      </c>
      <c r="N91">
        <v>6332.4</v>
      </c>
      <c r="O91">
        <v>5341.41</v>
      </c>
      <c r="P91">
        <v>6579.81</v>
      </c>
      <c r="Q91">
        <v>9470.07</v>
      </c>
      <c r="R91">
        <v>7197.48</v>
      </c>
      <c r="S91">
        <v>4908.42</v>
      </c>
      <c r="T91">
        <v>5157.18</v>
      </c>
      <c r="U91">
        <v>5613.21</v>
      </c>
      <c r="V91">
        <v>2244.96</v>
      </c>
      <c r="W91">
        <v>1268.0999999999999</v>
      </c>
      <c r="X91">
        <v>2414.4299999999998</v>
      </c>
      <c r="Y91">
        <v>1904.58</v>
      </c>
      <c r="Z91">
        <v>6321.42</v>
      </c>
      <c r="AA91">
        <v>6372.09</v>
      </c>
      <c r="AB91">
        <v>5373</v>
      </c>
      <c r="AC91">
        <v>6593.85</v>
      </c>
      <c r="AD91">
        <v>9489.24</v>
      </c>
      <c r="AE91">
        <v>10318.32</v>
      </c>
      <c r="AF91">
        <v>5043.1499999999996</v>
      </c>
      <c r="AG91" s="5">
        <f>Tabla2[[#This Row],[Deforestation 2012]]/Tabla2[[#This Row],[Forest cover 2011]]</f>
        <v>1.6419624755796381E-2</v>
      </c>
      <c r="AH91" s="6">
        <f>Tabla2[[#This Row],[Deforestation 2013]]/Tabla2[[#This Row],[Forest cover 2011]]</f>
        <v>1.8155037045228358E-2</v>
      </c>
      <c r="AI91" s="6">
        <f>Tabla2[[#This Row],[Deforestation 2014]]/Tabla2[[#This Row],[Forest cover 2011]]</f>
        <v>7.0354233477090931E-3</v>
      </c>
      <c r="AJ91" s="6">
        <f>Tabla2[[#This Row],[Deforestation 2015]]/Tabla2[[#This Row],[Forest cover 2011]]</f>
        <v>4.0723948542150468E-3</v>
      </c>
      <c r="AK91" s="6">
        <f>Tabla2[[#This Row],[Deforestation 2016]]/Tabla2[[#This Row],[Forest cover 2011]]</f>
        <v>7.8360426112278371E-3</v>
      </c>
      <c r="AL91" s="6">
        <f>Tabla2[[#This Row],[Deforestation 2017]]/Tabla2[[#This Row],[Forest cover 2011]]</f>
        <v>6.2082642191013306E-3</v>
      </c>
      <c r="AM91" s="6">
        <f>Tabla2[[#This Row],[Deforestation 2018]]/Tabla2[[#This Row],[Forest cover 2011]]</f>
        <v>2.0562497696192266E-2</v>
      </c>
      <c r="AN91" s="6">
        <f>Tabla2[[#This Row],[Deforestation 2019]]/Tabla2[[#This Row],[Forest cover 2011]]</f>
        <v>2.0748276751815398E-2</v>
      </c>
      <c r="AO91" s="6">
        <f>Tabla2[[#This Row],[Deforestation 2020]]/Tabla2[[#This Row],[Forest cover 2011]]</f>
        <v>1.750127170186885E-2</v>
      </c>
      <c r="AP91" s="6">
        <f>Tabla2[[#This Row],[Deforestation 2021]]/Tabla2[[#This Row],[Forest cover 2011]]</f>
        <v>2.1558922186589998E-2</v>
      </c>
      <c r="AQ91" s="6">
        <f>Tabla2[[#This Row],[Deforestation 2022]]/Tabla2[[#This Row],[Forest cover 2011]]</f>
        <v>3.1028935825131776E-2</v>
      </c>
      <c r="AR91" s="6">
        <f>Tabla2[[#This Row],[Deforestation 2023]]/Tabla2[[#This Row],[Forest cover 2011]]</f>
        <v>2.3582734343322642E-2</v>
      </c>
      <c r="AS91" s="6">
        <f>Tabla2[[#This Row],[Deforestation 2024]]/Tabla2[[#This Row],[Forest cover 2011]]</f>
        <v>1.6082568469165837E-2</v>
      </c>
      <c r="AT91" s="6">
        <f>Tabla2[[#This Row],[Forest Loss 2012]]/Tabla2[[#This Row],[Forest cover 2011]]</f>
        <v>1.6897637214788604E-2</v>
      </c>
      <c r="AU91" s="6">
        <f>Tabla2[[#This Row],[Forest Loss 2013]]/Tabla2[[#This Row],[Forest cover 2011]]</f>
        <v>1.8391831619300379E-2</v>
      </c>
      <c r="AV91" s="6">
        <f>Tabla2[[#This Row],[Forest Loss 2014]]/Tabla2[[#This Row],[Forest cover 2011]]</f>
        <v>7.3556710531165912E-3</v>
      </c>
      <c r="AW91" s="6">
        <f>Tabla2[[#This Row],[Forest Loss 2015]]/Tabla2[[#This Row],[Forest cover 2011]]</f>
        <v>4.1549633233808839E-3</v>
      </c>
      <c r="AX91" s="6">
        <f>Tabla2[[#This Row],[Forest Loss 2016]]/Tabla2[[#This Row],[Forest cover 2011]]</f>
        <v>7.9109440082568462E-3</v>
      </c>
      <c r="AY91" s="6">
        <f>Tabla2[[#This Row],[Forest Loss 2017]]/Tabla2[[#This Row],[Forest cover 2011]]</f>
        <v>6.2404069445980313E-3</v>
      </c>
      <c r="AZ91" s="6">
        <f>Tabla2[[#This Row],[Forest Loss 2018]]/Tabla2[[#This Row],[Forest cover 2011]]</f>
        <v>2.0712300490250284E-2</v>
      </c>
      <c r="BA91" s="6">
        <f>Tabla2[[#This Row],[Forest Loss 2019]]/Tabla2[[#This Row],[Forest cover 2011]]</f>
        <v>2.0878322090751595E-2</v>
      </c>
      <c r="BB91" s="6">
        <f>Tabla2[[#This Row],[Forest Loss 2020]]/Tabla2[[#This Row],[Forest cover 2011]]</f>
        <v>1.7604777175716024E-2</v>
      </c>
      <c r="BC91" s="6">
        <f>Tabla2[[#This Row],[Forest Loss 2021]]/Tabla2[[#This Row],[Forest cover 2011]]</f>
        <v>2.1604924619410965E-2</v>
      </c>
      <c r="BD91" s="6">
        <f>Tabla2[[#This Row],[Forest Loss 2022]]/Tabla2[[#This Row],[Forest cover 2011]]</f>
        <v>3.1091746839175788E-2</v>
      </c>
      <c r="BE91" s="6">
        <f>Tabla2[[#This Row],[Forest Loss 2023]]/Tabla2[[#This Row],[Forest cover 2011]]</f>
        <v>3.3808249474731836E-2</v>
      </c>
      <c r="BF91" s="6">
        <f>Tabla2[[#This Row],[Forest Loss 2024]]/Tabla2[[#This Row],[Forest cover 2011]]</f>
        <v>1.6524014891813189E-2</v>
      </c>
    </row>
    <row r="92" spans="1:58" x14ac:dyDescent="0.25">
      <c r="A92" s="2">
        <v>20601</v>
      </c>
      <c r="B92" s="3" t="s">
        <v>88</v>
      </c>
      <c r="C92" t="s">
        <v>116</v>
      </c>
      <c r="D92">
        <v>57828.959999999999</v>
      </c>
      <c r="E92" s="4">
        <f>AVERAGE(Tabla2[[#This Row],[Deforestation 2012]:[Deforestation 2014]])</f>
        <v>51.449999999999996</v>
      </c>
      <c r="F92" s="4">
        <f>AVERAGE(Tabla2[[#This Row],[Deforestation 2022]:[Deforestation 2024]])</f>
        <v>131.46</v>
      </c>
      <c r="G92">
        <v>50.489999999999988</v>
      </c>
      <c r="H92">
        <v>51.48</v>
      </c>
      <c r="I92">
        <v>52.38</v>
      </c>
      <c r="J92">
        <v>29.7</v>
      </c>
      <c r="K92">
        <v>40.32</v>
      </c>
      <c r="L92">
        <v>19.440000000000001</v>
      </c>
      <c r="M92">
        <v>46.89</v>
      </c>
      <c r="N92">
        <v>22.41</v>
      </c>
      <c r="O92">
        <v>71.64</v>
      </c>
      <c r="P92">
        <v>8.91</v>
      </c>
      <c r="Q92">
        <v>22.59</v>
      </c>
      <c r="R92">
        <v>205.2</v>
      </c>
      <c r="S92">
        <v>166.59</v>
      </c>
      <c r="T92">
        <v>330.66</v>
      </c>
      <c r="U92">
        <v>131.22</v>
      </c>
      <c r="V92">
        <v>189.18</v>
      </c>
      <c r="W92">
        <v>83.34</v>
      </c>
      <c r="X92">
        <v>68.489999999999995</v>
      </c>
      <c r="Y92">
        <v>30.69</v>
      </c>
      <c r="Z92">
        <v>72.72</v>
      </c>
      <c r="AA92">
        <v>224.46</v>
      </c>
      <c r="AB92">
        <v>104.94</v>
      </c>
      <c r="AC92">
        <v>34.11</v>
      </c>
      <c r="AD92">
        <v>32.76</v>
      </c>
      <c r="AE92">
        <v>239.85</v>
      </c>
      <c r="AF92">
        <v>947.06999999999994</v>
      </c>
      <c r="AG92" s="5">
        <f>Tabla2[[#This Row],[Deforestation 2012]]/Tabla2[[#This Row],[Forest cover 2011]]</f>
        <v>8.7309195946114171E-4</v>
      </c>
      <c r="AH92" s="6">
        <f>Tabla2[[#This Row],[Deforestation 2013]]/Tabla2[[#This Row],[Forest cover 2011]]</f>
        <v>8.9021140964665451E-4</v>
      </c>
      <c r="AI92" s="6">
        <f>Tabla2[[#This Row],[Deforestation 2014]]/Tabla2[[#This Row],[Forest cover 2011]]</f>
        <v>9.0577454617893881E-4</v>
      </c>
      <c r="AJ92" s="6">
        <f>Tabla2[[#This Row],[Deforestation 2015]]/Tabla2[[#This Row],[Forest cover 2011]]</f>
        <v>5.1358350556537761E-4</v>
      </c>
      <c r="AK92" s="6">
        <f>Tabla2[[#This Row],[Deforestation 2016]]/Tabla2[[#This Row],[Forest cover 2011]]</f>
        <v>6.972285166463309E-4</v>
      </c>
      <c r="AL92" s="6">
        <f>Tabla2[[#This Row],[Deforestation 2017]]/Tabla2[[#This Row],[Forest cover 2011]]</f>
        <v>3.3616374909733809E-4</v>
      </c>
      <c r="AM92" s="6">
        <f>Tabla2[[#This Row],[Deforestation 2018]]/Tabla2[[#This Row],[Forest cover 2011]]</f>
        <v>8.1083941333200528E-4</v>
      </c>
      <c r="AN92" s="6">
        <f>Tabla2[[#This Row],[Deforestation 2019]]/Tabla2[[#This Row],[Forest cover 2011]]</f>
        <v>3.8752209965387587E-4</v>
      </c>
      <c r="AO92" s="6">
        <f>Tabla2[[#This Row],[Deforestation 2020]]/Tabla2[[#This Row],[Forest cover 2011]]</f>
        <v>1.2388256679698199E-3</v>
      </c>
      <c r="AP92" s="6">
        <f>Tabla2[[#This Row],[Deforestation 2021]]/Tabla2[[#This Row],[Forest cover 2011]]</f>
        <v>1.5407505166961329E-4</v>
      </c>
      <c r="AQ92" s="6">
        <f>Tabla2[[#This Row],[Deforestation 2022]]/Tabla2[[#This Row],[Forest cover 2011]]</f>
        <v>3.906347269603327E-4</v>
      </c>
      <c r="AR92" s="6">
        <f>Tabla2[[#This Row],[Deforestation 2023]]/Tabla2[[#This Row],[Forest cover 2011]]</f>
        <v>3.5483951293607905E-3</v>
      </c>
      <c r="AS92" s="6">
        <f>Tabla2[[#This Row],[Deforestation 2024]]/Tabla2[[#This Row],[Forest cover 2011]]</f>
        <v>2.8807365721257999E-3</v>
      </c>
      <c r="AT92" s="6">
        <f>Tabla2[[#This Row],[Forest Loss 2012]]/Tabla2[[#This Row],[Forest cover 2011]]</f>
        <v>5.717896361961205E-3</v>
      </c>
      <c r="AU92" s="6">
        <f>Tabla2[[#This Row],[Forest Loss 2013]]/Tabla2[[#This Row],[Forest cover 2011]]</f>
        <v>2.2691053064070321E-3</v>
      </c>
      <c r="AV92" s="6">
        <f>Tabla2[[#This Row],[Forest Loss 2014]]/Tabla2[[#This Row],[Forest cover 2011]]</f>
        <v>3.2713712990861329E-3</v>
      </c>
      <c r="AW92" s="6">
        <f>Tabla2[[#This Row],[Forest Loss 2015]]/Tabla2[[#This Row],[Forest cover 2011]]</f>
        <v>1.4411464428895143E-3</v>
      </c>
      <c r="AX92" s="6">
        <f>Tabla2[[#This Row],[Forest Loss 2016]]/Tabla2[[#This Row],[Forest cover 2011]]</f>
        <v>1.1843546901068253E-3</v>
      </c>
      <c r="AY92" s="6">
        <f>Tabla2[[#This Row],[Forest Loss 2017]]/Tabla2[[#This Row],[Forest cover 2011]]</f>
        <v>5.3070295575089019E-4</v>
      </c>
      <c r="AZ92" s="6">
        <f>Tabla2[[#This Row],[Forest Loss 2018]]/Tabla2[[#This Row],[Forest cover 2011]]</f>
        <v>1.257501431808561E-3</v>
      </c>
      <c r="BA92" s="6">
        <f>Tabla2[[#This Row],[Forest Loss 2019]]/Tabla2[[#This Row],[Forest cover 2011]]</f>
        <v>3.8814462511516721E-3</v>
      </c>
      <c r="BB92" s="6">
        <f>Tabla2[[#This Row],[Forest Loss 2020]]/Tabla2[[#This Row],[Forest cover 2011]]</f>
        <v>1.8146617196643342E-3</v>
      </c>
      <c r="BC92" s="6">
        <f>Tabla2[[#This Row],[Forest Loss 2021]]/Tabla2[[#This Row],[Forest cover 2011]]</f>
        <v>5.8984287457357007E-4</v>
      </c>
      <c r="BD92" s="6">
        <f>Tabla2[[#This Row],[Forest Loss 2022]]/Tabla2[[#This Row],[Forest cover 2011]]</f>
        <v>5.6649816977514373E-4</v>
      </c>
      <c r="BE92" s="6">
        <f>Tabla2[[#This Row],[Forest Loss 2023]]/Tabla2[[#This Row],[Forest cover 2011]]</f>
        <v>4.1475758858537312E-3</v>
      </c>
      <c r="BF92" s="6">
        <f>Tabla2[[#This Row],[Forest Loss 2024]]/Tabla2[[#This Row],[Forest cover 2011]]</f>
        <v>1.6377088572922631E-2</v>
      </c>
    </row>
    <row r="93" spans="1:58" x14ac:dyDescent="0.25">
      <c r="A93" s="2">
        <v>80401</v>
      </c>
      <c r="B93" s="3" t="s">
        <v>365</v>
      </c>
      <c r="C93" t="s">
        <v>373</v>
      </c>
      <c r="D93">
        <v>453998.25</v>
      </c>
      <c r="E93" s="4">
        <f>AVERAGE(Tabla2[[#This Row],[Deforestation 2012]:[Deforestation 2014]])</f>
        <v>941.91</v>
      </c>
      <c r="F93" s="4">
        <f>AVERAGE(Tabla2[[#This Row],[Deforestation 2022]:[Deforestation 2024]])</f>
        <v>620.64</v>
      </c>
      <c r="G93">
        <v>1002.51</v>
      </c>
      <c r="H93">
        <v>761.85</v>
      </c>
      <c r="I93">
        <v>1061.3699999999999</v>
      </c>
      <c r="J93">
        <v>494.55</v>
      </c>
      <c r="K93">
        <v>822.87</v>
      </c>
      <c r="L93">
        <v>546.84</v>
      </c>
      <c r="M93">
        <v>520.47</v>
      </c>
      <c r="N93">
        <v>1875.69</v>
      </c>
      <c r="O93">
        <v>797.13</v>
      </c>
      <c r="P93">
        <v>461.43</v>
      </c>
      <c r="Q93">
        <v>287.01</v>
      </c>
      <c r="R93">
        <v>504.72</v>
      </c>
      <c r="S93">
        <v>1070.19</v>
      </c>
      <c r="T93">
        <v>11979.45</v>
      </c>
      <c r="U93">
        <v>4686.57</v>
      </c>
      <c r="V93">
        <v>8220.06</v>
      </c>
      <c r="W93">
        <v>3505.86</v>
      </c>
      <c r="X93">
        <v>3842.91</v>
      </c>
      <c r="Y93">
        <v>1951.47</v>
      </c>
      <c r="Z93">
        <v>1638.9</v>
      </c>
      <c r="AA93">
        <v>5758.74</v>
      </c>
      <c r="AB93">
        <v>3263.13</v>
      </c>
      <c r="AC93">
        <v>1290.1500000000001</v>
      </c>
      <c r="AD93">
        <v>2391.39</v>
      </c>
      <c r="AE93">
        <v>1475.91</v>
      </c>
      <c r="AF93">
        <v>7290.8099999999986</v>
      </c>
      <c r="AG93" s="5">
        <f>Tabla2[[#This Row],[Deforestation 2012]]/Tabla2[[#This Row],[Forest cover 2011]]</f>
        <v>2.2081803178756747E-3</v>
      </c>
      <c r="AH93" s="6">
        <f>Tabla2[[#This Row],[Deforestation 2013]]/Tabla2[[#This Row],[Forest cover 2011]]</f>
        <v>1.6780901688497698E-3</v>
      </c>
      <c r="AI93" s="6">
        <f>Tabla2[[#This Row],[Deforestation 2014]]/Tabla2[[#This Row],[Forest cover 2011]]</f>
        <v>2.3378283947129751E-3</v>
      </c>
      <c r="AJ93" s="6">
        <f>Tabla2[[#This Row],[Deforestation 2015]]/Tabla2[[#This Row],[Forest cover 2011]]</f>
        <v>1.0893213795427625E-3</v>
      </c>
      <c r="AK93" s="6">
        <f>Tabla2[[#This Row],[Deforestation 2016]]/Tabla2[[#This Row],[Forest cover 2011]]</f>
        <v>1.8124959732774301E-3</v>
      </c>
      <c r="AL93" s="6">
        <f>Tabla2[[#This Row],[Deforestation 2017]]/Tabla2[[#This Row],[Forest cover 2011]]</f>
        <v>1.2044980349593859E-3</v>
      </c>
      <c r="AM93" s="6">
        <f>Tabla2[[#This Row],[Deforestation 2018]]/Tabla2[[#This Row],[Forest cover 2011]]</f>
        <v>1.1464141106270786E-3</v>
      </c>
      <c r="AN93" s="6">
        <f>Tabla2[[#This Row],[Deforestation 2019]]/Tabla2[[#This Row],[Forest cover 2011]]</f>
        <v>4.1314916962785653E-3</v>
      </c>
      <c r="AO93" s="6">
        <f>Tabla2[[#This Row],[Deforestation 2020]]/Tabla2[[#This Row],[Forest cover 2011]]</f>
        <v>1.7557997194923107E-3</v>
      </c>
      <c r="AP93" s="6">
        <f>Tabla2[[#This Row],[Deforestation 2021]]/Tabla2[[#This Row],[Forest cover 2011]]</f>
        <v>1.0163695564905813E-3</v>
      </c>
      <c r="AQ93" s="6">
        <f>Tabla2[[#This Row],[Deforestation 2022]]/Tabla2[[#This Row],[Forest cover 2011]]</f>
        <v>6.321830535690391E-4</v>
      </c>
      <c r="AR93" s="6">
        <f>Tabla2[[#This Row],[Deforestation 2023]]/Tabla2[[#This Row],[Forest cover 2011]]</f>
        <v>1.1117223469473726E-3</v>
      </c>
      <c r="AS93" s="6">
        <f>Tabla2[[#This Row],[Deforestation 2024]]/Tabla2[[#This Row],[Forest cover 2011]]</f>
        <v>2.3572557823736107E-3</v>
      </c>
      <c r="AT93" s="6">
        <f>Tabla2[[#This Row],[Forest Loss 2012]]/Tabla2[[#This Row],[Forest cover 2011]]</f>
        <v>2.6386555454784244E-2</v>
      </c>
      <c r="AU93" s="6">
        <f>Tabla2[[#This Row],[Forest Loss 2013]]/Tabla2[[#This Row],[Forest cover 2011]]</f>
        <v>1.0322881200533261E-2</v>
      </c>
      <c r="AV93" s="6">
        <f>Tabla2[[#This Row],[Forest Loss 2014]]/Tabla2[[#This Row],[Forest cover 2011]]</f>
        <v>1.810592882241286E-2</v>
      </c>
      <c r="AW93" s="6">
        <f>Tabla2[[#This Row],[Forest Loss 2015]]/Tabla2[[#This Row],[Forest cover 2011]]</f>
        <v>7.7221883564529163E-3</v>
      </c>
      <c r="AX93" s="6">
        <f>Tabla2[[#This Row],[Forest Loss 2016]]/Tabla2[[#This Row],[Forest cover 2011]]</f>
        <v>8.4645920991986198E-3</v>
      </c>
      <c r="AY93" s="6">
        <f>Tabla2[[#This Row],[Forest Loss 2017]]/Tabla2[[#This Row],[Forest cover 2011]]</f>
        <v>4.29840863924035E-3</v>
      </c>
      <c r="AZ93" s="6">
        <f>Tabla2[[#This Row],[Forest Loss 2018]]/Tabla2[[#This Row],[Forest cover 2011]]</f>
        <v>3.6099258091853879E-3</v>
      </c>
      <c r="BA93" s="6">
        <f>Tabla2[[#This Row],[Forest Loss 2019]]/Tabla2[[#This Row],[Forest cover 2011]]</f>
        <v>1.2684498233198034E-2</v>
      </c>
      <c r="BB93" s="6">
        <f>Tabla2[[#This Row],[Forest Loss 2020]]/Tabla2[[#This Row],[Forest cover 2011]]</f>
        <v>7.1875387184862499E-3</v>
      </c>
      <c r="BC93" s="6">
        <f>Tabla2[[#This Row],[Forest Loss 2021]]/Tabla2[[#This Row],[Forest cover 2011]]</f>
        <v>2.8417510419919021E-3</v>
      </c>
      <c r="BD93" s="6">
        <f>Tabla2[[#This Row],[Forest Loss 2022]]/Tabla2[[#This Row],[Forest cover 2011]]</f>
        <v>5.267399158476932E-3</v>
      </c>
      <c r="BE93" s="6">
        <f>Tabla2[[#This Row],[Forest Loss 2023]]/Tabla2[[#This Row],[Forest cover 2011]]</f>
        <v>3.2509156147628323E-3</v>
      </c>
      <c r="BF93" s="6">
        <f>Tabla2[[#This Row],[Forest Loss 2024]]/Tabla2[[#This Row],[Forest cover 2011]]</f>
        <v>1.6059114765310217E-2</v>
      </c>
    </row>
    <row r="94" spans="1:58" x14ac:dyDescent="0.25">
      <c r="A94" s="2">
        <v>71403</v>
      </c>
      <c r="B94" s="3" t="s">
        <v>310</v>
      </c>
      <c r="C94" t="s">
        <v>362</v>
      </c>
      <c r="D94">
        <v>858557.52</v>
      </c>
      <c r="E94" s="4">
        <f>AVERAGE(Tabla2[[#This Row],[Deforestation 2012]:[Deforestation 2014]])</f>
        <v>2289.9899999999998</v>
      </c>
      <c r="F94" s="4">
        <f>AVERAGE(Tabla2[[#This Row],[Deforestation 2022]:[Deforestation 2024]])</f>
        <v>8984.0400000000009</v>
      </c>
      <c r="G94">
        <v>3883.23</v>
      </c>
      <c r="H94">
        <v>2029.59</v>
      </c>
      <c r="I94">
        <v>957.15</v>
      </c>
      <c r="J94">
        <v>1358.91</v>
      </c>
      <c r="K94">
        <v>8880.84</v>
      </c>
      <c r="L94">
        <v>12737.97</v>
      </c>
      <c r="M94">
        <v>14564.52</v>
      </c>
      <c r="N94">
        <v>21757.05</v>
      </c>
      <c r="O94">
        <v>12130.2</v>
      </c>
      <c r="P94">
        <v>14231.07</v>
      </c>
      <c r="Q94">
        <v>11249.82</v>
      </c>
      <c r="R94">
        <v>3884.13</v>
      </c>
      <c r="S94">
        <v>11818.17</v>
      </c>
      <c r="T94">
        <v>4557.6000000000004</v>
      </c>
      <c r="U94">
        <v>2531.34</v>
      </c>
      <c r="V94">
        <v>2362.0500000000002</v>
      </c>
      <c r="W94">
        <v>1909.08</v>
      </c>
      <c r="X94">
        <v>9214.2000000000007</v>
      </c>
      <c r="Y94">
        <v>13208.31</v>
      </c>
      <c r="Z94">
        <v>15105.6</v>
      </c>
      <c r="AA94">
        <v>22836.33</v>
      </c>
      <c r="AB94">
        <v>12413.88</v>
      </c>
      <c r="AC94">
        <v>15446.97</v>
      </c>
      <c r="AD94">
        <v>11805.12</v>
      </c>
      <c r="AE94">
        <v>3964.14</v>
      </c>
      <c r="AF94">
        <v>13583.25</v>
      </c>
      <c r="AG94" s="5">
        <f>Tabla2[[#This Row],[Deforestation 2012]]/Tabla2[[#This Row],[Forest cover 2011]]</f>
        <v>4.5229701092129506E-3</v>
      </c>
      <c r="AH94" s="6">
        <f>Tabla2[[#This Row],[Deforestation 2013]]/Tabla2[[#This Row],[Forest cover 2011]]</f>
        <v>2.3639534366899492E-3</v>
      </c>
      <c r="AI94" s="6">
        <f>Tabla2[[#This Row],[Deforestation 2014]]/Tabla2[[#This Row],[Forest cover 2011]]</f>
        <v>1.11483503167033E-3</v>
      </c>
      <c r="AJ94" s="6">
        <f>Tabla2[[#This Row],[Deforestation 2015]]/Tabla2[[#This Row],[Forest cover 2011]]</f>
        <v>1.5827827121006406E-3</v>
      </c>
      <c r="AK94" s="6">
        <f>Tabla2[[#This Row],[Deforestation 2016]]/Tabla2[[#This Row],[Forest cover 2011]]</f>
        <v>1.0343908000479688E-2</v>
      </c>
      <c r="AL94" s="6">
        <f>Tabla2[[#This Row],[Deforestation 2017]]/Tabla2[[#This Row],[Forest cover 2011]]</f>
        <v>1.4836478282782962E-2</v>
      </c>
      <c r="AM94" s="6">
        <f>Tabla2[[#This Row],[Deforestation 2018]]/Tabla2[[#This Row],[Forest cover 2011]]</f>
        <v>1.696394203151351E-2</v>
      </c>
      <c r="AN94" s="6">
        <f>Tabla2[[#This Row],[Deforestation 2019]]/Tabla2[[#This Row],[Forest cover 2011]]</f>
        <v>2.5341400538894585E-2</v>
      </c>
      <c r="AO94" s="6">
        <f>Tabla2[[#This Row],[Deforestation 2020]]/Tabla2[[#This Row],[Forest cover 2011]]</f>
        <v>1.4128581623744908E-2</v>
      </c>
      <c r="AP94" s="6">
        <f>Tabla2[[#This Row],[Deforestation 2021]]/Tabla2[[#This Row],[Forest cover 2011]]</f>
        <v>1.6575558035995072E-2</v>
      </c>
      <c r="AQ94" s="6">
        <f>Tabla2[[#This Row],[Deforestation 2022]]/Tabla2[[#This Row],[Forest cover 2011]]</f>
        <v>1.3103164013984758E-2</v>
      </c>
      <c r="AR94" s="6">
        <f>Tabla2[[#This Row],[Deforestation 2023]]/Tabla2[[#This Row],[Forest cover 2011]]</f>
        <v>4.5240183791063881E-3</v>
      </c>
      <c r="AS94" s="6">
        <f>Tabla2[[#This Row],[Deforestation 2024]]/Tabla2[[#This Row],[Forest cover 2011]]</f>
        <v>1.3765146451690273E-2</v>
      </c>
      <c r="AT94" s="6">
        <f>Tabla2[[#This Row],[Forest Loss 2012]]/Tabla2[[#This Row],[Forest cover 2011]]</f>
        <v>5.3084387403653519E-3</v>
      </c>
      <c r="AU94" s="6">
        <f>Tabla2[[#This Row],[Forest Loss 2013]]/Tabla2[[#This Row],[Forest cover 2011]]</f>
        <v>2.9483639022811195E-3</v>
      </c>
      <c r="AV94" s="6">
        <f>Tabla2[[#This Row],[Forest Loss 2014]]/Tabla2[[#This Row],[Forest cover 2011]]</f>
        <v>2.7511843353256052E-3</v>
      </c>
      <c r="AW94" s="6">
        <f>Tabla2[[#This Row],[Forest Loss 2015]]/Tabla2[[#This Row],[Forest cover 2011]]</f>
        <v>2.223590097958725E-3</v>
      </c>
      <c r="AX94" s="6">
        <f>Tabla2[[#This Row],[Forest Loss 2016]]/Tabla2[[#This Row],[Forest cover 2011]]</f>
        <v>1.0732187169008782E-2</v>
      </c>
      <c r="AY94" s="6">
        <f>Tabla2[[#This Row],[Forest Loss 2017]]/Tabla2[[#This Row],[Forest cover 2011]]</f>
        <v>1.5384304129093179E-2</v>
      </c>
      <c r="AZ94" s="6">
        <f>Tabla2[[#This Row],[Forest Loss 2018]]/Tabla2[[#This Row],[Forest cover 2011]]</f>
        <v>1.7594161891447878E-2</v>
      </c>
      <c r="BA94" s="6">
        <f>Tabla2[[#This Row],[Forest Loss 2019]]/Tabla2[[#This Row],[Forest cover 2011]]</f>
        <v>2.6598485795104331E-2</v>
      </c>
      <c r="BB94" s="6">
        <f>Tabla2[[#This Row],[Forest Loss 2020]]/Tabla2[[#This Row],[Forest cover 2011]]</f>
        <v>1.4458996294156272E-2</v>
      </c>
      <c r="BC94" s="6">
        <f>Tabla2[[#This Row],[Forest Loss 2021]]/Tabla2[[#This Row],[Forest cover 2011]]</f>
        <v>1.7991770662028561E-2</v>
      </c>
      <c r="BD94" s="6">
        <f>Tabla2[[#This Row],[Forest Loss 2022]]/Tabla2[[#This Row],[Forest cover 2011]]</f>
        <v>1.3749946538235436E-2</v>
      </c>
      <c r="BE94" s="6">
        <f>Tabla2[[#This Row],[Forest Loss 2023]]/Tabla2[[#This Row],[Forest cover 2011]]</f>
        <v>4.6172095726329434E-3</v>
      </c>
      <c r="BF94" s="6">
        <f>Tabla2[[#This Row],[Forest Loss 2024]]/Tabla2[[#This Row],[Forest cover 2011]]</f>
        <v>1.5821013366699065E-2</v>
      </c>
    </row>
    <row r="95" spans="1:58" x14ac:dyDescent="0.25">
      <c r="A95" s="2">
        <v>20607</v>
      </c>
      <c r="B95" s="3" t="s">
        <v>88</v>
      </c>
      <c r="C95" t="s">
        <v>122</v>
      </c>
      <c r="D95">
        <v>137183.94</v>
      </c>
      <c r="E95" s="4">
        <f>AVERAGE(Tabla2[[#This Row],[Deforestation 2012]:[Deforestation 2014]])</f>
        <v>380.58</v>
      </c>
      <c r="F95" s="4">
        <f>AVERAGE(Tabla2[[#This Row],[Deforestation 2022]:[Deforestation 2024]])</f>
        <v>1377.57</v>
      </c>
      <c r="G95">
        <v>317.33999999999997</v>
      </c>
      <c r="H95">
        <v>345.6</v>
      </c>
      <c r="I95">
        <v>478.8</v>
      </c>
      <c r="J95">
        <v>325.08</v>
      </c>
      <c r="K95">
        <v>304.74</v>
      </c>
      <c r="L95">
        <v>145.44</v>
      </c>
      <c r="M95">
        <v>615.06000000000006</v>
      </c>
      <c r="N95">
        <v>561.24</v>
      </c>
      <c r="O95">
        <v>1147.4100000000001</v>
      </c>
      <c r="P95">
        <v>603.09</v>
      </c>
      <c r="Q95">
        <v>130.13999999999999</v>
      </c>
      <c r="R95">
        <v>2861.64</v>
      </c>
      <c r="S95">
        <v>1140.93</v>
      </c>
      <c r="T95">
        <v>388.8</v>
      </c>
      <c r="U95">
        <v>410.58</v>
      </c>
      <c r="V95">
        <v>581.30999999999995</v>
      </c>
      <c r="W95">
        <v>359.46</v>
      </c>
      <c r="X95">
        <v>336.33</v>
      </c>
      <c r="Y95">
        <v>179.37</v>
      </c>
      <c r="Z95">
        <v>687.96</v>
      </c>
      <c r="AA95">
        <v>633.96</v>
      </c>
      <c r="AB95">
        <v>1225.53</v>
      </c>
      <c r="AC95">
        <v>732.32999999999993</v>
      </c>
      <c r="AD95">
        <v>150.47999999999999</v>
      </c>
      <c r="AE95">
        <v>2974.68</v>
      </c>
      <c r="AF95">
        <v>2165.04</v>
      </c>
      <c r="AG95" s="5">
        <f>Tabla2[[#This Row],[Deforestation 2012]]/Tabla2[[#This Row],[Forest cover 2011]]</f>
        <v>2.3132445386828807E-3</v>
      </c>
      <c r="AH95" s="6">
        <f>Tabla2[[#This Row],[Deforestation 2013]]/Tabla2[[#This Row],[Forest cover 2011]]</f>
        <v>2.5192453285712599E-3</v>
      </c>
      <c r="AI95" s="6">
        <f>Tabla2[[#This Row],[Deforestation 2014]]/Tabla2[[#This Row],[Forest cover 2011]]</f>
        <v>3.4902044656247664E-3</v>
      </c>
      <c r="AJ95" s="6">
        <f>Tabla2[[#This Row],[Deforestation 2015]]/Tabla2[[#This Row],[Forest cover 2011]]</f>
        <v>2.3696651371873413E-3</v>
      </c>
      <c r="AK95" s="6">
        <f>Tabla2[[#This Row],[Deforestation 2016]]/Tabla2[[#This Row],[Forest cover 2011]]</f>
        <v>2.221397052745387E-3</v>
      </c>
      <c r="AL95" s="6">
        <f>Tabla2[[#This Row],[Deforestation 2017]]/Tabla2[[#This Row],[Forest cover 2011]]</f>
        <v>1.0601824091070718E-3</v>
      </c>
      <c r="AM95" s="6">
        <f>Tabla2[[#This Row],[Deforestation 2018]]/Tabla2[[#This Row],[Forest cover 2011]]</f>
        <v>4.4834694206916641E-3</v>
      </c>
      <c r="AN95" s="6">
        <f>Tabla2[[#This Row],[Deforestation 2019]]/Tabla2[[#This Row],[Forest cover 2011]]</f>
        <v>4.0911494450443691E-3</v>
      </c>
      <c r="AO95" s="6">
        <f>Tabla2[[#This Row],[Deforestation 2020]]/Tabla2[[#This Row],[Forest cover 2011]]</f>
        <v>8.3640257015507799E-3</v>
      </c>
      <c r="AP95" s="6">
        <f>Tabla2[[#This Row],[Deforestation 2021]]/Tabla2[[#This Row],[Forest cover 2011]]</f>
        <v>4.396214309051045E-3</v>
      </c>
      <c r="AQ95" s="6">
        <f>Tabla2[[#This Row],[Deforestation 2022]]/Tabla2[[#This Row],[Forest cover 2011]]</f>
        <v>9.486533190401149E-4</v>
      </c>
      <c r="AR95" s="6">
        <f>Tabla2[[#This Row],[Deforestation 2023]]/Tabla2[[#This Row],[Forest cover 2011]]</f>
        <v>2.0859876163346815E-2</v>
      </c>
      <c r="AS95" s="6">
        <f>Tabla2[[#This Row],[Deforestation 2024]]/Tabla2[[#This Row],[Forest cover 2011]]</f>
        <v>8.316789851640069E-3</v>
      </c>
      <c r="AT95" s="6">
        <f>Tabla2[[#This Row],[Forest Loss 2012]]/Tabla2[[#This Row],[Forest cover 2011]]</f>
        <v>2.8341509946426674E-3</v>
      </c>
      <c r="AU95" s="6">
        <f>Tabla2[[#This Row],[Forest Loss 2013]]/Tabla2[[#This Row],[Forest cover 2011]]</f>
        <v>2.9929159346203352E-3</v>
      </c>
      <c r="AV95" s="6">
        <f>Tabla2[[#This Row],[Forest Loss 2014]]/Tabla2[[#This Row],[Forest cover 2011]]</f>
        <v>4.2374493690733768E-3</v>
      </c>
      <c r="AW95" s="6">
        <f>Tabla2[[#This Row],[Forest Loss 2015]]/Tabla2[[#This Row],[Forest cover 2011]]</f>
        <v>2.6202775631025028E-3</v>
      </c>
      <c r="AX95" s="6">
        <f>Tabla2[[#This Row],[Forest Loss 2016]]/Tabla2[[#This Row],[Forest cover 2011]]</f>
        <v>2.4516718210601035E-3</v>
      </c>
      <c r="AY95" s="6">
        <f>Tabla2[[#This Row],[Forest Loss 2017]]/Tabla2[[#This Row],[Forest cover 2011]]</f>
        <v>1.3075145676673232E-3</v>
      </c>
      <c r="AZ95" s="6">
        <f>Tabla2[[#This Row],[Forest Loss 2018]]/Tabla2[[#This Row],[Forest cover 2011]]</f>
        <v>5.0148727321871643E-3</v>
      </c>
      <c r="BA95" s="6">
        <f>Tabla2[[#This Row],[Forest Loss 2019]]/Tabla2[[#This Row],[Forest cover 2011]]</f>
        <v>4.6212406495979054E-3</v>
      </c>
      <c r="BB95" s="6">
        <f>Tabla2[[#This Row],[Forest Loss 2020]]/Tabla2[[#This Row],[Forest cover 2011]]</f>
        <v>8.93348011436324E-3</v>
      </c>
      <c r="BC95" s="6">
        <f>Tabla2[[#This Row],[Forest Loss 2021]]/Tabla2[[#This Row],[Forest cover 2011]]</f>
        <v>5.3383070933813387E-3</v>
      </c>
      <c r="BD95" s="6">
        <f>Tabla2[[#This Row],[Forest Loss 2022]]/Tabla2[[#This Row],[Forest cover 2011]]</f>
        <v>1.0969214034820692E-3</v>
      </c>
      <c r="BE95" s="6">
        <f>Tabla2[[#This Row],[Forest Loss 2023]]/Tabla2[[#This Row],[Forest cover 2011]]</f>
        <v>2.1683879322900331E-2</v>
      </c>
      <c r="BF95" s="6">
        <f>Tabla2[[#This Row],[Forest Loss 2024]]/Tabla2[[#This Row],[Forest cover 2011]]</f>
        <v>1.5782022297945369E-2</v>
      </c>
    </row>
    <row r="96" spans="1:58" x14ac:dyDescent="0.25">
      <c r="A96" s="2">
        <v>20502</v>
      </c>
      <c r="B96" s="3" t="s">
        <v>88</v>
      </c>
      <c r="C96" t="s">
        <v>114</v>
      </c>
      <c r="D96">
        <v>34456.230000000003</v>
      </c>
      <c r="E96" s="4">
        <f>AVERAGE(Tabla2[[#This Row],[Deforestation 2012]:[Deforestation 2014]])</f>
        <v>37.29</v>
      </c>
      <c r="F96" s="4">
        <f>AVERAGE(Tabla2[[#This Row],[Deforestation 2022]:[Deforestation 2024]])</f>
        <v>86.40000000000002</v>
      </c>
      <c r="G96">
        <v>37.17</v>
      </c>
      <c r="H96">
        <v>34.56</v>
      </c>
      <c r="I96">
        <v>40.14</v>
      </c>
      <c r="J96">
        <v>37.89</v>
      </c>
      <c r="K96">
        <v>33.299999999999997</v>
      </c>
      <c r="L96">
        <v>54.81</v>
      </c>
      <c r="M96">
        <v>72.900000000000006</v>
      </c>
      <c r="N96">
        <v>68.760000000000005</v>
      </c>
      <c r="O96">
        <v>100.89</v>
      </c>
      <c r="P96">
        <v>20.97</v>
      </c>
      <c r="Q96">
        <v>23.22</v>
      </c>
      <c r="R96">
        <v>144.9</v>
      </c>
      <c r="S96">
        <v>91.080000000000013</v>
      </c>
      <c r="T96">
        <v>107.19</v>
      </c>
      <c r="U96">
        <v>74.97</v>
      </c>
      <c r="V96">
        <v>132.30000000000001</v>
      </c>
      <c r="W96">
        <v>75.69</v>
      </c>
      <c r="X96">
        <v>49.41</v>
      </c>
      <c r="Y96">
        <v>62.37</v>
      </c>
      <c r="Z96">
        <v>83.43</v>
      </c>
      <c r="AA96">
        <v>88.74</v>
      </c>
      <c r="AB96">
        <v>123.12</v>
      </c>
      <c r="AC96">
        <v>24.48</v>
      </c>
      <c r="AD96">
        <v>24.3</v>
      </c>
      <c r="AE96">
        <v>160.65</v>
      </c>
      <c r="AF96">
        <v>542.70000000000005</v>
      </c>
      <c r="AG96" s="5">
        <f>Tabla2[[#This Row],[Deforestation 2012]]/Tabla2[[#This Row],[Forest cover 2011]]</f>
        <v>1.0787599223710776E-3</v>
      </c>
      <c r="AH96" s="6">
        <f>Tabla2[[#This Row],[Deforestation 2013]]/Tabla2[[#This Row],[Forest cover 2011]]</f>
        <v>1.0030116469503484E-3</v>
      </c>
      <c r="AI96" s="6">
        <f>Tabla2[[#This Row],[Deforestation 2014]]/Tabla2[[#This Row],[Forest cover 2011]]</f>
        <v>1.1649562357808731E-3</v>
      </c>
      <c r="AJ96" s="6">
        <f>Tabla2[[#This Row],[Deforestation 2015]]/Tabla2[[#This Row],[Forest cover 2011]]</f>
        <v>1.0996559983492099E-3</v>
      </c>
      <c r="AK96" s="6">
        <f>Tabla2[[#This Row],[Deforestation 2016]]/Tabla2[[#This Row],[Forest cover 2011]]</f>
        <v>9.6644351398861674E-4</v>
      </c>
      <c r="AL96" s="6">
        <f>Tabla2[[#This Row],[Deforestation 2017]]/Tabla2[[#This Row],[Forest cover 2011]]</f>
        <v>1.5907137838353179E-3</v>
      </c>
      <c r="AM96" s="6">
        <f>Tabla2[[#This Row],[Deforestation 2018]]/Tabla2[[#This Row],[Forest cover 2011]]</f>
        <v>2.1157276927858911E-3</v>
      </c>
      <c r="AN96" s="6">
        <f>Tabla2[[#This Row],[Deforestation 2019]]/Tabla2[[#This Row],[Forest cover 2011]]</f>
        <v>1.9955752559116303E-3</v>
      </c>
      <c r="AO96" s="6">
        <f>Tabla2[[#This Row],[Deforestation 2020]]/Tabla2[[#This Row],[Forest cover 2011]]</f>
        <v>2.928062646435782E-3</v>
      </c>
      <c r="AP96" s="6">
        <f>Tabla2[[#This Row],[Deforestation 2021]]/Tabla2[[#This Row],[Forest cover 2011]]</f>
        <v>6.0859821286310184E-4</v>
      </c>
      <c r="AQ96" s="6">
        <f>Tabla2[[#This Row],[Deforestation 2022]]/Tabla2[[#This Row],[Forest cover 2011]]</f>
        <v>6.7389845029476516E-4</v>
      </c>
      <c r="AR96" s="6">
        <f>Tabla2[[#This Row],[Deforestation 2023]]/Tabla2[[#This Row],[Forest cover 2011]]</f>
        <v>4.2053352905991161E-3</v>
      </c>
      <c r="AS96" s="6">
        <f>Tabla2[[#This Row],[Deforestation 2024]]/Tabla2[[#This Row],[Forest cover 2011]]</f>
        <v>2.6433536112337305E-3</v>
      </c>
      <c r="AT96" s="6">
        <f>Tabla2[[#This Row],[Forest Loss 2012]]/Tabla2[[#This Row],[Forest cover 2011]]</f>
        <v>3.1109033112444394E-3</v>
      </c>
      <c r="AU96" s="6">
        <f>Tabla2[[#This Row],[Forest Loss 2013]]/Tabla2[[#This Row],[Forest cover 2011]]</f>
        <v>2.1758039112230211E-3</v>
      </c>
      <c r="AV96" s="6">
        <f>Tabla2[[#This Row],[Forest Loss 2014]]/Tabla2[[#This Row],[Forest cover 2011]]</f>
        <v>3.8396539609818021E-3</v>
      </c>
      <c r="AW96" s="6">
        <f>Tabla2[[#This Row],[Forest Loss 2015]]/Tabla2[[#This Row],[Forest cover 2011]]</f>
        <v>2.1966999872011532E-3</v>
      </c>
      <c r="AX96" s="6">
        <f>Tabla2[[#This Row],[Forest Loss 2016]]/Tabla2[[#This Row],[Forest cover 2011]]</f>
        <v>1.4339932139993258E-3</v>
      </c>
      <c r="AY96" s="6">
        <f>Tabla2[[#This Row],[Forest Loss 2017]]/Tabla2[[#This Row],[Forest cover 2011]]</f>
        <v>1.8101225816057065E-3</v>
      </c>
      <c r="AZ96" s="6">
        <f>Tabla2[[#This Row],[Forest Loss 2018]]/Tabla2[[#This Row],[Forest cover 2011]]</f>
        <v>2.4213328039660751E-3</v>
      </c>
      <c r="BA96" s="6">
        <f>Tabla2[[#This Row],[Forest Loss 2019]]/Tabla2[[#This Row],[Forest cover 2011]]</f>
        <v>2.5754413643048002E-3</v>
      </c>
      <c r="BB96" s="6">
        <f>Tabla2[[#This Row],[Forest Loss 2020]]/Tabla2[[#This Row],[Forest cover 2011]]</f>
        <v>3.5732289922606156E-3</v>
      </c>
      <c r="BC96" s="6">
        <f>Tabla2[[#This Row],[Forest Loss 2021]]/Tabla2[[#This Row],[Forest cover 2011]]</f>
        <v>7.1046658325649669E-4</v>
      </c>
      <c r="BD96" s="6">
        <f>Tabla2[[#This Row],[Forest Loss 2022]]/Tabla2[[#This Row],[Forest cover 2011]]</f>
        <v>7.0524256426196356E-4</v>
      </c>
      <c r="BE96" s="6">
        <f>Tabla2[[#This Row],[Forest Loss 2023]]/Tabla2[[#This Row],[Forest cover 2011]]</f>
        <v>4.6624369526207599E-3</v>
      </c>
      <c r="BF96" s="6">
        <f>Tabla2[[#This Row],[Forest Loss 2024]]/Tabla2[[#This Row],[Forest cover 2011]]</f>
        <v>1.5750417268517187E-2</v>
      </c>
    </row>
    <row r="97" spans="1:58" x14ac:dyDescent="0.25">
      <c r="A97" s="2">
        <v>70303</v>
      </c>
      <c r="B97" s="3" t="s">
        <v>310</v>
      </c>
      <c r="C97" t="s">
        <v>320</v>
      </c>
      <c r="D97">
        <v>851393.34000000008</v>
      </c>
      <c r="E97" s="4">
        <f>AVERAGE(Tabla2[[#This Row],[Deforestation 2012]:[Deforestation 2014]])</f>
        <v>1575.03</v>
      </c>
      <c r="F97" s="4">
        <f>AVERAGE(Tabla2[[#This Row],[Deforestation 2022]:[Deforestation 2024]])</f>
        <v>11620.800000000001</v>
      </c>
      <c r="G97">
        <v>1144.3499999999999</v>
      </c>
      <c r="H97">
        <v>1875.87</v>
      </c>
      <c r="I97">
        <v>1704.87</v>
      </c>
      <c r="J97">
        <v>2495.25</v>
      </c>
      <c r="K97">
        <v>2436.39</v>
      </c>
      <c r="L97">
        <v>6142.77</v>
      </c>
      <c r="M97">
        <v>8386.3799999999992</v>
      </c>
      <c r="N97">
        <v>6078.42</v>
      </c>
      <c r="O97">
        <v>6967.5300000000007</v>
      </c>
      <c r="P97">
        <v>12028.59</v>
      </c>
      <c r="Q97">
        <v>12857.85</v>
      </c>
      <c r="R97">
        <v>9932.58</v>
      </c>
      <c r="S97">
        <v>12071.97</v>
      </c>
      <c r="T97">
        <v>2091.5100000000002</v>
      </c>
      <c r="U97">
        <v>2731.86</v>
      </c>
      <c r="V97">
        <v>2410.02</v>
      </c>
      <c r="W97">
        <v>2781.36</v>
      </c>
      <c r="X97">
        <v>2861.46</v>
      </c>
      <c r="Y97">
        <v>6510.6</v>
      </c>
      <c r="Z97">
        <v>9083.43</v>
      </c>
      <c r="AA97">
        <v>9123.57</v>
      </c>
      <c r="AB97">
        <v>8968.7699999999986</v>
      </c>
      <c r="AC97">
        <v>28362.959999999999</v>
      </c>
      <c r="AD97">
        <v>12900.42</v>
      </c>
      <c r="AE97">
        <v>10013.67</v>
      </c>
      <c r="AF97">
        <v>13080.78</v>
      </c>
      <c r="AG97" s="5">
        <f>Tabla2[[#This Row],[Deforestation 2012]]/Tabla2[[#This Row],[Forest cover 2011]]</f>
        <v>1.3440908522963074E-3</v>
      </c>
      <c r="AH97" s="6">
        <f>Tabla2[[#This Row],[Deforestation 2013]]/Tabla2[[#This Row],[Forest cover 2011]]</f>
        <v>2.2032941906733727E-3</v>
      </c>
      <c r="AI97" s="6">
        <f>Tabla2[[#This Row],[Deforestation 2014]]/Tabla2[[#This Row],[Forest cover 2011]]</f>
        <v>2.0024469536019623E-3</v>
      </c>
      <c r="AJ97" s="6">
        <f>Tabla2[[#This Row],[Deforestation 2015]]/Tabla2[[#This Row],[Forest cover 2011]]</f>
        <v>2.9307840251604502E-3</v>
      </c>
      <c r="AK97" s="6">
        <f>Tabla2[[#This Row],[Deforestation 2016]]/Tabla2[[#This Row],[Forest cover 2011]]</f>
        <v>2.8616502919790276E-3</v>
      </c>
      <c r="AL97" s="6">
        <f>Tabla2[[#This Row],[Deforestation 2017]]/Tabla2[[#This Row],[Forest cover 2011]]</f>
        <v>7.214961300965779E-3</v>
      </c>
      <c r="AM97" s="6">
        <f>Tabla2[[#This Row],[Deforestation 2018]]/Tabla2[[#This Row],[Forest cover 2011]]</f>
        <v>9.8501827604148256E-3</v>
      </c>
      <c r="AN97" s="6">
        <f>Tabla2[[#This Row],[Deforestation 2019]]/Tabla2[[#This Row],[Forest cover 2011]]</f>
        <v>7.1393793143836428E-3</v>
      </c>
      <c r="AO97" s="6">
        <f>Tabla2[[#This Row],[Deforestation 2020]]/Tabla2[[#This Row],[Forest cover 2011]]</f>
        <v>8.1836792380828357E-3</v>
      </c>
      <c r="AP97" s="6">
        <f>Tabla2[[#This Row],[Deforestation 2021]]/Tabla2[[#This Row],[Forest cover 2011]]</f>
        <v>1.4128123200963728E-2</v>
      </c>
      <c r="AQ97" s="6">
        <f>Tabla2[[#This Row],[Deforestation 2022]]/Tabla2[[#This Row],[Forest cover 2011]]</f>
        <v>1.5102126591687925E-2</v>
      </c>
      <c r="AR97" s="6">
        <f>Tabla2[[#This Row],[Deforestation 2023]]/Tabla2[[#This Row],[Forest cover 2011]]</f>
        <v>1.1666264619828949E-2</v>
      </c>
      <c r="AS97" s="6">
        <f>Tabla2[[#This Row],[Deforestation 2024]]/Tabla2[[#This Row],[Forest cover 2011]]</f>
        <v>1.4179074973736579E-2</v>
      </c>
      <c r="AT97" s="6">
        <f>Tabla2[[#This Row],[Forest Loss 2012]]/Tabla2[[#This Row],[Forest cover 2011]]</f>
        <v>2.4565731275276361E-3</v>
      </c>
      <c r="AU97" s="6">
        <f>Tabla2[[#This Row],[Forest Loss 2013]]/Tabla2[[#This Row],[Forest cover 2011]]</f>
        <v>3.2086931758239967E-3</v>
      </c>
      <c r="AV97" s="6">
        <f>Tabla2[[#This Row],[Forest Loss 2014]]/Tabla2[[#This Row],[Forest cover 2011]]</f>
        <v>2.8306775338411737E-3</v>
      </c>
      <c r="AW97" s="6">
        <f>Tabla2[[#This Row],[Forest Loss 2015]]/Tabla2[[#This Row],[Forest cover 2011]]</f>
        <v>3.2668331655025628E-3</v>
      </c>
      <c r="AX97" s="6">
        <f>Tabla2[[#This Row],[Forest Loss 2016]]/Tabla2[[#This Row],[Forest cover 2011]]</f>
        <v>3.3609142397096974E-3</v>
      </c>
      <c r="AY97" s="6">
        <f>Tabla2[[#This Row],[Forest Loss 2017]]/Tabla2[[#This Row],[Forest cover 2011]]</f>
        <v>7.646994278813597E-3</v>
      </c>
      <c r="AZ97" s="6">
        <f>Tabla2[[#This Row],[Forest Loss 2018]]/Tabla2[[#This Row],[Forest cover 2011]]</f>
        <v>1.0668899524161182E-2</v>
      </c>
      <c r="BA97" s="6">
        <f>Tabla2[[#This Row],[Forest Loss 2019]]/Tabla2[[#This Row],[Forest cover 2011]]</f>
        <v>1.0716045770336892E-2</v>
      </c>
      <c r="BB97" s="6">
        <f>Tabla2[[#This Row],[Forest Loss 2020]]/Tabla2[[#This Row],[Forest cover 2011]]</f>
        <v>1.0534226166251192E-2</v>
      </c>
      <c r="BC97" s="6">
        <f>Tabla2[[#This Row],[Forest Loss 2021]]/Tabla2[[#This Row],[Forest cover 2011]]</f>
        <v>3.3313579831385567E-2</v>
      </c>
      <c r="BD97" s="6">
        <f>Tabla2[[#This Row],[Forest Loss 2022]]/Tabla2[[#This Row],[Forest cover 2011]]</f>
        <v>1.5152126982811492E-2</v>
      </c>
      <c r="BE97" s="6">
        <f>Tabla2[[#This Row],[Forest Loss 2023]]/Tabla2[[#This Row],[Forest cover 2011]]</f>
        <v>1.1761508493829655E-2</v>
      </c>
      <c r="BF97" s="6">
        <f>Tabla2[[#This Row],[Forest Loss 2024]]/Tabla2[[#This Row],[Forest cover 2011]]</f>
        <v>1.5363967963385759E-2</v>
      </c>
    </row>
    <row r="98" spans="1:58" x14ac:dyDescent="0.25">
      <c r="A98" s="2">
        <v>70302</v>
      </c>
      <c r="B98" s="3" t="s">
        <v>310</v>
      </c>
      <c r="C98" t="s">
        <v>319</v>
      </c>
      <c r="D98">
        <v>845629.56</v>
      </c>
      <c r="E98" s="4">
        <f>AVERAGE(Tabla2[[#This Row],[Deforestation 2012]:[Deforestation 2014]])</f>
        <v>2026.32</v>
      </c>
      <c r="F98" s="4">
        <f>AVERAGE(Tabla2[[#This Row],[Deforestation 2022]:[Deforestation 2024]])</f>
        <v>16352.67</v>
      </c>
      <c r="G98">
        <v>1609.92</v>
      </c>
      <c r="H98">
        <v>2527.65</v>
      </c>
      <c r="I98">
        <v>1941.39</v>
      </c>
      <c r="J98">
        <v>3239.1</v>
      </c>
      <c r="K98">
        <v>4290.57</v>
      </c>
      <c r="L98">
        <v>9388.89</v>
      </c>
      <c r="M98">
        <v>8562.7800000000007</v>
      </c>
      <c r="N98">
        <v>6967.17</v>
      </c>
      <c r="O98">
        <v>11306.7</v>
      </c>
      <c r="P98">
        <v>18450.900000000001</v>
      </c>
      <c r="Q98">
        <v>15164.91</v>
      </c>
      <c r="R98">
        <v>21126.240000000002</v>
      </c>
      <c r="S98">
        <v>12766.86</v>
      </c>
      <c r="T98">
        <v>3969</v>
      </c>
      <c r="U98">
        <v>3997.35</v>
      </c>
      <c r="V98">
        <v>2954.7</v>
      </c>
      <c r="W98">
        <v>3743.73</v>
      </c>
      <c r="X98">
        <v>5428.4400000000014</v>
      </c>
      <c r="Y98">
        <v>10492.38</v>
      </c>
      <c r="Z98">
        <v>10658.43</v>
      </c>
      <c r="AA98">
        <v>8385.2999999999993</v>
      </c>
      <c r="AB98">
        <v>14034.33</v>
      </c>
      <c r="AC98">
        <v>46131.39</v>
      </c>
      <c r="AD98">
        <v>15178.14</v>
      </c>
      <c r="AE98">
        <v>21341.61</v>
      </c>
      <c r="AF98">
        <v>12826.8</v>
      </c>
      <c r="AG98" s="5">
        <f>Tabla2[[#This Row],[Deforestation 2012]]/Tabla2[[#This Row],[Forest cover 2011]]</f>
        <v>1.9038123501737569E-3</v>
      </c>
      <c r="AH98" s="6">
        <f>Tabla2[[#This Row],[Deforestation 2013]]/Tabla2[[#This Row],[Forest cover 2011]]</f>
        <v>2.9890747906210846E-3</v>
      </c>
      <c r="AI98" s="6">
        <f>Tabla2[[#This Row],[Deforestation 2014]]/Tabla2[[#This Row],[Forest cover 2011]]</f>
        <v>2.2957924980768173E-3</v>
      </c>
      <c r="AJ98" s="6">
        <f>Tabla2[[#This Row],[Deforestation 2015]]/Tabla2[[#This Row],[Forest cover 2011]]</f>
        <v>3.83040063074427E-3</v>
      </c>
      <c r="AK98" s="6">
        <f>Tabla2[[#This Row],[Deforestation 2016]]/Tabla2[[#This Row],[Forest cover 2011]]</f>
        <v>5.073817428993376E-3</v>
      </c>
      <c r="AL98" s="6">
        <f>Tabla2[[#This Row],[Deforestation 2017]]/Tabla2[[#This Row],[Forest cover 2011]]</f>
        <v>1.1102840350093721E-2</v>
      </c>
      <c r="AM98" s="6">
        <f>Tabla2[[#This Row],[Deforestation 2018]]/Tabla2[[#This Row],[Forest cover 2011]]</f>
        <v>1.0125923223402928E-2</v>
      </c>
      <c r="AN98" s="6">
        <f>Tabla2[[#This Row],[Deforestation 2019]]/Tabla2[[#This Row],[Forest cover 2011]]</f>
        <v>8.2390331766547982E-3</v>
      </c>
      <c r="AO98" s="6">
        <f>Tabla2[[#This Row],[Deforestation 2020]]/Tabla2[[#This Row],[Forest cover 2011]]</f>
        <v>1.3370748297871706E-2</v>
      </c>
      <c r="AP98" s="6">
        <f>Tabla2[[#This Row],[Deforestation 2021]]/Tabla2[[#This Row],[Forest cover 2011]]</f>
        <v>2.1819128460930339E-2</v>
      </c>
      <c r="AQ98" s="6">
        <f>Tabla2[[#This Row],[Deforestation 2022]]/Tabla2[[#This Row],[Forest cover 2011]]</f>
        <v>1.7933278018332281E-2</v>
      </c>
      <c r="AR98" s="6">
        <f>Tabla2[[#This Row],[Deforestation 2023]]/Tabla2[[#This Row],[Forest cover 2011]]</f>
        <v>2.4982854194453657E-2</v>
      </c>
      <c r="AS98" s="6">
        <f>Tabla2[[#This Row],[Deforestation 2024]]/Tabla2[[#This Row],[Forest cover 2011]]</f>
        <v>1.5097461824773485E-2</v>
      </c>
      <c r="AT98" s="6">
        <f>Tabla2[[#This Row],[Forest Loss 2012]]/Tabla2[[#This Row],[Forest cover 2011]]</f>
        <v>4.6935445350325738E-3</v>
      </c>
      <c r="AU98" s="6">
        <f>Tabla2[[#This Row],[Forest Loss 2013]]/Tabla2[[#This Row],[Forest cover 2011]]</f>
        <v>4.7270698531399489E-3</v>
      </c>
      <c r="AV98" s="6">
        <f>Tabla2[[#This Row],[Forest Loss 2014]]/Tabla2[[#This Row],[Forest cover 2011]]</f>
        <v>3.4940831538575823E-3</v>
      </c>
      <c r="AW98" s="6">
        <f>Tabla2[[#This Row],[Forest Loss 2015]]/Tabla2[[#This Row],[Forest cover 2011]]</f>
        <v>4.4271512930555545E-3</v>
      </c>
      <c r="AX98" s="6">
        <f>Tabla2[[#This Row],[Forest Loss 2016]]/Tabla2[[#This Row],[Forest cover 2011]]</f>
        <v>6.4194066252840085E-3</v>
      </c>
      <c r="AY98" s="6">
        <f>Tabla2[[#This Row],[Forest Loss 2017]]/Tabla2[[#This Row],[Forest cover 2011]]</f>
        <v>1.2407773446330327E-2</v>
      </c>
      <c r="AZ98" s="6">
        <f>Tabla2[[#This Row],[Forest Loss 2018]]/Tabla2[[#This Row],[Forest cover 2011]]</f>
        <v>1.2604136023816385E-2</v>
      </c>
      <c r="BA98" s="6">
        <f>Tabla2[[#This Row],[Forest Loss 2019]]/Tabla2[[#This Row],[Forest cover 2011]]</f>
        <v>9.9160440890926262E-3</v>
      </c>
      <c r="BB98" s="6">
        <f>Tabla2[[#This Row],[Forest Loss 2020]]/Tabla2[[#This Row],[Forest cover 2011]]</f>
        <v>1.6596309618126404E-2</v>
      </c>
      <c r="BC98" s="6">
        <f>Tabla2[[#This Row],[Forest Loss 2021]]/Tabla2[[#This Row],[Forest cover 2011]]</f>
        <v>5.4552716913065333E-2</v>
      </c>
      <c r="BD98" s="6">
        <f>Tabla2[[#This Row],[Forest Loss 2022]]/Tabla2[[#This Row],[Forest cover 2011]]</f>
        <v>1.7948923166782389E-2</v>
      </c>
      <c r="BE98" s="6">
        <f>Tabla2[[#This Row],[Forest Loss 2023]]/Tabla2[[#This Row],[Forest cover 2011]]</f>
        <v>2.5237540182488416E-2</v>
      </c>
      <c r="BF98" s="6">
        <f>Tabla2[[#This Row],[Forest Loss 2024]]/Tabla2[[#This Row],[Forest cover 2011]]</f>
        <v>1.5168343925914792E-2</v>
      </c>
    </row>
    <row r="99" spans="1:58" x14ac:dyDescent="0.25">
      <c r="A99" s="2">
        <v>20402</v>
      </c>
      <c r="B99" s="3" t="s">
        <v>88</v>
      </c>
      <c r="C99" t="s">
        <v>109</v>
      </c>
      <c r="D99">
        <v>3005.1</v>
      </c>
      <c r="E99" s="4">
        <f>AVERAGE(Tabla2[[#This Row],[Deforestation 2012]:[Deforestation 2014]])</f>
        <v>3.5700000000000003</v>
      </c>
      <c r="F99" s="4">
        <f>AVERAGE(Tabla2[[#This Row],[Deforestation 2022]:[Deforestation 2024]])</f>
        <v>6.63</v>
      </c>
      <c r="G99">
        <v>1.08</v>
      </c>
      <c r="H99">
        <v>3.24</v>
      </c>
      <c r="I99">
        <v>6.3900000000000006</v>
      </c>
      <c r="J99">
        <v>1.8</v>
      </c>
      <c r="K99">
        <v>1.26</v>
      </c>
      <c r="L99">
        <v>2.97</v>
      </c>
      <c r="M99">
        <v>1.26</v>
      </c>
      <c r="N99">
        <v>2.0699999999999998</v>
      </c>
      <c r="O99">
        <v>5.31</v>
      </c>
      <c r="P99">
        <v>0.63</v>
      </c>
      <c r="Q99">
        <v>0.36</v>
      </c>
      <c r="R99">
        <v>14.13</v>
      </c>
      <c r="S99">
        <v>5.4</v>
      </c>
      <c r="T99">
        <v>22.95</v>
      </c>
      <c r="U99">
        <v>20.7</v>
      </c>
      <c r="V99">
        <v>56.16</v>
      </c>
      <c r="W99">
        <v>14.4</v>
      </c>
      <c r="X99">
        <v>6.48</v>
      </c>
      <c r="Y99">
        <v>14.49</v>
      </c>
      <c r="Z99">
        <v>6.84</v>
      </c>
      <c r="AA99">
        <v>19.89</v>
      </c>
      <c r="AB99">
        <v>11.88</v>
      </c>
      <c r="AC99">
        <v>1.62</v>
      </c>
      <c r="AD99">
        <v>0.72</v>
      </c>
      <c r="AE99">
        <v>15.84</v>
      </c>
      <c r="AF99">
        <v>44.099999999999987</v>
      </c>
      <c r="AG99" s="5">
        <f>Tabla2[[#This Row],[Deforestation 2012]]/Tabla2[[#This Row],[Forest cover 2011]]</f>
        <v>3.5938903863432171E-4</v>
      </c>
      <c r="AH99" s="6">
        <f>Tabla2[[#This Row],[Deforestation 2013]]/Tabla2[[#This Row],[Forest cover 2011]]</f>
        <v>1.0781671159029651E-3</v>
      </c>
      <c r="AI99" s="6">
        <f>Tabla2[[#This Row],[Deforestation 2014]]/Tabla2[[#This Row],[Forest cover 2011]]</f>
        <v>2.1263851452530702E-3</v>
      </c>
      <c r="AJ99" s="6">
        <f>Tabla2[[#This Row],[Deforestation 2015]]/Tabla2[[#This Row],[Forest cover 2011]]</f>
        <v>5.9898173105720279E-4</v>
      </c>
      <c r="AK99" s="6">
        <f>Tabla2[[#This Row],[Deforestation 2016]]/Tabla2[[#This Row],[Forest cover 2011]]</f>
        <v>4.1928721174004196E-4</v>
      </c>
      <c r="AL99" s="6">
        <f>Tabla2[[#This Row],[Deforestation 2017]]/Tabla2[[#This Row],[Forest cover 2011]]</f>
        <v>9.8831985624438473E-4</v>
      </c>
      <c r="AM99" s="6">
        <f>Tabla2[[#This Row],[Deforestation 2018]]/Tabla2[[#This Row],[Forest cover 2011]]</f>
        <v>4.1928721174004196E-4</v>
      </c>
      <c r="AN99" s="6">
        <f>Tabla2[[#This Row],[Deforestation 2019]]/Tabla2[[#This Row],[Forest cover 2011]]</f>
        <v>6.8882899071578312E-4</v>
      </c>
      <c r="AO99" s="6">
        <f>Tabla2[[#This Row],[Deforestation 2020]]/Tabla2[[#This Row],[Forest cover 2011]]</f>
        <v>1.766996106618748E-3</v>
      </c>
      <c r="AP99" s="6">
        <f>Tabla2[[#This Row],[Deforestation 2021]]/Tabla2[[#This Row],[Forest cover 2011]]</f>
        <v>2.0964360587002098E-4</v>
      </c>
      <c r="AQ99" s="6">
        <f>Tabla2[[#This Row],[Deforestation 2022]]/Tabla2[[#This Row],[Forest cover 2011]]</f>
        <v>1.1979634621144055E-4</v>
      </c>
      <c r="AR99" s="6">
        <f>Tabla2[[#This Row],[Deforestation 2023]]/Tabla2[[#This Row],[Forest cover 2011]]</f>
        <v>4.7020065887990424E-3</v>
      </c>
      <c r="AS99" s="6">
        <f>Tabla2[[#This Row],[Deforestation 2024]]/Tabla2[[#This Row],[Forest cover 2011]]</f>
        <v>1.7969451931716084E-3</v>
      </c>
      <c r="AT99" s="6">
        <f>Tabla2[[#This Row],[Forest Loss 2012]]/Tabla2[[#This Row],[Forest cover 2011]]</f>
        <v>7.6370170709793355E-3</v>
      </c>
      <c r="AU99" s="6">
        <f>Tabla2[[#This Row],[Forest Loss 2013]]/Tabla2[[#This Row],[Forest cover 2011]]</f>
        <v>6.8882899071578321E-3</v>
      </c>
      <c r="AV99" s="6">
        <f>Tabla2[[#This Row],[Forest Loss 2014]]/Tabla2[[#This Row],[Forest cover 2011]]</f>
        <v>1.8688230008984726E-2</v>
      </c>
      <c r="AW99" s="6">
        <f>Tabla2[[#This Row],[Forest Loss 2015]]/Tabla2[[#This Row],[Forest cover 2011]]</f>
        <v>4.7918538484576223E-3</v>
      </c>
      <c r="AX99" s="6">
        <f>Tabla2[[#This Row],[Forest Loss 2016]]/Tabla2[[#This Row],[Forest cover 2011]]</f>
        <v>2.1563342318059301E-3</v>
      </c>
      <c r="AY99" s="6">
        <f>Tabla2[[#This Row],[Forest Loss 2017]]/Tabla2[[#This Row],[Forest cover 2011]]</f>
        <v>4.8218029350104823E-3</v>
      </c>
      <c r="AZ99" s="6">
        <f>Tabla2[[#This Row],[Forest Loss 2018]]/Tabla2[[#This Row],[Forest cover 2011]]</f>
        <v>2.2761305780173704E-3</v>
      </c>
      <c r="BA99" s="6">
        <f>Tabla2[[#This Row],[Forest Loss 2019]]/Tabla2[[#This Row],[Forest cover 2011]]</f>
        <v>6.6187481281820906E-3</v>
      </c>
      <c r="BB99" s="6">
        <f>Tabla2[[#This Row],[Forest Loss 2020]]/Tabla2[[#This Row],[Forest cover 2011]]</f>
        <v>3.9532794249775389E-3</v>
      </c>
      <c r="BC99" s="6">
        <f>Tabla2[[#This Row],[Forest Loss 2021]]/Tabla2[[#This Row],[Forest cover 2011]]</f>
        <v>5.3908355795148253E-4</v>
      </c>
      <c r="BD99" s="6">
        <f>Tabla2[[#This Row],[Forest Loss 2022]]/Tabla2[[#This Row],[Forest cover 2011]]</f>
        <v>2.3959269242288111E-4</v>
      </c>
      <c r="BE99" s="6">
        <f>Tabla2[[#This Row],[Forest Loss 2023]]/Tabla2[[#This Row],[Forest cover 2011]]</f>
        <v>5.2710392333033844E-3</v>
      </c>
      <c r="BF99" s="6">
        <f>Tabla2[[#This Row],[Forest Loss 2024]]/Tabla2[[#This Row],[Forest cover 2011]]</f>
        <v>1.4675052410901463E-2</v>
      </c>
    </row>
    <row r="100" spans="1:58" x14ac:dyDescent="0.25">
      <c r="A100" s="2">
        <v>21103</v>
      </c>
      <c r="B100" s="3" t="s">
        <v>88</v>
      </c>
      <c r="C100" t="s">
        <v>146</v>
      </c>
      <c r="D100">
        <v>21799.26</v>
      </c>
      <c r="E100" s="4">
        <f>AVERAGE(Tabla2[[#This Row],[Deforestation 2012]:[Deforestation 2014]])</f>
        <v>7.6499999999999995</v>
      </c>
      <c r="F100" s="4">
        <f>AVERAGE(Tabla2[[#This Row],[Deforestation 2022]:[Deforestation 2024]])</f>
        <v>79.050000000000011</v>
      </c>
      <c r="G100">
        <v>8.19</v>
      </c>
      <c r="H100">
        <v>2.34</v>
      </c>
      <c r="I100">
        <v>12.42</v>
      </c>
      <c r="J100">
        <v>9.36</v>
      </c>
      <c r="K100">
        <v>14.76</v>
      </c>
      <c r="L100">
        <v>4.8600000000000003</v>
      </c>
      <c r="M100">
        <v>12.33</v>
      </c>
      <c r="N100">
        <v>6.93</v>
      </c>
      <c r="O100">
        <v>39.69</v>
      </c>
      <c r="P100">
        <v>6.12</v>
      </c>
      <c r="Q100">
        <v>4.7699999999999996</v>
      </c>
      <c r="R100">
        <v>189.99</v>
      </c>
      <c r="S100">
        <v>42.39</v>
      </c>
      <c r="T100">
        <v>78.75</v>
      </c>
      <c r="U100">
        <v>29.34</v>
      </c>
      <c r="V100">
        <v>91.98</v>
      </c>
      <c r="W100">
        <v>25.38</v>
      </c>
      <c r="X100">
        <v>23.31</v>
      </c>
      <c r="Y100">
        <v>13.95</v>
      </c>
      <c r="Z100">
        <v>46.35</v>
      </c>
      <c r="AA100">
        <v>25.47</v>
      </c>
      <c r="AB100">
        <v>52.92</v>
      </c>
      <c r="AC100">
        <v>13.86</v>
      </c>
      <c r="AD100">
        <v>6.1199999999999992</v>
      </c>
      <c r="AE100">
        <v>210.6</v>
      </c>
      <c r="AF100">
        <v>319.5</v>
      </c>
      <c r="AG100" s="5">
        <f>Tabla2[[#This Row],[Deforestation 2012]]/Tabla2[[#This Row],[Forest cover 2011]]</f>
        <v>3.7570082654181841E-4</v>
      </c>
      <c r="AH100" s="6">
        <f>Tabla2[[#This Row],[Deforestation 2013]]/Tabla2[[#This Row],[Forest cover 2011]]</f>
        <v>1.0734309329766239E-4</v>
      </c>
      <c r="AI100" s="6">
        <f>Tabla2[[#This Row],[Deforestation 2014]]/Tabla2[[#This Row],[Forest cover 2011]]</f>
        <v>5.6974411057990045E-4</v>
      </c>
      <c r="AJ100" s="6">
        <f>Tabla2[[#This Row],[Deforestation 2015]]/Tabla2[[#This Row],[Forest cover 2011]]</f>
        <v>4.2937237319064957E-4</v>
      </c>
      <c r="AK100" s="6">
        <f>Tabla2[[#This Row],[Deforestation 2016]]/Tabla2[[#This Row],[Forest cover 2011]]</f>
        <v>6.7708720387756288E-4</v>
      </c>
      <c r="AL100" s="6">
        <f>Tabla2[[#This Row],[Deforestation 2017]]/Tabla2[[#This Row],[Forest cover 2011]]</f>
        <v>2.2294334761822194E-4</v>
      </c>
      <c r="AM100" s="6">
        <f>Tabla2[[#This Row],[Deforestation 2018]]/Tabla2[[#This Row],[Forest cover 2011]]</f>
        <v>5.6561553006845191E-4</v>
      </c>
      <c r="AN100" s="6">
        <f>Tabla2[[#This Row],[Deforestation 2019]]/Tabla2[[#This Row],[Forest cover 2011]]</f>
        <v>3.1790069938153866E-4</v>
      </c>
      <c r="AO100" s="6">
        <f>Tabla2[[#This Row],[Deforestation 2020]]/Tabla2[[#This Row],[Forest cover 2011]]</f>
        <v>1.8207040055488123E-3</v>
      </c>
      <c r="AP100" s="6">
        <f>Tabla2[[#This Row],[Deforestation 2021]]/Tabla2[[#This Row],[Forest cover 2011]]</f>
        <v>2.8074347477850169E-4</v>
      </c>
      <c r="AQ100" s="6">
        <f>Tabla2[[#This Row],[Deforestation 2022]]/Tabla2[[#This Row],[Forest cover 2011]]</f>
        <v>2.1881476710677335E-4</v>
      </c>
      <c r="AR100" s="6">
        <f>Tabla2[[#This Row],[Deforestation 2023]]/Tabla2[[#This Row],[Forest cover 2011]]</f>
        <v>8.7154334596678974E-3</v>
      </c>
      <c r="AS100" s="6">
        <f>Tabla2[[#This Row],[Deforestation 2024]]/Tabla2[[#This Row],[Forest cover 2011]]</f>
        <v>1.944561420892269E-3</v>
      </c>
      <c r="AT100" s="6">
        <f>Tabla2[[#This Row],[Forest Loss 2012]]/Tabla2[[#This Row],[Forest cover 2011]]</f>
        <v>3.6125079475174847E-3</v>
      </c>
      <c r="AU100" s="6">
        <f>Tabla2[[#This Row],[Forest Loss 2013]]/Tabla2[[#This Row],[Forest cover 2011]]</f>
        <v>1.3459172467322287E-3</v>
      </c>
      <c r="AV100" s="6">
        <f>Tabla2[[#This Row],[Forest Loss 2014]]/Tabla2[[#This Row],[Forest cover 2011]]</f>
        <v>4.2194092827004225E-3</v>
      </c>
      <c r="AW100" s="6">
        <f>Tabla2[[#This Row],[Forest Loss 2015]]/Tabla2[[#This Row],[Forest cover 2011]]</f>
        <v>1.1642597042284921E-3</v>
      </c>
      <c r="AX100" s="6">
        <f>Tabla2[[#This Row],[Forest Loss 2016]]/Tabla2[[#This Row],[Forest cover 2011]]</f>
        <v>1.0693023524651754E-3</v>
      </c>
      <c r="AY100" s="6">
        <f>Tabla2[[#This Row],[Forest Loss 2017]]/Tabla2[[#This Row],[Forest cover 2011]]</f>
        <v>6.3992997927452585E-4</v>
      </c>
      <c r="AZ100" s="6">
        <f>Tabla2[[#This Row],[Forest Loss 2018]]/Tabla2[[#This Row],[Forest cover 2011]]</f>
        <v>2.1262189633960054E-3</v>
      </c>
      <c r="BA100" s="6">
        <f>Tabla2[[#This Row],[Forest Loss 2019]]/Tabla2[[#This Row],[Forest cover 2011]]</f>
        <v>1.1683882847399408E-3</v>
      </c>
      <c r="BB100" s="6">
        <f>Tabla2[[#This Row],[Forest Loss 2020]]/Tabla2[[#This Row],[Forest cover 2011]]</f>
        <v>2.4276053407317499E-3</v>
      </c>
      <c r="BC100" s="6">
        <f>Tabla2[[#This Row],[Forest Loss 2021]]/Tabla2[[#This Row],[Forest cover 2011]]</f>
        <v>6.3580139876307732E-4</v>
      </c>
      <c r="BD100" s="6">
        <f>Tabla2[[#This Row],[Forest Loss 2022]]/Tabla2[[#This Row],[Forest cover 2011]]</f>
        <v>2.8074347477850163E-4</v>
      </c>
      <c r="BE100" s="6">
        <f>Tabla2[[#This Row],[Forest Loss 2023]]/Tabla2[[#This Row],[Forest cover 2011]]</f>
        <v>9.6608783967896163E-3</v>
      </c>
      <c r="BF100" s="6">
        <f>Tabla2[[#This Row],[Forest Loss 2024]]/Tabla2[[#This Row],[Forest cover 2011]]</f>
        <v>1.4656460815642368E-2</v>
      </c>
    </row>
    <row r="101" spans="1:58" x14ac:dyDescent="0.25">
      <c r="A101" s="2">
        <v>70403</v>
      </c>
      <c r="B101" s="3" t="s">
        <v>310</v>
      </c>
      <c r="C101" t="s">
        <v>323</v>
      </c>
      <c r="D101">
        <v>704387.7</v>
      </c>
      <c r="E101" s="4">
        <f>AVERAGE(Tabla2[[#This Row],[Deforestation 2012]:[Deforestation 2014]])</f>
        <v>6238.920000000001</v>
      </c>
      <c r="F101" s="4">
        <f>AVERAGE(Tabla2[[#This Row],[Deforestation 2022]:[Deforestation 2024]])</f>
        <v>6589.44</v>
      </c>
      <c r="G101">
        <v>9282.15</v>
      </c>
      <c r="H101">
        <v>4856.8500000000004</v>
      </c>
      <c r="I101">
        <v>4577.76</v>
      </c>
      <c r="J101">
        <v>4470.84</v>
      </c>
      <c r="K101">
        <v>6235.29</v>
      </c>
      <c r="L101">
        <v>6656.4</v>
      </c>
      <c r="M101">
        <v>4680.54</v>
      </c>
      <c r="N101">
        <v>5218.1100000000006</v>
      </c>
      <c r="O101">
        <v>4751.1900000000014</v>
      </c>
      <c r="P101">
        <v>7239.15</v>
      </c>
      <c r="Q101">
        <v>2483.37</v>
      </c>
      <c r="R101">
        <v>11485.17</v>
      </c>
      <c r="S101">
        <v>5799.78</v>
      </c>
      <c r="T101">
        <v>26292.42</v>
      </c>
      <c r="U101">
        <v>9811.4399999999987</v>
      </c>
      <c r="V101">
        <v>8741.16</v>
      </c>
      <c r="W101">
        <v>9024.0299999999988</v>
      </c>
      <c r="X101">
        <v>7817.67</v>
      </c>
      <c r="Y101">
        <v>7818.3899999999994</v>
      </c>
      <c r="Z101">
        <v>6950.07</v>
      </c>
      <c r="AA101">
        <v>6980.67</v>
      </c>
      <c r="AB101">
        <v>6897.0599999999986</v>
      </c>
      <c r="AC101">
        <v>9634.9500000000007</v>
      </c>
      <c r="AD101">
        <v>2963.52</v>
      </c>
      <c r="AE101">
        <v>14889.87</v>
      </c>
      <c r="AF101">
        <v>10208.879999999999</v>
      </c>
      <c r="AG101" s="5">
        <f>Tabla2[[#This Row],[Deforestation 2012]]/Tabla2[[#This Row],[Forest cover 2011]]</f>
        <v>1.3177615111677844E-2</v>
      </c>
      <c r="AH101" s="6">
        <f>Tabla2[[#This Row],[Deforestation 2013]]/Tabla2[[#This Row],[Forest cover 2011]]</f>
        <v>6.8951374363862413E-3</v>
      </c>
      <c r="AI101" s="6">
        <f>Tabla2[[#This Row],[Deforestation 2014]]/Tabla2[[#This Row],[Forest cover 2011]]</f>
        <v>6.4989209777513157E-3</v>
      </c>
      <c r="AJ101" s="6">
        <f>Tabla2[[#This Row],[Deforestation 2015]]/Tabla2[[#This Row],[Forest cover 2011]]</f>
        <v>6.3471295708315183E-3</v>
      </c>
      <c r="AK101" s="6">
        <f>Tabla2[[#This Row],[Deforestation 2016]]/Tabla2[[#This Row],[Forest cover 2011]]</f>
        <v>8.852071096641807E-3</v>
      </c>
      <c r="AL101" s="6">
        <f>Tabla2[[#This Row],[Deforestation 2017]]/Tabla2[[#This Row],[Forest cover 2011]]</f>
        <v>9.4499094745691906E-3</v>
      </c>
      <c r="AM101" s="6">
        <f>Tabla2[[#This Row],[Deforestation 2018]]/Tabla2[[#This Row],[Forest cover 2011]]</f>
        <v>6.64483493962203E-3</v>
      </c>
      <c r="AN101" s="6">
        <f>Tabla2[[#This Row],[Deforestation 2019]]/Tabla2[[#This Row],[Forest cover 2011]]</f>
        <v>7.4080084021910103E-3</v>
      </c>
      <c r="AO101" s="6">
        <f>Tabla2[[#This Row],[Deforestation 2020]]/Tabla2[[#This Row],[Forest cover 2011]]</f>
        <v>6.7451348170900795E-3</v>
      </c>
      <c r="AP101" s="6">
        <f>Tabla2[[#This Row],[Deforestation 2021]]/Tabla2[[#This Row],[Forest cover 2011]]</f>
        <v>1.0277223750499902E-2</v>
      </c>
      <c r="AQ101" s="6">
        <f>Tabla2[[#This Row],[Deforestation 2022]]/Tabla2[[#This Row],[Forest cover 2011]]</f>
        <v>3.525572635638016E-3</v>
      </c>
      <c r="AR101" s="6">
        <f>Tabla2[[#This Row],[Deforestation 2023]]/Tabla2[[#This Row],[Forest cover 2011]]</f>
        <v>1.6305182501057301E-2</v>
      </c>
      <c r="AS101" s="6">
        <f>Tabla2[[#This Row],[Deforestation 2024]]/Tabla2[[#This Row],[Forest cover 2011]]</f>
        <v>8.2337894315871792E-3</v>
      </c>
      <c r="AT101" s="6">
        <f>Tabla2[[#This Row],[Forest Loss 2012]]/Tabla2[[#This Row],[Forest cover 2011]]</f>
        <v>3.7326631342370117E-2</v>
      </c>
      <c r="AU101" s="6">
        <f>Tabla2[[#This Row],[Forest Loss 2013]]/Tabla2[[#This Row],[Forest cover 2011]]</f>
        <v>1.3929033684148658E-2</v>
      </c>
      <c r="AV101" s="6">
        <f>Tabla2[[#This Row],[Forest Loss 2014]]/Tabla2[[#This Row],[Forest cover 2011]]</f>
        <v>1.2409586368416143E-2</v>
      </c>
      <c r="AW101" s="6">
        <f>Tabla2[[#This Row],[Forest Loss 2015]]/Tabla2[[#This Row],[Forest cover 2011]]</f>
        <v>1.2811169189921969E-2</v>
      </c>
      <c r="AX101" s="6">
        <f>Tabla2[[#This Row],[Forest Loss 2016]]/Tabla2[[#This Row],[Forest cover 2011]]</f>
        <v>1.1098532810836987E-2</v>
      </c>
      <c r="AY101" s="6">
        <f>Tabla2[[#This Row],[Forest Loss 2017]]/Tabla2[[#This Row],[Forest cover 2011]]</f>
        <v>1.1099554975193349E-2</v>
      </c>
      <c r="AZ101" s="6">
        <f>Tabla2[[#This Row],[Forest Loss 2018]]/Tabla2[[#This Row],[Forest cover 2011]]</f>
        <v>9.8668247614204507E-3</v>
      </c>
      <c r="BA101" s="6">
        <f>Tabla2[[#This Row],[Forest Loss 2019]]/Tabla2[[#This Row],[Forest cover 2011]]</f>
        <v>9.9102667465658482E-3</v>
      </c>
      <c r="BB101" s="6">
        <f>Tabla2[[#This Row],[Forest Loss 2020]]/Tabla2[[#This Row],[Forest cover 2011]]</f>
        <v>9.7915679106832763E-3</v>
      </c>
      <c r="BC101" s="6">
        <f>Tabla2[[#This Row],[Forest Loss 2021]]/Tabla2[[#This Row],[Forest cover 2011]]</f>
        <v>1.3678475646295358E-2</v>
      </c>
      <c r="BD101" s="6">
        <f>Tabla2[[#This Row],[Forest Loss 2022]]/Tabla2[[#This Row],[Forest cover 2011]]</f>
        <v>4.2072284907871049E-3</v>
      </c>
      <c r="BE101" s="6">
        <f>Tabla2[[#This Row],[Forest Loss 2023]]/Tabla2[[#This Row],[Forest cover 2011]]</f>
        <v>2.1138742201205391E-2</v>
      </c>
      <c r="BF101" s="6">
        <f>Tabla2[[#This Row],[Forest Loss 2024]]/Tabla2[[#This Row],[Forest cover 2011]]</f>
        <v>1.4493268408860631E-2</v>
      </c>
    </row>
    <row r="102" spans="1:58" x14ac:dyDescent="0.25">
      <c r="A102" s="2">
        <v>20603</v>
      </c>
      <c r="B102" s="3" t="s">
        <v>88</v>
      </c>
      <c r="C102" t="s">
        <v>118</v>
      </c>
      <c r="D102">
        <v>53398.080000000002</v>
      </c>
      <c r="E102" s="4">
        <f>AVERAGE(Tabla2[[#This Row],[Deforestation 2012]:[Deforestation 2014]])</f>
        <v>46.56</v>
      </c>
      <c r="F102" s="4">
        <f>AVERAGE(Tabla2[[#This Row],[Deforestation 2022]:[Deforestation 2024]])</f>
        <v>253.28999999999996</v>
      </c>
      <c r="G102">
        <v>45.27</v>
      </c>
      <c r="H102">
        <v>49.86</v>
      </c>
      <c r="I102">
        <v>44.55</v>
      </c>
      <c r="J102">
        <v>36.54</v>
      </c>
      <c r="K102">
        <v>25.74</v>
      </c>
      <c r="L102">
        <v>14.22</v>
      </c>
      <c r="M102">
        <v>59.67</v>
      </c>
      <c r="N102">
        <v>32.76</v>
      </c>
      <c r="O102">
        <v>83.61</v>
      </c>
      <c r="P102">
        <v>62.28</v>
      </c>
      <c r="Q102">
        <v>22.95</v>
      </c>
      <c r="R102">
        <v>396.99</v>
      </c>
      <c r="S102">
        <v>339.92999999999989</v>
      </c>
      <c r="T102">
        <v>206.55</v>
      </c>
      <c r="U102">
        <v>108.54</v>
      </c>
      <c r="V102">
        <v>147.06</v>
      </c>
      <c r="W102">
        <v>60.930000000000007</v>
      </c>
      <c r="X102">
        <v>43.02</v>
      </c>
      <c r="Y102">
        <v>30.78</v>
      </c>
      <c r="Z102">
        <v>85.22999999999999</v>
      </c>
      <c r="AA102">
        <v>66.150000000000006</v>
      </c>
      <c r="AB102">
        <v>104.31</v>
      </c>
      <c r="AC102">
        <v>104.67</v>
      </c>
      <c r="AD102">
        <v>33.299999999999997</v>
      </c>
      <c r="AE102">
        <v>456.39</v>
      </c>
      <c r="AF102">
        <v>736.74</v>
      </c>
      <c r="AG102" s="5">
        <f>Tabla2[[#This Row],[Deforestation 2012]]/Tabla2[[#This Row],[Forest cover 2011]]</f>
        <v>8.4778329108462327E-4</v>
      </c>
      <c r="AH102" s="6">
        <f>Tabla2[[#This Row],[Deforestation 2013]]/Tabla2[[#This Row],[Forest cover 2011]]</f>
        <v>9.3374143789439618E-4</v>
      </c>
      <c r="AI102" s="6">
        <f>Tabla2[[#This Row],[Deforestation 2014]]/Tabla2[[#This Row],[Forest cover 2011]]</f>
        <v>8.342996602125019E-4</v>
      </c>
      <c r="AJ102" s="6">
        <f>Tabla2[[#This Row],[Deforestation 2015]]/Tabla2[[#This Row],[Forest cover 2011]]</f>
        <v>6.8429426676015314E-4</v>
      </c>
      <c r="AK102" s="6">
        <f>Tabla2[[#This Row],[Deforestation 2016]]/Tabla2[[#This Row],[Forest cover 2011]]</f>
        <v>4.8203980367833446E-4</v>
      </c>
      <c r="AL102" s="6">
        <f>Tabla2[[#This Row],[Deforestation 2017]]/Tabla2[[#This Row],[Forest cover 2011]]</f>
        <v>2.6630170972439458E-4</v>
      </c>
      <c r="AM102" s="6">
        <f>Tabla2[[#This Row],[Deforestation 2018]]/Tabla2[[#This Row],[Forest cover 2011]]</f>
        <v>1.1174559085270481E-3</v>
      </c>
      <c r="AN102" s="6">
        <f>Tabla2[[#This Row],[Deforestation 2019]]/Tabla2[[#This Row],[Forest cover 2011]]</f>
        <v>6.1350520468151661E-4</v>
      </c>
      <c r="AO102" s="6">
        <f>Tabla2[[#This Row],[Deforestation 2020]]/Tabla2[[#This Row],[Forest cover 2011]]</f>
        <v>1.5657866350250794E-3</v>
      </c>
      <c r="AP102" s="6">
        <f>Tabla2[[#This Row],[Deforestation 2021]]/Tabla2[[#This Row],[Forest cover 2011]]</f>
        <v>1.1663340704384877E-3</v>
      </c>
      <c r="AQ102" s="6">
        <f>Tabla2[[#This Row],[Deforestation 2022]]/Tabla2[[#This Row],[Forest cover 2011]]</f>
        <v>4.2979073404886465E-4</v>
      </c>
      <c r="AR102" s="6">
        <f>Tabla2[[#This Row],[Deforestation 2023]]/Tabla2[[#This Row],[Forest cover 2011]]</f>
        <v>7.4345369721158516E-3</v>
      </c>
      <c r="AS102" s="6">
        <f>Tabla2[[#This Row],[Deforestation 2024]]/Tabla2[[#This Row],[Forest cover 2011]]</f>
        <v>6.3659592255002409E-3</v>
      </c>
      <c r="AT102" s="6">
        <f>Tabla2[[#This Row],[Forest Loss 2012]]/Tabla2[[#This Row],[Forest cover 2011]]</f>
        <v>3.8681166064397821E-3</v>
      </c>
      <c r="AU102" s="6">
        <f>Tabla2[[#This Row],[Forest Loss 2013]]/Tabla2[[#This Row],[Forest cover 2011]]</f>
        <v>2.0326573539722779E-3</v>
      </c>
      <c r="AV102" s="6">
        <f>Tabla2[[#This Row],[Forest Loss 2014]]/Tabla2[[#This Row],[Forest cover 2011]]</f>
        <v>2.7540316056307644E-3</v>
      </c>
      <c r="AW102" s="6">
        <f>Tabla2[[#This Row],[Forest Loss 2015]]/Tabla2[[#This Row],[Forest cover 2011]]</f>
        <v>1.1410522625532604E-3</v>
      </c>
      <c r="AX102" s="6">
        <f>Tabla2[[#This Row],[Forest Loss 2016]]/Tabla2[[#This Row],[Forest cover 2011]]</f>
        <v>8.0564694460924437E-4</v>
      </c>
      <c r="AY102" s="6">
        <f>Tabla2[[#This Row],[Forest Loss 2017]]/Tabla2[[#This Row],[Forest cover 2011]]</f>
        <v>5.7642521978318317E-4</v>
      </c>
      <c r="AZ102" s="6">
        <f>Tabla2[[#This Row],[Forest Loss 2018]]/Tabla2[[#This Row],[Forest cover 2011]]</f>
        <v>1.5961248044873521E-3</v>
      </c>
      <c r="BA102" s="6">
        <f>Tabla2[[#This Row],[Forest Loss 2019]]/Tabla2[[#This Row],[Forest cover 2011]]</f>
        <v>1.2388085863761394E-3</v>
      </c>
      <c r="BB102" s="6">
        <f>Tabla2[[#This Row],[Forest Loss 2020]]/Tabla2[[#This Row],[Forest cover 2011]]</f>
        <v>1.9534410225985652E-3</v>
      </c>
      <c r="BC102" s="6">
        <f>Tabla2[[#This Row],[Forest Loss 2021]]/Tabla2[[#This Row],[Forest cover 2011]]</f>
        <v>1.9601828380346261E-3</v>
      </c>
      <c r="BD102" s="6">
        <f>Tabla2[[#This Row],[Forest Loss 2022]]/Tabla2[[#This Row],[Forest cover 2011]]</f>
        <v>6.2361792783560753E-4</v>
      </c>
      <c r="BE102" s="6">
        <f>Tabla2[[#This Row],[Forest Loss 2023]]/Tabla2[[#This Row],[Forest cover 2011]]</f>
        <v>8.5469365190658543E-3</v>
      </c>
      <c r="BF102" s="6">
        <f>Tabla2[[#This Row],[Forest Loss 2024]]/Tabla2[[#This Row],[Forest cover 2011]]</f>
        <v>1.3797125289898064E-2</v>
      </c>
    </row>
    <row r="103" spans="1:58" x14ac:dyDescent="0.25">
      <c r="A103" s="2">
        <v>31206</v>
      </c>
      <c r="B103" s="3" t="s">
        <v>176</v>
      </c>
      <c r="C103" t="s">
        <v>211</v>
      </c>
      <c r="D103">
        <v>171517.41</v>
      </c>
      <c r="E103" s="4">
        <f>AVERAGE(Tabla2[[#This Row],[Deforestation 2012]:[Deforestation 2014]])</f>
        <v>1702.29</v>
      </c>
      <c r="F103" s="4">
        <f>AVERAGE(Tabla2[[#This Row],[Deforestation 2022]:[Deforestation 2024]])</f>
        <v>1839.57</v>
      </c>
      <c r="G103">
        <v>1964.16</v>
      </c>
      <c r="H103">
        <v>1389.6</v>
      </c>
      <c r="I103">
        <v>1753.11</v>
      </c>
      <c r="J103">
        <v>1136.6099999999999</v>
      </c>
      <c r="K103">
        <v>1008.9</v>
      </c>
      <c r="L103">
        <v>984.42</v>
      </c>
      <c r="M103">
        <v>1050.75</v>
      </c>
      <c r="N103">
        <v>988.29</v>
      </c>
      <c r="O103">
        <v>1538.64</v>
      </c>
      <c r="P103">
        <v>2700.63</v>
      </c>
      <c r="Q103">
        <v>321.93</v>
      </c>
      <c r="R103">
        <v>2902.5</v>
      </c>
      <c r="S103">
        <v>2294.2800000000002</v>
      </c>
      <c r="T103">
        <v>2471.31</v>
      </c>
      <c r="U103">
        <v>1616.58</v>
      </c>
      <c r="V103">
        <v>1980.09</v>
      </c>
      <c r="W103">
        <v>1329.75</v>
      </c>
      <c r="X103">
        <v>1115.3699999999999</v>
      </c>
      <c r="Y103">
        <v>1147.32</v>
      </c>
      <c r="Z103">
        <v>1256.8499999999999</v>
      </c>
      <c r="AA103">
        <v>1254.24</v>
      </c>
      <c r="AB103">
        <v>1675.62</v>
      </c>
      <c r="AC103">
        <v>3055.68</v>
      </c>
      <c r="AD103">
        <v>347.67</v>
      </c>
      <c r="AE103">
        <v>3510.54</v>
      </c>
      <c r="AF103">
        <v>2345.85</v>
      </c>
      <c r="AG103" s="5">
        <f>Tabla2[[#This Row],[Deforestation 2012]]/Tabla2[[#This Row],[Forest cover 2011]]</f>
        <v>1.1451665460666647E-2</v>
      </c>
      <c r="AH103" s="6">
        <f>Tabla2[[#This Row],[Deforestation 2013]]/Tabla2[[#This Row],[Forest cover 2011]]</f>
        <v>8.1018014439467097E-3</v>
      </c>
      <c r="AI103" s="6">
        <f>Tabla2[[#This Row],[Deforestation 2014]]/Tabla2[[#This Row],[Forest cover 2011]]</f>
        <v>1.0221178129963598E-2</v>
      </c>
      <c r="AJ103" s="6">
        <f>Tabla2[[#This Row],[Deforestation 2015]]/Tabla2[[#This Row],[Forest cover 2011]]</f>
        <v>6.6267908313214375E-3</v>
      </c>
      <c r="AK103" s="6">
        <f>Tabla2[[#This Row],[Deforestation 2016]]/Tabla2[[#This Row],[Forest cover 2011]]</f>
        <v>5.8822016960260763E-3</v>
      </c>
      <c r="AL103" s="6">
        <f>Tabla2[[#This Row],[Deforestation 2017]]/Tabla2[[#This Row],[Forest cover 2011]]</f>
        <v>5.7394756602259789E-3</v>
      </c>
      <c r="AM103" s="6">
        <f>Tabla2[[#This Row],[Deforestation 2018]]/Tabla2[[#This Row],[Forest cover 2011]]</f>
        <v>6.1262002498755084E-3</v>
      </c>
      <c r="AN103" s="6">
        <f>Tabla2[[#This Row],[Deforestation 2019]]/Tabla2[[#This Row],[Forest cover 2011]]</f>
        <v>5.7620389673561419E-3</v>
      </c>
      <c r="AO103" s="6">
        <f>Tabla2[[#This Row],[Deforestation 2020]]/Tabla2[[#This Row],[Forest cover 2011]]</f>
        <v>8.9707511324943635E-3</v>
      </c>
      <c r="AP103" s="6">
        <f>Tabla2[[#This Row],[Deforestation 2021]]/Tabla2[[#This Row],[Forest cover 2011]]</f>
        <v>1.5745515280343843E-2</v>
      </c>
      <c r="AQ103" s="6">
        <f>Tabla2[[#This Row],[Deforestation 2022]]/Tabla2[[#This Row],[Forest cover 2011]]</f>
        <v>1.876952316385841E-3</v>
      </c>
      <c r="AR103" s="6">
        <f>Tabla2[[#This Row],[Deforestation 2023]]/Tabla2[[#This Row],[Forest cover 2011]]</f>
        <v>1.6922480347621852E-2</v>
      </c>
      <c r="AS103" s="6">
        <f>Tabla2[[#This Row],[Deforestation 2024]]/Tabla2[[#This Row],[Forest cover 2011]]</f>
        <v>1.3376368031676786E-2</v>
      </c>
      <c r="AT103" s="6">
        <f>Tabla2[[#This Row],[Forest Loss 2012]]/Tabla2[[#This Row],[Forest cover 2011]]</f>
        <v>1.4408508150863518E-2</v>
      </c>
      <c r="AU103" s="6">
        <f>Tabla2[[#This Row],[Forest Loss 2013]]/Tabla2[[#This Row],[Forest cover 2011]]</f>
        <v>9.4251656435343795E-3</v>
      </c>
      <c r="AV103" s="6">
        <f>Tabla2[[#This Row],[Forest Loss 2014]]/Tabla2[[#This Row],[Forest cover 2011]]</f>
        <v>1.1544542329551268E-2</v>
      </c>
      <c r="AW103" s="6">
        <f>Tabla2[[#This Row],[Forest Loss 2015]]/Tabla2[[#This Row],[Forest cover 2011]]</f>
        <v>7.7528572755383839E-3</v>
      </c>
      <c r="AX103" s="6">
        <f>Tabla2[[#This Row],[Forest Loss 2016]]/Tabla2[[#This Row],[Forest cover 2011]]</f>
        <v>6.5029550061419415E-3</v>
      </c>
      <c r="AY103" s="6">
        <f>Tabla2[[#This Row],[Forest Loss 2017]]/Tabla2[[#This Row],[Forest cover 2011]]</f>
        <v>6.6892334719839807E-3</v>
      </c>
      <c r="AZ103" s="6">
        <f>Tabla2[[#This Row],[Forest Loss 2018]]/Tabla2[[#This Row],[Forest cover 2011]]</f>
        <v>7.3278275365748578E-3</v>
      </c>
      <c r="BA103" s="6">
        <f>Tabla2[[#This Row],[Forest Loss 2019]]/Tabla2[[#This Row],[Forest cover 2011]]</f>
        <v>7.3126104224638189E-3</v>
      </c>
      <c r="BB103" s="6">
        <f>Tabla2[[#This Row],[Forest Loss 2020]]/Tabla2[[#This Row],[Forest cover 2011]]</f>
        <v>9.7693872592875541E-3</v>
      </c>
      <c r="BC103" s="6">
        <f>Tabla2[[#This Row],[Forest Loss 2021]]/Tabla2[[#This Row],[Forest cover 2011]]</f>
        <v>1.7815567527518051E-2</v>
      </c>
      <c r="BD103" s="6">
        <f>Tabla2[[#This Row],[Forest Loss 2022]]/Tabla2[[#This Row],[Forest cover 2011]]</f>
        <v>2.0270245452050613E-3</v>
      </c>
      <c r="BE103" s="6">
        <f>Tabla2[[#This Row],[Forest Loss 2023]]/Tabla2[[#This Row],[Forest cover 2011]]</f>
        <v>2.0467543207421335E-2</v>
      </c>
      <c r="BF103" s="6">
        <f>Tabla2[[#This Row],[Forest Loss 2024]]/Tabla2[[#This Row],[Forest cover 2011]]</f>
        <v>1.3677037217388019E-2</v>
      </c>
    </row>
    <row r="104" spans="1:58" x14ac:dyDescent="0.25">
      <c r="A104" s="2">
        <v>60101</v>
      </c>
      <c r="B104" s="3" t="s">
        <v>300</v>
      </c>
      <c r="C104" t="s">
        <v>300</v>
      </c>
      <c r="D104">
        <v>64428.84</v>
      </c>
      <c r="E104" s="4">
        <f>AVERAGE(Tabla2[[#This Row],[Deforestation 2012]:[Deforestation 2014]])</f>
        <v>49.77</v>
      </c>
      <c r="F104" s="4">
        <f>AVERAGE(Tabla2[[#This Row],[Deforestation 2022]:[Deforestation 2024]])</f>
        <v>306.77999999999997</v>
      </c>
      <c r="G104">
        <v>18.18</v>
      </c>
      <c r="H104">
        <v>29.79</v>
      </c>
      <c r="I104">
        <v>101.34</v>
      </c>
      <c r="J104">
        <v>15.48</v>
      </c>
      <c r="K104">
        <v>14.67</v>
      </c>
      <c r="L104">
        <v>21.6</v>
      </c>
      <c r="M104">
        <v>29.97</v>
      </c>
      <c r="N104">
        <v>23.31</v>
      </c>
      <c r="O104">
        <v>26.37</v>
      </c>
      <c r="P104">
        <v>34.739999999999988</v>
      </c>
      <c r="Q104">
        <v>14.94</v>
      </c>
      <c r="R104">
        <v>60.75</v>
      </c>
      <c r="S104">
        <v>844.65</v>
      </c>
      <c r="T104">
        <v>107.82</v>
      </c>
      <c r="U104">
        <v>158.85</v>
      </c>
      <c r="V104">
        <v>378.45</v>
      </c>
      <c r="W104">
        <v>58.5</v>
      </c>
      <c r="X104">
        <v>108.54</v>
      </c>
      <c r="Y104">
        <v>65.61</v>
      </c>
      <c r="Z104">
        <v>72.36</v>
      </c>
      <c r="AA104">
        <v>120.33</v>
      </c>
      <c r="AB104">
        <v>120.78</v>
      </c>
      <c r="AC104">
        <v>301.14</v>
      </c>
      <c r="AD104">
        <v>34.11</v>
      </c>
      <c r="AE104">
        <v>71.55</v>
      </c>
      <c r="AF104">
        <v>877.58999999999992</v>
      </c>
      <c r="AG104" s="5">
        <f>Tabla2[[#This Row],[Deforestation 2012]]/Tabla2[[#This Row],[Forest cover 2011]]</f>
        <v>2.8217177276511574E-4</v>
      </c>
      <c r="AH104" s="6">
        <f>Tabla2[[#This Row],[Deforestation 2013]]/Tabla2[[#This Row],[Forest cover 2011]]</f>
        <v>4.623705781448184E-4</v>
      </c>
      <c r="AI104" s="6">
        <f>Tabla2[[#This Row],[Deforestation 2014]]/Tabla2[[#This Row],[Forest cover 2011]]</f>
        <v>1.5728980996708929E-3</v>
      </c>
      <c r="AJ104" s="6">
        <f>Tabla2[[#This Row],[Deforestation 2015]]/Tabla2[[#This Row],[Forest cover 2011]]</f>
        <v>2.4026507383960352E-4</v>
      </c>
      <c r="AK104" s="6">
        <f>Tabla2[[#This Row],[Deforestation 2016]]/Tabla2[[#This Row],[Forest cover 2011]]</f>
        <v>2.2769306416194985E-4</v>
      </c>
      <c r="AL104" s="6">
        <f>Tabla2[[#This Row],[Deforestation 2017]]/Tabla2[[#This Row],[Forest cover 2011]]</f>
        <v>3.3525359140409793E-4</v>
      </c>
      <c r="AM104" s="6">
        <f>Tabla2[[#This Row],[Deforestation 2018]]/Tabla2[[#This Row],[Forest cover 2011]]</f>
        <v>4.6516435807318586E-4</v>
      </c>
      <c r="AN104" s="6">
        <f>Tabla2[[#This Row],[Deforestation 2019]]/Tabla2[[#This Row],[Forest cover 2011]]</f>
        <v>3.6179450072358897E-4</v>
      </c>
      <c r="AO104" s="6">
        <f>Tabla2[[#This Row],[Deforestation 2020]]/Tabla2[[#This Row],[Forest cover 2011]]</f>
        <v>4.0928875950583626E-4</v>
      </c>
      <c r="AP104" s="6">
        <f>Tabla2[[#This Row],[Deforestation 2021]]/Tabla2[[#This Row],[Forest cover 2011]]</f>
        <v>5.3919952617492402E-4</v>
      </c>
      <c r="AQ104" s="6">
        <f>Tabla2[[#This Row],[Deforestation 2022]]/Tabla2[[#This Row],[Forest cover 2011]]</f>
        <v>2.3188373405450105E-4</v>
      </c>
      <c r="AR104" s="6">
        <f>Tabla2[[#This Row],[Deforestation 2023]]/Tabla2[[#This Row],[Forest cover 2011]]</f>
        <v>9.4290072582402544E-4</v>
      </c>
      <c r="AS104" s="6">
        <f>Tabla2[[#This Row],[Deforestation 2024]]/Tabla2[[#This Row],[Forest cover 2011]]</f>
        <v>1.3109812313864412E-2</v>
      </c>
      <c r="AT104" s="6">
        <f>Tabla2[[#This Row],[Forest Loss 2012]]/Tabla2[[#This Row],[Forest cover 2011]]</f>
        <v>1.6734741770921221E-3</v>
      </c>
      <c r="AU104" s="6">
        <f>Tabla2[[#This Row],[Forest Loss 2013]]/Tabla2[[#This Row],[Forest cover 2011]]</f>
        <v>2.4655107867843033E-3</v>
      </c>
      <c r="AV104" s="6">
        <f>Tabla2[[#This Row],[Forest Loss 2014]]/Tabla2[[#This Row],[Forest cover 2011]]</f>
        <v>5.8739222993926324E-3</v>
      </c>
      <c r="AW104" s="6">
        <f>Tabla2[[#This Row],[Forest Loss 2015]]/Tabla2[[#This Row],[Forest cover 2011]]</f>
        <v>9.0797847671943187E-4</v>
      </c>
      <c r="AX104" s="6">
        <f>Tabla2[[#This Row],[Forest Loss 2016]]/Tabla2[[#This Row],[Forest cover 2011]]</f>
        <v>1.6846492968055921E-3</v>
      </c>
      <c r="AY104" s="6">
        <f>Tabla2[[#This Row],[Forest Loss 2017]]/Tabla2[[#This Row],[Forest cover 2011]]</f>
        <v>1.0183327838899476E-3</v>
      </c>
      <c r="AZ104" s="6">
        <f>Tabla2[[#This Row],[Forest Loss 2018]]/Tabla2[[#This Row],[Forest cover 2011]]</f>
        <v>1.1230995312037282E-3</v>
      </c>
      <c r="BA104" s="6">
        <f>Tabla2[[#This Row],[Forest Loss 2019]]/Tabla2[[#This Row],[Forest cover 2011]]</f>
        <v>1.8676418821136622E-3</v>
      </c>
      <c r="BB104" s="6">
        <f>Tabla2[[#This Row],[Forest Loss 2020]]/Tabla2[[#This Row],[Forest cover 2011]]</f>
        <v>1.8746263319345811E-3</v>
      </c>
      <c r="BC104" s="6">
        <f>Tabla2[[#This Row],[Forest Loss 2021]]/Tabla2[[#This Row],[Forest cover 2011]]</f>
        <v>4.6739938201587981E-3</v>
      </c>
      <c r="BD104" s="6">
        <f>Tabla2[[#This Row],[Forest Loss 2022]]/Tabla2[[#This Row],[Forest cover 2011]]</f>
        <v>5.2942129642563802E-4</v>
      </c>
      <c r="BE104" s="6">
        <f>Tabla2[[#This Row],[Forest Loss 2023]]/Tabla2[[#This Row],[Forest cover 2011]]</f>
        <v>1.1105275215260743E-3</v>
      </c>
      <c r="BF104" s="6">
        <f>Tabla2[[#This Row],[Forest Loss 2024]]/Tabla2[[#This Row],[Forest cover 2011]]</f>
        <v>1.3621074040755661E-2</v>
      </c>
    </row>
    <row r="105" spans="1:58" x14ac:dyDescent="0.25">
      <c r="A105" s="2">
        <v>20608</v>
      </c>
      <c r="B105" s="3" t="s">
        <v>88</v>
      </c>
      <c r="C105" t="s">
        <v>123</v>
      </c>
      <c r="D105">
        <v>122949.99</v>
      </c>
      <c r="E105" s="4">
        <f>AVERAGE(Tabla2[[#This Row],[Deforestation 2012]:[Deforestation 2014]])</f>
        <v>687.03000000000009</v>
      </c>
      <c r="F105" s="4">
        <f>AVERAGE(Tabla2[[#This Row],[Deforestation 2022]:[Deforestation 2024]])</f>
        <v>1889.82</v>
      </c>
      <c r="G105">
        <v>584.81999999999994</v>
      </c>
      <c r="H105">
        <v>603.45000000000005</v>
      </c>
      <c r="I105">
        <v>872.82</v>
      </c>
      <c r="J105">
        <v>607.59</v>
      </c>
      <c r="K105">
        <v>693.63</v>
      </c>
      <c r="L105">
        <v>550.53</v>
      </c>
      <c r="M105">
        <v>644.67000000000007</v>
      </c>
      <c r="N105">
        <v>646.82999999999993</v>
      </c>
      <c r="O105">
        <v>787.95</v>
      </c>
      <c r="P105">
        <v>954.71999999999991</v>
      </c>
      <c r="Q105">
        <v>802.26</v>
      </c>
      <c r="R105">
        <v>3733.56</v>
      </c>
      <c r="S105">
        <v>1133.6400000000001</v>
      </c>
      <c r="T105">
        <v>733.5</v>
      </c>
      <c r="U105">
        <v>740.06999999999994</v>
      </c>
      <c r="V105">
        <v>1042.29</v>
      </c>
      <c r="W105">
        <v>712.26</v>
      </c>
      <c r="X105">
        <v>777.42000000000007</v>
      </c>
      <c r="Y105">
        <v>603</v>
      </c>
      <c r="Z105">
        <v>721.89</v>
      </c>
      <c r="AA105">
        <v>777.96</v>
      </c>
      <c r="AB105">
        <v>844.11</v>
      </c>
      <c r="AC105">
        <v>1078.3800000000001</v>
      </c>
      <c r="AD105">
        <v>813.78</v>
      </c>
      <c r="AE105">
        <v>3823.29</v>
      </c>
      <c r="AF105">
        <v>1659.06</v>
      </c>
      <c r="AG105" s="5">
        <f>Tabla2[[#This Row],[Deforestation 2012]]/Tabla2[[#This Row],[Forest cover 2011]]</f>
        <v>4.7565680973215198E-3</v>
      </c>
      <c r="AH105" s="6">
        <f>Tabla2[[#This Row],[Deforestation 2013]]/Tabla2[[#This Row],[Forest cover 2011]]</f>
        <v>4.9080931198123724E-3</v>
      </c>
      <c r="AI105" s="6">
        <f>Tabla2[[#This Row],[Deforestation 2014]]/Tabla2[[#This Row],[Forest cover 2011]]</f>
        <v>7.0989839039433842E-3</v>
      </c>
      <c r="AJ105" s="6">
        <f>Tabla2[[#This Row],[Deforestation 2015]]/Tabla2[[#This Row],[Forest cover 2011]]</f>
        <v>4.9417653470325614E-3</v>
      </c>
      <c r="AK105" s="6">
        <f>Tabla2[[#This Row],[Deforestation 2016]]/Tabla2[[#This Row],[Forest cover 2011]]</f>
        <v>5.6415620692608429E-3</v>
      </c>
      <c r="AL105" s="6">
        <f>Tabla2[[#This Row],[Deforestation 2017]]/Tabla2[[#This Row],[Forest cover 2011]]</f>
        <v>4.4776742153456051E-3</v>
      </c>
      <c r="AM105" s="6">
        <f>Tabla2[[#This Row],[Deforestation 2018]]/Tabla2[[#This Row],[Forest cover 2011]]</f>
        <v>5.2433513821351268E-3</v>
      </c>
      <c r="AN105" s="6">
        <f>Tabla2[[#This Row],[Deforestation 2019]]/Tabla2[[#This Row],[Forest cover 2011]]</f>
        <v>5.2609195006847898E-3</v>
      </c>
      <c r="AO105" s="6">
        <f>Tabla2[[#This Row],[Deforestation 2020]]/Tabla2[[#This Row],[Forest cover 2011]]</f>
        <v>6.4087032459295033E-3</v>
      </c>
      <c r="AP105" s="6">
        <f>Tabla2[[#This Row],[Deforestation 2021]]/Tabla2[[#This Row],[Forest cover 2011]]</f>
        <v>7.7651083989514749E-3</v>
      </c>
      <c r="AQ105" s="6">
        <f>Tabla2[[#This Row],[Deforestation 2022]]/Tabla2[[#This Row],[Forest cover 2011]]</f>
        <v>6.5250920313210271E-3</v>
      </c>
      <c r="AR105" s="6">
        <f>Tabla2[[#This Row],[Deforestation 2023]]/Tabla2[[#This Row],[Forest cover 2011]]</f>
        <v>3.0366492913094175E-2</v>
      </c>
      <c r="AS105" s="6">
        <f>Tabla2[[#This Row],[Deforestation 2024]]/Tabla2[[#This Row],[Forest cover 2011]]</f>
        <v>9.2203342188153098E-3</v>
      </c>
      <c r="AT105" s="6">
        <f>Tabla2[[#This Row],[Forest Loss 2012]]/Tabla2[[#This Row],[Forest cover 2011]]</f>
        <v>5.9658402574900571E-3</v>
      </c>
      <c r="AU105" s="6">
        <f>Tabla2[[#This Row],[Forest Loss 2013]]/Tabla2[[#This Row],[Forest cover 2011]]</f>
        <v>6.0192766180786183E-3</v>
      </c>
      <c r="AV105" s="6">
        <f>Tabla2[[#This Row],[Forest Loss 2014]]/Tabla2[[#This Row],[Forest cover 2011]]</f>
        <v>8.4773492051524353E-3</v>
      </c>
      <c r="AW105" s="6">
        <f>Tabla2[[#This Row],[Forest Loss 2015]]/Tabla2[[#This Row],[Forest cover 2011]]</f>
        <v>5.7930870917516945E-3</v>
      </c>
      <c r="AX105" s="6">
        <f>Tabla2[[#This Row],[Forest Loss 2016]]/Tabla2[[#This Row],[Forest cover 2011]]</f>
        <v>6.3230586679998918E-3</v>
      </c>
      <c r="AY105" s="6">
        <f>Tabla2[[#This Row],[Forest Loss 2017]]/Tabla2[[#This Row],[Forest cover 2011]]</f>
        <v>4.9044330951145253E-3</v>
      </c>
      <c r="AZ105" s="6">
        <f>Tabla2[[#This Row],[Forest Loss 2018]]/Tabla2[[#This Row],[Forest cover 2011]]</f>
        <v>5.8714116202856137E-3</v>
      </c>
      <c r="BA105" s="6">
        <f>Tabla2[[#This Row],[Forest Loss 2019]]/Tabla2[[#This Row],[Forest cover 2011]]</f>
        <v>6.3274506976373074E-3</v>
      </c>
      <c r="BB105" s="6">
        <f>Tabla2[[#This Row],[Forest Loss 2020]]/Tabla2[[#This Row],[Forest cover 2011]]</f>
        <v>6.8654743282207664E-3</v>
      </c>
      <c r="BC105" s="6">
        <f>Tabla2[[#This Row],[Forest Loss 2021]]/Tabla2[[#This Row],[Forest cover 2011]]</f>
        <v>8.7708831859197398E-3</v>
      </c>
      <c r="BD105" s="6">
        <f>Tabla2[[#This Row],[Forest Loss 2022]]/Tabla2[[#This Row],[Forest cover 2011]]</f>
        <v>6.6187886635859011E-3</v>
      </c>
      <c r="BE105" s="6">
        <f>Tabla2[[#This Row],[Forest Loss 2023]]/Tabla2[[#This Row],[Forest cover 2011]]</f>
        <v>3.10963018378448E-2</v>
      </c>
      <c r="BF105" s="6">
        <f>Tabla2[[#This Row],[Forest Loss 2024]]/Tabla2[[#This Row],[Forest cover 2011]]</f>
        <v>1.3493779056021069E-2</v>
      </c>
    </row>
    <row r="106" spans="1:58" x14ac:dyDescent="0.25">
      <c r="A106" s="2">
        <v>70103</v>
      </c>
      <c r="B106" s="3" t="s">
        <v>310</v>
      </c>
      <c r="C106" t="s">
        <v>313</v>
      </c>
      <c r="D106">
        <v>58007.79</v>
      </c>
      <c r="E106" s="4">
        <f>AVERAGE(Tabla2[[#This Row],[Deforestation 2012]:[Deforestation 2014]])</f>
        <v>1596.33</v>
      </c>
      <c r="F106" s="4">
        <f>AVERAGE(Tabla2[[#This Row],[Deforestation 2022]:[Deforestation 2024]])</f>
        <v>975</v>
      </c>
      <c r="G106">
        <v>2042.37</v>
      </c>
      <c r="H106">
        <v>1567.44</v>
      </c>
      <c r="I106">
        <v>1179.18</v>
      </c>
      <c r="J106">
        <v>997.65</v>
      </c>
      <c r="K106">
        <v>1287.0899999999999</v>
      </c>
      <c r="L106">
        <v>1070.0999999999999</v>
      </c>
      <c r="M106">
        <v>827.46</v>
      </c>
      <c r="N106">
        <v>655.29</v>
      </c>
      <c r="O106">
        <v>478.62</v>
      </c>
      <c r="P106">
        <v>1051.92</v>
      </c>
      <c r="Q106">
        <v>181.35</v>
      </c>
      <c r="R106">
        <v>1981.53</v>
      </c>
      <c r="S106">
        <v>762.12</v>
      </c>
      <c r="T106">
        <v>2234.6999999999998</v>
      </c>
      <c r="U106">
        <v>1665.45</v>
      </c>
      <c r="V106">
        <v>1302.8399999999999</v>
      </c>
      <c r="W106">
        <v>1112.4000000000001</v>
      </c>
      <c r="X106">
        <v>1331.64</v>
      </c>
      <c r="Y106">
        <v>1108.6199999999999</v>
      </c>
      <c r="Z106">
        <v>878.58</v>
      </c>
      <c r="AA106">
        <v>711.54</v>
      </c>
      <c r="AB106">
        <v>513.80999999999995</v>
      </c>
      <c r="AC106">
        <v>1443.24</v>
      </c>
      <c r="AD106">
        <v>189.99</v>
      </c>
      <c r="AE106">
        <v>2249.2800000000002</v>
      </c>
      <c r="AF106">
        <v>769.86</v>
      </c>
      <c r="AG106" s="5">
        <f>Tabla2[[#This Row],[Deforestation 2012]]/Tabla2[[#This Row],[Forest cover 2011]]</f>
        <v>3.5208546989981861E-2</v>
      </c>
      <c r="AH106" s="6">
        <f>Tabla2[[#This Row],[Deforestation 2013]]/Tabla2[[#This Row],[Forest cover 2011]]</f>
        <v>2.7021198359737545E-2</v>
      </c>
      <c r="AI106" s="6">
        <f>Tabla2[[#This Row],[Deforestation 2014]]/Tabla2[[#This Row],[Forest cover 2011]]</f>
        <v>2.0327959399935768E-2</v>
      </c>
      <c r="AJ106" s="6">
        <f>Tabla2[[#This Row],[Deforestation 2015]]/Tabla2[[#This Row],[Forest cover 2011]]</f>
        <v>1.7198552125499006E-2</v>
      </c>
      <c r="AK106" s="6">
        <f>Tabla2[[#This Row],[Deforestation 2016]]/Tabla2[[#This Row],[Forest cover 2011]]</f>
        <v>2.2188226788160691E-2</v>
      </c>
      <c r="AL106" s="6">
        <f>Tabla2[[#This Row],[Deforestation 2017]]/Tabla2[[#This Row],[Forest cover 2011]]</f>
        <v>1.8447522306917742E-2</v>
      </c>
      <c r="AM106" s="6">
        <f>Tabla2[[#This Row],[Deforestation 2018]]/Tabla2[[#This Row],[Forest cover 2011]]</f>
        <v>1.4264635835979962E-2</v>
      </c>
      <c r="AN106" s="6">
        <f>Tabla2[[#This Row],[Deforestation 2019]]/Tabla2[[#This Row],[Forest cover 2011]]</f>
        <v>1.129658619988798E-2</v>
      </c>
      <c r="AO106" s="6">
        <f>Tabla2[[#This Row],[Deforestation 2020]]/Tabla2[[#This Row],[Forest cover 2011]]</f>
        <v>8.2509607761302398E-3</v>
      </c>
      <c r="AP106" s="6">
        <f>Tabla2[[#This Row],[Deforestation 2021]]/Tabla2[[#This Row],[Forest cover 2011]]</f>
        <v>1.8134116124748075E-2</v>
      </c>
      <c r="AQ106" s="6">
        <f>Tabla2[[#This Row],[Deforestation 2022]]/Tabla2[[#This Row],[Forest cover 2011]]</f>
        <v>3.1263042429301303E-3</v>
      </c>
      <c r="AR106" s="6">
        <f>Tabla2[[#This Row],[Deforestation 2023]]/Tabla2[[#This Row],[Forest cover 2011]]</f>
        <v>3.4159722340740786E-2</v>
      </c>
      <c r="AS106" s="6">
        <f>Tabla2[[#This Row],[Deforestation 2024]]/Tabla2[[#This Row],[Forest cover 2011]]</f>
        <v>1.3138235399073125E-2</v>
      </c>
      <c r="AT106" s="6">
        <f>Tabla2[[#This Row],[Forest Loss 2012]]/Tabla2[[#This Row],[Forest cover 2011]]</f>
        <v>3.8524136154816445E-2</v>
      </c>
      <c r="AU106" s="6">
        <f>Tabla2[[#This Row],[Forest Loss 2013]]/Tabla2[[#This Row],[Forest cover 2011]]</f>
        <v>2.87107990150978E-2</v>
      </c>
      <c r="AV106" s="6">
        <f>Tabla2[[#This Row],[Forest Loss 2014]]/Tabla2[[#This Row],[Forest cover 2011]]</f>
        <v>2.2459742044990853E-2</v>
      </c>
      <c r="AW106" s="6">
        <f>Tabla2[[#This Row],[Forest Loss 2015]]/Tabla2[[#This Row],[Forest cover 2011]]</f>
        <v>1.917673471097589E-2</v>
      </c>
      <c r="AX106" s="6">
        <f>Tabla2[[#This Row],[Forest Loss 2016]]/Tabla2[[#This Row],[Forest cover 2011]]</f>
        <v>2.295622708605172E-2</v>
      </c>
      <c r="AY106" s="6">
        <f>Tabla2[[#This Row],[Forest Loss 2017]]/Tabla2[[#This Row],[Forest cover 2011]]</f>
        <v>1.9111571049336647E-2</v>
      </c>
      <c r="AZ106" s="6">
        <f>Tabla2[[#This Row],[Forest Loss 2018]]/Tabla2[[#This Row],[Forest cover 2011]]</f>
        <v>1.5145896783862996E-2</v>
      </c>
      <c r="BA106" s="6">
        <f>Tabla2[[#This Row],[Forest Loss 2019]]/Tabla2[[#This Row],[Forest cover 2011]]</f>
        <v>1.226628354570998E-2</v>
      </c>
      <c r="BB106" s="6">
        <f>Tabla2[[#This Row],[Forest Loss 2020]]/Tabla2[[#This Row],[Forest cover 2011]]</f>
        <v>8.8576034356764831E-3</v>
      </c>
      <c r="BC106" s="6">
        <f>Tabla2[[#This Row],[Forest Loss 2021]]/Tabla2[[#This Row],[Forest cover 2011]]</f>
        <v>2.4880106620162566E-2</v>
      </c>
      <c r="BD106" s="6">
        <f>Tabla2[[#This Row],[Forest Loss 2022]]/Tabla2[[#This Row],[Forest cover 2011]]</f>
        <v>3.2752497552483899E-3</v>
      </c>
      <c r="BE106" s="6">
        <f>Tabla2[[#This Row],[Forest Loss 2023]]/Tabla2[[#This Row],[Forest cover 2011]]</f>
        <v>3.8775481706853514E-2</v>
      </c>
      <c r="BF106" s="6">
        <f>Tabla2[[#This Row],[Forest Loss 2024]]/Tabla2[[#This Row],[Forest cover 2011]]</f>
        <v>1.3271665753858231E-2</v>
      </c>
    </row>
    <row r="107" spans="1:58" x14ac:dyDescent="0.25">
      <c r="A107" s="2">
        <v>21104</v>
      </c>
      <c r="B107" s="3" t="s">
        <v>88</v>
      </c>
      <c r="C107" t="s">
        <v>147</v>
      </c>
      <c r="D107">
        <v>348032.16</v>
      </c>
      <c r="E107" s="4">
        <f>AVERAGE(Tabla2[[#This Row],[Deforestation 2012]:[Deforestation 2014]])</f>
        <v>1558.6200000000001</v>
      </c>
      <c r="F107" s="4">
        <f>AVERAGE(Tabla2[[#This Row],[Deforestation 2022]:[Deforestation 2024]])</f>
        <v>2859.99</v>
      </c>
      <c r="G107">
        <v>1113.48</v>
      </c>
      <c r="H107">
        <v>1621.53</v>
      </c>
      <c r="I107">
        <v>1940.85</v>
      </c>
      <c r="J107">
        <v>1730.43</v>
      </c>
      <c r="K107">
        <v>1721.52</v>
      </c>
      <c r="L107">
        <v>946.62</v>
      </c>
      <c r="M107">
        <v>1678.59</v>
      </c>
      <c r="N107">
        <v>1811.7</v>
      </c>
      <c r="O107">
        <v>2373.39</v>
      </c>
      <c r="P107">
        <v>1935</v>
      </c>
      <c r="Q107">
        <v>832.95</v>
      </c>
      <c r="R107">
        <v>4443.3</v>
      </c>
      <c r="S107">
        <v>3303.72</v>
      </c>
      <c r="T107">
        <v>1413.36</v>
      </c>
      <c r="U107">
        <v>1815.93</v>
      </c>
      <c r="V107">
        <v>2702.16</v>
      </c>
      <c r="W107">
        <v>2168.0100000000002</v>
      </c>
      <c r="X107">
        <v>1903.32</v>
      </c>
      <c r="Y107">
        <v>1037.1600000000001</v>
      </c>
      <c r="Z107">
        <v>1776.87</v>
      </c>
      <c r="AA107">
        <v>1962.36</v>
      </c>
      <c r="AB107">
        <v>2461.9499999999998</v>
      </c>
      <c r="AC107">
        <v>2100.2399999999998</v>
      </c>
      <c r="AD107">
        <v>866.52</v>
      </c>
      <c r="AE107">
        <v>4544.1899999999996</v>
      </c>
      <c r="AF107">
        <v>4602.96</v>
      </c>
      <c r="AG107" s="5">
        <f>Tabla2[[#This Row],[Deforestation 2012]]/Tabla2[[#This Row],[Forest cover 2011]]</f>
        <v>3.1993595074662068E-3</v>
      </c>
      <c r="AH107" s="6">
        <f>Tabla2[[#This Row],[Deforestation 2013]]/Tabla2[[#This Row],[Forest cover 2011]]</f>
        <v>4.6591383968653931E-3</v>
      </c>
      <c r="AI107" s="6">
        <f>Tabla2[[#This Row],[Deforestation 2014]]/Tabla2[[#This Row],[Forest cover 2011]]</f>
        <v>5.5766398139758117E-3</v>
      </c>
      <c r="AJ107" s="6">
        <f>Tabla2[[#This Row],[Deforestation 2015]]/Tabla2[[#This Row],[Forest cover 2011]]</f>
        <v>4.9720405148765568E-3</v>
      </c>
      <c r="AK107" s="6">
        <f>Tabla2[[#This Row],[Deforestation 2016]]/Tabla2[[#This Row],[Forest cover 2011]]</f>
        <v>4.946439432493825E-3</v>
      </c>
      <c r="AL107" s="6">
        <f>Tabla2[[#This Row],[Deforestation 2017]]/Tabla2[[#This Row],[Forest cover 2011]]</f>
        <v>2.7199210555714165E-3</v>
      </c>
      <c r="AM107" s="6">
        <f>Tabla2[[#This Row],[Deforestation 2018]]/Tabla2[[#This Row],[Forest cover 2011]]</f>
        <v>4.8230887628315728E-3</v>
      </c>
      <c r="AN107" s="6">
        <f>Tabla2[[#This Row],[Deforestation 2019]]/Tabla2[[#This Row],[Forest cover 2011]]</f>
        <v>5.2055534178220781E-3</v>
      </c>
      <c r="AO107" s="6">
        <f>Tabla2[[#This Row],[Deforestation 2020]]/Tabla2[[#This Row],[Forest cover 2011]]</f>
        <v>6.8194559951011424E-3</v>
      </c>
      <c r="AP107" s="6">
        <f>Tabla2[[#This Row],[Deforestation 2021]]/Tabla2[[#This Row],[Forest cover 2011]]</f>
        <v>5.5598310225124029E-3</v>
      </c>
      <c r="AQ107" s="6">
        <f>Tabla2[[#This Row],[Deforestation 2022]]/Tabla2[[#This Row],[Forest cover 2011]]</f>
        <v>2.3933133075977808E-3</v>
      </c>
      <c r="AR107" s="6">
        <f>Tabla2[[#This Row],[Deforestation 2023]]/Tabla2[[#This Row],[Forest cover 2011]]</f>
        <v>1.2766923608438946E-2</v>
      </c>
      <c r="AS107" s="6">
        <f>Tabla2[[#This Row],[Deforestation 2024]]/Tabla2[[#This Row],[Forest cover 2011]]</f>
        <v>9.4925710313667564E-3</v>
      </c>
      <c r="AT107" s="6">
        <f>Tabla2[[#This Row],[Forest Loss 2012]]/Tabla2[[#This Row],[Forest cover 2011]]</f>
        <v>4.0610040175597566E-3</v>
      </c>
      <c r="AU107" s="6">
        <f>Tabla2[[#This Row],[Forest Loss 2013]]/Tabla2[[#This Row],[Forest cover 2011]]</f>
        <v>5.2177074670340818E-3</v>
      </c>
      <c r="AV107" s="6">
        <f>Tabla2[[#This Row],[Forest Loss 2014]]/Tabla2[[#This Row],[Forest cover 2011]]</f>
        <v>7.7641100753447611E-3</v>
      </c>
      <c r="AW107" s="6">
        <f>Tabla2[[#This Row],[Forest Loss 2015]]/Tabla2[[#This Row],[Forest cover 2011]]</f>
        <v>6.2293381163395943E-3</v>
      </c>
      <c r="AX107" s="6">
        <f>Tabla2[[#This Row],[Forest Loss 2016]]/Tabla2[[#This Row],[Forest cover 2011]]</f>
        <v>5.4688049518182456E-3</v>
      </c>
      <c r="AY107" s="6">
        <f>Tabla2[[#This Row],[Forest Loss 2017]]/Tabla2[[#This Row],[Forest cover 2011]]</f>
        <v>2.9800694280666482E-3</v>
      </c>
      <c r="AZ107" s="6">
        <f>Tabla2[[#This Row],[Forest Loss 2018]]/Tabla2[[#This Row],[Forest cover 2011]]</f>
        <v>5.1054764594168538E-3</v>
      </c>
      <c r="BA107" s="6">
        <f>Tabla2[[#This Row],[Forest Loss 2019]]/Tabla2[[#This Row],[Forest cover 2011]]</f>
        <v>5.6384444472028106E-3</v>
      </c>
      <c r="BB107" s="6">
        <f>Tabla2[[#This Row],[Forest Loss 2020]]/Tabla2[[#This Row],[Forest cover 2011]]</f>
        <v>7.0739152381779887E-3</v>
      </c>
      <c r="BC107" s="6">
        <f>Tabla2[[#This Row],[Forest Loss 2021]]/Tabla2[[#This Row],[Forest cover 2011]]</f>
        <v>6.0346147321557872E-3</v>
      </c>
      <c r="BD107" s="6">
        <f>Tabla2[[#This Row],[Forest Loss 2022]]/Tabla2[[#This Row],[Forest cover 2011]]</f>
        <v>2.4897699109185773E-3</v>
      </c>
      <c r="BE107" s="6">
        <f>Tabla2[[#This Row],[Forest Loss 2023]]/Tabla2[[#This Row],[Forest cover 2011]]</f>
        <v>1.3056810611984822E-2</v>
      </c>
      <c r="BF107" s="6">
        <f>Tabla2[[#This Row],[Forest Loss 2024]]/Tabla2[[#This Row],[Forest cover 2011]]</f>
        <v>1.3225674316994155E-2</v>
      </c>
    </row>
    <row r="108" spans="1:58" x14ac:dyDescent="0.25">
      <c r="A108" s="2">
        <v>21101</v>
      </c>
      <c r="B108" s="3" t="s">
        <v>88</v>
      </c>
      <c r="C108" t="s">
        <v>144</v>
      </c>
      <c r="D108">
        <v>18963.09</v>
      </c>
      <c r="E108" s="4">
        <f>AVERAGE(Tabla2[[#This Row],[Deforestation 2012]:[Deforestation 2014]])</f>
        <v>46.02</v>
      </c>
      <c r="F108" s="4">
        <f>AVERAGE(Tabla2[[#This Row],[Deforestation 2022]:[Deforestation 2024]])</f>
        <v>427.98</v>
      </c>
      <c r="G108">
        <v>37.08</v>
      </c>
      <c r="H108">
        <v>30.33</v>
      </c>
      <c r="I108">
        <v>70.650000000000006</v>
      </c>
      <c r="J108">
        <v>52.2</v>
      </c>
      <c r="K108">
        <v>38.520000000000003</v>
      </c>
      <c r="L108">
        <v>27.36</v>
      </c>
      <c r="M108">
        <v>36.99</v>
      </c>
      <c r="N108">
        <v>29.07</v>
      </c>
      <c r="O108">
        <v>73.53</v>
      </c>
      <c r="P108">
        <v>21.69</v>
      </c>
      <c r="Q108">
        <v>15.48</v>
      </c>
      <c r="R108">
        <v>1082.97</v>
      </c>
      <c r="S108">
        <v>185.49</v>
      </c>
      <c r="T108">
        <v>53.28</v>
      </c>
      <c r="U108">
        <v>37.979999999999997</v>
      </c>
      <c r="V108">
        <v>110.34</v>
      </c>
      <c r="W108">
        <v>59.31</v>
      </c>
      <c r="X108">
        <v>44.19</v>
      </c>
      <c r="Y108">
        <v>29.52</v>
      </c>
      <c r="Z108">
        <v>39.869999999999997</v>
      </c>
      <c r="AA108">
        <v>31.59</v>
      </c>
      <c r="AB108">
        <v>74.88</v>
      </c>
      <c r="AC108">
        <v>26.01</v>
      </c>
      <c r="AD108">
        <v>16.920000000000002</v>
      </c>
      <c r="AE108">
        <v>1094.31</v>
      </c>
      <c r="AF108">
        <v>241.47</v>
      </c>
      <c r="AG108" s="5">
        <f>Tabla2[[#This Row],[Deforestation 2012]]/Tabla2[[#This Row],[Forest cover 2011]]</f>
        <v>1.9553775254982178E-3</v>
      </c>
      <c r="AH108" s="6">
        <f>Tabla2[[#This Row],[Deforestation 2013]]/Tabla2[[#This Row],[Forest cover 2011]]</f>
        <v>1.5994228788662607E-3</v>
      </c>
      <c r="AI108" s="6">
        <f>Tabla2[[#This Row],[Deforestation 2014]]/Tabla2[[#This Row],[Forest cover 2011]]</f>
        <v>3.7256586347478183E-3</v>
      </c>
      <c r="AJ108" s="6">
        <f>Tabla2[[#This Row],[Deforestation 2015]]/Tabla2[[#This Row],[Forest cover 2011]]</f>
        <v>2.7527159339538021E-3</v>
      </c>
      <c r="AK108" s="6">
        <f>Tabla2[[#This Row],[Deforestation 2016]]/Tabla2[[#This Row],[Forest cover 2011]]</f>
        <v>2.0313145167797021E-3</v>
      </c>
      <c r="AL108" s="6">
        <f>Tabla2[[#This Row],[Deforestation 2017]]/Tabla2[[#This Row],[Forest cover 2011]]</f>
        <v>1.4428028343481994E-3</v>
      </c>
      <c r="AM108" s="6">
        <f>Tabla2[[#This Row],[Deforestation 2018]]/Tabla2[[#This Row],[Forest cover 2011]]</f>
        <v>1.9506314635431251E-3</v>
      </c>
      <c r="AN108" s="6">
        <f>Tabla2[[#This Row],[Deforestation 2019]]/Tabla2[[#This Row],[Forest cover 2011]]</f>
        <v>1.532978011494962E-3</v>
      </c>
      <c r="AO108" s="6">
        <f>Tabla2[[#This Row],[Deforestation 2020]]/Tabla2[[#This Row],[Forest cover 2011]]</f>
        <v>3.8775326173107862E-3</v>
      </c>
      <c r="AP108" s="6">
        <f>Tabla2[[#This Row],[Deforestation 2021]]/Tabla2[[#This Row],[Forest cover 2011]]</f>
        <v>1.1438009311773556E-3</v>
      </c>
      <c r="AQ108" s="6">
        <f>Tabla2[[#This Row],[Deforestation 2022]]/Tabla2[[#This Row],[Forest cover 2011]]</f>
        <v>8.1632265627595499E-4</v>
      </c>
      <c r="AR108" s="6">
        <f>Tabla2[[#This Row],[Deforestation 2023]]/Tabla2[[#This Row],[Forest cover 2011]]</f>
        <v>5.7109363505631207E-2</v>
      </c>
      <c r="AS108" s="6">
        <f>Tabla2[[#This Row],[Deforestation 2024]]/Tabla2[[#This Row],[Forest cover 2011]]</f>
        <v>9.7816336894461821E-3</v>
      </c>
      <c r="AT108" s="6">
        <f>Tabla2[[#This Row],[Forest Loss 2012]]/Tabla2[[#This Row],[Forest cover 2011]]</f>
        <v>2.8096686774149149E-3</v>
      </c>
      <c r="AU108" s="6">
        <f>Tabla2[[#This Row],[Forest Loss 2013]]/Tabla2[[#This Row],[Forest cover 2011]]</f>
        <v>2.0028381450491453E-3</v>
      </c>
      <c r="AV108" s="6">
        <f>Tabla2[[#This Row],[Forest Loss 2014]]/Tabla2[[#This Row],[Forest cover 2011]]</f>
        <v>5.8186719569437257E-3</v>
      </c>
      <c r="AW108" s="6">
        <f>Tabla2[[#This Row],[Forest Loss 2015]]/Tabla2[[#This Row],[Forest cover 2011]]</f>
        <v>3.1276548284061303E-3</v>
      </c>
      <c r="AX108" s="6">
        <f>Tabla2[[#This Row],[Forest Loss 2016]]/Tabla2[[#This Row],[Forest cover 2011]]</f>
        <v>2.3303164199505459E-3</v>
      </c>
      <c r="AY108" s="6">
        <f>Tabla2[[#This Row],[Forest Loss 2017]]/Tabla2[[#This Row],[Forest cover 2011]]</f>
        <v>1.5567083212704258E-3</v>
      </c>
      <c r="AZ108" s="6">
        <f>Tabla2[[#This Row],[Forest Loss 2018]]/Tabla2[[#This Row],[Forest cover 2011]]</f>
        <v>2.1025054461060932E-3</v>
      </c>
      <c r="BA108" s="6">
        <f>Tabla2[[#This Row],[Forest Loss 2019]]/Tabla2[[#This Row],[Forest cover 2011]]</f>
        <v>1.6658677462375593E-3</v>
      </c>
      <c r="BB108" s="6">
        <f>Tabla2[[#This Row],[Forest Loss 2020]]/Tabla2[[#This Row],[Forest cover 2011]]</f>
        <v>3.9487235466371777E-3</v>
      </c>
      <c r="BC108" s="6">
        <f>Tabla2[[#This Row],[Forest Loss 2021]]/Tabla2[[#This Row],[Forest cover 2011]]</f>
        <v>1.3716119050218082E-3</v>
      </c>
      <c r="BD108" s="6">
        <f>Tabla2[[#This Row],[Forest Loss 2022]]/Tabla2[[#This Row],[Forest cover 2011]]</f>
        <v>8.9225964755743927E-4</v>
      </c>
      <c r="BE108" s="6">
        <f>Tabla2[[#This Row],[Forest Loss 2023]]/Tabla2[[#This Row],[Forest cover 2011]]</f>
        <v>5.7707367311972887E-2</v>
      </c>
      <c r="BF108" s="6">
        <f>Tabla2[[#This Row],[Forest Loss 2024]]/Tabla2[[#This Row],[Forest cover 2011]]</f>
        <v>1.273368422551388E-2</v>
      </c>
    </row>
    <row r="109" spans="1:58" x14ac:dyDescent="0.25">
      <c r="A109" s="2">
        <v>80302</v>
      </c>
      <c r="B109" s="3" t="s">
        <v>365</v>
      </c>
      <c r="C109" t="s">
        <v>370</v>
      </c>
      <c r="D109">
        <v>558977.13</v>
      </c>
      <c r="E109" s="4">
        <f>AVERAGE(Tabla2[[#This Row],[Deforestation 2012]:[Deforestation 2014]])</f>
        <v>2918.5200000000004</v>
      </c>
      <c r="F109" s="4">
        <f>AVERAGE(Tabla2[[#This Row],[Deforestation 2022]:[Deforestation 2024]])</f>
        <v>2424.84</v>
      </c>
      <c r="G109">
        <v>2608.1999999999998</v>
      </c>
      <c r="H109">
        <v>2687.31</v>
      </c>
      <c r="I109">
        <v>3460.05</v>
      </c>
      <c r="J109">
        <v>1977.21</v>
      </c>
      <c r="K109">
        <v>3133.71</v>
      </c>
      <c r="L109">
        <v>3203.28</v>
      </c>
      <c r="M109">
        <v>2623.32</v>
      </c>
      <c r="N109">
        <v>3605.04</v>
      </c>
      <c r="O109">
        <v>5488.02</v>
      </c>
      <c r="P109">
        <v>4464.09</v>
      </c>
      <c r="Q109">
        <v>1038.5999999999999</v>
      </c>
      <c r="R109">
        <v>3200.85</v>
      </c>
      <c r="S109">
        <v>3035.07</v>
      </c>
      <c r="T109">
        <v>4325.58</v>
      </c>
      <c r="U109">
        <v>3793.14</v>
      </c>
      <c r="V109">
        <v>5846.49</v>
      </c>
      <c r="W109">
        <v>3526.83</v>
      </c>
      <c r="X109">
        <v>3967.11</v>
      </c>
      <c r="Y109">
        <v>3644.82</v>
      </c>
      <c r="Z109">
        <v>3022.92</v>
      </c>
      <c r="AA109">
        <v>4491.63</v>
      </c>
      <c r="AB109">
        <v>6045.66</v>
      </c>
      <c r="AC109">
        <v>5328.99</v>
      </c>
      <c r="AD109">
        <v>1588.86</v>
      </c>
      <c r="AE109">
        <v>3449.79</v>
      </c>
      <c r="AF109">
        <v>6747.48</v>
      </c>
      <c r="AG109" s="5">
        <f>Tabla2[[#This Row],[Deforestation 2012]]/Tabla2[[#This Row],[Forest cover 2011]]</f>
        <v>4.6660227405010291E-3</v>
      </c>
      <c r="AH109" s="6">
        <f>Tabla2[[#This Row],[Deforestation 2013]]/Tabla2[[#This Row],[Forest cover 2011]]</f>
        <v>4.8075491031269917E-3</v>
      </c>
      <c r="AI109" s="6">
        <f>Tabla2[[#This Row],[Deforestation 2014]]/Tabla2[[#This Row],[Forest cover 2011]]</f>
        <v>6.1899670206543161E-3</v>
      </c>
      <c r="AJ109" s="6">
        <f>Tabla2[[#This Row],[Deforestation 2015]]/Tabla2[[#This Row],[Forest cover 2011]]</f>
        <v>3.5371930153922397E-3</v>
      </c>
      <c r="AK109" s="6">
        <f>Tabla2[[#This Row],[Deforestation 2016]]/Tabla2[[#This Row],[Forest cover 2011]]</f>
        <v>5.6061506487752009E-3</v>
      </c>
      <c r="AL109" s="6">
        <f>Tabla2[[#This Row],[Deforestation 2017]]/Tabla2[[#This Row],[Forest cover 2011]]</f>
        <v>5.7306101235304564E-3</v>
      </c>
      <c r="AM109" s="6">
        <f>Tabla2[[#This Row],[Deforestation 2018]]/Tabla2[[#This Row],[Forest cover 2011]]</f>
        <v>4.6930721476923397E-3</v>
      </c>
      <c r="AN109" s="6">
        <f>Tabla2[[#This Row],[Deforestation 2019]]/Tabla2[[#This Row],[Forest cover 2011]]</f>
        <v>6.4493515146138445E-3</v>
      </c>
      <c r="AO109" s="6">
        <f>Tabla2[[#This Row],[Deforestation 2020]]/Tabla2[[#This Row],[Forest cover 2011]]</f>
        <v>9.8179687601888128E-3</v>
      </c>
      <c r="AP109" s="6">
        <f>Tabla2[[#This Row],[Deforestation 2021]]/Tabla2[[#This Row],[Forest cover 2011]]</f>
        <v>7.9861764648582311E-3</v>
      </c>
      <c r="AQ109" s="6">
        <f>Tabla2[[#This Row],[Deforestation 2022]]/Tabla2[[#This Row],[Forest cover 2011]]</f>
        <v>1.8580366606411965E-3</v>
      </c>
      <c r="AR109" s="6">
        <f>Tabla2[[#This Row],[Deforestation 2023]]/Tabla2[[#This Row],[Forest cover 2011]]</f>
        <v>5.7262628973747103E-3</v>
      </c>
      <c r="AS109" s="6">
        <f>Tabla2[[#This Row],[Deforestation 2024]]/Tabla2[[#This Row],[Forest cover 2011]]</f>
        <v>5.4296854685271295E-3</v>
      </c>
      <c r="AT109" s="6">
        <f>Tabla2[[#This Row],[Forest Loss 2012]]/Tabla2[[#This Row],[Forest cover 2011]]</f>
        <v>7.738384573980692E-3</v>
      </c>
      <c r="AU109" s="6">
        <f>Tabla2[[#This Row],[Forest Loss 2013]]/Tabla2[[#This Row],[Forest cover 2011]]</f>
        <v>6.7858590207438355E-3</v>
      </c>
      <c r="AV109" s="6">
        <f>Tabla2[[#This Row],[Forest Loss 2014]]/Tabla2[[#This Row],[Forest cover 2011]]</f>
        <v>1.0459265122349459E-2</v>
      </c>
      <c r="AW109" s="6">
        <f>Tabla2[[#This Row],[Forest Loss 2015]]/Tabla2[[#This Row],[Forest cover 2011]]</f>
        <v>6.3094352357492695E-3</v>
      </c>
      <c r="AX109" s="6">
        <f>Tabla2[[#This Row],[Forest Loss 2016]]/Tabla2[[#This Row],[Forest cover 2011]]</f>
        <v>7.0970882118200438E-3</v>
      </c>
      <c r="AY109" s="6">
        <f>Tabla2[[#This Row],[Forest Loss 2017]]/Tabla2[[#This Row],[Forest cover 2011]]</f>
        <v>6.5205172168671735E-3</v>
      </c>
      <c r="AZ109" s="6">
        <f>Tabla2[[#This Row],[Forest Loss 2018]]/Tabla2[[#This Row],[Forest cover 2011]]</f>
        <v>5.4079493377483974E-3</v>
      </c>
      <c r="BA109" s="6">
        <f>Tabla2[[#This Row],[Forest Loss 2019]]/Tabla2[[#This Row],[Forest cover 2011]]</f>
        <v>8.0354450279566895E-3</v>
      </c>
      <c r="BB109" s="6">
        <f>Tabla2[[#This Row],[Forest Loss 2020]]/Tabla2[[#This Row],[Forest cover 2011]]</f>
        <v>1.0815576658744518E-2</v>
      </c>
      <c r="BC109" s="6">
        <f>Tabla2[[#This Row],[Forest Loss 2021]]/Tabla2[[#This Row],[Forest cover 2011]]</f>
        <v>9.5334669595516369E-3</v>
      </c>
      <c r="BD109" s="6">
        <f>Tabla2[[#This Row],[Forest Loss 2022]]/Tabla2[[#This Row],[Forest cover 2011]]</f>
        <v>2.8424418723535252E-3</v>
      </c>
      <c r="BE109" s="6">
        <f>Tabla2[[#This Row],[Forest Loss 2023]]/Tabla2[[#This Row],[Forest cover 2011]]</f>
        <v>6.1716120657744978E-3</v>
      </c>
      <c r="BF109" s="6">
        <f>Tabla2[[#This Row],[Forest Loss 2024]]/Tabla2[[#This Row],[Forest cover 2011]]</f>
        <v>1.2071119975874504E-2</v>
      </c>
    </row>
    <row r="110" spans="1:58" x14ac:dyDescent="0.25">
      <c r="A110" s="2">
        <v>70301</v>
      </c>
      <c r="B110" s="3" t="s">
        <v>310</v>
      </c>
      <c r="C110" t="s">
        <v>318</v>
      </c>
      <c r="D110">
        <v>3857761.35</v>
      </c>
      <c r="E110" s="4">
        <f>AVERAGE(Tabla2[[#This Row],[Deforestation 2012]:[Deforestation 2014]])</f>
        <v>10830.840000000002</v>
      </c>
      <c r="F110" s="4">
        <f>AVERAGE(Tabla2[[#This Row],[Deforestation 2022]:[Deforestation 2024]])</f>
        <v>48144.72</v>
      </c>
      <c r="G110">
        <v>12090.78</v>
      </c>
      <c r="H110">
        <v>11265.48</v>
      </c>
      <c r="I110">
        <v>9136.26</v>
      </c>
      <c r="J110">
        <v>16342.83</v>
      </c>
      <c r="K110">
        <v>23021.73</v>
      </c>
      <c r="L110">
        <v>34265.79</v>
      </c>
      <c r="M110">
        <v>44529.84</v>
      </c>
      <c r="N110">
        <v>40107.96</v>
      </c>
      <c r="O110">
        <v>44831.61</v>
      </c>
      <c r="P110">
        <v>59767.47</v>
      </c>
      <c r="Q110">
        <v>49616.73</v>
      </c>
      <c r="R110">
        <v>51384.33</v>
      </c>
      <c r="S110">
        <v>43433.1</v>
      </c>
      <c r="T110">
        <v>25819.919999999998</v>
      </c>
      <c r="U110">
        <v>19086.21</v>
      </c>
      <c r="V110">
        <v>15192.81</v>
      </c>
      <c r="W110">
        <v>22815</v>
      </c>
      <c r="X110">
        <v>29748.51</v>
      </c>
      <c r="Y110">
        <v>39394.17</v>
      </c>
      <c r="Z110">
        <v>48826.26</v>
      </c>
      <c r="AA110">
        <v>45047.519999999997</v>
      </c>
      <c r="AB110">
        <v>47474.82</v>
      </c>
      <c r="AC110">
        <v>66432.87</v>
      </c>
      <c r="AD110">
        <v>53663.22</v>
      </c>
      <c r="AE110">
        <v>53224.74</v>
      </c>
      <c r="AF110">
        <v>45511.92</v>
      </c>
      <c r="AG110" s="5">
        <f>Tabla2[[#This Row],[Deforestation 2012]]/Tabla2[[#This Row],[Forest cover 2011]]</f>
        <v>3.1341441066591639E-3</v>
      </c>
      <c r="AH110" s="6">
        <f>Tabla2[[#This Row],[Deforestation 2013]]/Tabla2[[#This Row],[Forest cover 2011]]</f>
        <v>2.9202117440468417E-3</v>
      </c>
      <c r="AI110" s="6">
        <f>Tabla2[[#This Row],[Deforestation 2014]]/Tabla2[[#This Row],[Forest cover 2011]]</f>
        <v>2.3682802462625116E-3</v>
      </c>
      <c r="AJ110" s="6">
        <f>Tabla2[[#This Row],[Deforestation 2015]]/Tabla2[[#This Row],[Forest cover 2011]]</f>
        <v>4.2363507011650677E-3</v>
      </c>
      <c r="AK110" s="6">
        <f>Tabla2[[#This Row],[Deforestation 2016]]/Tabla2[[#This Row],[Forest cover 2011]]</f>
        <v>5.9676397556318508E-3</v>
      </c>
      <c r="AL110" s="6">
        <f>Tabla2[[#This Row],[Deforestation 2017]]/Tabla2[[#This Row],[Forest cover 2011]]</f>
        <v>8.8822990566795948E-3</v>
      </c>
      <c r="AM110" s="6">
        <f>Tabla2[[#This Row],[Deforestation 2018]]/Tabla2[[#This Row],[Forest cover 2011]]</f>
        <v>1.1542922425722368E-2</v>
      </c>
      <c r="AN110" s="6">
        <f>Tabla2[[#This Row],[Deforestation 2019]]/Tabla2[[#This Row],[Forest cover 2011]]</f>
        <v>1.039669289029504E-2</v>
      </c>
      <c r="AO110" s="6">
        <f>Tabla2[[#This Row],[Deforestation 2020]]/Tabla2[[#This Row],[Forest cover 2011]]</f>
        <v>1.1621146549150843E-2</v>
      </c>
      <c r="AP110" s="6">
        <f>Tabla2[[#This Row],[Deforestation 2021]]/Tabla2[[#This Row],[Forest cover 2011]]</f>
        <v>1.5492785731807904E-2</v>
      </c>
      <c r="AQ110" s="6">
        <f>Tabla2[[#This Row],[Deforestation 2022]]/Tabla2[[#This Row],[Forest cover 2011]]</f>
        <v>1.2861534319638513E-2</v>
      </c>
      <c r="AR110" s="6">
        <f>Tabla2[[#This Row],[Deforestation 2023]]/Tabla2[[#This Row],[Forest cover 2011]]</f>
        <v>1.3319727515026299E-2</v>
      </c>
      <c r="AS110" s="6">
        <f>Tabla2[[#This Row],[Deforestation 2024]]/Tabla2[[#This Row],[Forest cover 2011]]</f>
        <v>1.1258628012331556E-2</v>
      </c>
      <c r="AT110" s="6">
        <f>Tabla2[[#This Row],[Forest Loss 2012]]/Tabla2[[#This Row],[Forest cover 2011]]</f>
        <v>6.6929801139720569E-3</v>
      </c>
      <c r="AU110" s="6">
        <f>Tabla2[[#This Row],[Forest Loss 2013]]/Tabla2[[#This Row],[Forest cover 2011]]</f>
        <v>4.9474833377134639E-3</v>
      </c>
      <c r="AV110" s="6">
        <f>Tabla2[[#This Row],[Forest Loss 2014]]/Tabla2[[#This Row],[Forest cover 2011]]</f>
        <v>3.9382451690538091E-3</v>
      </c>
      <c r="AW110" s="6">
        <f>Tabla2[[#This Row],[Forest Loss 2015]]/Tabla2[[#This Row],[Forest cover 2011]]</f>
        <v>5.9140516818128215E-3</v>
      </c>
      <c r="AX110" s="6">
        <f>Tabla2[[#This Row],[Forest Loss 2016]]/Tabla2[[#This Row],[Forest cover 2011]]</f>
        <v>7.7113401532730884E-3</v>
      </c>
      <c r="AY110" s="6">
        <f>Tabla2[[#This Row],[Forest Loss 2017]]/Tabla2[[#This Row],[Forest cover 2011]]</f>
        <v>1.0211665892707437E-2</v>
      </c>
      <c r="AZ110" s="6">
        <f>Tabla2[[#This Row],[Forest Loss 2018]]/Tabla2[[#This Row],[Forest cover 2011]]</f>
        <v>1.2656630509297835E-2</v>
      </c>
      <c r="BA110" s="6">
        <f>Tabla2[[#This Row],[Forest Loss 2019]]/Tabla2[[#This Row],[Forest cover 2011]]</f>
        <v>1.1677114241398057E-2</v>
      </c>
      <c r="BB110" s="6">
        <f>Tabla2[[#This Row],[Forest Loss 2020]]/Tabla2[[#This Row],[Forest cover 2011]]</f>
        <v>1.2306313349321103E-2</v>
      </c>
      <c r="BC110" s="6">
        <f>Tabla2[[#This Row],[Forest Loss 2021]]/Tabla2[[#This Row],[Forest cover 2011]]</f>
        <v>1.7220575347409707E-2</v>
      </c>
      <c r="BD110" s="6">
        <f>Tabla2[[#This Row],[Forest Loss 2022]]/Tabla2[[#This Row],[Forest cover 2011]]</f>
        <v>1.3910456125027018E-2</v>
      </c>
      <c r="BE110" s="6">
        <f>Tabla2[[#This Row],[Forest Loss 2023]]/Tabla2[[#This Row],[Forest cover 2011]]</f>
        <v>1.3796794350692532E-2</v>
      </c>
      <c r="BF110" s="6">
        <f>Tabla2[[#This Row],[Forest Loss 2024]]/Tabla2[[#This Row],[Forest cover 2011]]</f>
        <v>1.1797494938353302E-2</v>
      </c>
    </row>
    <row r="111" spans="1:58" x14ac:dyDescent="0.25">
      <c r="A111" s="2">
        <v>31003</v>
      </c>
      <c r="B111" s="3" t="s">
        <v>176</v>
      </c>
      <c r="C111" t="s">
        <v>204</v>
      </c>
      <c r="D111">
        <v>816866.01</v>
      </c>
      <c r="E111" s="4">
        <f>AVERAGE(Tabla2[[#This Row],[Deforestation 2012]:[Deforestation 2014]])</f>
        <v>3858.5400000000009</v>
      </c>
      <c r="F111" s="4">
        <f>AVERAGE(Tabla2[[#This Row],[Deforestation 2022]:[Deforestation 2024]])</f>
        <v>6189.21</v>
      </c>
      <c r="G111">
        <v>2938.14</v>
      </c>
      <c r="H111">
        <v>4295.79</v>
      </c>
      <c r="I111">
        <v>4341.6900000000014</v>
      </c>
      <c r="J111">
        <v>3587.76</v>
      </c>
      <c r="K111">
        <v>3078.45</v>
      </c>
      <c r="L111">
        <v>4217.49</v>
      </c>
      <c r="M111">
        <v>4036.14</v>
      </c>
      <c r="N111">
        <v>3286.26</v>
      </c>
      <c r="O111">
        <v>5439.33</v>
      </c>
      <c r="P111">
        <v>6221.88</v>
      </c>
      <c r="Q111">
        <v>1291.5</v>
      </c>
      <c r="R111">
        <v>11793.24</v>
      </c>
      <c r="S111">
        <v>5482.89</v>
      </c>
      <c r="T111">
        <v>8904.6899999999987</v>
      </c>
      <c r="U111">
        <v>6814.62</v>
      </c>
      <c r="V111">
        <v>6939.7199999999993</v>
      </c>
      <c r="W111">
        <v>5870.07</v>
      </c>
      <c r="X111">
        <v>4344.84</v>
      </c>
      <c r="Y111">
        <v>5386.95</v>
      </c>
      <c r="Z111">
        <v>5684.2199999999993</v>
      </c>
      <c r="AA111">
        <v>5243.85</v>
      </c>
      <c r="AB111">
        <v>7920.63</v>
      </c>
      <c r="AC111">
        <v>6804.99</v>
      </c>
      <c r="AD111">
        <v>2427.21</v>
      </c>
      <c r="AE111">
        <v>14354.73</v>
      </c>
      <c r="AF111">
        <v>9591.57</v>
      </c>
      <c r="AG111" s="5">
        <f>Tabla2[[#This Row],[Deforestation 2012]]/Tabla2[[#This Row],[Forest cover 2011]]</f>
        <v>3.5968444812632121E-3</v>
      </c>
      <c r="AH111" s="6">
        <f>Tabla2[[#This Row],[Deforestation 2013]]/Tabla2[[#This Row],[Forest cover 2011]]</f>
        <v>5.2588673630819815E-3</v>
      </c>
      <c r="AI111" s="6">
        <f>Tabla2[[#This Row],[Deforestation 2014]]/Tabla2[[#This Row],[Forest cover 2011]]</f>
        <v>5.315057728990341E-3</v>
      </c>
      <c r="AJ111" s="6">
        <f>Tabla2[[#This Row],[Deforestation 2015]]/Tabla2[[#This Row],[Forest cover 2011]]</f>
        <v>4.3921034246485547E-3</v>
      </c>
      <c r="AK111" s="6">
        <f>Tabla2[[#This Row],[Deforestation 2016]]/Tabla2[[#This Row],[Forest cover 2011]]</f>
        <v>3.7686107174418971E-3</v>
      </c>
      <c r="AL111" s="6">
        <f>Tabla2[[#This Row],[Deforestation 2017]]/Tabla2[[#This Row],[Forest cover 2011]]</f>
        <v>5.163013209473607E-3</v>
      </c>
      <c r="AM111" s="6">
        <f>Tabla2[[#This Row],[Deforestation 2018]]/Tabla2[[#This Row],[Forest cover 2011]]</f>
        <v>4.9410061755415678E-3</v>
      </c>
      <c r="AN111" s="6">
        <f>Tabla2[[#This Row],[Deforestation 2019]]/Tabla2[[#This Row],[Forest cover 2011]]</f>
        <v>4.0230098446622847E-3</v>
      </c>
      <c r="AO111" s="6">
        <f>Tabla2[[#This Row],[Deforestation 2020]]/Tabla2[[#This Row],[Forest cover 2011]]</f>
        <v>6.6587787145164726E-3</v>
      </c>
      <c r="AP111" s="6">
        <f>Tabla2[[#This Row],[Deforestation 2021]]/Tabla2[[#This Row],[Forest cover 2011]]</f>
        <v>7.6167693646599401E-3</v>
      </c>
      <c r="AQ111" s="6">
        <f>Tabla2[[#This Row],[Deforestation 2022]]/Tabla2[[#This Row],[Forest cover 2011]]</f>
        <v>1.5810426485979017E-3</v>
      </c>
      <c r="AR111" s="6">
        <f>Tabla2[[#This Row],[Deforestation 2023]]/Tabla2[[#This Row],[Forest cover 2011]]</f>
        <v>1.4437178014053982E-2</v>
      </c>
      <c r="AS111" s="6">
        <f>Tabla2[[#This Row],[Deforestation 2024]]/Tabla2[[#This Row],[Forest cover 2011]]</f>
        <v>6.7121044735353845E-3</v>
      </c>
      <c r="AT111" s="6">
        <f>Tabla2[[#This Row],[Forest Loss 2012]]/Tabla2[[#This Row],[Forest cover 2011]]</f>
        <v>1.0901041163409404E-2</v>
      </c>
      <c r="AU111" s="6">
        <f>Tabla2[[#This Row],[Forest Loss 2013]]/Tabla2[[#This Row],[Forest cover 2011]]</f>
        <v>8.3423963251941409E-3</v>
      </c>
      <c r="AV111" s="6">
        <f>Tabla2[[#This Row],[Forest Loss 2014]]/Tabla2[[#This Row],[Forest cover 2011]]</f>
        <v>8.4955426165914272E-3</v>
      </c>
      <c r="AW111" s="6">
        <f>Tabla2[[#This Row],[Forest Loss 2015]]/Tabla2[[#This Row],[Forest cover 2011]]</f>
        <v>7.1860867365505874E-3</v>
      </c>
      <c r="AX111" s="6">
        <f>Tabla2[[#This Row],[Forest Loss 2016]]/Tabla2[[#This Row],[Forest cover 2011]]</f>
        <v>5.3189139305722857E-3</v>
      </c>
      <c r="AY111" s="6">
        <f>Tabla2[[#This Row],[Forest Loss 2017]]/Tabla2[[#This Row],[Forest cover 2011]]</f>
        <v>6.5946555910681116E-3</v>
      </c>
      <c r="AZ111" s="6">
        <f>Tabla2[[#This Row],[Forest Loss 2018]]/Tabla2[[#This Row],[Forest cover 2011]]</f>
        <v>6.958570843215767E-3</v>
      </c>
      <c r="BA111" s="6">
        <f>Tabla2[[#This Row],[Forest Loss 2019]]/Tabla2[[#This Row],[Forest cover 2011]]</f>
        <v>6.4194738620597033E-3</v>
      </c>
      <c r="BB111" s="6">
        <f>Tabla2[[#This Row],[Forest Loss 2020]]/Tabla2[[#This Row],[Forest cover 2011]]</f>
        <v>9.6963637892094438E-3</v>
      </c>
      <c r="BC111" s="6">
        <f>Tabla2[[#This Row],[Forest Loss 2021]]/Tabla2[[#This Row],[Forest cover 2011]]</f>
        <v>8.3306073660721902E-3</v>
      </c>
      <c r="BD111" s="6">
        <f>Tabla2[[#This Row],[Forest Loss 2022]]/Tabla2[[#This Row],[Forest cover 2011]]</f>
        <v>2.9713685846715545E-3</v>
      </c>
      <c r="BE111" s="6">
        <f>Tabla2[[#This Row],[Forest Loss 2023]]/Tabla2[[#This Row],[Forest cover 2011]]</f>
        <v>1.7572930963304496E-2</v>
      </c>
      <c r="BF111" s="6">
        <f>Tabla2[[#This Row],[Forest Loss 2024]]/Tabla2[[#This Row],[Forest cover 2011]]</f>
        <v>1.1741913462649767E-2</v>
      </c>
    </row>
    <row r="112" spans="1:58" x14ac:dyDescent="0.25">
      <c r="A112" s="2">
        <v>80304</v>
      </c>
      <c r="B112" s="3" t="s">
        <v>365</v>
      </c>
      <c r="C112" t="s">
        <v>372</v>
      </c>
      <c r="D112">
        <v>206885.16</v>
      </c>
      <c r="E112" s="4">
        <f>AVERAGE(Tabla2[[#This Row],[Deforestation 2012]:[Deforestation 2014]])</f>
        <v>1503.6299999999999</v>
      </c>
      <c r="F112" s="4">
        <f>AVERAGE(Tabla2[[#This Row],[Deforestation 2022]:[Deforestation 2024]])</f>
        <v>1301.28</v>
      </c>
      <c r="G112">
        <v>891.36</v>
      </c>
      <c r="H112">
        <v>1391.31</v>
      </c>
      <c r="I112">
        <v>2228.2199999999998</v>
      </c>
      <c r="J112">
        <v>1089.45</v>
      </c>
      <c r="K112">
        <v>1283.58</v>
      </c>
      <c r="L112">
        <v>1181.8800000000001</v>
      </c>
      <c r="M112">
        <v>1657.62</v>
      </c>
      <c r="N112">
        <v>2256.9299999999998</v>
      </c>
      <c r="O112">
        <v>2179.5300000000002</v>
      </c>
      <c r="P112">
        <v>1656.09</v>
      </c>
      <c r="Q112">
        <v>666.09</v>
      </c>
      <c r="R112">
        <v>1982.61</v>
      </c>
      <c r="S112">
        <v>1255.1400000000001</v>
      </c>
      <c r="T112">
        <v>1865.79</v>
      </c>
      <c r="U112">
        <v>2359.62</v>
      </c>
      <c r="V112">
        <v>6890.76</v>
      </c>
      <c r="W112">
        <v>3538.62</v>
      </c>
      <c r="X112">
        <v>1912.77</v>
      </c>
      <c r="Y112">
        <v>1625.31</v>
      </c>
      <c r="Z112">
        <v>2070.7199999999998</v>
      </c>
      <c r="AA112">
        <v>2643.75</v>
      </c>
      <c r="AB112">
        <v>2483.19</v>
      </c>
      <c r="AC112">
        <v>2354.31</v>
      </c>
      <c r="AD112">
        <v>774.36</v>
      </c>
      <c r="AE112">
        <v>2184.0300000000002</v>
      </c>
      <c r="AF112">
        <v>2426.58</v>
      </c>
      <c r="AG112" s="5">
        <f>Tabla2[[#This Row],[Deforestation 2012]]/Tabla2[[#This Row],[Forest cover 2011]]</f>
        <v>4.3084772247559949E-3</v>
      </c>
      <c r="AH112" s="6">
        <f>Tabla2[[#This Row],[Deforestation 2013]]/Tabla2[[#This Row],[Forest cover 2011]]</f>
        <v>6.7250352804425406E-3</v>
      </c>
      <c r="AI112" s="6">
        <f>Tabla2[[#This Row],[Deforestation 2014]]/Tabla2[[#This Row],[Forest cover 2011]]</f>
        <v>1.0770323013985148E-2</v>
      </c>
      <c r="AJ112" s="6">
        <f>Tabla2[[#This Row],[Deforestation 2015]]/Tabla2[[#This Row],[Forest cover 2011]]</f>
        <v>5.2659649440298184E-3</v>
      </c>
      <c r="AK112" s="6">
        <f>Tabla2[[#This Row],[Deforestation 2016]]/Tabla2[[#This Row],[Forest cover 2011]]</f>
        <v>6.2043116093972129E-3</v>
      </c>
      <c r="AL112" s="6">
        <f>Tabla2[[#This Row],[Deforestation 2017]]/Tabla2[[#This Row],[Forest cover 2011]]</f>
        <v>5.7127345431639467E-3</v>
      </c>
      <c r="AM112" s="6">
        <f>Tabla2[[#This Row],[Deforestation 2018]]/Tabla2[[#This Row],[Forest cover 2011]]</f>
        <v>8.0122711556498295E-3</v>
      </c>
      <c r="AN112" s="6">
        <f>Tabla2[[#This Row],[Deforestation 2019]]/Tabla2[[#This Row],[Forest cover 2011]]</f>
        <v>1.0909095654806753E-2</v>
      </c>
      <c r="AO112" s="6">
        <f>Tabla2[[#This Row],[Deforestation 2020]]/Tabla2[[#This Row],[Forest cover 2011]]</f>
        <v>1.0534975055726569E-2</v>
      </c>
      <c r="AP112" s="6">
        <f>Tabla2[[#This Row],[Deforestation 2021]]/Tabla2[[#This Row],[Forest cover 2011]]</f>
        <v>8.0048757484587098E-3</v>
      </c>
      <c r="AQ112" s="6">
        <f>Tabla2[[#This Row],[Deforestation 2022]]/Tabla2[[#This Row],[Forest cover 2011]]</f>
        <v>3.2196122718516885E-3</v>
      </c>
      <c r="AR112" s="6">
        <f>Tabla2[[#This Row],[Deforestation 2023]]/Tabla2[[#This Row],[Forest cover 2011]]</f>
        <v>9.5831426478341884E-3</v>
      </c>
      <c r="AS112" s="6">
        <f>Tabla2[[#This Row],[Deforestation 2024]]/Tabla2[[#This Row],[Forest cover 2011]]</f>
        <v>6.0668440404328663E-3</v>
      </c>
      <c r="AT112" s="6">
        <f>Tabla2[[#This Row],[Forest Loss 2012]]/Tabla2[[#This Row],[Forest cover 2011]]</f>
        <v>9.0184815575945609E-3</v>
      </c>
      <c r="AU112" s="6">
        <f>Tabla2[[#This Row],[Forest Loss 2013]]/Tabla2[[#This Row],[Forest cover 2011]]</f>
        <v>1.1405457984516627E-2</v>
      </c>
      <c r="AV112" s="6">
        <f>Tabla2[[#This Row],[Forest Loss 2014]]/Tabla2[[#This Row],[Forest cover 2011]]</f>
        <v>3.3307173892994549E-2</v>
      </c>
      <c r="AW112" s="6">
        <f>Tabla2[[#This Row],[Forest Loss 2015]]/Tabla2[[#This Row],[Forest cover 2011]]</f>
        <v>1.7104271761203171E-2</v>
      </c>
      <c r="AX112" s="6">
        <f>Tabla2[[#This Row],[Forest Loss 2016]]/Tabla2[[#This Row],[Forest cover 2011]]</f>
        <v>9.2455640607571853E-3</v>
      </c>
      <c r="AY112" s="6">
        <f>Tabla2[[#This Row],[Forest Loss 2017]]/Tabla2[[#This Row],[Forest cover 2011]]</f>
        <v>7.8560975567314728E-3</v>
      </c>
      <c r="AZ112" s="6">
        <f>Tabla2[[#This Row],[Forest Loss 2018]]/Tabla2[[#This Row],[Forest cover 2011]]</f>
        <v>1.0009031097252213E-2</v>
      </c>
      <c r="BA112" s="6">
        <f>Tabla2[[#This Row],[Forest Loss 2019]]/Tabla2[[#This Row],[Forest cover 2011]]</f>
        <v>1.2778828602302842E-2</v>
      </c>
      <c r="BB112" s="6">
        <f>Tabla2[[#This Row],[Forest Loss 2020]]/Tabla2[[#This Row],[Forest cover 2011]]</f>
        <v>1.2002745871187668E-2</v>
      </c>
      <c r="BC112" s="6">
        <f>Tabla2[[#This Row],[Forest Loss 2021]]/Tabla2[[#This Row],[Forest cover 2011]]</f>
        <v>1.1379791571323917E-2</v>
      </c>
      <c r="BD112" s="6">
        <f>Tabla2[[#This Row],[Forest Loss 2022]]/Tabla2[[#This Row],[Forest cover 2011]]</f>
        <v>3.7429460866115287E-3</v>
      </c>
      <c r="BE112" s="6">
        <f>Tabla2[[#This Row],[Forest Loss 2023]]/Tabla2[[#This Row],[Forest cover 2011]]</f>
        <v>1.055672625334751E-2</v>
      </c>
      <c r="BF112" s="6">
        <f>Tabla2[[#This Row],[Forest Loss 2024]]/Tabla2[[#This Row],[Forest cover 2011]]</f>
        <v>1.1729115805116229E-2</v>
      </c>
    </row>
    <row r="113" spans="1:58" x14ac:dyDescent="0.25">
      <c r="A113" s="2">
        <v>80501</v>
      </c>
      <c r="B113" s="3" t="s">
        <v>365</v>
      </c>
      <c r="C113" t="s">
        <v>375</v>
      </c>
      <c r="D113">
        <v>1079191.8</v>
      </c>
      <c r="E113" s="4">
        <f>AVERAGE(Tabla2[[#This Row],[Deforestation 2012]:[Deforestation 2014]])</f>
        <v>501.63000000000005</v>
      </c>
      <c r="F113" s="4">
        <f>AVERAGE(Tabla2[[#This Row],[Deforestation 2022]:[Deforestation 2024]])</f>
        <v>1214.58</v>
      </c>
      <c r="G113">
        <v>413.28</v>
      </c>
      <c r="H113">
        <v>603.45000000000005</v>
      </c>
      <c r="I113">
        <v>488.16</v>
      </c>
      <c r="J113">
        <v>428.4</v>
      </c>
      <c r="K113">
        <v>439.11</v>
      </c>
      <c r="L113">
        <v>862.92</v>
      </c>
      <c r="M113">
        <v>371.7</v>
      </c>
      <c r="N113">
        <v>532.35</v>
      </c>
      <c r="O113">
        <v>894.6</v>
      </c>
      <c r="P113">
        <v>1017.81</v>
      </c>
      <c r="Q113">
        <v>517.5</v>
      </c>
      <c r="R113">
        <v>1803.87</v>
      </c>
      <c r="S113">
        <v>1322.37</v>
      </c>
      <c r="T113">
        <v>10452.42</v>
      </c>
      <c r="U113">
        <v>5697.27</v>
      </c>
      <c r="V113">
        <v>7201.35</v>
      </c>
      <c r="W113">
        <v>4242.0599999999986</v>
      </c>
      <c r="X113">
        <v>2016.36</v>
      </c>
      <c r="Y113">
        <v>2693.61</v>
      </c>
      <c r="Z113">
        <v>2849.13</v>
      </c>
      <c r="AA113">
        <v>2332.8000000000002</v>
      </c>
      <c r="AB113">
        <v>2026.26</v>
      </c>
      <c r="AC113">
        <v>2164.77</v>
      </c>
      <c r="AD113">
        <v>3260.34</v>
      </c>
      <c r="AE113">
        <v>4909.5</v>
      </c>
      <c r="AF113">
        <v>12492.09</v>
      </c>
      <c r="AG113" s="5">
        <f>Tabla2[[#This Row],[Deforestation 2012]]/Tabla2[[#This Row],[Forest cover 2011]]</f>
        <v>3.8295324334376886E-4</v>
      </c>
      <c r="AH113" s="6">
        <f>Tabla2[[#This Row],[Deforestation 2013]]/Tabla2[[#This Row],[Forest cover 2011]]</f>
        <v>5.5916844438588212E-4</v>
      </c>
      <c r="AI113" s="6">
        <f>Tabla2[[#This Row],[Deforestation 2014]]/Tabla2[[#This Row],[Forest cover 2011]]</f>
        <v>4.5233849997748318E-4</v>
      </c>
      <c r="AJ113" s="6">
        <f>Tabla2[[#This Row],[Deforestation 2015]]/Tabla2[[#This Row],[Forest cover 2011]]</f>
        <v>3.9696372785634579E-4</v>
      </c>
      <c r="AK113" s="6">
        <f>Tabla2[[#This Row],[Deforestation 2016]]/Tabla2[[#This Row],[Forest cover 2011]]</f>
        <v>4.0688782105275447E-4</v>
      </c>
      <c r="AL113" s="6">
        <f>Tabla2[[#This Row],[Deforestation 2017]]/Tabla2[[#This Row],[Forest cover 2011]]</f>
        <v>7.9959836611063941E-4</v>
      </c>
      <c r="AM113" s="6">
        <f>Tabla2[[#This Row],[Deforestation 2018]]/Tabla2[[#This Row],[Forest cover 2011]]</f>
        <v>3.4442441093418237E-4</v>
      </c>
      <c r="AN113" s="6">
        <f>Tabla2[[#This Row],[Deforestation 2019]]/Tabla2[[#This Row],[Forest cover 2011]]</f>
        <v>4.9328580888031211E-4</v>
      </c>
      <c r="AO113" s="6">
        <f>Tabla2[[#This Row],[Deforestation 2020]]/Tabla2[[#This Row],[Forest cover 2011]]</f>
        <v>8.2895366699413397E-4</v>
      </c>
      <c r="AP113" s="6">
        <f>Tabla2[[#This Row],[Deforestation 2021]]/Tabla2[[#This Row],[Forest cover 2011]]</f>
        <v>9.4312243662340639E-4</v>
      </c>
      <c r="AQ113" s="6">
        <f>Tabla2[[#This Row],[Deforestation 2022]]/Tabla2[[#This Row],[Forest cover 2011]]</f>
        <v>4.7952551159117406E-4</v>
      </c>
      <c r="AR113" s="6">
        <f>Tabla2[[#This Row],[Deforestation 2023]]/Tabla2[[#This Row],[Forest cover 2011]]</f>
        <v>1.6715008397951132E-3</v>
      </c>
      <c r="AS113" s="6">
        <f>Tabla2[[#This Row],[Deforestation 2024]]/Tabla2[[#This Row],[Forest cover 2011]]</f>
        <v>1.2253336246624556E-3</v>
      </c>
      <c r="AT113" s="6">
        <f>Tabla2[[#This Row],[Forest Loss 2012]]/Tabla2[[#This Row],[Forest cover 2011]]</f>
        <v>9.685414585247961E-3</v>
      </c>
      <c r="AU113" s="6">
        <f>Tabla2[[#This Row],[Forest Loss 2013]]/Tabla2[[#This Row],[Forest cover 2011]]</f>
        <v>5.2792006017836684E-3</v>
      </c>
      <c r="AV113" s="6">
        <f>Tabla2[[#This Row],[Forest Loss 2014]]/Tabla2[[#This Row],[Forest cover 2011]]</f>
        <v>6.6729102278204853E-3</v>
      </c>
      <c r="AW113" s="6">
        <f>Tabla2[[#This Row],[Forest Loss 2015]]/Tabla2[[#This Row],[Forest cover 2011]]</f>
        <v>3.9307748631892854E-3</v>
      </c>
      <c r="AX113" s="6">
        <f>Tabla2[[#This Row],[Forest Loss 2016]]/Tabla2[[#This Row],[Forest cover 2011]]</f>
        <v>1.8683981846415066E-3</v>
      </c>
      <c r="AY113" s="6">
        <f>Tabla2[[#This Row],[Forest Loss 2017]]/Tabla2[[#This Row],[Forest cover 2011]]</f>
        <v>2.4959511367673476E-3</v>
      </c>
      <c r="AZ113" s="6">
        <f>Tabla2[[#This Row],[Forest Loss 2018]]/Tabla2[[#This Row],[Forest cover 2011]]</f>
        <v>2.6400589774681388E-3</v>
      </c>
      <c r="BA113" s="6">
        <f>Tabla2[[#This Row],[Forest Loss 2019]]/Tabla2[[#This Row],[Forest cover 2011]]</f>
        <v>2.1616176105118665E-3</v>
      </c>
      <c r="BB113" s="6">
        <f>Tabla2[[#This Row],[Forest Loss 2020]]/Tabla2[[#This Row],[Forest cover 2011]]</f>
        <v>1.8775717161675987E-3</v>
      </c>
      <c r="BC113" s="6">
        <f>Tabla2[[#This Row],[Forest Loss 2021]]/Tabla2[[#This Row],[Forest cover 2011]]</f>
        <v>2.0059177617917407E-3</v>
      </c>
      <c r="BD113" s="6">
        <f>Tabla2[[#This Row],[Forest Loss 2022]]/Tabla2[[#This Row],[Forest cover 2011]]</f>
        <v>3.0210941187655427E-3</v>
      </c>
      <c r="BE113" s="6">
        <f>Tabla2[[#This Row],[Forest Loss 2023]]/Tabla2[[#This Row],[Forest cover 2011]]</f>
        <v>4.5492376795301815E-3</v>
      </c>
      <c r="BF113" s="6">
        <f>Tabla2[[#This Row],[Forest Loss 2024]]/Tabla2[[#This Row],[Forest cover 2011]]</f>
        <v>1.1575412266846356E-2</v>
      </c>
    </row>
    <row r="114" spans="1:58" x14ac:dyDescent="0.25">
      <c r="A114" s="2">
        <v>80402</v>
      </c>
      <c r="B114" s="3" t="s">
        <v>365</v>
      </c>
      <c r="C114" t="s">
        <v>374</v>
      </c>
      <c r="D114">
        <v>554632.11</v>
      </c>
      <c r="E114" s="4">
        <f>AVERAGE(Tabla2[[#This Row],[Deforestation 2012]:[Deforestation 2014]])</f>
        <v>180.15</v>
      </c>
      <c r="F114" s="4">
        <f>AVERAGE(Tabla2[[#This Row],[Deforestation 2022]:[Deforestation 2024]])</f>
        <v>514.32000000000005</v>
      </c>
      <c r="G114">
        <v>235.89</v>
      </c>
      <c r="H114">
        <v>176.85</v>
      </c>
      <c r="I114">
        <v>127.71</v>
      </c>
      <c r="J114">
        <v>103.5</v>
      </c>
      <c r="K114">
        <v>115.65</v>
      </c>
      <c r="L114">
        <v>104.04</v>
      </c>
      <c r="M114">
        <v>73.17</v>
      </c>
      <c r="N114">
        <v>106.2</v>
      </c>
      <c r="O114">
        <v>149.85</v>
      </c>
      <c r="P114">
        <v>473.04</v>
      </c>
      <c r="Q114">
        <v>508.77</v>
      </c>
      <c r="R114">
        <v>178.47</v>
      </c>
      <c r="S114">
        <v>855.72</v>
      </c>
      <c r="T114">
        <v>4398.57</v>
      </c>
      <c r="U114">
        <v>2054.4299999999998</v>
      </c>
      <c r="V114">
        <v>5584.41</v>
      </c>
      <c r="W114">
        <v>935.19</v>
      </c>
      <c r="X114">
        <v>1892.52</v>
      </c>
      <c r="Y114">
        <v>854.46</v>
      </c>
      <c r="Z114">
        <v>476.55</v>
      </c>
      <c r="AA114">
        <v>637.47</v>
      </c>
      <c r="AB114">
        <v>1409.22</v>
      </c>
      <c r="AC114">
        <v>903.06</v>
      </c>
      <c r="AD114">
        <v>1602.63</v>
      </c>
      <c r="AE114">
        <v>1440.63</v>
      </c>
      <c r="AF114">
        <v>6385.77</v>
      </c>
      <c r="AG114" s="5">
        <f>Tabla2[[#This Row],[Deforestation 2012]]/Tabla2[[#This Row],[Forest cover 2011]]</f>
        <v>4.2530894938628779E-4</v>
      </c>
      <c r="AH114" s="6">
        <f>Tabla2[[#This Row],[Deforestation 2013]]/Tabla2[[#This Row],[Forest cover 2011]]</f>
        <v>3.1886000974591969E-4</v>
      </c>
      <c r="AI114" s="6">
        <f>Tabla2[[#This Row],[Deforestation 2014]]/Tabla2[[#This Row],[Forest cover 2011]]</f>
        <v>2.3026073986232061E-4</v>
      </c>
      <c r="AJ114" s="6">
        <f>Tabla2[[#This Row],[Deforestation 2015]]/Tabla2[[#This Row],[Forest cover 2011]]</f>
        <v>1.8661018382076726E-4</v>
      </c>
      <c r="AK114" s="6">
        <f>Tabla2[[#This Row],[Deforestation 2016]]/Tabla2[[#This Row],[Forest cover 2011]]</f>
        <v>2.0851659670407472E-4</v>
      </c>
      <c r="AL114" s="6">
        <f>Tabla2[[#This Row],[Deforestation 2017]]/Tabla2[[#This Row],[Forest cover 2011]]</f>
        <v>1.8758380217113649E-4</v>
      </c>
      <c r="AM114" s="6">
        <f>Tabla2[[#This Row],[Deforestation 2018]]/Tabla2[[#This Row],[Forest cover 2011]]</f>
        <v>1.3192528647502938E-4</v>
      </c>
      <c r="AN114" s="6">
        <f>Tabla2[[#This Row],[Deforestation 2019]]/Tabla2[[#This Row],[Forest cover 2011]]</f>
        <v>1.9147827557261337E-4</v>
      </c>
      <c r="AO114" s="6">
        <f>Tabla2[[#This Row],[Deforestation 2020]]/Tabla2[[#This Row],[Forest cover 2011]]</f>
        <v>2.7017909222745864E-4</v>
      </c>
      <c r="AP114" s="6">
        <f>Tabla2[[#This Row],[Deforestation 2021]]/Tabla2[[#This Row],[Forest cover 2011]]</f>
        <v>8.5288967492343714E-4</v>
      </c>
      <c r="AQ114" s="6">
        <f>Tabla2[[#This Row],[Deforestation 2022]]/Tabla2[[#This Row],[Forest cover 2011]]</f>
        <v>9.1731075577286721E-4</v>
      </c>
      <c r="AR114" s="6">
        <f>Tabla2[[#This Row],[Deforestation 2023]]/Tabla2[[#This Row],[Forest cover 2011]]</f>
        <v>3.2178086479702736E-4</v>
      </c>
      <c r="AS114" s="6">
        <f>Tabla2[[#This Row],[Deforestation 2024]]/Tabla2[[#This Row],[Forest cover 2011]]</f>
        <v>1.5428605458850913E-3</v>
      </c>
      <c r="AT114" s="6">
        <f>Tabla2[[#This Row],[Forest Loss 2012]]/Tabla2[[#This Row],[Forest cover 2011]]</f>
        <v>7.9306082729324844E-3</v>
      </c>
      <c r="AU114" s="6">
        <f>Tabla2[[#This Row],[Forest Loss 2013]]/Tabla2[[#This Row],[Forest cover 2011]]</f>
        <v>3.7041310139796987E-3</v>
      </c>
      <c r="AV114" s="6">
        <f>Tabla2[[#This Row],[Forest Loss 2014]]/Tabla2[[#This Row],[Forest cover 2011]]</f>
        <v>1.0068674170343293E-2</v>
      </c>
      <c r="AW114" s="6">
        <f>Tabla2[[#This Row],[Forest Loss 2015]]/Tabla2[[#This Row],[Forest cover 2011]]</f>
        <v>1.6861447131144283E-3</v>
      </c>
      <c r="AX114" s="6">
        <f>Tabla2[[#This Row],[Forest Loss 2016]]/Tabla2[[#This Row],[Forest cover 2011]]</f>
        <v>3.4122077785939944E-3</v>
      </c>
      <c r="AY114" s="6">
        <f>Tabla2[[#This Row],[Forest Loss 2017]]/Tabla2[[#This Row],[Forest cover 2011]]</f>
        <v>1.54058876973423E-3</v>
      </c>
      <c r="AZ114" s="6">
        <f>Tabla2[[#This Row],[Forest Loss 2018]]/Tabla2[[#This Row],[Forest cover 2011]]</f>
        <v>8.5921819420083708E-4</v>
      </c>
      <c r="BA114" s="6">
        <f>Tabla2[[#This Row],[Forest Loss 2019]]/Tabla2[[#This Row],[Forest cover 2011]]</f>
        <v>1.1493564626108648E-3</v>
      </c>
      <c r="BB114" s="6">
        <f>Tabla2[[#This Row],[Forest Loss 2020]]/Tabla2[[#This Row],[Forest cover 2011]]</f>
        <v>2.5408193550135422E-3</v>
      </c>
      <c r="BC114" s="6">
        <f>Tabla2[[#This Row],[Forest Loss 2021]]/Tabla2[[#This Row],[Forest cover 2011]]</f>
        <v>1.6282144212674595E-3</v>
      </c>
      <c r="BD114" s="6">
        <f>Tabla2[[#This Row],[Forest Loss 2022]]/Tabla2[[#This Row],[Forest cover 2011]]</f>
        <v>2.889536994170785E-3</v>
      </c>
      <c r="BE114" s="6">
        <f>Tabla2[[#This Row],[Forest Loss 2023]]/Tabla2[[#This Row],[Forest cover 2011]]</f>
        <v>2.5974514890600188E-3</v>
      </c>
      <c r="BF114" s="6">
        <f>Tabla2[[#This Row],[Forest Loss 2024]]/Tabla2[[#This Row],[Forest cover 2011]]</f>
        <v>1.1513523802291217E-2</v>
      </c>
    </row>
    <row r="115" spans="1:58" x14ac:dyDescent="0.25">
      <c r="A115" s="2">
        <v>10502</v>
      </c>
      <c r="B115" s="3" t="s">
        <v>58</v>
      </c>
      <c r="C115" t="s">
        <v>74</v>
      </c>
      <c r="D115">
        <v>280002.24</v>
      </c>
      <c r="E115" s="4">
        <f>AVERAGE(Tabla2[[#This Row],[Deforestation 2012]:[Deforestation 2014]])</f>
        <v>468.06</v>
      </c>
      <c r="F115" s="4">
        <f>AVERAGE(Tabla2[[#This Row],[Deforestation 2022]:[Deforestation 2024]])</f>
        <v>1836.24</v>
      </c>
      <c r="G115">
        <v>401.04</v>
      </c>
      <c r="H115">
        <v>518.85</v>
      </c>
      <c r="I115">
        <v>484.29</v>
      </c>
      <c r="J115">
        <v>236.97</v>
      </c>
      <c r="K115">
        <v>529.29</v>
      </c>
      <c r="L115">
        <v>634.68000000000006</v>
      </c>
      <c r="M115">
        <v>714.87</v>
      </c>
      <c r="N115">
        <v>692.01</v>
      </c>
      <c r="O115">
        <v>598.04999999999995</v>
      </c>
      <c r="P115">
        <v>725.85</v>
      </c>
      <c r="Q115">
        <v>546.21</v>
      </c>
      <c r="R115">
        <v>1872.18</v>
      </c>
      <c r="S115">
        <v>3090.33</v>
      </c>
      <c r="T115">
        <v>433.8</v>
      </c>
      <c r="U115">
        <v>544.77</v>
      </c>
      <c r="V115">
        <v>550.53</v>
      </c>
      <c r="W115">
        <v>259.02</v>
      </c>
      <c r="X115">
        <v>539.28</v>
      </c>
      <c r="Y115">
        <v>647.01</v>
      </c>
      <c r="Z115">
        <v>736.74</v>
      </c>
      <c r="AA115">
        <v>740.61</v>
      </c>
      <c r="AB115">
        <v>616.04999999999995</v>
      </c>
      <c r="AC115">
        <v>764.55</v>
      </c>
      <c r="AD115">
        <v>572.04</v>
      </c>
      <c r="AE115">
        <v>1921.32</v>
      </c>
      <c r="AF115">
        <v>3200.31</v>
      </c>
      <c r="AG115" s="5">
        <f>Tabla2[[#This Row],[Deforestation 2012]]/Tabla2[[#This Row],[Forest cover 2011]]</f>
        <v>1.4322742560916658E-3</v>
      </c>
      <c r="AH115" s="6">
        <f>Tabla2[[#This Row],[Deforestation 2013]]/Tabla2[[#This Row],[Forest cover 2011]]</f>
        <v>1.8530208901185936E-3</v>
      </c>
      <c r="AI115" s="6">
        <f>Tabla2[[#This Row],[Deforestation 2014]]/Tabla2[[#This Row],[Forest cover 2011]]</f>
        <v>1.7295933061106941E-3</v>
      </c>
      <c r="AJ115" s="6">
        <f>Tabla2[[#This Row],[Deforestation 2015]]/Tabla2[[#This Row],[Forest cover 2011]]</f>
        <v>8.4631465805416414E-4</v>
      </c>
      <c r="AK115" s="6">
        <f>Tabla2[[#This Row],[Deforestation 2016]]/Tabla2[[#This Row],[Forest cover 2011]]</f>
        <v>1.8903063061209795E-3</v>
      </c>
      <c r="AL115" s="6">
        <f>Tabla2[[#This Row],[Deforestation 2017]]/Tabla2[[#This Row],[Forest cover 2011]]</f>
        <v>2.266696152145069E-3</v>
      </c>
      <c r="AM115" s="6">
        <f>Tabla2[[#This Row],[Deforestation 2018]]/Tabla2[[#This Row],[Forest cover 2011]]</f>
        <v>2.5530867181633977E-3</v>
      </c>
      <c r="AN115" s="6">
        <f>Tabla2[[#This Row],[Deforestation 2019]]/Tabla2[[#This Row],[Forest cover 2011]]</f>
        <v>2.4714445141581724E-3</v>
      </c>
      <c r="AO115" s="6">
        <f>Tabla2[[#This Row],[Deforestation 2020]]/Tabla2[[#This Row],[Forest cover 2011]]</f>
        <v>2.1358757701366959E-3</v>
      </c>
      <c r="AP115" s="6">
        <f>Tabla2[[#This Row],[Deforestation 2021]]/Tabla2[[#This Row],[Forest cover 2011]]</f>
        <v>2.5923006901659076E-3</v>
      </c>
      <c r="AQ115" s="6">
        <f>Tabla2[[#This Row],[Deforestation 2022]]/Tabla2[[#This Row],[Forest cover 2011]]</f>
        <v>1.9507343941248471E-3</v>
      </c>
      <c r="AR115" s="6">
        <f>Tabla2[[#This Row],[Deforestation 2023]]/Tabla2[[#This Row],[Forest cover 2011]]</f>
        <v>6.6863036524279235E-3</v>
      </c>
      <c r="AS115" s="6">
        <f>Tabla2[[#This Row],[Deforestation 2024]]/Tabla2[[#This Row],[Forest cover 2011]]</f>
        <v>1.1036804562706356E-2</v>
      </c>
      <c r="AT115" s="6">
        <f>Tabla2[[#This Row],[Forest Loss 2012]]/Tabla2[[#This Row],[Forest cover 2011]]</f>
        <v>1.5492733200991537E-3</v>
      </c>
      <c r="AU115" s="6">
        <f>Tabla2[[#This Row],[Forest Loss 2013]]/Tabla2[[#This Row],[Forest cover 2011]]</f>
        <v>1.9455915781245179E-3</v>
      </c>
      <c r="AV115" s="6">
        <f>Tabla2[[#This Row],[Forest Loss 2014]]/Tabla2[[#This Row],[Forest cover 2011]]</f>
        <v>1.9661628421258344E-3</v>
      </c>
      <c r="AW115" s="6">
        <f>Tabla2[[#This Row],[Forest Loss 2015]]/Tabla2[[#This Row],[Forest cover 2011]]</f>
        <v>9.2506402805920401E-4</v>
      </c>
      <c r="AX115" s="6">
        <f>Tabla2[[#This Row],[Forest Loss 2016]]/Tabla2[[#This Row],[Forest cover 2011]]</f>
        <v>1.9259845921232629E-3</v>
      </c>
      <c r="AY115" s="6">
        <f>Tabla2[[#This Row],[Forest Loss 2017]]/Tabla2[[#This Row],[Forest cover 2011]]</f>
        <v>2.3107315141478869E-3</v>
      </c>
      <c r="AZ115" s="6">
        <f>Tabla2[[#This Row],[Forest Loss 2018]]/Tabla2[[#This Row],[Forest cover 2011]]</f>
        <v>2.6311932361683965E-3</v>
      </c>
      <c r="BA115" s="6">
        <f>Tabla2[[#This Row],[Forest Loss 2019]]/Tabla2[[#This Row],[Forest cover 2011]]</f>
        <v>2.645014554169281E-3</v>
      </c>
      <c r="BB115" s="6">
        <f>Tabla2[[#This Row],[Forest Loss 2020]]/Tabla2[[#This Row],[Forest cover 2011]]</f>
        <v>2.2001609701408102E-3</v>
      </c>
      <c r="BC115" s="6">
        <f>Tabla2[[#This Row],[Forest Loss 2021]]/Tabla2[[#This Row],[Forest cover 2011]]</f>
        <v>2.730513870174753E-3</v>
      </c>
      <c r="BD115" s="6">
        <f>Tabla2[[#This Row],[Forest Loss 2022]]/Tabla2[[#This Row],[Forest cover 2011]]</f>
        <v>2.0429836561307508E-3</v>
      </c>
      <c r="BE115" s="6">
        <f>Tabla2[[#This Row],[Forest Loss 2023]]/Tabla2[[#This Row],[Forest cover 2011]]</f>
        <v>6.8618022484391557E-3</v>
      </c>
      <c r="BF115" s="6">
        <f>Tabla2[[#This Row],[Forest Loss 2024]]/Tabla2[[#This Row],[Forest cover 2011]]</f>
        <v>1.1429587134731493E-2</v>
      </c>
    </row>
    <row r="116" spans="1:58" x14ac:dyDescent="0.25">
      <c r="A116" s="2">
        <v>21304</v>
      </c>
      <c r="B116" s="3" t="s">
        <v>88</v>
      </c>
      <c r="C116" t="s">
        <v>156</v>
      </c>
      <c r="D116">
        <v>16.11</v>
      </c>
      <c r="E116" s="4">
        <f>AVERAGE(Tabla2[[#This Row],[Deforestation 2012]:[Deforestation 2014]])</f>
        <v>0</v>
      </c>
      <c r="F116" s="4">
        <f>AVERAGE(Tabla2[[#This Row],[Deforestation 2022]:[Deforestation 2024]])</f>
        <v>1.68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0.18</v>
      </c>
      <c r="N116">
        <v>0</v>
      </c>
      <c r="O116">
        <v>0.63</v>
      </c>
      <c r="P116">
        <v>0</v>
      </c>
      <c r="Q116">
        <v>0</v>
      </c>
      <c r="R116">
        <v>4.8600000000000003</v>
      </c>
      <c r="S116">
        <v>0.18</v>
      </c>
      <c r="T116">
        <v>0.09</v>
      </c>
      <c r="U116">
        <v>0.18</v>
      </c>
      <c r="V116">
        <v>0.27</v>
      </c>
      <c r="W116">
        <v>0</v>
      </c>
      <c r="X116">
        <v>0</v>
      </c>
      <c r="Y116">
        <v>0</v>
      </c>
      <c r="Z116">
        <v>0.18</v>
      </c>
      <c r="AA116">
        <v>0.18</v>
      </c>
      <c r="AB116">
        <v>0.9</v>
      </c>
      <c r="AC116">
        <v>0</v>
      </c>
      <c r="AD116">
        <v>0</v>
      </c>
      <c r="AE116">
        <v>5.67</v>
      </c>
      <c r="AF116">
        <v>0.18</v>
      </c>
      <c r="AG116" s="5">
        <f>Tabla2[[#This Row],[Deforestation 2012]]/Tabla2[[#This Row],[Forest cover 2011]]</f>
        <v>0</v>
      </c>
      <c r="AH116" s="6">
        <f>Tabla2[[#This Row],[Deforestation 2013]]/Tabla2[[#This Row],[Forest cover 2011]]</f>
        <v>0</v>
      </c>
      <c r="AI116" s="6">
        <f>Tabla2[[#This Row],[Deforestation 2014]]/Tabla2[[#This Row],[Forest cover 2011]]</f>
        <v>0</v>
      </c>
      <c r="AJ116" s="6">
        <f>Tabla2[[#This Row],[Deforestation 2015]]/Tabla2[[#This Row],[Forest cover 2011]]</f>
        <v>0</v>
      </c>
      <c r="AK116" s="6">
        <f>Tabla2[[#This Row],[Deforestation 2016]]/Tabla2[[#This Row],[Forest cover 2011]]</f>
        <v>0</v>
      </c>
      <c r="AL116" s="6">
        <f>Tabla2[[#This Row],[Deforestation 2017]]/Tabla2[[#This Row],[Forest cover 2011]]</f>
        <v>0</v>
      </c>
      <c r="AM116" s="6">
        <f>Tabla2[[#This Row],[Deforestation 2018]]/Tabla2[[#This Row],[Forest cover 2011]]</f>
        <v>1.11731843575419E-2</v>
      </c>
      <c r="AN116" s="6">
        <f>Tabla2[[#This Row],[Deforestation 2019]]/Tabla2[[#This Row],[Forest cover 2011]]</f>
        <v>0</v>
      </c>
      <c r="AO116" s="6">
        <f>Tabla2[[#This Row],[Deforestation 2020]]/Tabla2[[#This Row],[Forest cover 2011]]</f>
        <v>3.9106145251396648E-2</v>
      </c>
      <c r="AP116" s="6">
        <f>Tabla2[[#This Row],[Deforestation 2021]]/Tabla2[[#This Row],[Forest cover 2011]]</f>
        <v>0</v>
      </c>
      <c r="AQ116" s="6">
        <f>Tabla2[[#This Row],[Deforestation 2022]]/Tabla2[[#This Row],[Forest cover 2011]]</f>
        <v>0</v>
      </c>
      <c r="AR116" s="6">
        <f>Tabla2[[#This Row],[Deforestation 2023]]/Tabla2[[#This Row],[Forest cover 2011]]</f>
        <v>0.3016759776536313</v>
      </c>
      <c r="AS116" s="6">
        <f>Tabla2[[#This Row],[Deforestation 2024]]/Tabla2[[#This Row],[Forest cover 2011]]</f>
        <v>1.11731843575419E-2</v>
      </c>
      <c r="AT116" s="6">
        <f>Tabla2[[#This Row],[Forest Loss 2012]]/Tabla2[[#This Row],[Forest cover 2011]]</f>
        <v>5.5865921787709499E-3</v>
      </c>
      <c r="AU116" s="6">
        <f>Tabla2[[#This Row],[Forest Loss 2013]]/Tabla2[[#This Row],[Forest cover 2011]]</f>
        <v>1.11731843575419E-2</v>
      </c>
      <c r="AV116" s="6">
        <f>Tabla2[[#This Row],[Forest Loss 2014]]/Tabla2[[#This Row],[Forest cover 2011]]</f>
        <v>1.6759776536312852E-2</v>
      </c>
      <c r="AW116" s="6">
        <f>Tabla2[[#This Row],[Forest Loss 2015]]/Tabla2[[#This Row],[Forest cover 2011]]</f>
        <v>0</v>
      </c>
      <c r="AX116" s="6">
        <f>Tabla2[[#This Row],[Forest Loss 2016]]/Tabla2[[#This Row],[Forest cover 2011]]</f>
        <v>0</v>
      </c>
      <c r="AY116" s="6">
        <f>Tabla2[[#This Row],[Forest Loss 2017]]/Tabla2[[#This Row],[Forest cover 2011]]</f>
        <v>0</v>
      </c>
      <c r="AZ116" s="6">
        <f>Tabla2[[#This Row],[Forest Loss 2018]]/Tabla2[[#This Row],[Forest cover 2011]]</f>
        <v>1.11731843575419E-2</v>
      </c>
      <c r="BA116" s="6">
        <f>Tabla2[[#This Row],[Forest Loss 2019]]/Tabla2[[#This Row],[Forest cover 2011]]</f>
        <v>1.11731843575419E-2</v>
      </c>
      <c r="BB116" s="6">
        <f>Tabla2[[#This Row],[Forest Loss 2020]]/Tabla2[[#This Row],[Forest cover 2011]]</f>
        <v>5.5865921787709501E-2</v>
      </c>
      <c r="BC116" s="6">
        <f>Tabla2[[#This Row],[Forest Loss 2021]]/Tabla2[[#This Row],[Forest cover 2011]]</f>
        <v>0</v>
      </c>
      <c r="BD116" s="6">
        <f>Tabla2[[#This Row],[Forest Loss 2022]]/Tabla2[[#This Row],[Forest cover 2011]]</f>
        <v>0</v>
      </c>
      <c r="BE116" s="6">
        <f>Tabla2[[#This Row],[Forest Loss 2023]]/Tabla2[[#This Row],[Forest cover 2011]]</f>
        <v>0.35195530726256985</v>
      </c>
      <c r="BF116" s="6">
        <f>Tabla2[[#This Row],[Forest Loss 2024]]/Tabla2[[#This Row],[Forest cover 2011]]</f>
        <v>1.11731843575419E-2</v>
      </c>
    </row>
    <row r="117" spans="1:58" x14ac:dyDescent="0.25">
      <c r="A117" s="2">
        <v>21105</v>
      </c>
      <c r="B117" s="3" t="s">
        <v>88</v>
      </c>
      <c r="C117" t="s">
        <v>148</v>
      </c>
      <c r="D117">
        <v>263953.26</v>
      </c>
      <c r="E117" s="4">
        <f>AVERAGE(Tabla2[[#This Row],[Deforestation 2012]:[Deforestation 2014]])</f>
        <v>643.23</v>
      </c>
      <c r="F117" s="4">
        <f>AVERAGE(Tabla2[[#This Row],[Deforestation 2022]:[Deforestation 2024]])</f>
        <v>2460.27</v>
      </c>
      <c r="G117">
        <v>340.2</v>
      </c>
      <c r="H117">
        <v>757.26</v>
      </c>
      <c r="I117">
        <v>832.23</v>
      </c>
      <c r="J117">
        <v>628.02</v>
      </c>
      <c r="K117">
        <v>728.37</v>
      </c>
      <c r="L117">
        <v>448.29</v>
      </c>
      <c r="M117">
        <v>430.83</v>
      </c>
      <c r="N117">
        <v>674.91</v>
      </c>
      <c r="O117">
        <v>1060.6500000000001</v>
      </c>
      <c r="P117">
        <v>1088.6400000000001</v>
      </c>
      <c r="Q117">
        <v>222.12</v>
      </c>
      <c r="R117">
        <v>4654.17</v>
      </c>
      <c r="S117">
        <v>2504.52</v>
      </c>
      <c r="T117">
        <v>414.45</v>
      </c>
      <c r="U117">
        <v>841.59</v>
      </c>
      <c r="V117">
        <v>948.87</v>
      </c>
      <c r="W117">
        <v>666.27</v>
      </c>
      <c r="X117">
        <v>756.63</v>
      </c>
      <c r="Y117">
        <v>464.4</v>
      </c>
      <c r="Z117">
        <v>453.87</v>
      </c>
      <c r="AA117">
        <v>745.47</v>
      </c>
      <c r="AB117">
        <v>1090.3499999999999</v>
      </c>
      <c r="AC117">
        <v>1110.51</v>
      </c>
      <c r="AD117">
        <v>233.82</v>
      </c>
      <c r="AE117">
        <v>4739.04</v>
      </c>
      <c r="AF117">
        <v>2920.14</v>
      </c>
      <c r="AG117" s="5">
        <f>Tabla2[[#This Row],[Deforestation 2012]]/Tabla2[[#This Row],[Forest cover 2011]]</f>
        <v>1.2888645512466866E-3</v>
      </c>
      <c r="AH117" s="6">
        <f>Tabla2[[#This Row],[Deforestation 2013]]/Tabla2[[#This Row],[Forest cover 2011]]</f>
        <v>2.8689170196268838E-3</v>
      </c>
      <c r="AI117" s="6">
        <f>Tabla2[[#This Row],[Deforestation 2014]]/Tabla2[[#This Row],[Forest cover 2011]]</f>
        <v>3.1529445781423573E-3</v>
      </c>
      <c r="AJ117" s="6">
        <f>Tabla2[[#This Row],[Deforestation 2015]]/Tabla2[[#This Row],[Forest cover 2011]]</f>
        <v>2.3792848779363436E-3</v>
      </c>
      <c r="AK117" s="6">
        <f>Tabla2[[#This Row],[Deforestation 2016]]/Tabla2[[#This Row],[Forest cover 2011]]</f>
        <v>2.7594658236083161E-3</v>
      </c>
      <c r="AL117" s="6">
        <f>Tabla2[[#This Row],[Deforestation 2017]]/Tabla2[[#This Row],[Forest cover 2011]]</f>
        <v>1.6983688703068112E-3</v>
      </c>
      <c r="AM117" s="6">
        <f>Tabla2[[#This Row],[Deforestation 2018]]/Tabla2[[#This Row],[Forest cover 2011]]</f>
        <v>1.6322207954544679E-3</v>
      </c>
      <c r="AN117" s="6">
        <f>Tabla2[[#This Row],[Deforestation 2019]]/Tabla2[[#This Row],[Forest cover 2011]]</f>
        <v>2.556929965555265E-3</v>
      </c>
      <c r="AO117" s="6">
        <f>Tabla2[[#This Row],[Deforestation 2020]]/Tabla2[[#This Row],[Forest cover 2011]]</f>
        <v>4.018325062550847E-3</v>
      </c>
      <c r="AP117" s="6">
        <f>Tabla2[[#This Row],[Deforestation 2021]]/Tabla2[[#This Row],[Forest cover 2011]]</f>
        <v>4.1243665639893977E-3</v>
      </c>
      <c r="AQ117" s="6">
        <f>Tabla2[[#This Row],[Deforestation 2022]]/Tabla2[[#This Row],[Forest cover 2011]]</f>
        <v>8.4151262234836576E-4</v>
      </c>
      <c r="AR117" s="6">
        <f>Tabla2[[#This Row],[Deforestation 2023]]/Tabla2[[#This Row],[Forest cover 2011]]</f>
        <v>1.7632553581645477E-2</v>
      </c>
      <c r="AS117" s="6">
        <f>Tabla2[[#This Row],[Deforestation 2024]]/Tabla2[[#This Row],[Forest cover 2011]]</f>
        <v>9.4884980772732257E-3</v>
      </c>
      <c r="AT117" s="6">
        <f>Tabla2[[#This Row],[Forest Loss 2012]]/Tabla2[[#This Row],[Forest cover 2011]]</f>
        <v>1.570164354098146E-3</v>
      </c>
      <c r="AU117" s="6">
        <f>Tabla2[[#This Row],[Forest Loss 2013]]/Tabla2[[#This Row],[Forest cover 2011]]</f>
        <v>3.1884054017745416E-3</v>
      </c>
      <c r="AV117" s="6">
        <f>Tabla2[[#This Row],[Forest Loss 2014]]/Tabla2[[#This Row],[Forest cover 2011]]</f>
        <v>3.5948409957126501E-3</v>
      </c>
      <c r="AW117" s="6">
        <f>Tabla2[[#This Row],[Forest Loss 2015]]/Tabla2[[#This Row],[Forest cover 2011]]</f>
        <v>2.5241968975870952E-3</v>
      </c>
      <c r="AX117" s="6">
        <f>Tabla2[[#This Row],[Forest Loss 2016]]/Tabla2[[#This Row],[Forest cover 2011]]</f>
        <v>2.8665302334208716E-3</v>
      </c>
      <c r="AY117" s="6">
        <f>Tabla2[[#This Row],[Forest Loss 2017]]/Tabla2[[#This Row],[Forest cover 2011]]</f>
        <v>1.7594024032891275E-3</v>
      </c>
      <c r="AZ117" s="6">
        <f>Tabla2[[#This Row],[Forest Loss 2018]]/Tabla2[[#This Row],[Forest cover 2011]]</f>
        <v>1.7195089767029208E-3</v>
      </c>
      <c r="BA117" s="6">
        <f>Tabla2[[#This Row],[Forest Loss 2019]]/Tabla2[[#This Row],[Forest cover 2011]]</f>
        <v>2.8242500206286524E-3</v>
      </c>
      <c r="BB117" s="6">
        <f>Tabla2[[#This Row],[Forest Loss 2020]]/Tabla2[[#This Row],[Forest cover 2011]]</f>
        <v>4.1308449836914302E-3</v>
      </c>
      <c r="BC117" s="6">
        <f>Tabla2[[#This Row],[Forest Loss 2021]]/Tabla2[[#This Row],[Forest cover 2011]]</f>
        <v>4.2072221422838271E-3</v>
      </c>
      <c r="BD117" s="6">
        <f>Tabla2[[#This Row],[Forest Loss 2022]]/Tabla2[[#This Row],[Forest cover 2011]]</f>
        <v>8.8583865188859563E-4</v>
      </c>
      <c r="BE117" s="6">
        <f>Tabla2[[#This Row],[Forest Loss 2023]]/Tabla2[[#This Row],[Forest cover 2011]]</f>
        <v>1.7954087780541146E-2</v>
      </c>
      <c r="BF117" s="6">
        <f>Tabla2[[#This Row],[Forest Loss 2024]]/Tabla2[[#This Row],[Forest cover 2011]]</f>
        <v>1.1063095034325395E-2</v>
      </c>
    </row>
    <row r="118" spans="1:58" x14ac:dyDescent="0.25">
      <c r="A118" s="2">
        <v>90102</v>
      </c>
      <c r="B118" s="3" t="s">
        <v>384</v>
      </c>
      <c r="C118" t="s">
        <v>386</v>
      </c>
      <c r="D118">
        <v>76866.75</v>
      </c>
      <c r="E118" s="4">
        <f>AVERAGE(Tabla2[[#This Row],[Deforestation 2012]:[Deforestation 2014]])</f>
        <v>559.5</v>
      </c>
      <c r="F118" s="4">
        <f>AVERAGE(Tabla2[[#This Row],[Deforestation 2022]:[Deforestation 2024]])</f>
        <v>481.59</v>
      </c>
      <c r="G118">
        <v>591.84</v>
      </c>
      <c r="H118">
        <v>511.2</v>
      </c>
      <c r="I118">
        <v>575.46</v>
      </c>
      <c r="J118">
        <v>579.69000000000005</v>
      </c>
      <c r="K118">
        <v>432.9</v>
      </c>
      <c r="L118">
        <v>569.97</v>
      </c>
      <c r="M118">
        <v>500.85</v>
      </c>
      <c r="N118">
        <v>403.56</v>
      </c>
      <c r="O118">
        <v>529.38</v>
      </c>
      <c r="P118">
        <v>729.9</v>
      </c>
      <c r="Q118">
        <v>85.320000000000007</v>
      </c>
      <c r="R118">
        <v>626.76</v>
      </c>
      <c r="S118">
        <v>732.68999999999994</v>
      </c>
      <c r="T118">
        <v>690.39</v>
      </c>
      <c r="U118">
        <v>593.81999999999994</v>
      </c>
      <c r="V118">
        <v>662.58</v>
      </c>
      <c r="W118">
        <v>703.62</v>
      </c>
      <c r="X118">
        <v>470.97</v>
      </c>
      <c r="Y118">
        <v>582.12</v>
      </c>
      <c r="Z118">
        <v>539.64</v>
      </c>
      <c r="AA118">
        <v>426.24</v>
      </c>
      <c r="AB118">
        <v>575.73</v>
      </c>
      <c r="AC118">
        <v>759.06</v>
      </c>
      <c r="AD118">
        <v>94.23</v>
      </c>
      <c r="AE118">
        <v>705.51</v>
      </c>
      <c r="AF118">
        <v>779.76</v>
      </c>
      <c r="AG118" s="5">
        <f>Tabla2[[#This Row],[Deforestation 2012]]/Tabla2[[#This Row],[Forest cover 2011]]</f>
        <v>7.6995580013464867E-3</v>
      </c>
      <c r="AH118" s="6">
        <f>Tabla2[[#This Row],[Deforestation 2013]]/Tabla2[[#This Row],[Forest cover 2011]]</f>
        <v>6.6504698065158211E-3</v>
      </c>
      <c r="AI118" s="6">
        <f>Tabla2[[#This Row],[Deforestation 2014]]/Tabla2[[#This Row],[Forest cover 2011]]</f>
        <v>7.4864619617715077E-3</v>
      </c>
      <c r="AJ118" s="6">
        <f>Tabla2[[#This Row],[Deforestation 2015]]/Tabla2[[#This Row],[Forest cover 2011]]</f>
        <v>7.5414922577057061E-3</v>
      </c>
      <c r="AK118" s="6">
        <f>Tabla2[[#This Row],[Deforestation 2016]]/Tabla2[[#This Row],[Forest cover 2011]]</f>
        <v>5.6318239030530102E-3</v>
      </c>
      <c r="AL118" s="6">
        <f>Tabla2[[#This Row],[Deforestation 2017]]/Tabla2[[#This Row],[Forest cover 2011]]</f>
        <v>7.4150396627930808E-3</v>
      </c>
      <c r="AM118" s="6">
        <f>Tabla2[[#This Row],[Deforestation 2018]]/Tabla2[[#This Row],[Forest cover 2011]]</f>
        <v>6.5158212100810825E-3</v>
      </c>
      <c r="AN118" s="6">
        <f>Tabla2[[#This Row],[Deforestation 2019]]/Tabla2[[#This Row],[Forest cover 2011]]</f>
        <v>5.250124403594532E-3</v>
      </c>
      <c r="AO118" s="6">
        <f>Tabla2[[#This Row],[Deforestation 2020]]/Tabla2[[#This Row],[Forest cover 2011]]</f>
        <v>6.8869829932968413E-3</v>
      </c>
      <c r="AP118" s="6">
        <f>Tabla2[[#This Row],[Deforestation 2021]]/Tabla2[[#This Row],[Forest cover 2011]]</f>
        <v>9.4956531920498775E-3</v>
      </c>
      <c r="AQ118" s="6">
        <f>Tabla2[[#This Row],[Deforestation 2022]]/Tabla2[[#This Row],[Forest cover 2011]]</f>
        <v>1.1099727775663731E-3</v>
      </c>
      <c r="AR118" s="6">
        <f>Tabla2[[#This Row],[Deforestation 2023]]/Tabla2[[#This Row],[Forest cover 2011]]</f>
        <v>8.1538506571436926E-3</v>
      </c>
      <c r="AS118" s="6">
        <f>Tabla2[[#This Row],[Deforestation 2024]]/Tabla2[[#This Row],[Forest cover 2011]]</f>
        <v>9.5319497702192422E-3</v>
      </c>
      <c r="AT118" s="6">
        <f>Tabla2[[#This Row],[Forest Loss 2012]]/Tabla2[[#This Row],[Forest cover 2011]]</f>
        <v>8.981646810877264E-3</v>
      </c>
      <c r="AU118" s="6">
        <f>Tabla2[[#This Row],[Forest Loss 2013]]/Tabla2[[#This Row],[Forest cover 2011]]</f>
        <v>7.7253168632731312E-3</v>
      </c>
      <c r="AV118" s="6">
        <f>Tabla2[[#This Row],[Forest Loss 2014]]/Tabla2[[#This Row],[Forest cover 2011]]</f>
        <v>8.6198518865439229E-3</v>
      </c>
      <c r="AW118" s="6">
        <f>Tabla2[[#This Row],[Forest Loss 2015]]/Tabla2[[#This Row],[Forest cover 2011]]</f>
        <v>9.1537628428416708E-3</v>
      </c>
      <c r="AX118" s="6">
        <f>Tabla2[[#This Row],[Forest Loss 2016]]/Tabla2[[#This Row],[Forest cover 2011]]</f>
        <v>6.1270965664607909E-3</v>
      </c>
      <c r="AY118" s="6">
        <f>Tabla2[[#This Row],[Forest Loss 2017]]/Tabla2[[#This Row],[Forest cover 2011]]</f>
        <v>7.5731054064338615E-3</v>
      </c>
      <c r="AZ118" s="6">
        <f>Tabla2[[#This Row],[Forest Loss 2018]]/Tabla2[[#This Row],[Forest cover 2011]]</f>
        <v>7.0204607323712783E-3</v>
      </c>
      <c r="BA118" s="6">
        <f>Tabla2[[#This Row],[Forest Loss 2019]]/Tabla2[[#This Row],[Forest cover 2011]]</f>
        <v>5.5451804583906564E-3</v>
      </c>
      <c r="BB118" s="6">
        <f>Tabla2[[#This Row],[Forest Loss 2020]]/Tabla2[[#This Row],[Forest cover 2011]]</f>
        <v>7.4899745338524136E-3</v>
      </c>
      <c r="BC118" s="6">
        <f>Tabla2[[#This Row],[Forest Loss 2021]]/Tabla2[[#This Row],[Forest cover 2011]]</f>
        <v>9.8750109767877514E-3</v>
      </c>
      <c r="BD118" s="6">
        <f>Tabla2[[#This Row],[Forest Loss 2022]]/Tabla2[[#This Row],[Forest cover 2011]]</f>
        <v>1.225887656236279E-3</v>
      </c>
      <c r="BE118" s="6">
        <f>Tabla2[[#This Row],[Forest Loss 2023]]/Tabla2[[#This Row],[Forest cover 2011]]</f>
        <v>9.1783508474080136E-3</v>
      </c>
      <c r="BF118" s="6">
        <f>Tabla2[[#This Row],[Forest Loss 2024]]/Tabla2[[#This Row],[Forest cover 2011]]</f>
        <v>1.0144308169657232E-2</v>
      </c>
    </row>
    <row r="119" spans="1:58" x14ac:dyDescent="0.25">
      <c r="A119" s="2">
        <v>70105</v>
      </c>
      <c r="B119" s="3" t="s">
        <v>310</v>
      </c>
      <c r="C119" t="s">
        <v>315</v>
      </c>
      <c r="D119">
        <v>75341.790000000008</v>
      </c>
      <c r="E119" s="4">
        <f>AVERAGE(Tabla2[[#This Row],[Deforestation 2012]:[Deforestation 2014]])</f>
        <v>1300.1399999999999</v>
      </c>
      <c r="F119" s="4">
        <f>AVERAGE(Tabla2[[#This Row],[Deforestation 2022]:[Deforestation 2024]])</f>
        <v>1074.21</v>
      </c>
      <c r="G119">
        <v>1470.6</v>
      </c>
      <c r="H119">
        <v>1468.89</v>
      </c>
      <c r="I119">
        <v>960.93</v>
      </c>
      <c r="J119">
        <v>621.45000000000005</v>
      </c>
      <c r="K119">
        <v>912.69</v>
      </c>
      <c r="L119">
        <v>1310.94</v>
      </c>
      <c r="M119">
        <v>756.45</v>
      </c>
      <c r="N119">
        <v>574.65</v>
      </c>
      <c r="O119">
        <v>518.30999999999995</v>
      </c>
      <c r="P119">
        <v>1376.64</v>
      </c>
      <c r="Q119">
        <v>444.6</v>
      </c>
      <c r="R119">
        <v>2032.02</v>
      </c>
      <c r="S119">
        <v>746.01</v>
      </c>
      <c r="T119">
        <v>1694.79</v>
      </c>
      <c r="U119">
        <v>1557.72</v>
      </c>
      <c r="V119">
        <v>1064.25</v>
      </c>
      <c r="W119">
        <v>678.78</v>
      </c>
      <c r="X119">
        <v>952.74</v>
      </c>
      <c r="Y119">
        <v>1360.08</v>
      </c>
      <c r="Z119">
        <v>801.09</v>
      </c>
      <c r="AA119">
        <v>642.24</v>
      </c>
      <c r="AB119">
        <v>554.04</v>
      </c>
      <c r="AC119">
        <v>1920.6</v>
      </c>
      <c r="AD119">
        <v>446.49</v>
      </c>
      <c r="AE119">
        <v>2285.8200000000002</v>
      </c>
      <c r="AF119">
        <v>754.83</v>
      </c>
      <c r="AG119" s="5">
        <f>Tabla2[[#This Row],[Deforestation 2012]]/Tabla2[[#This Row],[Forest cover 2011]]</f>
        <v>1.9519047795386858E-2</v>
      </c>
      <c r="AH119" s="6">
        <f>Tabla2[[#This Row],[Deforestation 2013]]/Tabla2[[#This Row],[Forest cover 2011]]</f>
        <v>1.9496351228182923E-2</v>
      </c>
      <c r="AI119" s="6">
        <f>Tabla2[[#This Row],[Deforestation 2014]]/Tabla2[[#This Row],[Forest cover 2011]]</f>
        <v>1.2754276212444645E-2</v>
      </c>
      <c r="AJ119" s="6">
        <f>Tabla2[[#This Row],[Deforestation 2015]]/Tabla2[[#This Row],[Forest cover 2011]]</f>
        <v>8.248410344378598E-3</v>
      </c>
      <c r="AK119" s="6">
        <f>Tabla2[[#This Row],[Deforestation 2016]]/Tabla2[[#This Row],[Forest cover 2011]]</f>
        <v>1.2113994106059863E-2</v>
      </c>
      <c r="AL119" s="6">
        <f>Tabla2[[#This Row],[Deforestation 2017]]/Tabla2[[#This Row],[Forest cover 2011]]</f>
        <v>1.739990515224021E-2</v>
      </c>
      <c r="AM119" s="6">
        <f>Tabla2[[#This Row],[Deforestation 2018]]/Tabla2[[#This Row],[Forest cover 2011]]</f>
        <v>1.0040244597321089E-2</v>
      </c>
      <c r="AN119" s="6">
        <f>Tabla2[[#This Row],[Deforestation 2019]]/Tabla2[[#This Row],[Forest cover 2011]]</f>
        <v>7.6272411366918669E-3</v>
      </c>
      <c r="AO119" s="6">
        <f>Tabla2[[#This Row],[Deforestation 2020]]/Tabla2[[#This Row],[Forest cover 2011]]</f>
        <v>6.8794489751305334E-3</v>
      </c>
      <c r="AP119" s="6">
        <f>Tabla2[[#This Row],[Deforestation 2021]]/Tabla2[[#This Row],[Forest cover 2011]]</f>
        <v>1.8271931155338889E-2</v>
      </c>
      <c r="AQ119" s="6">
        <f>Tabla2[[#This Row],[Deforestation 2022]]/Tabla2[[#This Row],[Forest cover 2011]]</f>
        <v>5.9011074730239352E-3</v>
      </c>
      <c r="AR119" s="6">
        <f>Tabla2[[#This Row],[Deforestation 2023]]/Tabla2[[#This Row],[Forest cover 2011]]</f>
        <v>2.6970689175290365E-2</v>
      </c>
      <c r="AS119" s="6">
        <f>Tabla2[[#This Row],[Deforestation 2024]]/Tabla2[[#This Row],[Forest cover 2011]]</f>
        <v>9.9016760817602009E-3</v>
      </c>
      <c r="AT119" s="6">
        <f>Tabla2[[#This Row],[Forest Loss 2012]]/Tabla2[[#This Row],[Forest cover 2011]]</f>
        <v>2.2494687211440021E-2</v>
      </c>
      <c r="AU119" s="6">
        <f>Tabla2[[#This Row],[Forest Loss 2013]]/Tabla2[[#This Row],[Forest cover 2011]]</f>
        <v>2.0675378166619081E-2</v>
      </c>
      <c r="AV119" s="6">
        <f>Tabla2[[#This Row],[Forest Loss 2014]]/Tabla2[[#This Row],[Forest cover 2011]]</f>
        <v>1.4125626694029966E-2</v>
      </c>
      <c r="AW119" s="6">
        <f>Tabla2[[#This Row],[Forest Loss 2015]]/Tabla2[[#This Row],[Forest cover 2011]]</f>
        <v>9.0093426237948405E-3</v>
      </c>
      <c r="AX119" s="6">
        <f>Tabla2[[#This Row],[Forest Loss 2016]]/Tabla2[[#This Row],[Forest cover 2011]]</f>
        <v>1.2645571601099468E-2</v>
      </c>
      <c r="AY119" s="6">
        <f>Tabla2[[#This Row],[Forest Loss 2017]]/Tabla2[[#This Row],[Forest cover 2011]]</f>
        <v>1.8052132820311276E-2</v>
      </c>
      <c r="AZ119" s="6">
        <f>Tabla2[[#This Row],[Forest Loss 2018]]/Tabla2[[#This Row],[Forest cover 2011]]</f>
        <v>1.0632744456960738E-2</v>
      </c>
      <c r="BA119" s="6">
        <f>Tabla2[[#This Row],[Forest Loss 2019]]/Tabla2[[#This Row],[Forest cover 2011]]</f>
        <v>8.5243528193317403E-3</v>
      </c>
      <c r="BB119" s="6">
        <f>Tabla2[[#This Row],[Forest Loss 2020]]/Tabla2[[#This Row],[Forest cover 2011]]</f>
        <v>7.3536877740759798E-3</v>
      </c>
      <c r="BC119" s="6">
        <f>Tabla2[[#This Row],[Forest Loss 2021]]/Tabla2[[#This Row],[Forest cover 2011]]</f>
        <v>2.5491828638528495E-2</v>
      </c>
      <c r="BD119" s="6">
        <f>Tabla2[[#This Row],[Forest Loss 2022]]/Tabla2[[#This Row],[Forest cover 2011]]</f>
        <v>5.9261931525651295E-3</v>
      </c>
      <c r="BE119" s="6">
        <f>Tabla2[[#This Row],[Forest Loss 2023]]/Tabla2[[#This Row],[Forest cover 2011]]</f>
        <v>3.0339337570822248E-2</v>
      </c>
      <c r="BF119" s="6">
        <f>Tabla2[[#This Row],[Forest Loss 2024]]/Tabla2[[#This Row],[Forest cover 2011]]</f>
        <v>1.0018742586285777E-2</v>
      </c>
    </row>
    <row r="120" spans="1:58" x14ac:dyDescent="0.25">
      <c r="A120" s="2">
        <v>71101</v>
      </c>
      <c r="B120" s="3" t="s">
        <v>310</v>
      </c>
      <c r="C120" t="s">
        <v>351</v>
      </c>
      <c r="D120">
        <v>2713543.38</v>
      </c>
      <c r="E120" s="4">
        <f>AVERAGE(Tabla2[[#This Row],[Deforestation 2012]:[Deforestation 2014]])</f>
        <v>5438.31</v>
      </c>
      <c r="F120" s="4">
        <f>AVERAGE(Tabla2[[#This Row],[Deforestation 2022]:[Deforestation 2024]])</f>
        <v>25056.66</v>
      </c>
      <c r="G120">
        <v>4595.49</v>
      </c>
      <c r="H120">
        <v>5604.21</v>
      </c>
      <c r="I120">
        <v>6115.23</v>
      </c>
      <c r="J120">
        <v>8079.66</v>
      </c>
      <c r="K120">
        <v>10206.09</v>
      </c>
      <c r="L120">
        <v>18001.080000000002</v>
      </c>
      <c r="M120">
        <v>18982.8</v>
      </c>
      <c r="N120">
        <v>12270.42</v>
      </c>
      <c r="O120">
        <v>18318.599999999999</v>
      </c>
      <c r="P120">
        <v>26443.89</v>
      </c>
      <c r="Q120">
        <v>20605.41</v>
      </c>
      <c r="R120">
        <v>30469.41</v>
      </c>
      <c r="S120">
        <v>24095.16</v>
      </c>
      <c r="T120">
        <v>8116.11</v>
      </c>
      <c r="U120">
        <v>8115.3899999999994</v>
      </c>
      <c r="V120">
        <v>8620.2000000000007</v>
      </c>
      <c r="W120">
        <v>9669.7800000000007</v>
      </c>
      <c r="X120">
        <v>11693.88</v>
      </c>
      <c r="Y120">
        <v>19015.740000000002</v>
      </c>
      <c r="Z120">
        <v>19906.740000000002</v>
      </c>
      <c r="AA120">
        <v>12886.29</v>
      </c>
      <c r="AB120">
        <v>18592.11</v>
      </c>
      <c r="AC120">
        <v>29871.54</v>
      </c>
      <c r="AD120">
        <v>21125.34</v>
      </c>
      <c r="AE120">
        <v>31114.89</v>
      </c>
      <c r="AF120">
        <v>24791.67</v>
      </c>
      <c r="AG120" s="5">
        <f>Tabla2[[#This Row],[Deforestation 2012]]/Tabla2[[#This Row],[Forest cover 2011]]</f>
        <v>1.6935384316575767E-3</v>
      </c>
      <c r="AH120" s="6">
        <f>Tabla2[[#This Row],[Deforestation 2013]]/Tabla2[[#This Row],[Forest cover 2011]]</f>
        <v>2.0652737823561164E-3</v>
      </c>
      <c r="AI120" s="6">
        <f>Tabla2[[#This Row],[Deforestation 2014]]/Tabla2[[#This Row],[Forest cover 2011]]</f>
        <v>2.2535958131614611E-3</v>
      </c>
      <c r="AJ120" s="6">
        <f>Tabla2[[#This Row],[Deforestation 2015]]/Tabla2[[#This Row],[Forest cover 2011]]</f>
        <v>2.9775311718068056E-3</v>
      </c>
      <c r="AK120" s="6">
        <f>Tabla2[[#This Row],[Deforestation 2016]]/Tabla2[[#This Row],[Forest cover 2011]]</f>
        <v>3.7611670685729006E-3</v>
      </c>
      <c r="AL120" s="6">
        <f>Tabla2[[#This Row],[Deforestation 2017]]/Tabla2[[#This Row],[Forest cover 2011]]</f>
        <v>6.6337911281152996E-3</v>
      </c>
      <c r="AM120" s="6">
        <f>Tabla2[[#This Row],[Deforestation 2018]]/Tabla2[[#This Row],[Forest cover 2011]]</f>
        <v>6.9955763891270464E-3</v>
      </c>
      <c r="AN120" s="6">
        <f>Tabla2[[#This Row],[Deforestation 2019]]/Tabla2[[#This Row],[Forest cover 2011]]</f>
        <v>4.5219177590593747E-3</v>
      </c>
      <c r="AO120" s="6">
        <f>Tabla2[[#This Row],[Deforestation 2020]]/Tabla2[[#This Row],[Forest cover 2011]]</f>
        <v>6.7508041828319692E-3</v>
      </c>
      <c r="AP120" s="6">
        <f>Tabla2[[#This Row],[Deforestation 2021]]/Tabla2[[#This Row],[Forest cover 2011]]</f>
        <v>9.7451510062094536E-3</v>
      </c>
      <c r="AQ120" s="6">
        <f>Tabla2[[#This Row],[Deforestation 2022]]/Tabla2[[#This Row],[Forest cover 2011]]</f>
        <v>7.5935436123376072E-3</v>
      </c>
      <c r="AR120" s="6">
        <f>Tabla2[[#This Row],[Deforestation 2023]]/Tabla2[[#This Row],[Forest cover 2011]]</f>
        <v>1.1228643044578856E-2</v>
      </c>
      <c r="AS120" s="6">
        <f>Tabla2[[#This Row],[Deforestation 2024]]/Tabla2[[#This Row],[Forest cover 2011]]</f>
        <v>8.8795927043554389E-3</v>
      </c>
      <c r="AT120" s="6">
        <f>Tabla2[[#This Row],[Forest Loss 2012]]/Tabla2[[#This Row],[Forest cover 2011]]</f>
        <v>2.9909637928839743E-3</v>
      </c>
      <c r="AU120" s="6">
        <f>Tabla2[[#This Row],[Forest Loss 2013]]/Tabla2[[#This Row],[Forest cover 2011]]</f>
        <v>2.9906984571589934E-3</v>
      </c>
      <c r="AV120" s="6">
        <f>Tabla2[[#This Row],[Forest Loss 2014]]/Tabla2[[#This Row],[Forest cover 2011]]</f>
        <v>3.1767319673363767E-3</v>
      </c>
      <c r="AW120" s="6">
        <f>Tabla2[[#This Row],[Forest Loss 2015]]/Tabla2[[#This Row],[Forest cover 2011]]</f>
        <v>3.5635251204275942E-3</v>
      </c>
      <c r="AX120" s="6">
        <f>Tabla2[[#This Row],[Forest Loss 2016]]/Tabla2[[#This Row],[Forest cover 2011]]</f>
        <v>4.3094501772807476E-3</v>
      </c>
      <c r="AY120" s="6">
        <f>Tabla2[[#This Row],[Forest Loss 2017]]/Tabla2[[#This Row],[Forest cover 2011]]</f>
        <v>7.0077154985449331E-3</v>
      </c>
      <c r="AZ120" s="6">
        <f>Tabla2[[#This Row],[Forest Loss 2018]]/Tabla2[[#This Row],[Forest cover 2011]]</f>
        <v>7.3360684582090604E-3</v>
      </c>
      <c r="BA120" s="6">
        <f>Tabla2[[#This Row],[Forest Loss 2019]]/Tabla2[[#This Row],[Forest cover 2011]]</f>
        <v>4.7488793048150943E-3</v>
      </c>
      <c r="BB120" s="6">
        <f>Tabla2[[#This Row],[Forest Loss 2020]]/Tabla2[[#This Row],[Forest cover 2011]]</f>
        <v>6.8515985913591704E-3</v>
      </c>
      <c r="BC120" s="6">
        <f>Tabla2[[#This Row],[Forest Loss 2021]]/Tabla2[[#This Row],[Forest cover 2011]]</f>
        <v>1.1008314891947665E-2</v>
      </c>
      <c r="BD120" s="6">
        <f>Tabla2[[#This Row],[Forest Loss 2022]]/Tabla2[[#This Row],[Forest cover 2011]]</f>
        <v>7.7851491727395934E-3</v>
      </c>
      <c r="BE120" s="6">
        <f>Tabla2[[#This Row],[Forest Loss 2023]]/Tabla2[[#This Row],[Forest cover 2011]]</f>
        <v>1.1466516522024425E-2</v>
      </c>
      <c r="BF120" s="6">
        <f>Tabla2[[#This Row],[Forest Loss 2024]]/Tabla2[[#This Row],[Forest cover 2011]]</f>
        <v>9.1362718513090437E-3</v>
      </c>
    </row>
    <row r="121" spans="1:58" x14ac:dyDescent="0.25">
      <c r="A121" s="2">
        <v>10703</v>
      </c>
      <c r="B121" s="3" t="s">
        <v>58</v>
      </c>
      <c r="C121" t="s">
        <v>79</v>
      </c>
      <c r="D121">
        <v>53681.22</v>
      </c>
      <c r="E121" s="4">
        <f>AVERAGE(Tabla2[[#This Row],[Deforestation 2012]:[Deforestation 2014]])</f>
        <v>72.899999999999991</v>
      </c>
      <c r="F121" s="4">
        <f>AVERAGE(Tabla2[[#This Row],[Deforestation 2022]:[Deforestation 2024]])</f>
        <v>419.03999999999996</v>
      </c>
      <c r="G121">
        <v>35.909999999999997</v>
      </c>
      <c r="H121">
        <v>105.3</v>
      </c>
      <c r="I121">
        <v>77.490000000000009</v>
      </c>
      <c r="J121">
        <v>32.04</v>
      </c>
      <c r="K121">
        <v>96.66</v>
      </c>
      <c r="L121">
        <v>100.62</v>
      </c>
      <c r="M121">
        <v>95.67</v>
      </c>
      <c r="N121">
        <v>97.2</v>
      </c>
      <c r="O121">
        <v>136.97999999999999</v>
      </c>
      <c r="P121">
        <v>34.56</v>
      </c>
      <c r="Q121">
        <v>196.2</v>
      </c>
      <c r="R121">
        <v>648.36</v>
      </c>
      <c r="S121">
        <v>412.56</v>
      </c>
      <c r="T121">
        <v>64.53</v>
      </c>
      <c r="U121">
        <v>166.86</v>
      </c>
      <c r="V121">
        <v>259.2</v>
      </c>
      <c r="W121">
        <v>41.13</v>
      </c>
      <c r="X121">
        <v>121.59</v>
      </c>
      <c r="Y121">
        <v>114.21</v>
      </c>
      <c r="Z121">
        <v>107.55</v>
      </c>
      <c r="AA121">
        <v>116.01</v>
      </c>
      <c r="AB121">
        <v>148.13999999999999</v>
      </c>
      <c r="AC121">
        <v>85.59</v>
      </c>
      <c r="AD121">
        <v>198.18</v>
      </c>
      <c r="AE121">
        <v>669.24</v>
      </c>
      <c r="AF121">
        <v>457.65</v>
      </c>
      <c r="AG121" s="5">
        <f>Tabla2[[#This Row],[Deforestation 2012]]/Tabla2[[#This Row],[Forest cover 2011]]</f>
        <v>6.6894902910179753E-4</v>
      </c>
      <c r="AH121" s="6">
        <f>Tabla2[[#This Row],[Deforestation 2013]]/Tabla2[[#This Row],[Forest cover 2011]]</f>
        <v>1.9615798597721885E-3</v>
      </c>
      <c r="AI121" s="6">
        <f>Tabla2[[#This Row],[Deforestation 2014]]/Tabla2[[#This Row],[Forest cover 2011]]</f>
        <v>1.4435215891144056E-3</v>
      </c>
      <c r="AJ121" s="6">
        <f>Tabla2[[#This Row],[Deforestation 2015]]/Tabla2[[#This Row],[Forest cover 2011]]</f>
        <v>5.9685677784521293E-4</v>
      </c>
      <c r="AK121" s="6">
        <f>Tabla2[[#This Row],[Deforestation 2016]]/Tabla2[[#This Row],[Forest cover 2011]]</f>
        <v>1.8006297174319062E-3</v>
      </c>
      <c r="AL121" s="6">
        <f>Tabla2[[#This Row],[Deforestation 2017]]/Tabla2[[#This Row],[Forest cover 2011]]</f>
        <v>1.8743985326712023E-3</v>
      </c>
      <c r="AM121" s="6">
        <f>Tabla2[[#This Row],[Deforestation 2018]]/Tabla2[[#This Row],[Forest cover 2011]]</f>
        <v>1.7821875136220823E-3</v>
      </c>
      <c r="AN121" s="6">
        <f>Tabla2[[#This Row],[Deforestation 2019]]/Tabla2[[#This Row],[Forest cover 2011]]</f>
        <v>1.810689101328174E-3</v>
      </c>
      <c r="AO121" s="6">
        <f>Tabla2[[#This Row],[Deforestation 2020]]/Tabla2[[#This Row],[Forest cover 2011]]</f>
        <v>2.5517303816865559E-3</v>
      </c>
      <c r="AP121" s="6">
        <f>Tabla2[[#This Row],[Deforestation 2021]]/Tabla2[[#This Row],[Forest cover 2011]]</f>
        <v>6.4380056936112859E-4</v>
      </c>
      <c r="AQ121" s="6">
        <f>Tabla2[[#This Row],[Deforestation 2022]]/Tabla2[[#This Row],[Forest cover 2011]]</f>
        <v>3.654909482310573E-3</v>
      </c>
      <c r="AR121" s="6">
        <f>Tabla2[[#This Row],[Deforestation 2023]]/Tabla2[[#This Row],[Forest cover 2011]]</f>
        <v>1.2077966931452005E-2</v>
      </c>
      <c r="AS121" s="6">
        <f>Tabla2[[#This Row],[Deforestation 2024]]/Tabla2[[#This Row],[Forest cover 2011]]</f>
        <v>7.6853692967484713E-3</v>
      </c>
      <c r="AT121" s="6">
        <f>Tabla2[[#This Row],[Forest Loss 2012]]/Tabla2[[#This Row],[Forest cover 2011]]</f>
        <v>1.2020963756039821E-3</v>
      </c>
      <c r="AU121" s="6">
        <f>Tabla2[[#This Row],[Forest Loss 2013]]/Tabla2[[#This Row],[Forest cover 2011]]</f>
        <v>3.1083496239466988E-3</v>
      </c>
      <c r="AV121" s="6">
        <f>Tabla2[[#This Row],[Forest Loss 2014]]/Tabla2[[#This Row],[Forest cover 2011]]</f>
        <v>4.8285042702084641E-3</v>
      </c>
      <c r="AW121" s="6">
        <f>Tabla2[[#This Row],[Forest Loss 2015]]/Tabla2[[#This Row],[Forest cover 2011]]</f>
        <v>7.661897400990514E-4</v>
      </c>
      <c r="AX121" s="6">
        <f>Tabla2[[#This Row],[Forest Loss 2016]]/Tabla2[[#This Row],[Forest cover 2011]]</f>
        <v>2.2650379406429287E-3</v>
      </c>
      <c r="AY121" s="6">
        <f>Tabla2[[#This Row],[Forest Loss 2017]]/Tabla2[[#This Row],[Forest cover 2011]]</f>
        <v>2.1275596940606043E-3</v>
      </c>
      <c r="AZ121" s="6">
        <f>Tabla2[[#This Row],[Forest Loss 2018]]/Tabla2[[#This Row],[Forest cover 2011]]</f>
        <v>2.0034939593399702E-3</v>
      </c>
      <c r="BA121" s="6">
        <f>Tabla2[[#This Row],[Forest Loss 2019]]/Tabla2[[#This Row],[Forest cover 2011]]</f>
        <v>2.1610909737148297E-3</v>
      </c>
      <c r="BB121" s="6">
        <f>Tabla2[[#This Row],[Forest Loss 2020]]/Tabla2[[#This Row],[Forest cover 2011]]</f>
        <v>2.7596243155427538E-3</v>
      </c>
      <c r="BC121" s="6">
        <f>Tabla2[[#This Row],[Forest Loss 2021]]/Tabla2[[#This Row],[Forest cover 2011]]</f>
        <v>1.5944123475584199E-3</v>
      </c>
      <c r="BD121" s="6">
        <f>Tabla2[[#This Row],[Forest Loss 2022]]/Tabla2[[#This Row],[Forest cover 2011]]</f>
        <v>3.6917938899302216E-3</v>
      </c>
      <c r="BE121" s="6">
        <f>Tabla2[[#This Row],[Forest Loss 2023]]/Tabla2[[#This Row],[Forest cover 2011]]</f>
        <v>1.246692977544102E-2</v>
      </c>
      <c r="BF121" s="6">
        <f>Tabla2[[#This Row],[Forest Loss 2024]]/Tabla2[[#This Row],[Forest cover 2011]]</f>
        <v>8.5253278520868187E-3</v>
      </c>
    </row>
    <row r="122" spans="1:58" x14ac:dyDescent="0.25">
      <c r="A122" s="2">
        <v>10501</v>
      </c>
      <c r="B122" s="3" t="s">
        <v>58</v>
      </c>
      <c r="C122" t="s">
        <v>73</v>
      </c>
      <c r="D122">
        <v>290186.28000000003</v>
      </c>
      <c r="E122" s="4">
        <f>AVERAGE(Tabla2[[#This Row],[Deforestation 2012]:[Deforestation 2014]])</f>
        <v>1095.3300000000002</v>
      </c>
      <c r="F122" s="4">
        <f>AVERAGE(Tabla2[[#This Row],[Deforestation 2022]:[Deforestation 2024]])</f>
        <v>1729.2600000000002</v>
      </c>
      <c r="G122">
        <v>901.07999999999993</v>
      </c>
      <c r="H122">
        <v>1518.39</v>
      </c>
      <c r="I122">
        <v>866.52</v>
      </c>
      <c r="J122">
        <v>439.47</v>
      </c>
      <c r="K122">
        <v>674.82</v>
      </c>
      <c r="L122">
        <v>867.06000000000006</v>
      </c>
      <c r="M122">
        <v>1329.03</v>
      </c>
      <c r="N122">
        <v>1273.77</v>
      </c>
      <c r="O122">
        <v>1099.17</v>
      </c>
      <c r="P122">
        <v>976.41000000000008</v>
      </c>
      <c r="Q122">
        <v>277.38</v>
      </c>
      <c r="R122">
        <v>2491.56</v>
      </c>
      <c r="S122">
        <v>2418.84</v>
      </c>
      <c r="T122">
        <v>1048.5</v>
      </c>
      <c r="U122">
        <v>1645.29</v>
      </c>
      <c r="V122">
        <v>1286.9100000000001</v>
      </c>
      <c r="W122">
        <v>506.34</v>
      </c>
      <c r="X122">
        <v>759.6</v>
      </c>
      <c r="Y122">
        <v>938.79</v>
      </c>
      <c r="Z122">
        <v>1398.6</v>
      </c>
      <c r="AA122">
        <v>1420.65</v>
      </c>
      <c r="AB122">
        <v>1195.29</v>
      </c>
      <c r="AC122">
        <v>1184.04</v>
      </c>
      <c r="AD122">
        <v>334.17</v>
      </c>
      <c r="AE122">
        <v>2577.15</v>
      </c>
      <c r="AF122">
        <v>2427.39</v>
      </c>
      <c r="AG122" s="5">
        <f>Tabla2[[#This Row],[Deforestation 2012]]/Tabla2[[#This Row],[Forest cover 2011]]</f>
        <v>3.1051778188824083E-3</v>
      </c>
      <c r="AH122" s="6">
        <f>Tabla2[[#This Row],[Deforestation 2013]]/Tabla2[[#This Row],[Forest cover 2011]]</f>
        <v>5.2324665383904432E-3</v>
      </c>
      <c r="AI122" s="6">
        <f>Tabla2[[#This Row],[Deforestation 2014]]/Tabla2[[#This Row],[Forest cover 2011]]</f>
        <v>2.9860819057331033E-3</v>
      </c>
      <c r="AJ122" s="6">
        <f>Tabla2[[#This Row],[Deforestation 2015]]/Tabla2[[#This Row],[Forest cover 2011]]</f>
        <v>1.5144409997605674E-3</v>
      </c>
      <c r="AK122" s="6">
        <f>Tabla2[[#This Row],[Deforestation 2016]]/Tabla2[[#This Row],[Forest cover 2011]]</f>
        <v>2.3254717624830506E-3</v>
      </c>
      <c r="AL122" s="6">
        <f>Tabla2[[#This Row],[Deforestation 2017]]/Tabla2[[#This Row],[Forest cover 2011]]</f>
        <v>2.9879427793760615E-3</v>
      </c>
      <c r="AM122" s="6">
        <f>Tabla2[[#This Row],[Deforestation 2018]]/Tabla2[[#This Row],[Forest cover 2011]]</f>
        <v>4.5799201809265406E-3</v>
      </c>
      <c r="AN122" s="6">
        <f>Tabla2[[#This Row],[Deforestation 2019]]/Tabla2[[#This Row],[Forest cover 2011]]</f>
        <v>4.389490778130516E-3</v>
      </c>
      <c r="AO122" s="6">
        <f>Tabla2[[#This Row],[Deforestation 2020]]/Tabla2[[#This Row],[Forest cover 2011]]</f>
        <v>3.7878083002407968E-3</v>
      </c>
      <c r="AP122" s="6">
        <f>Tabla2[[#This Row],[Deforestation 2021]]/Tabla2[[#This Row],[Forest cover 2011]]</f>
        <v>3.3647696920750354E-3</v>
      </c>
      <c r="AQ122" s="6">
        <f>Tabla2[[#This Row],[Deforestation 2022]]/Tabla2[[#This Row],[Forest cover 2011]]</f>
        <v>9.5586876126603905E-4</v>
      </c>
      <c r="AR122" s="6">
        <f>Tabla2[[#This Row],[Deforestation 2023]]/Tabla2[[#This Row],[Forest cover 2011]]</f>
        <v>8.5860709886077299E-3</v>
      </c>
      <c r="AS122" s="6">
        <f>Tabla2[[#This Row],[Deforestation 2024]]/Tabla2[[#This Row],[Forest cover 2011]]</f>
        <v>8.3354733380227343E-3</v>
      </c>
      <c r="AT122" s="6">
        <f>Tabla2[[#This Row],[Forest Loss 2012]]/Tabla2[[#This Row],[Forest cover 2011]]</f>
        <v>3.6131963234099142E-3</v>
      </c>
      <c r="AU122" s="6">
        <f>Tabla2[[#This Row],[Forest Loss 2013]]/Tabla2[[#This Row],[Forest cover 2011]]</f>
        <v>5.669771844485548E-3</v>
      </c>
      <c r="AV122" s="6">
        <f>Tabla2[[#This Row],[Forest Loss 2014]]/Tabla2[[#This Row],[Forest cover 2011]]</f>
        <v>4.4347720367758255E-3</v>
      </c>
      <c r="AW122" s="6">
        <f>Tabla2[[#This Row],[Forest Loss 2015]]/Tabla2[[#This Row],[Forest cover 2011]]</f>
        <v>1.7448791858801869E-3</v>
      </c>
      <c r="AX122" s="6">
        <f>Tabla2[[#This Row],[Forest Loss 2016]]/Tabla2[[#This Row],[Forest cover 2011]]</f>
        <v>2.6176289244274399E-3</v>
      </c>
      <c r="AY122" s="6">
        <f>Tabla2[[#This Row],[Forest Loss 2017]]/Tabla2[[#This Row],[Forest cover 2011]]</f>
        <v>3.2351288282823016E-3</v>
      </c>
      <c r="AZ122" s="6">
        <f>Tabla2[[#This Row],[Forest Loss 2018]]/Tabla2[[#This Row],[Forest cover 2011]]</f>
        <v>4.8196627352609499E-3</v>
      </c>
      <c r="BA122" s="6">
        <f>Tabla2[[#This Row],[Forest Loss 2019]]/Tabla2[[#This Row],[Forest cover 2011]]</f>
        <v>4.8956484090150638E-3</v>
      </c>
      <c r="BB122" s="6">
        <f>Tabla2[[#This Row],[Forest Loss 2020]]/Tabla2[[#This Row],[Forest cover 2011]]</f>
        <v>4.1190438086873022E-3</v>
      </c>
      <c r="BC122" s="6">
        <f>Tabla2[[#This Row],[Forest Loss 2021]]/Tabla2[[#This Row],[Forest cover 2011]]</f>
        <v>4.0802756077923455E-3</v>
      </c>
      <c r="BD122" s="6">
        <f>Tabla2[[#This Row],[Forest Loss 2022]]/Tabla2[[#This Row],[Forest cover 2011]]</f>
        <v>1.1515706393837779E-3</v>
      </c>
      <c r="BE122" s="6">
        <f>Tabla2[[#This Row],[Forest Loss 2023]]/Tabla2[[#This Row],[Forest cover 2011]]</f>
        <v>8.8810194610165569E-3</v>
      </c>
      <c r="BF122" s="6">
        <f>Tabla2[[#This Row],[Forest Loss 2024]]/Tabla2[[#This Row],[Forest cover 2011]]</f>
        <v>8.3649371707029008E-3</v>
      </c>
    </row>
    <row r="123" spans="1:58" x14ac:dyDescent="0.25">
      <c r="A123" s="2">
        <v>20602</v>
      </c>
      <c r="B123" s="3" t="s">
        <v>88</v>
      </c>
      <c r="C123" t="s">
        <v>117</v>
      </c>
      <c r="D123">
        <v>267264.18</v>
      </c>
      <c r="E123" s="4">
        <f>AVERAGE(Tabla2[[#This Row],[Deforestation 2012]:[Deforestation 2014]])</f>
        <v>459.35999999999996</v>
      </c>
      <c r="F123" s="4">
        <f>AVERAGE(Tabla2[[#This Row],[Deforestation 2022]:[Deforestation 2024]])</f>
        <v>2020.08</v>
      </c>
      <c r="G123">
        <v>233.1</v>
      </c>
      <c r="H123">
        <v>491.67</v>
      </c>
      <c r="I123">
        <v>653.31000000000006</v>
      </c>
      <c r="J123">
        <v>440.55</v>
      </c>
      <c r="K123">
        <v>534.51</v>
      </c>
      <c r="L123">
        <v>376.92</v>
      </c>
      <c r="M123">
        <v>464.4</v>
      </c>
      <c r="N123">
        <v>405.54</v>
      </c>
      <c r="O123">
        <v>792.27</v>
      </c>
      <c r="P123">
        <v>529.55999999999995</v>
      </c>
      <c r="Q123">
        <v>240.21</v>
      </c>
      <c r="R123">
        <v>4695.75</v>
      </c>
      <c r="S123">
        <v>1124.28</v>
      </c>
      <c r="T123">
        <v>402.93</v>
      </c>
      <c r="U123">
        <v>574.20000000000005</v>
      </c>
      <c r="V123">
        <v>795.06</v>
      </c>
      <c r="W123">
        <v>509.85</v>
      </c>
      <c r="X123">
        <v>575.09999999999991</v>
      </c>
      <c r="Y123">
        <v>399.42</v>
      </c>
      <c r="Z123">
        <v>510.48</v>
      </c>
      <c r="AA123">
        <v>558.18000000000006</v>
      </c>
      <c r="AB123">
        <v>865.71</v>
      </c>
      <c r="AC123">
        <v>642.41999999999996</v>
      </c>
      <c r="AD123">
        <v>255.69</v>
      </c>
      <c r="AE123">
        <v>4809.0600000000004</v>
      </c>
      <c r="AF123">
        <v>2025.63</v>
      </c>
      <c r="AG123" s="5">
        <f>Tabla2[[#This Row],[Deforestation 2012]]/Tabla2[[#This Row],[Forest cover 2011]]</f>
        <v>8.7217074880741594E-4</v>
      </c>
      <c r="AH123" s="6">
        <f>Tabla2[[#This Row],[Deforestation 2013]]/Tabla2[[#This Row],[Forest cover 2011]]</f>
        <v>1.8396404636042136E-3</v>
      </c>
      <c r="AI123" s="6">
        <f>Tabla2[[#This Row],[Deforestation 2014]]/Tabla2[[#This Row],[Forest cover 2011]]</f>
        <v>2.4444353149007851E-3</v>
      </c>
      <c r="AJ123" s="6">
        <f>Tabla2[[#This Row],[Deforestation 2015]]/Tabla2[[#This Row],[Forest cover 2011]]</f>
        <v>1.6483690406997303E-3</v>
      </c>
      <c r="AK123" s="6">
        <f>Tabla2[[#This Row],[Deforestation 2016]]/Tabla2[[#This Row],[Forest cover 2011]]</f>
        <v>1.9999313039255765E-3</v>
      </c>
      <c r="AL123" s="6">
        <f>Tabla2[[#This Row],[Deforestation 2017]]/Tabla2[[#This Row],[Forest cover 2011]]</f>
        <v>1.410289998457706E-3</v>
      </c>
      <c r="AM123" s="6">
        <f>Tabla2[[#This Row],[Deforestation 2018]]/Tabla2[[#This Row],[Forest cover 2011]]</f>
        <v>1.7376065883576318E-3</v>
      </c>
      <c r="AN123" s="6">
        <f>Tabla2[[#This Row],[Deforestation 2019]]/Tabla2[[#This Row],[Forest cover 2011]]</f>
        <v>1.5173750556471879E-3</v>
      </c>
      <c r="AO123" s="6">
        <f>Tabla2[[#This Row],[Deforestation 2020]]/Tabla2[[#This Row],[Forest cover 2011]]</f>
        <v>2.9643703095566343E-3</v>
      </c>
      <c r="AP123" s="6">
        <f>Tabla2[[#This Row],[Deforestation 2021]]/Tabla2[[#This Row],[Forest cover 2011]]</f>
        <v>1.981410303468276E-3</v>
      </c>
      <c r="AQ123" s="6">
        <f>Tabla2[[#This Row],[Deforestation 2022]]/Tabla2[[#This Row],[Forest cover 2011]]</f>
        <v>8.9877364037335651E-4</v>
      </c>
      <c r="AR123" s="6">
        <f>Tabla2[[#This Row],[Deforestation 2023]]/Tabla2[[#This Row],[Forest cover 2011]]</f>
        <v>1.7569694524720823E-2</v>
      </c>
      <c r="AS123" s="6">
        <f>Tabla2[[#This Row],[Deforestation 2024]]/Tabla2[[#This Row],[Forest cover 2011]]</f>
        <v>4.206624322047197E-3</v>
      </c>
      <c r="AT123" s="6">
        <f>Tabla2[[#This Row],[Forest Loss 2012]]/Tabla2[[#This Row],[Forest cover 2011]]</f>
        <v>1.5076094372242477E-3</v>
      </c>
      <c r="AU123" s="6">
        <f>Tabla2[[#This Row],[Forest Loss 2013]]/Tabla2[[#This Row],[Forest cover 2011]]</f>
        <v>2.1484360530468396E-3</v>
      </c>
      <c r="AV123" s="6">
        <f>Tabla2[[#This Row],[Forest Loss 2014]]/Tabla2[[#This Row],[Forest cover 2011]]</f>
        <v>2.9748094189052943E-3</v>
      </c>
      <c r="AW123" s="6">
        <f>Tabla2[[#This Row],[Forest Loss 2015]]/Tabla2[[#This Row],[Forest cover 2011]]</f>
        <v>1.907663047101935E-3</v>
      </c>
      <c r="AX123" s="6">
        <f>Tabla2[[#This Row],[Forest Loss 2016]]/Tabla2[[#This Row],[Forest cover 2011]]</f>
        <v>2.1518035076754389E-3</v>
      </c>
      <c r="AY123" s="6">
        <f>Tabla2[[#This Row],[Forest Loss 2017]]/Tabla2[[#This Row],[Forest cover 2011]]</f>
        <v>1.4944763641727074E-3</v>
      </c>
      <c r="AZ123" s="6">
        <f>Tabla2[[#This Row],[Forest Loss 2018]]/Tabla2[[#This Row],[Forest cover 2011]]</f>
        <v>1.9100202653419551E-3</v>
      </c>
      <c r="BA123" s="6">
        <f>Tabla2[[#This Row],[Forest Loss 2019]]/Tabla2[[#This Row],[Forest cover 2011]]</f>
        <v>2.0884953606577585E-3</v>
      </c>
      <c r="BB123" s="6">
        <f>Tabla2[[#This Row],[Forest Loss 2020]]/Tabla2[[#This Row],[Forest cover 2011]]</f>
        <v>3.2391546072503994E-3</v>
      </c>
      <c r="BC123" s="6">
        <f>Tabla2[[#This Row],[Forest Loss 2021]]/Tabla2[[#This Row],[Forest cover 2011]]</f>
        <v>2.403689113894724E-3</v>
      </c>
      <c r="BD123" s="6">
        <f>Tabla2[[#This Row],[Forest Loss 2022]]/Tabla2[[#This Row],[Forest cover 2011]]</f>
        <v>9.5669385998527754E-4</v>
      </c>
      <c r="BE123" s="6">
        <f>Tabla2[[#This Row],[Forest Loss 2023]]/Tabla2[[#This Row],[Forest cover 2011]]</f>
        <v>1.799365706246157E-2</v>
      </c>
      <c r="BF123" s="6">
        <f>Tabla2[[#This Row],[Forest Loss 2024]]/Tabla2[[#This Row],[Forest cover 2011]]</f>
        <v>7.5791301325901592E-3</v>
      </c>
    </row>
    <row r="124" spans="1:58" x14ac:dyDescent="0.25">
      <c r="A124" s="2">
        <v>50402</v>
      </c>
      <c r="B124" s="3" t="s">
        <v>258</v>
      </c>
      <c r="C124" t="s">
        <v>270</v>
      </c>
      <c r="D124">
        <v>7140.42</v>
      </c>
      <c r="E124" s="4">
        <f>AVERAGE(Tabla2[[#This Row],[Deforestation 2012]:[Deforestation 2014]])</f>
        <v>0.06</v>
      </c>
      <c r="F124" s="4">
        <f>AVERAGE(Tabla2[[#This Row],[Deforestation 2022]:[Deforestation 2024]])</f>
        <v>3.15</v>
      </c>
      <c r="G124">
        <v>0</v>
      </c>
      <c r="H124">
        <v>0.09</v>
      </c>
      <c r="I124">
        <v>0.09</v>
      </c>
      <c r="J124">
        <v>0.09</v>
      </c>
      <c r="K124">
        <v>0.09</v>
      </c>
      <c r="L124">
        <v>0.09</v>
      </c>
      <c r="M124">
        <v>0</v>
      </c>
      <c r="N124">
        <v>0.09</v>
      </c>
      <c r="O124">
        <v>0</v>
      </c>
      <c r="P124">
        <v>0</v>
      </c>
      <c r="Q124">
        <v>2.16</v>
      </c>
      <c r="R124">
        <v>2.25</v>
      </c>
      <c r="S124">
        <v>5.04</v>
      </c>
      <c r="T124">
        <v>17.100000000000001</v>
      </c>
      <c r="U124">
        <v>9.5399999999999991</v>
      </c>
      <c r="V124">
        <v>116.46</v>
      </c>
      <c r="W124">
        <v>4.41</v>
      </c>
      <c r="X124">
        <v>3.15</v>
      </c>
      <c r="Y124">
        <v>2.97</v>
      </c>
      <c r="Z124">
        <v>4.5</v>
      </c>
      <c r="AA124">
        <v>13.86</v>
      </c>
      <c r="AB124">
        <v>54.36</v>
      </c>
      <c r="AC124">
        <v>0.63</v>
      </c>
      <c r="AD124">
        <v>3.87</v>
      </c>
      <c r="AE124">
        <v>67.59</v>
      </c>
      <c r="AF124">
        <v>53.55</v>
      </c>
      <c r="AG124" s="5">
        <f>Tabla2[[#This Row],[Deforestation 2012]]/Tabla2[[#This Row],[Forest cover 2011]]</f>
        <v>0</v>
      </c>
      <c r="AH124" s="6">
        <f>Tabla2[[#This Row],[Deforestation 2013]]/Tabla2[[#This Row],[Forest cover 2011]]</f>
        <v>1.2604300587360407E-5</v>
      </c>
      <c r="AI124" s="6">
        <f>Tabla2[[#This Row],[Deforestation 2014]]/Tabla2[[#This Row],[Forest cover 2011]]</f>
        <v>1.2604300587360407E-5</v>
      </c>
      <c r="AJ124" s="6">
        <f>Tabla2[[#This Row],[Deforestation 2015]]/Tabla2[[#This Row],[Forest cover 2011]]</f>
        <v>1.2604300587360407E-5</v>
      </c>
      <c r="AK124" s="6">
        <f>Tabla2[[#This Row],[Deforestation 2016]]/Tabla2[[#This Row],[Forest cover 2011]]</f>
        <v>1.2604300587360407E-5</v>
      </c>
      <c r="AL124" s="6">
        <f>Tabla2[[#This Row],[Deforestation 2017]]/Tabla2[[#This Row],[Forest cover 2011]]</f>
        <v>1.2604300587360407E-5</v>
      </c>
      <c r="AM124" s="6">
        <f>Tabla2[[#This Row],[Deforestation 2018]]/Tabla2[[#This Row],[Forest cover 2011]]</f>
        <v>0</v>
      </c>
      <c r="AN124" s="6">
        <f>Tabla2[[#This Row],[Deforestation 2019]]/Tabla2[[#This Row],[Forest cover 2011]]</f>
        <v>1.2604300587360407E-5</v>
      </c>
      <c r="AO124" s="6">
        <f>Tabla2[[#This Row],[Deforestation 2020]]/Tabla2[[#This Row],[Forest cover 2011]]</f>
        <v>0</v>
      </c>
      <c r="AP124" s="6">
        <f>Tabla2[[#This Row],[Deforestation 2021]]/Tabla2[[#This Row],[Forest cover 2011]]</f>
        <v>0</v>
      </c>
      <c r="AQ124" s="6">
        <f>Tabla2[[#This Row],[Deforestation 2022]]/Tabla2[[#This Row],[Forest cover 2011]]</f>
        <v>3.0250321409664978E-4</v>
      </c>
      <c r="AR124" s="6">
        <f>Tabla2[[#This Row],[Deforestation 2023]]/Tabla2[[#This Row],[Forest cover 2011]]</f>
        <v>3.1510751468401016E-4</v>
      </c>
      <c r="AS124" s="6">
        <f>Tabla2[[#This Row],[Deforestation 2024]]/Tabla2[[#This Row],[Forest cover 2011]]</f>
        <v>7.0584083289218285E-4</v>
      </c>
      <c r="AT124" s="6">
        <f>Tabla2[[#This Row],[Forest Loss 2012]]/Tabla2[[#This Row],[Forest cover 2011]]</f>
        <v>2.3948171115984775E-3</v>
      </c>
      <c r="AU124" s="6">
        <f>Tabla2[[#This Row],[Forest Loss 2013]]/Tabla2[[#This Row],[Forest cover 2011]]</f>
        <v>1.336055862260203E-3</v>
      </c>
      <c r="AV124" s="6">
        <f>Tabla2[[#This Row],[Forest Loss 2014]]/Tabla2[[#This Row],[Forest cover 2011]]</f>
        <v>1.6309964960044367E-2</v>
      </c>
      <c r="AW124" s="6">
        <f>Tabla2[[#This Row],[Forest Loss 2015]]/Tabla2[[#This Row],[Forest cover 2011]]</f>
        <v>6.1761072878065994E-4</v>
      </c>
      <c r="AX124" s="6">
        <f>Tabla2[[#This Row],[Forest Loss 2016]]/Tabla2[[#This Row],[Forest cover 2011]]</f>
        <v>4.4115052055761423E-4</v>
      </c>
      <c r="AY124" s="6">
        <f>Tabla2[[#This Row],[Forest Loss 2017]]/Tabla2[[#This Row],[Forest cover 2011]]</f>
        <v>4.1594191938289346E-4</v>
      </c>
      <c r="AZ124" s="6">
        <f>Tabla2[[#This Row],[Forest Loss 2018]]/Tabla2[[#This Row],[Forest cover 2011]]</f>
        <v>6.3021502936802033E-4</v>
      </c>
      <c r="BA124" s="6">
        <f>Tabla2[[#This Row],[Forest Loss 2019]]/Tabla2[[#This Row],[Forest cover 2011]]</f>
        <v>1.9410622904535027E-3</v>
      </c>
      <c r="BB124" s="6">
        <f>Tabla2[[#This Row],[Forest Loss 2020]]/Tabla2[[#This Row],[Forest cover 2011]]</f>
        <v>7.6129975547656855E-3</v>
      </c>
      <c r="BC124" s="6">
        <f>Tabla2[[#This Row],[Forest Loss 2021]]/Tabla2[[#This Row],[Forest cover 2011]]</f>
        <v>8.8230104111522857E-5</v>
      </c>
      <c r="BD124" s="6">
        <f>Tabla2[[#This Row],[Forest Loss 2022]]/Tabla2[[#This Row],[Forest cover 2011]]</f>
        <v>5.4198492525649752E-4</v>
      </c>
      <c r="BE124" s="6">
        <f>Tabla2[[#This Row],[Forest Loss 2023]]/Tabla2[[#This Row],[Forest cover 2011]]</f>
        <v>9.4658297411076668E-3</v>
      </c>
      <c r="BF124" s="6">
        <f>Tabla2[[#This Row],[Forest Loss 2024]]/Tabla2[[#This Row],[Forest cover 2011]]</f>
        <v>7.4995588494794416E-3</v>
      </c>
    </row>
    <row r="125" spans="1:58" x14ac:dyDescent="0.25">
      <c r="A125" s="2">
        <v>60501</v>
      </c>
      <c r="B125" s="3" t="s">
        <v>300</v>
      </c>
      <c r="C125" t="s">
        <v>308</v>
      </c>
      <c r="D125">
        <v>58561.11</v>
      </c>
      <c r="E125" s="4">
        <f>AVERAGE(Tabla2[[#This Row],[Deforestation 2012]:[Deforestation 2014]])</f>
        <v>42.9</v>
      </c>
      <c r="F125" s="4">
        <f>AVERAGE(Tabla2[[#This Row],[Deforestation 2022]:[Deforestation 2024]])</f>
        <v>200.01</v>
      </c>
      <c r="G125">
        <v>15.48</v>
      </c>
      <c r="H125">
        <v>41.31</v>
      </c>
      <c r="I125">
        <v>71.91</v>
      </c>
      <c r="J125">
        <v>22.68</v>
      </c>
      <c r="K125">
        <v>30.33</v>
      </c>
      <c r="L125">
        <v>48.78</v>
      </c>
      <c r="M125">
        <v>62.73</v>
      </c>
      <c r="N125">
        <v>53.01</v>
      </c>
      <c r="O125">
        <v>42.93</v>
      </c>
      <c r="P125">
        <v>41.4</v>
      </c>
      <c r="Q125">
        <v>8.1</v>
      </c>
      <c r="R125">
        <v>200.97</v>
      </c>
      <c r="S125">
        <v>390.96</v>
      </c>
      <c r="T125">
        <v>94.05</v>
      </c>
      <c r="U125">
        <v>131.58000000000001</v>
      </c>
      <c r="V125">
        <v>450.81</v>
      </c>
      <c r="W125">
        <v>45.27</v>
      </c>
      <c r="X125">
        <v>115.2</v>
      </c>
      <c r="Y125">
        <v>93.42</v>
      </c>
      <c r="Z125">
        <v>131.58000000000001</v>
      </c>
      <c r="AA125">
        <v>159.21</v>
      </c>
      <c r="AB125">
        <v>119.97</v>
      </c>
      <c r="AC125">
        <v>204.48</v>
      </c>
      <c r="AD125">
        <v>15.75</v>
      </c>
      <c r="AE125">
        <v>224.55</v>
      </c>
      <c r="AF125">
        <v>420.75</v>
      </c>
      <c r="AG125" s="5">
        <f>Tabla2[[#This Row],[Deforestation 2012]]/Tabla2[[#This Row],[Forest cover 2011]]</f>
        <v>2.6433925176623188E-4</v>
      </c>
      <c r="AH125" s="6">
        <f>Tabla2[[#This Row],[Deforestation 2013]]/Tabla2[[#This Row],[Forest cover 2011]]</f>
        <v>7.0541695674825836E-4</v>
      </c>
      <c r="AI125" s="6">
        <f>Tabla2[[#This Row],[Deforestation 2014]]/Tabla2[[#This Row],[Forest cover 2011]]</f>
        <v>1.2279480358210423E-3</v>
      </c>
      <c r="AJ125" s="6">
        <f>Tabla2[[#This Row],[Deforestation 2015]]/Tabla2[[#This Row],[Forest cover 2011]]</f>
        <v>3.872877409598281E-4</v>
      </c>
      <c r="AK125" s="6">
        <f>Tabla2[[#This Row],[Deforestation 2016]]/Tabla2[[#This Row],[Forest cover 2011]]</f>
        <v>5.1792051072802406E-4</v>
      </c>
      <c r="AL125" s="6">
        <f>Tabla2[[#This Row],[Deforestation 2017]]/Tabla2[[#This Row],[Forest cover 2011]]</f>
        <v>8.3297601428661446E-4</v>
      </c>
      <c r="AM125" s="6">
        <f>Tabla2[[#This Row],[Deforestation 2018]]/Tabla2[[#This Row],[Forest cover 2011]]</f>
        <v>1.0711887120992071E-3</v>
      </c>
      <c r="AN125" s="6">
        <f>Tabla2[[#This Row],[Deforestation 2019]]/Tabla2[[#This Row],[Forest cover 2011]]</f>
        <v>9.0520825168785221E-4</v>
      </c>
      <c r="AO125" s="6">
        <f>Tabla2[[#This Row],[Deforestation 2020]]/Tabla2[[#This Row],[Forest cover 2011]]</f>
        <v>7.3308036681681748E-4</v>
      </c>
      <c r="AP125" s="6">
        <f>Tabla2[[#This Row],[Deforestation 2021]]/Tabla2[[#This Row],[Forest cover 2011]]</f>
        <v>7.0695381286317832E-4</v>
      </c>
      <c r="AQ125" s="6">
        <f>Tabla2[[#This Row],[Deforestation 2022]]/Tabla2[[#This Row],[Forest cover 2011]]</f>
        <v>1.3831705034279574E-4</v>
      </c>
      <c r="AR125" s="6">
        <f>Tabla2[[#This Row],[Deforestation 2023]]/Tabla2[[#This Row],[Forest cover 2011]]</f>
        <v>3.4317997046162548E-3</v>
      </c>
      <c r="AS125" s="6">
        <f>Tabla2[[#This Row],[Deforestation 2024]]/Tabla2[[#This Row],[Forest cover 2011]]</f>
        <v>6.6761029632122744E-3</v>
      </c>
      <c r="AT125" s="6">
        <f>Tabla2[[#This Row],[Forest Loss 2012]]/Tabla2[[#This Row],[Forest cover 2011]]</f>
        <v>1.6060146400913506E-3</v>
      </c>
      <c r="AU125" s="6">
        <f>Tabla2[[#This Row],[Forest Loss 2013]]/Tabla2[[#This Row],[Forest cover 2011]]</f>
        <v>2.2468836400129713E-3</v>
      </c>
      <c r="AV125" s="6">
        <f>Tabla2[[#This Row],[Forest Loss 2014]]/Tabla2[[#This Row],[Forest cover 2011]]</f>
        <v>7.6981122796340434E-3</v>
      </c>
      <c r="AW125" s="6">
        <f>Tabla2[[#This Row],[Forest Loss 2015]]/Tabla2[[#This Row],[Forest cover 2011]]</f>
        <v>7.7303862580473635E-4</v>
      </c>
      <c r="AX125" s="6">
        <f>Tabla2[[#This Row],[Forest Loss 2016]]/Tabla2[[#This Row],[Forest cover 2011]]</f>
        <v>1.9671758270975396E-3</v>
      </c>
      <c r="AY125" s="6">
        <f>Tabla2[[#This Row],[Forest Loss 2017]]/Tabla2[[#This Row],[Forest cover 2011]]</f>
        <v>1.5952566472869111E-3</v>
      </c>
      <c r="AZ125" s="6">
        <f>Tabla2[[#This Row],[Forest Loss 2018]]/Tabla2[[#This Row],[Forest cover 2011]]</f>
        <v>2.2468836400129713E-3</v>
      </c>
      <c r="BA125" s="6">
        <f>Tabla2[[#This Row],[Forest Loss 2019]]/Tabla2[[#This Row],[Forest cover 2011]]</f>
        <v>2.7186984672933965E-3</v>
      </c>
      <c r="BB125" s="6">
        <f>Tabla2[[#This Row],[Forest Loss 2020]]/Tabla2[[#This Row],[Forest cover 2011]]</f>
        <v>2.0486292011882971E-3</v>
      </c>
      <c r="BC125" s="6">
        <f>Tabla2[[#This Row],[Forest Loss 2021]]/Tabla2[[#This Row],[Forest cover 2011]]</f>
        <v>3.4917370930981325E-3</v>
      </c>
      <c r="BD125" s="6">
        <f>Tabla2[[#This Row],[Forest Loss 2022]]/Tabla2[[#This Row],[Forest cover 2011]]</f>
        <v>2.6894982011099175E-4</v>
      </c>
      <c r="BE125" s="6">
        <f>Tabla2[[#This Row],[Forest Loss 2023]]/Tabla2[[#This Row],[Forest cover 2011]]</f>
        <v>3.8344560067252826E-3</v>
      </c>
      <c r="BF125" s="6">
        <f>Tabla2[[#This Row],[Forest Loss 2024]]/Tabla2[[#This Row],[Forest cover 2011]]</f>
        <v>7.1848023372507791E-3</v>
      </c>
    </row>
    <row r="126" spans="1:58" x14ac:dyDescent="0.25">
      <c r="A126" s="2">
        <v>71502</v>
      </c>
      <c r="B126" s="3" t="s">
        <v>310</v>
      </c>
      <c r="C126" t="s">
        <v>364</v>
      </c>
      <c r="D126">
        <v>1533241.71</v>
      </c>
      <c r="E126" s="4">
        <f>AVERAGE(Tabla2[[#This Row],[Deforestation 2012]:[Deforestation 2014]])</f>
        <v>337.05</v>
      </c>
      <c r="F126" s="4">
        <f>AVERAGE(Tabla2[[#This Row],[Deforestation 2022]:[Deforestation 2024]])</f>
        <v>2623.44</v>
      </c>
      <c r="G126">
        <v>243.54</v>
      </c>
      <c r="H126">
        <v>270.99</v>
      </c>
      <c r="I126">
        <v>496.62</v>
      </c>
      <c r="J126">
        <v>293.49</v>
      </c>
      <c r="K126">
        <v>654.92999999999995</v>
      </c>
      <c r="L126">
        <v>497.34</v>
      </c>
      <c r="M126">
        <v>461.25</v>
      </c>
      <c r="N126">
        <v>626.57999999999993</v>
      </c>
      <c r="O126">
        <v>524.61</v>
      </c>
      <c r="P126">
        <v>1431.27</v>
      </c>
      <c r="Q126">
        <v>839.97</v>
      </c>
      <c r="R126">
        <v>3545.19</v>
      </c>
      <c r="S126">
        <v>3485.16</v>
      </c>
      <c r="T126">
        <v>5737.68</v>
      </c>
      <c r="U126">
        <v>4284.8100000000004</v>
      </c>
      <c r="V126">
        <v>3578.22</v>
      </c>
      <c r="W126">
        <v>1719</v>
      </c>
      <c r="X126">
        <v>2903.31</v>
      </c>
      <c r="Y126">
        <v>2596.6799999999998</v>
      </c>
      <c r="Z126">
        <v>1704.69</v>
      </c>
      <c r="AA126">
        <v>2219.58</v>
      </c>
      <c r="AB126">
        <v>2632.32</v>
      </c>
      <c r="AC126">
        <v>1584.81</v>
      </c>
      <c r="AD126">
        <v>1343.43</v>
      </c>
      <c r="AE126">
        <v>4910.76</v>
      </c>
      <c r="AF126">
        <v>10967.31</v>
      </c>
      <c r="AG126" s="5">
        <f>Tabla2[[#This Row],[Deforestation 2012]]/Tabla2[[#This Row],[Forest cover 2011]]</f>
        <v>1.5883992615880506E-4</v>
      </c>
      <c r="AH126" s="6">
        <f>Tabla2[[#This Row],[Deforestation 2013]]/Tabla2[[#This Row],[Forest cover 2011]]</f>
        <v>1.7674316986850038E-4</v>
      </c>
      <c r="AI126" s="6">
        <f>Tabla2[[#This Row],[Deforestation 2014]]/Tabla2[[#This Row],[Forest cover 2011]]</f>
        <v>3.2390196324622554E-4</v>
      </c>
      <c r="AJ126" s="6">
        <f>Tabla2[[#This Row],[Deforestation 2015]]/Tabla2[[#This Row],[Forest cover 2011]]</f>
        <v>1.9141795979448015E-4</v>
      </c>
      <c r="AK126" s="6">
        <f>Tabla2[[#This Row],[Deforestation 2016]]/Tabla2[[#This Row],[Forest cover 2011]]</f>
        <v>4.2715378516541922E-4</v>
      </c>
      <c r="AL126" s="6">
        <f>Tabla2[[#This Row],[Deforestation 2017]]/Tabla2[[#This Row],[Forest cover 2011]]</f>
        <v>3.2437155652385689E-4</v>
      </c>
      <c r="AM126" s="6">
        <f>Tabla2[[#This Row],[Deforestation 2018]]/Tabla2[[#This Row],[Forest cover 2011]]</f>
        <v>3.0083319348258534E-4</v>
      </c>
      <c r="AN126" s="6">
        <f>Tabla2[[#This Row],[Deforestation 2019]]/Tabla2[[#This Row],[Forest cover 2011]]</f>
        <v>4.0866354985868465E-4</v>
      </c>
      <c r="AO126" s="6">
        <f>Tabla2[[#This Row],[Deforestation 2020]]/Tabla2[[#This Row],[Forest cover 2011]]</f>
        <v>3.4215740191414438E-4</v>
      </c>
      <c r="AP126" s="6">
        <f>Tabla2[[#This Row],[Deforestation 2021]]/Tabla2[[#This Row],[Forest cover 2011]]</f>
        <v>9.334927367714253E-4</v>
      </c>
      <c r="AQ126" s="6">
        <f>Tabla2[[#This Row],[Deforestation 2022]]/Tabla2[[#This Row],[Forest cover 2011]]</f>
        <v>5.4783925751667687E-4</v>
      </c>
      <c r="AR126" s="6">
        <f>Tabla2[[#This Row],[Deforestation 2023]]/Tabla2[[#This Row],[Forest cover 2011]]</f>
        <v>2.3122185998970769E-3</v>
      </c>
      <c r="AS126" s="6">
        <f>Tabla2[[#This Row],[Deforestation 2024]]/Tabla2[[#This Row],[Forest cover 2011]]</f>
        <v>2.2730662603745629E-3</v>
      </c>
      <c r="AT126" s="6">
        <f>Tabla2[[#This Row],[Forest Loss 2012]]/Tabla2[[#This Row],[Forest cover 2011]]</f>
        <v>3.7421888294442503E-3</v>
      </c>
      <c r="AU126" s="6">
        <f>Tabla2[[#This Row],[Forest Loss 2013]]/Tabla2[[#This Row],[Forest cover 2011]]</f>
        <v>2.7946082943438844E-3</v>
      </c>
      <c r="AV126" s="6">
        <f>Tabla2[[#This Row],[Forest Loss 2014]]/Tabla2[[#This Row],[Forest cover 2011]]</f>
        <v>2.3337611915084152E-3</v>
      </c>
      <c r="AW126" s="6">
        <f>Tabla2[[#This Row],[Forest Loss 2015]]/Tabla2[[#This Row],[Forest cover 2011]]</f>
        <v>1.1211539503448546E-3</v>
      </c>
      <c r="AX126" s="6">
        <f>Tabla2[[#This Row],[Forest Loss 2016]]/Tabla2[[#This Row],[Forest cover 2011]]</f>
        <v>1.8935761928887259E-3</v>
      </c>
      <c r="AY126" s="6">
        <f>Tabla2[[#This Row],[Forest Loss 2017]]/Tabla2[[#This Row],[Forest cover 2011]]</f>
        <v>1.6935881557774736E-3</v>
      </c>
      <c r="AZ126" s="6">
        <f>Tabla2[[#This Row],[Forest Loss 2018]]/Tabla2[[#This Row],[Forest cover 2011]]</f>
        <v>1.1118207839519315E-3</v>
      </c>
      <c r="BA126" s="6">
        <f>Tabla2[[#This Row],[Forest Loss 2019]]/Tabla2[[#This Row],[Forest cover 2011]]</f>
        <v>1.4476386766180526E-3</v>
      </c>
      <c r="BB126" s="6">
        <f>Tabla2[[#This Row],[Forest Loss 2020]]/Tabla2[[#This Row],[Forest cover 2011]]</f>
        <v>1.7168330230202258E-3</v>
      </c>
      <c r="BC126" s="6">
        <f>Tabla2[[#This Row],[Forest Loss 2021]]/Tabla2[[#This Row],[Forest cover 2011]]</f>
        <v>1.0336335032263113E-3</v>
      </c>
      <c r="BD126" s="6">
        <f>Tabla2[[#This Row],[Forest Loss 2022]]/Tabla2[[#This Row],[Forest cover 2011]]</f>
        <v>8.7620235690040037E-4</v>
      </c>
      <c r="BE126" s="6">
        <f>Tabla2[[#This Row],[Forest Loss 2023]]/Tabla2[[#This Row],[Forest cover 2011]]</f>
        <v>3.2028609500846417E-3</v>
      </c>
      <c r="BF126" s="6">
        <f>Tabla2[[#This Row],[Forest Loss 2024]]/Tabla2[[#This Row],[Forest cover 2011]]</f>
        <v>7.1530209023598764E-3</v>
      </c>
    </row>
    <row r="127" spans="1:58" x14ac:dyDescent="0.25">
      <c r="A127" s="2">
        <v>70903</v>
      </c>
      <c r="B127" s="3" t="s">
        <v>310</v>
      </c>
      <c r="C127" t="s">
        <v>345</v>
      </c>
      <c r="D127">
        <v>64372.41</v>
      </c>
      <c r="E127" s="4">
        <f>AVERAGE(Tabla2[[#This Row],[Deforestation 2012]:[Deforestation 2014]])</f>
        <v>225.24</v>
      </c>
      <c r="F127" s="4">
        <f>AVERAGE(Tabla2[[#This Row],[Deforestation 2022]:[Deforestation 2024]])</f>
        <v>381.51</v>
      </c>
      <c r="G127">
        <v>298.89</v>
      </c>
      <c r="H127">
        <v>153.36000000000001</v>
      </c>
      <c r="I127">
        <v>223.47</v>
      </c>
      <c r="J127">
        <v>203.4</v>
      </c>
      <c r="K127">
        <v>323.10000000000002</v>
      </c>
      <c r="L127">
        <v>365.58</v>
      </c>
      <c r="M127">
        <v>347.58</v>
      </c>
      <c r="N127">
        <v>212.94</v>
      </c>
      <c r="O127">
        <v>347.49</v>
      </c>
      <c r="P127">
        <v>286.83</v>
      </c>
      <c r="Q127">
        <v>229.32</v>
      </c>
      <c r="R127">
        <v>461.79</v>
      </c>
      <c r="S127">
        <v>453.42</v>
      </c>
      <c r="T127">
        <v>361.89</v>
      </c>
      <c r="U127">
        <v>200.43</v>
      </c>
      <c r="V127">
        <v>294.75</v>
      </c>
      <c r="W127">
        <v>259.64999999999998</v>
      </c>
      <c r="X127">
        <v>402.12</v>
      </c>
      <c r="Y127">
        <v>437.22</v>
      </c>
      <c r="Z127">
        <v>384.03</v>
      </c>
      <c r="AA127">
        <v>276.93</v>
      </c>
      <c r="AB127">
        <v>393.39</v>
      </c>
      <c r="AC127">
        <v>354.96</v>
      </c>
      <c r="AD127">
        <v>234.81</v>
      </c>
      <c r="AE127">
        <v>477.18</v>
      </c>
      <c r="AF127">
        <v>458.18999999999988</v>
      </c>
      <c r="AG127" s="5">
        <f>Tabla2[[#This Row],[Deforestation 2012]]/Tabla2[[#This Row],[Forest cover 2011]]</f>
        <v>4.6431382637375229E-3</v>
      </c>
      <c r="AH127" s="6">
        <f>Tabla2[[#This Row],[Deforestation 2013]]/Tabla2[[#This Row],[Forest cover 2011]]</f>
        <v>2.3823871127397591E-3</v>
      </c>
      <c r="AI127" s="6">
        <f>Tabla2[[#This Row],[Deforestation 2014]]/Tabla2[[#This Row],[Forest cover 2011]]</f>
        <v>3.4715183104065857E-3</v>
      </c>
      <c r="AJ127" s="6">
        <f>Tabla2[[#This Row],[Deforestation 2015]]/Tabla2[[#This Row],[Forest cover 2011]]</f>
        <v>3.1597387762863E-3</v>
      </c>
      <c r="AK127" s="6">
        <f>Tabla2[[#This Row],[Deforestation 2016]]/Tabla2[[#This Row],[Forest cover 2011]]</f>
        <v>5.0192310649857606E-3</v>
      </c>
      <c r="AL127" s="6">
        <f>Tabla2[[#This Row],[Deforestation 2017]]/Tabla2[[#This Row],[Forest cover 2011]]</f>
        <v>5.6791411102986508E-3</v>
      </c>
      <c r="AM127" s="6">
        <f>Tabla2[[#This Row],[Deforestation 2018]]/Tabla2[[#This Row],[Forest cover 2011]]</f>
        <v>5.3995182097423405E-3</v>
      </c>
      <c r="AN127" s="6">
        <f>Tabla2[[#This Row],[Deforestation 2019]]/Tabla2[[#This Row],[Forest cover 2011]]</f>
        <v>3.3079389135811442E-3</v>
      </c>
      <c r="AO127" s="6">
        <f>Tabla2[[#This Row],[Deforestation 2020]]/Tabla2[[#This Row],[Forest cover 2011]]</f>
        <v>5.3981200952395595E-3</v>
      </c>
      <c r="AP127" s="6">
        <f>Tabla2[[#This Row],[Deforestation 2021]]/Tabla2[[#This Row],[Forest cover 2011]]</f>
        <v>4.4557909203647959E-3</v>
      </c>
      <c r="AQ127" s="6">
        <f>Tabla2[[#This Row],[Deforestation 2022]]/Tabla2[[#This Row],[Forest cover 2011]]</f>
        <v>3.5623957530873862E-3</v>
      </c>
      <c r="AR127" s="6">
        <f>Tabla2[[#This Row],[Deforestation 2023]]/Tabla2[[#This Row],[Forest cover 2011]]</f>
        <v>7.173725513772127E-3</v>
      </c>
      <c r="AS127" s="6">
        <f>Tabla2[[#This Row],[Deforestation 2024]]/Tabla2[[#This Row],[Forest cover 2011]]</f>
        <v>7.0437008650134428E-3</v>
      </c>
      <c r="AT127" s="6">
        <f>Tabla2[[#This Row],[Forest Loss 2012]]/Tabla2[[#This Row],[Forest cover 2011]]</f>
        <v>5.6218184156846072E-3</v>
      </c>
      <c r="AU127" s="6">
        <f>Tabla2[[#This Row],[Forest Loss 2013]]/Tabla2[[#This Row],[Forest cover 2011]]</f>
        <v>3.1136009976945093E-3</v>
      </c>
      <c r="AV127" s="6">
        <f>Tabla2[[#This Row],[Forest Loss 2014]]/Tabla2[[#This Row],[Forest cover 2011]]</f>
        <v>4.5788249966095722E-3</v>
      </c>
      <c r="AW127" s="6">
        <f>Tabla2[[#This Row],[Forest Loss 2015]]/Tabla2[[#This Row],[Forest cover 2011]]</f>
        <v>4.0335603405247675E-3</v>
      </c>
      <c r="AX127" s="6">
        <f>Tabla2[[#This Row],[Forest Loss 2016]]/Tabla2[[#This Row],[Forest cover 2011]]</f>
        <v>6.2467755984279595E-3</v>
      </c>
      <c r="AY127" s="6">
        <f>Tabla2[[#This Row],[Forest Loss 2017]]/Tabla2[[#This Row],[Forest cover 2011]]</f>
        <v>6.7920402545127642E-3</v>
      </c>
      <c r="AZ127" s="6">
        <f>Tabla2[[#This Row],[Forest Loss 2018]]/Tabla2[[#This Row],[Forest cover 2011]]</f>
        <v>5.9657545833688682E-3</v>
      </c>
      <c r="BA127" s="6">
        <f>Tabla2[[#This Row],[Forest Loss 2019]]/Tabla2[[#This Row],[Forest cover 2011]]</f>
        <v>4.3019983250588258E-3</v>
      </c>
      <c r="BB127" s="6">
        <f>Tabla2[[#This Row],[Forest Loss 2020]]/Tabla2[[#This Row],[Forest cover 2011]]</f>
        <v>6.1111584916581493E-3</v>
      </c>
      <c r="BC127" s="6">
        <f>Tabla2[[#This Row],[Forest Loss 2021]]/Tabla2[[#This Row],[Forest cover 2011]]</f>
        <v>5.5141635989704278E-3</v>
      </c>
      <c r="BD127" s="6">
        <f>Tabla2[[#This Row],[Forest Loss 2022]]/Tabla2[[#This Row],[Forest cover 2011]]</f>
        <v>3.6476807377570607E-3</v>
      </c>
      <c r="BE127" s="6">
        <f>Tabla2[[#This Row],[Forest Loss 2023]]/Tabla2[[#This Row],[Forest cover 2011]]</f>
        <v>7.4128030937477716E-3</v>
      </c>
      <c r="BF127" s="6">
        <f>Tabla2[[#This Row],[Forest Loss 2024]]/Tabla2[[#This Row],[Forest cover 2011]]</f>
        <v>7.1178009336608627E-3</v>
      </c>
    </row>
    <row r="128" spans="1:58" x14ac:dyDescent="0.25">
      <c r="A128" s="2">
        <v>10102</v>
      </c>
      <c r="B128" s="3" t="s">
        <v>58</v>
      </c>
      <c r="C128" t="s">
        <v>60</v>
      </c>
      <c r="D128">
        <v>1252.8900000000001</v>
      </c>
      <c r="E128" s="4">
        <f>AVERAGE(Tabla2[[#This Row],[Deforestation 2012]:[Deforestation 2014]])</f>
        <v>1.2</v>
      </c>
      <c r="F128" s="4">
        <f>AVERAGE(Tabla2[[#This Row],[Deforestation 2022]:[Deforestation 2024]])</f>
        <v>2.25</v>
      </c>
      <c r="G128">
        <v>1.26</v>
      </c>
      <c r="H128">
        <v>0.99</v>
      </c>
      <c r="I128">
        <v>1.35</v>
      </c>
      <c r="J128">
        <v>1.71</v>
      </c>
      <c r="K128">
        <v>1.62</v>
      </c>
      <c r="L128">
        <v>1.17</v>
      </c>
      <c r="M128">
        <v>0.45</v>
      </c>
      <c r="N128">
        <v>1.8</v>
      </c>
      <c r="O128">
        <v>0.81</v>
      </c>
      <c r="P128">
        <v>0.63</v>
      </c>
      <c r="Q128">
        <v>0</v>
      </c>
      <c r="R128">
        <v>2.0699999999999998</v>
      </c>
      <c r="S128">
        <v>4.68</v>
      </c>
      <c r="T128">
        <v>3.69</v>
      </c>
      <c r="U128">
        <v>3.96</v>
      </c>
      <c r="V128">
        <v>24.03</v>
      </c>
      <c r="W128">
        <v>2.7</v>
      </c>
      <c r="X128">
        <v>2.61</v>
      </c>
      <c r="Y128">
        <v>1.44</v>
      </c>
      <c r="Z128">
        <v>1.08</v>
      </c>
      <c r="AA128">
        <v>2.34</v>
      </c>
      <c r="AB128">
        <v>1.17</v>
      </c>
      <c r="AC128">
        <v>1.62</v>
      </c>
      <c r="AD128">
        <v>0.18</v>
      </c>
      <c r="AE128">
        <v>2.52</v>
      </c>
      <c r="AF128">
        <v>8.73</v>
      </c>
      <c r="AG128" s="5">
        <f>Tabla2[[#This Row],[Deforestation 2012]]/Tabla2[[#This Row],[Forest cover 2011]]</f>
        <v>1.005674879678184E-3</v>
      </c>
      <c r="AH128" s="6">
        <f>Tabla2[[#This Row],[Deforestation 2013]]/Tabla2[[#This Row],[Forest cover 2011]]</f>
        <v>7.9017311974714452E-4</v>
      </c>
      <c r="AI128" s="6">
        <f>Tabla2[[#This Row],[Deforestation 2014]]/Tabla2[[#This Row],[Forest cover 2011]]</f>
        <v>1.0775087996551971E-3</v>
      </c>
      <c r="AJ128" s="6">
        <f>Tabla2[[#This Row],[Deforestation 2015]]/Tabla2[[#This Row],[Forest cover 2011]]</f>
        <v>1.3648444795632496E-3</v>
      </c>
      <c r="AK128" s="6">
        <f>Tabla2[[#This Row],[Deforestation 2016]]/Tabla2[[#This Row],[Forest cover 2011]]</f>
        <v>1.2930105595862365E-3</v>
      </c>
      <c r="AL128" s="6">
        <f>Tabla2[[#This Row],[Deforestation 2017]]/Tabla2[[#This Row],[Forest cover 2011]]</f>
        <v>9.3384095970117076E-4</v>
      </c>
      <c r="AM128" s="6">
        <f>Tabla2[[#This Row],[Deforestation 2018]]/Tabla2[[#This Row],[Forest cover 2011]]</f>
        <v>3.5916959988506572E-4</v>
      </c>
      <c r="AN128" s="6">
        <f>Tabla2[[#This Row],[Deforestation 2019]]/Tabla2[[#This Row],[Forest cover 2011]]</f>
        <v>1.4366783995402629E-3</v>
      </c>
      <c r="AO128" s="6">
        <f>Tabla2[[#This Row],[Deforestation 2020]]/Tabla2[[#This Row],[Forest cover 2011]]</f>
        <v>6.4650527979311827E-4</v>
      </c>
      <c r="AP128" s="6">
        <f>Tabla2[[#This Row],[Deforestation 2021]]/Tabla2[[#This Row],[Forest cover 2011]]</f>
        <v>5.0283743983909202E-4</v>
      </c>
      <c r="AQ128" s="6">
        <f>Tabla2[[#This Row],[Deforestation 2022]]/Tabla2[[#This Row],[Forest cover 2011]]</f>
        <v>0</v>
      </c>
      <c r="AR128" s="6">
        <f>Tabla2[[#This Row],[Deforestation 2023]]/Tabla2[[#This Row],[Forest cover 2011]]</f>
        <v>1.6521801594713021E-3</v>
      </c>
      <c r="AS128" s="6">
        <f>Tabla2[[#This Row],[Deforestation 2024]]/Tabla2[[#This Row],[Forest cover 2011]]</f>
        <v>3.7353638388046831E-3</v>
      </c>
      <c r="AT128" s="6">
        <f>Tabla2[[#This Row],[Forest Loss 2012]]/Tabla2[[#This Row],[Forest cover 2011]]</f>
        <v>2.9451907190575386E-3</v>
      </c>
      <c r="AU128" s="6">
        <f>Tabla2[[#This Row],[Forest Loss 2013]]/Tabla2[[#This Row],[Forest cover 2011]]</f>
        <v>3.1606924789885781E-3</v>
      </c>
      <c r="AV128" s="6">
        <f>Tabla2[[#This Row],[Forest Loss 2014]]/Tabla2[[#This Row],[Forest cover 2011]]</f>
        <v>1.9179656633862511E-2</v>
      </c>
      <c r="AW128" s="6">
        <f>Tabla2[[#This Row],[Forest Loss 2015]]/Tabla2[[#This Row],[Forest cover 2011]]</f>
        <v>2.1550175993103942E-3</v>
      </c>
      <c r="AX128" s="6">
        <f>Tabla2[[#This Row],[Forest Loss 2016]]/Tabla2[[#This Row],[Forest cover 2011]]</f>
        <v>2.083183679333381E-3</v>
      </c>
      <c r="AY128" s="6">
        <f>Tabla2[[#This Row],[Forest Loss 2017]]/Tabla2[[#This Row],[Forest cover 2011]]</f>
        <v>1.1493427196322102E-3</v>
      </c>
      <c r="AZ128" s="6">
        <f>Tabla2[[#This Row],[Forest Loss 2018]]/Tabla2[[#This Row],[Forest cover 2011]]</f>
        <v>8.6200703972415769E-4</v>
      </c>
      <c r="BA128" s="6">
        <f>Tabla2[[#This Row],[Forest Loss 2019]]/Tabla2[[#This Row],[Forest cover 2011]]</f>
        <v>1.8676819194023415E-3</v>
      </c>
      <c r="BB128" s="6">
        <f>Tabla2[[#This Row],[Forest Loss 2020]]/Tabla2[[#This Row],[Forest cover 2011]]</f>
        <v>9.3384095970117076E-4</v>
      </c>
      <c r="BC128" s="6">
        <f>Tabla2[[#This Row],[Forest Loss 2021]]/Tabla2[[#This Row],[Forest cover 2011]]</f>
        <v>1.2930105595862365E-3</v>
      </c>
      <c r="BD128" s="6">
        <f>Tabla2[[#This Row],[Forest Loss 2022]]/Tabla2[[#This Row],[Forest cover 2011]]</f>
        <v>1.4366783995402627E-4</v>
      </c>
      <c r="BE128" s="6">
        <f>Tabla2[[#This Row],[Forest Loss 2023]]/Tabla2[[#This Row],[Forest cover 2011]]</f>
        <v>2.0113497593563681E-3</v>
      </c>
      <c r="BF128" s="6">
        <f>Tabla2[[#This Row],[Forest Loss 2024]]/Tabla2[[#This Row],[Forest cover 2011]]</f>
        <v>6.9678902377702748E-3</v>
      </c>
    </row>
    <row r="129" spans="1:58" x14ac:dyDescent="0.25">
      <c r="A129" s="2">
        <v>71302</v>
      </c>
      <c r="B129" s="3" t="s">
        <v>310</v>
      </c>
      <c r="C129" t="s">
        <v>359</v>
      </c>
      <c r="D129">
        <v>21281.67</v>
      </c>
      <c r="E129" s="4">
        <f>AVERAGE(Tabla2[[#This Row],[Deforestation 2012]:[Deforestation 2014]])</f>
        <v>27.39</v>
      </c>
      <c r="F129" s="4">
        <f>AVERAGE(Tabla2[[#This Row],[Deforestation 2022]:[Deforestation 2024]])</f>
        <v>132.41999999999999</v>
      </c>
      <c r="G129">
        <v>34.47</v>
      </c>
      <c r="H129">
        <v>24.93</v>
      </c>
      <c r="I129">
        <v>22.77</v>
      </c>
      <c r="J129">
        <v>13.95</v>
      </c>
      <c r="K129">
        <v>12.78</v>
      </c>
      <c r="L129">
        <v>16.559999999999999</v>
      </c>
      <c r="M129">
        <v>19.8</v>
      </c>
      <c r="N129">
        <v>15.75</v>
      </c>
      <c r="O129">
        <v>32.4</v>
      </c>
      <c r="P129">
        <v>14.67</v>
      </c>
      <c r="Q129">
        <v>52.38</v>
      </c>
      <c r="R129">
        <v>203.49</v>
      </c>
      <c r="S129">
        <v>141.38999999999999</v>
      </c>
      <c r="T129">
        <v>39.96</v>
      </c>
      <c r="U129">
        <v>32.58</v>
      </c>
      <c r="V129">
        <v>170.01</v>
      </c>
      <c r="W129">
        <v>19.260000000000002</v>
      </c>
      <c r="X129">
        <v>18.09</v>
      </c>
      <c r="Y129">
        <v>30.51</v>
      </c>
      <c r="Z129">
        <v>25.74</v>
      </c>
      <c r="AA129">
        <v>25.92</v>
      </c>
      <c r="AB129">
        <v>54.36</v>
      </c>
      <c r="AC129">
        <v>16.47</v>
      </c>
      <c r="AD129">
        <v>73.709999999999994</v>
      </c>
      <c r="AE129">
        <v>254.43</v>
      </c>
      <c r="AF129">
        <v>146.88</v>
      </c>
      <c r="AG129" s="5">
        <f>Tabla2[[#This Row],[Deforestation 2012]]/Tabla2[[#This Row],[Forest cover 2011]]</f>
        <v>1.619703716860566E-3</v>
      </c>
      <c r="AH129" s="6">
        <f>Tabla2[[#This Row],[Deforestation 2013]]/Tabla2[[#This Row],[Forest cover 2011]]</f>
        <v>1.1714306255101222E-3</v>
      </c>
      <c r="AI129" s="6">
        <f>Tabla2[[#This Row],[Deforestation 2014]]/Tabla2[[#This Row],[Forest cover 2011]]</f>
        <v>1.0699348312420971E-3</v>
      </c>
      <c r="AJ129" s="6">
        <f>Tabla2[[#This Row],[Deforestation 2015]]/Tabla2[[#This Row],[Forest cover 2011]]</f>
        <v>6.5549367131432828E-4</v>
      </c>
      <c r="AK129" s="6">
        <f>Tabla2[[#This Row],[Deforestation 2016]]/Tabla2[[#This Row],[Forest cover 2011]]</f>
        <v>6.0051678275248137E-4</v>
      </c>
      <c r="AL129" s="6">
        <f>Tabla2[[#This Row],[Deforestation 2017]]/Tabla2[[#This Row],[Forest cover 2011]]</f>
        <v>7.781344227215252E-4</v>
      </c>
      <c r="AM129" s="6">
        <f>Tabla2[[#This Row],[Deforestation 2018]]/Tabla2[[#This Row],[Forest cover 2011]]</f>
        <v>9.3037811412356275E-4</v>
      </c>
      <c r="AN129" s="6">
        <f>Tabla2[[#This Row],[Deforestation 2019]]/Tabla2[[#This Row],[Forest cover 2011]]</f>
        <v>7.4007349987101584E-4</v>
      </c>
      <c r="AO129" s="6">
        <f>Tabla2[[#This Row],[Deforestation 2020]]/Tabla2[[#This Row],[Forest cover 2011]]</f>
        <v>1.5224369140203753E-3</v>
      </c>
      <c r="AP129" s="6">
        <f>Tabla2[[#This Row],[Deforestation 2021]]/Tabla2[[#This Row],[Forest cover 2011]]</f>
        <v>6.8932560273700328E-4</v>
      </c>
      <c r="AQ129" s="6">
        <f>Tabla2[[#This Row],[Deforestation 2022]]/Tabla2[[#This Row],[Forest cover 2011]]</f>
        <v>2.461273010999607E-3</v>
      </c>
      <c r="AR129" s="6">
        <f>Tabla2[[#This Row],[Deforestation 2023]]/Tabla2[[#This Row],[Forest cover 2011]]</f>
        <v>9.5617496183335246E-3</v>
      </c>
      <c r="AS129" s="6">
        <f>Tabla2[[#This Row],[Deforestation 2024]]/Tabla2[[#This Row],[Forest cover 2011]]</f>
        <v>6.6437455331278044E-3</v>
      </c>
      <c r="AT129" s="6">
        <f>Tabla2[[#This Row],[Forest Loss 2012]]/Tabla2[[#This Row],[Forest cover 2011]]</f>
        <v>1.8776721939584629E-3</v>
      </c>
      <c r="AU129" s="6">
        <f>Tabla2[[#This Row],[Forest Loss 2013]]/Tabla2[[#This Row],[Forest cover 2011]]</f>
        <v>1.530894896876044E-3</v>
      </c>
      <c r="AV129" s="6">
        <f>Tabla2[[#This Row],[Forest Loss 2014]]/Tabla2[[#This Row],[Forest cover 2011]]</f>
        <v>7.9885648071791361E-3</v>
      </c>
      <c r="AW129" s="6">
        <f>Tabla2[[#This Row],[Forest Loss 2015]]/Tabla2[[#This Row],[Forest cover 2011]]</f>
        <v>9.0500416555655658E-4</v>
      </c>
      <c r="AX129" s="6">
        <f>Tabla2[[#This Row],[Forest Loss 2016]]/Tabla2[[#This Row],[Forest cover 2011]]</f>
        <v>8.5002727699470956E-4</v>
      </c>
      <c r="AY129" s="6">
        <f>Tabla2[[#This Row],[Forest Loss 2017]]/Tabla2[[#This Row],[Forest cover 2011]]</f>
        <v>1.4336280940358535E-3</v>
      </c>
      <c r="AZ129" s="6">
        <f>Tabla2[[#This Row],[Forest Loss 2018]]/Tabla2[[#This Row],[Forest cover 2011]]</f>
        <v>1.2094915483606315E-3</v>
      </c>
      <c r="BA129" s="6">
        <f>Tabla2[[#This Row],[Forest Loss 2019]]/Tabla2[[#This Row],[Forest cover 2011]]</f>
        <v>1.2179495312163004E-3</v>
      </c>
      <c r="BB129" s="6">
        <f>Tabla2[[#This Row],[Forest Loss 2020]]/Tabla2[[#This Row],[Forest cover 2011]]</f>
        <v>2.5543108224119634E-3</v>
      </c>
      <c r="BC129" s="6">
        <f>Tabla2[[#This Row],[Forest Loss 2021]]/Tabla2[[#This Row],[Forest cover 2011]]</f>
        <v>7.7390543129369073E-4</v>
      </c>
      <c r="BD129" s="6">
        <f>Tabla2[[#This Row],[Forest Loss 2022]]/Tabla2[[#This Row],[Forest cover 2011]]</f>
        <v>3.4635439793963539E-3</v>
      </c>
      <c r="BE129" s="6">
        <f>Tabla2[[#This Row],[Forest Loss 2023]]/Tabla2[[#This Row],[Forest cover 2011]]</f>
        <v>1.1955358766487782E-2</v>
      </c>
      <c r="BF129" s="6">
        <f>Tabla2[[#This Row],[Forest Loss 2024]]/Tabla2[[#This Row],[Forest cover 2011]]</f>
        <v>6.901714010225702E-3</v>
      </c>
    </row>
    <row r="130" spans="1:58" x14ac:dyDescent="0.25">
      <c r="A130" s="2">
        <v>71105</v>
      </c>
      <c r="B130" s="3" t="s">
        <v>310</v>
      </c>
      <c r="C130" t="s">
        <v>355</v>
      </c>
      <c r="D130">
        <v>168209.19</v>
      </c>
      <c r="E130" s="4">
        <f>AVERAGE(Tabla2[[#This Row],[Deforestation 2012]:[Deforestation 2014]])</f>
        <v>120.83999999999999</v>
      </c>
      <c r="F130" s="4">
        <f>AVERAGE(Tabla2[[#This Row],[Deforestation 2022]:[Deforestation 2024]])</f>
        <v>1305.93</v>
      </c>
      <c r="G130">
        <v>134.37</v>
      </c>
      <c r="H130">
        <v>104.4</v>
      </c>
      <c r="I130">
        <v>123.75</v>
      </c>
      <c r="J130">
        <v>105.75</v>
      </c>
      <c r="K130">
        <v>70.2</v>
      </c>
      <c r="L130">
        <v>129.69</v>
      </c>
      <c r="M130">
        <v>252.81</v>
      </c>
      <c r="N130">
        <v>269.64</v>
      </c>
      <c r="O130">
        <v>237.33</v>
      </c>
      <c r="P130">
        <v>221.94</v>
      </c>
      <c r="Q130">
        <v>720</v>
      </c>
      <c r="R130">
        <v>2046.15</v>
      </c>
      <c r="S130">
        <v>1151.6400000000001</v>
      </c>
      <c r="T130">
        <v>758.25</v>
      </c>
      <c r="U130">
        <v>1137.69</v>
      </c>
      <c r="V130">
        <v>2150.1</v>
      </c>
      <c r="W130">
        <v>1058.31</v>
      </c>
      <c r="X130">
        <v>564.92999999999995</v>
      </c>
      <c r="Y130">
        <v>602.1</v>
      </c>
      <c r="Z130">
        <v>1090.8900000000001</v>
      </c>
      <c r="AA130">
        <v>838.08</v>
      </c>
      <c r="AB130">
        <v>768.78</v>
      </c>
      <c r="AC130">
        <v>6981.6600000000008</v>
      </c>
      <c r="AD130">
        <v>721.62</v>
      </c>
      <c r="AE130">
        <v>2098.98</v>
      </c>
      <c r="AF130">
        <v>1157.31</v>
      </c>
      <c r="AG130" s="5">
        <f>Tabla2[[#This Row],[Deforestation 2012]]/Tabla2[[#This Row],[Forest cover 2011]]</f>
        <v>7.9882674662424809E-4</v>
      </c>
      <c r="AH130" s="6">
        <f>Tabla2[[#This Row],[Deforestation 2013]]/Tabla2[[#This Row],[Forest cover 2011]]</f>
        <v>6.2065574419566496E-4</v>
      </c>
      <c r="AI130" s="6">
        <f>Tabla2[[#This Row],[Deforestation 2014]]/Tabla2[[#This Row],[Forest cover 2011]]</f>
        <v>7.3569107609399939E-4</v>
      </c>
      <c r="AJ130" s="6">
        <f>Tabla2[[#This Row],[Deforestation 2015]]/Tabla2[[#This Row],[Forest cover 2011]]</f>
        <v>6.286814650257813E-4</v>
      </c>
      <c r="AK130" s="6">
        <f>Tabla2[[#This Row],[Deforestation 2016]]/Tabla2[[#This Row],[Forest cover 2011]]</f>
        <v>4.1733748316605056E-4</v>
      </c>
      <c r="AL130" s="6">
        <f>Tabla2[[#This Row],[Deforestation 2017]]/Tabla2[[#This Row],[Forest cover 2011]]</f>
        <v>7.7100424774651129E-4</v>
      </c>
      <c r="AM130" s="6">
        <f>Tabla2[[#This Row],[Deforestation 2018]]/Tabla2[[#This Row],[Forest cover 2011]]</f>
        <v>1.5029499874531231E-3</v>
      </c>
      <c r="AN130" s="6">
        <f>Tabla2[[#This Row],[Deforestation 2019]]/Tabla2[[#This Row],[Forest cover 2011]]</f>
        <v>1.6030039738019069E-3</v>
      </c>
      <c r="AO130" s="6">
        <f>Tabla2[[#This Row],[Deforestation 2020]]/Tabla2[[#This Row],[Forest cover 2011]]</f>
        <v>1.4109217219344557E-3</v>
      </c>
      <c r="AP130" s="6">
        <f>Tabla2[[#This Row],[Deforestation 2021]]/Tabla2[[#This Row],[Forest cover 2011]]</f>
        <v>1.319428504471129E-3</v>
      </c>
      <c r="AQ130" s="6">
        <f>Tabla2[[#This Row],[Deforestation 2022]]/Tabla2[[#This Row],[Forest cover 2011]]</f>
        <v>4.2803844427287234E-3</v>
      </c>
      <c r="AR130" s="6">
        <f>Tabla2[[#This Row],[Deforestation 2023]]/Tabla2[[#This Row],[Forest cover 2011]]</f>
        <v>1.2164317538179693E-2</v>
      </c>
      <c r="AS130" s="6">
        <f>Tabla2[[#This Row],[Deforestation 2024]]/Tabla2[[#This Row],[Forest cover 2011]]</f>
        <v>6.8464749161445942E-3</v>
      </c>
      <c r="AT130" s="6">
        <f>Tabla2[[#This Row],[Forest Loss 2012]]/Tabla2[[#This Row],[Forest cover 2011]]</f>
        <v>4.5077798662486873E-3</v>
      </c>
      <c r="AU130" s="6">
        <f>Tabla2[[#This Row],[Forest Loss 2013]]/Tabla2[[#This Row],[Forest cover 2011]]</f>
        <v>6.7635424675667249E-3</v>
      </c>
      <c r="AV130" s="6">
        <f>Tabla2[[#This Row],[Forest Loss 2014]]/Tabla2[[#This Row],[Forest cover 2011]]</f>
        <v>1.278229804209865E-2</v>
      </c>
      <c r="AW130" s="6">
        <f>Tabla2[[#This Row],[Forest Loss 2015]]/Tabla2[[#This Row],[Forest cover 2011]]</f>
        <v>6.2916300827558823E-3</v>
      </c>
      <c r="AX130" s="6">
        <f>Tabla2[[#This Row],[Forest Loss 2016]]/Tabla2[[#This Row],[Forest cover 2011]]</f>
        <v>3.3584966433760246E-3</v>
      </c>
      <c r="AY130" s="6">
        <f>Tabla2[[#This Row],[Forest Loss 2017]]/Tabla2[[#This Row],[Forest cover 2011]]</f>
        <v>3.5794714902318953E-3</v>
      </c>
      <c r="AZ130" s="6">
        <f>Tabla2[[#This Row],[Forest Loss 2018]]/Tabla2[[#This Row],[Forest cover 2011]]</f>
        <v>6.485317478789358E-3</v>
      </c>
      <c r="BA130" s="6">
        <f>Tabla2[[#This Row],[Forest Loss 2019]]/Tabla2[[#This Row],[Forest cover 2011]]</f>
        <v>4.9823674913362344E-3</v>
      </c>
      <c r="BB130" s="6">
        <f>Tabla2[[#This Row],[Forest Loss 2020]]/Tabla2[[#This Row],[Forest cover 2011]]</f>
        <v>4.5703804887235943E-3</v>
      </c>
      <c r="BC130" s="6">
        <f>Tabla2[[#This Row],[Forest Loss 2021]]/Tabla2[[#This Row],[Forest cover 2011]]</f>
        <v>4.1505817845029755E-2</v>
      </c>
      <c r="BD130" s="6">
        <f>Tabla2[[#This Row],[Forest Loss 2022]]/Tabla2[[#This Row],[Forest cover 2011]]</f>
        <v>4.2900153077248633E-3</v>
      </c>
      <c r="BE130" s="6">
        <f>Tabla2[[#This Row],[Forest Loss 2023]]/Tabla2[[#This Row],[Forest cover 2011]]</f>
        <v>1.2478390746664911E-2</v>
      </c>
      <c r="BF130" s="6">
        <f>Tabla2[[#This Row],[Forest Loss 2024]]/Tabla2[[#This Row],[Forest cover 2011]]</f>
        <v>6.8801829436310816E-3</v>
      </c>
    </row>
    <row r="131" spans="1:58" x14ac:dyDescent="0.25">
      <c r="A131" s="2">
        <v>21601</v>
      </c>
      <c r="B131" s="3" t="s">
        <v>88</v>
      </c>
      <c r="C131" t="s">
        <v>164</v>
      </c>
      <c r="D131">
        <v>140944.04999999999</v>
      </c>
      <c r="E131" s="4">
        <f>AVERAGE(Tabla2[[#This Row],[Deforestation 2012]:[Deforestation 2014]])</f>
        <v>19.95</v>
      </c>
      <c r="F131" s="4">
        <f>AVERAGE(Tabla2[[#This Row],[Deforestation 2022]:[Deforestation 2024]])</f>
        <v>175.38</v>
      </c>
      <c r="G131">
        <v>20.79</v>
      </c>
      <c r="H131">
        <v>16.2</v>
      </c>
      <c r="I131">
        <v>22.86</v>
      </c>
      <c r="J131">
        <v>21.78</v>
      </c>
      <c r="K131">
        <v>15.66</v>
      </c>
      <c r="L131">
        <v>11.79</v>
      </c>
      <c r="M131">
        <v>34.74</v>
      </c>
      <c r="N131">
        <v>26.82</v>
      </c>
      <c r="O131">
        <v>100.71</v>
      </c>
      <c r="P131">
        <v>69.48</v>
      </c>
      <c r="Q131">
        <v>19.62</v>
      </c>
      <c r="R131">
        <v>66.150000000000006</v>
      </c>
      <c r="S131">
        <v>440.37</v>
      </c>
      <c r="T131">
        <v>387.72</v>
      </c>
      <c r="U131">
        <v>390.69</v>
      </c>
      <c r="V131">
        <v>562.86</v>
      </c>
      <c r="W131">
        <v>331.74</v>
      </c>
      <c r="X131">
        <v>163.53</v>
      </c>
      <c r="Y131">
        <v>161.46</v>
      </c>
      <c r="Z131">
        <v>217.08</v>
      </c>
      <c r="AA131">
        <v>251.28</v>
      </c>
      <c r="AB131">
        <v>242.91</v>
      </c>
      <c r="AC131">
        <v>498.68999999999988</v>
      </c>
      <c r="AD131">
        <v>75.87</v>
      </c>
      <c r="AE131">
        <v>162</v>
      </c>
      <c r="AF131">
        <v>969.39</v>
      </c>
      <c r="AG131" s="5">
        <f>Tabla2[[#This Row],[Deforestation 2012]]/Tabla2[[#This Row],[Forest cover 2011]]</f>
        <v>1.4750533988486922E-4</v>
      </c>
      <c r="AH131" s="6">
        <f>Tabla2[[#This Row],[Deforestation 2013]]/Tabla2[[#This Row],[Forest cover 2011]]</f>
        <v>1.1493922588431367E-4</v>
      </c>
      <c r="AI131" s="6">
        <f>Tabla2[[#This Row],[Deforestation 2014]]/Tabla2[[#This Row],[Forest cover 2011]]</f>
        <v>1.6219201874786485E-4</v>
      </c>
      <c r="AJ131" s="6">
        <f>Tabla2[[#This Row],[Deforestation 2015]]/Tabla2[[#This Row],[Forest cover 2011]]</f>
        <v>1.5452940368891063E-4</v>
      </c>
      <c r="AK131" s="6">
        <f>Tabla2[[#This Row],[Deforestation 2016]]/Tabla2[[#This Row],[Forest cover 2011]]</f>
        <v>1.1110791835483656E-4</v>
      </c>
      <c r="AL131" s="6">
        <f>Tabla2[[#This Row],[Deforestation 2017]]/Tabla2[[#This Row],[Forest cover 2011]]</f>
        <v>8.3650214393583833E-5</v>
      </c>
      <c r="AM131" s="6">
        <f>Tabla2[[#This Row],[Deforestation 2018]]/Tabla2[[#This Row],[Forest cover 2011]]</f>
        <v>2.464807843963616E-4</v>
      </c>
      <c r="AN131" s="6">
        <f>Tabla2[[#This Row],[Deforestation 2019]]/Tabla2[[#This Row],[Forest cover 2011]]</f>
        <v>1.9028827396403044E-4</v>
      </c>
      <c r="AO131" s="6">
        <f>Tabla2[[#This Row],[Deforestation 2020]]/Tabla2[[#This Row],[Forest cover 2011]]</f>
        <v>7.1453885424748332E-4</v>
      </c>
      <c r="AP131" s="6">
        <f>Tabla2[[#This Row],[Deforestation 2021]]/Tabla2[[#This Row],[Forest cover 2011]]</f>
        <v>4.9296156879272319E-4</v>
      </c>
      <c r="AQ131" s="6">
        <f>Tabla2[[#This Row],[Deforestation 2022]]/Tabla2[[#This Row],[Forest cover 2011]]</f>
        <v>1.3920417357100214E-4</v>
      </c>
      <c r="AR131" s="6">
        <f>Tabla2[[#This Row],[Deforestation 2023]]/Tabla2[[#This Row],[Forest cover 2011]]</f>
        <v>4.6933517236094754E-4</v>
      </c>
      <c r="AS131" s="6">
        <f>Tabla2[[#This Row],[Deforestation 2024]]/Tabla2[[#This Row],[Forest cover 2011]]</f>
        <v>3.1244312902885935E-3</v>
      </c>
      <c r="AT131" s="6">
        <f>Tabla2[[#This Row],[Forest Loss 2012]]/Tabla2[[#This Row],[Forest cover 2011]]</f>
        <v>2.7508788061645743E-3</v>
      </c>
      <c r="AU131" s="6">
        <f>Tabla2[[#This Row],[Forest Loss 2013]]/Tabla2[[#This Row],[Forest cover 2011]]</f>
        <v>2.7719509975766984E-3</v>
      </c>
      <c r="AV131" s="6">
        <f>Tabla2[[#This Row],[Forest Loss 2014]]/Tabla2[[#This Row],[Forest cover 2011]]</f>
        <v>3.9934995482249873E-3</v>
      </c>
      <c r="AW131" s="6">
        <f>Tabla2[[#This Row],[Forest Loss 2015]]/Tabla2[[#This Row],[Forest cover 2011]]</f>
        <v>2.3536999256087792E-3</v>
      </c>
      <c r="AX131" s="6">
        <f>Tabla2[[#This Row],[Forest Loss 2016]]/Tabla2[[#This Row],[Forest cover 2011]]</f>
        <v>1.1602476301766553E-3</v>
      </c>
      <c r="AY131" s="6">
        <f>Tabla2[[#This Row],[Forest Loss 2017]]/Tabla2[[#This Row],[Forest cover 2011]]</f>
        <v>1.1455609513136597E-3</v>
      </c>
      <c r="AZ131" s="6">
        <f>Tabla2[[#This Row],[Forest Loss 2018]]/Tabla2[[#This Row],[Forest cover 2011]]</f>
        <v>1.5401856268498033E-3</v>
      </c>
      <c r="BA131" s="6">
        <f>Tabla2[[#This Row],[Forest Loss 2019]]/Tabla2[[#This Row],[Forest cover 2011]]</f>
        <v>1.7828351037166878E-3</v>
      </c>
      <c r="BB131" s="6">
        <f>Tabla2[[#This Row],[Forest Loss 2020]]/Tabla2[[#This Row],[Forest cover 2011]]</f>
        <v>1.7234498370097924E-3</v>
      </c>
      <c r="BC131" s="6">
        <f>Tabla2[[#This Row],[Forest Loss 2021]]/Tabla2[[#This Row],[Forest cover 2011]]</f>
        <v>3.5382125034721218E-3</v>
      </c>
      <c r="BD131" s="6">
        <f>Tabla2[[#This Row],[Forest Loss 2022]]/Tabla2[[#This Row],[Forest cover 2011]]</f>
        <v>5.3829870789153574E-4</v>
      </c>
      <c r="BE131" s="6">
        <f>Tabla2[[#This Row],[Forest Loss 2023]]/Tabla2[[#This Row],[Forest cover 2011]]</f>
        <v>1.1493922588431368E-3</v>
      </c>
      <c r="BF131" s="6">
        <f>Tabla2[[#This Row],[Forest Loss 2024]]/Tabla2[[#This Row],[Forest cover 2011]]</f>
        <v>6.8778355666663481E-3</v>
      </c>
    </row>
    <row r="132" spans="1:58" x14ac:dyDescent="0.25">
      <c r="A132" s="2">
        <v>70804</v>
      </c>
      <c r="B132" s="3" t="s">
        <v>310</v>
      </c>
      <c r="C132" t="s">
        <v>341</v>
      </c>
      <c r="D132">
        <v>102421.89</v>
      </c>
      <c r="E132" s="4">
        <f>AVERAGE(Tabla2[[#This Row],[Deforestation 2012]:[Deforestation 2014]])</f>
        <v>287.49</v>
      </c>
      <c r="F132" s="4">
        <f>AVERAGE(Tabla2[[#This Row],[Deforestation 2022]:[Deforestation 2024]])</f>
        <v>458.76</v>
      </c>
      <c r="G132">
        <v>290.52</v>
      </c>
      <c r="H132">
        <v>333.99</v>
      </c>
      <c r="I132">
        <v>237.96</v>
      </c>
      <c r="J132">
        <v>134.55000000000001</v>
      </c>
      <c r="K132">
        <v>287.27999999999997</v>
      </c>
      <c r="L132">
        <v>300.77999999999997</v>
      </c>
      <c r="M132">
        <v>266.31</v>
      </c>
      <c r="N132">
        <v>221.04</v>
      </c>
      <c r="O132">
        <v>299.07</v>
      </c>
      <c r="P132">
        <v>623.34</v>
      </c>
      <c r="Q132">
        <v>145.16999999999999</v>
      </c>
      <c r="R132">
        <v>567.63</v>
      </c>
      <c r="S132">
        <v>663.48</v>
      </c>
      <c r="T132">
        <v>317.16000000000003</v>
      </c>
      <c r="U132">
        <v>358.92</v>
      </c>
      <c r="V132">
        <v>362.34</v>
      </c>
      <c r="W132">
        <v>150.93</v>
      </c>
      <c r="X132">
        <v>308.97000000000003</v>
      </c>
      <c r="Y132">
        <v>318.95999999999998</v>
      </c>
      <c r="Z132">
        <v>286.2</v>
      </c>
      <c r="AA132">
        <v>254.16</v>
      </c>
      <c r="AB132">
        <v>322.56</v>
      </c>
      <c r="AC132">
        <v>692.81999999999994</v>
      </c>
      <c r="AD132">
        <v>147.87</v>
      </c>
      <c r="AE132">
        <v>622.17000000000007</v>
      </c>
      <c r="AF132">
        <v>679.77</v>
      </c>
      <c r="AG132" s="5">
        <f>Tabla2[[#This Row],[Deforestation 2012]]/Tabla2[[#This Row],[Forest cover 2011]]</f>
        <v>2.8365030170796495E-3</v>
      </c>
      <c r="AH132" s="6">
        <f>Tabla2[[#This Row],[Deforestation 2013]]/Tabla2[[#This Row],[Forest cover 2011]]</f>
        <v>3.2609240075534636E-3</v>
      </c>
      <c r="AI132" s="6">
        <f>Tabla2[[#This Row],[Deforestation 2014]]/Tabla2[[#This Row],[Forest cover 2011]]</f>
        <v>2.3233314675212497E-3</v>
      </c>
      <c r="AJ132" s="6">
        <f>Tabla2[[#This Row],[Deforestation 2015]]/Tabla2[[#This Row],[Forest cover 2011]]</f>
        <v>1.3136840181332331E-3</v>
      </c>
      <c r="AK132" s="6">
        <f>Tabla2[[#This Row],[Deforestation 2016]]/Tabla2[[#This Row],[Forest cover 2011]]</f>
        <v>2.8048691544356385E-3</v>
      </c>
      <c r="AL132" s="6">
        <f>Tabla2[[#This Row],[Deforestation 2017]]/Tabla2[[#This Row],[Forest cover 2011]]</f>
        <v>2.9366769154523507E-3</v>
      </c>
      <c r="AM132" s="6">
        <f>Tabla2[[#This Row],[Deforestation 2018]]/Tabla2[[#This Row],[Forest cover 2011]]</f>
        <v>2.6001277656563454E-3</v>
      </c>
      <c r="AN132" s="6">
        <f>Tabla2[[#This Row],[Deforestation 2019]]/Tabla2[[#This Row],[Forest cover 2011]]</f>
        <v>2.15813240704697E-3</v>
      </c>
      <c r="AO132" s="6">
        <f>Tabla2[[#This Row],[Deforestation 2020]]/Tabla2[[#This Row],[Forest cover 2011]]</f>
        <v>2.9199812657235676E-3</v>
      </c>
      <c r="AP132" s="6">
        <f>Tabla2[[#This Row],[Deforestation 2021]]/Tabla2[[#This Row],[Forest cover 2011]]</f>
        <v>6.0860036853449982E-3</v>
      </c>
      <c r="AQ132" s="6">
        <f>Tabla2[[#This Row],[Deforestation 2022]]/Tabla2[[#This Row],[Forest cover 2011]]</f>
        <v>1.4173727901330467E-3</v>
      </c>
      <c r="AR132" s="6">
        <f>Tabla2[[#This Row],[Deforestation 2023]]/Tabla2[[#This Row],[Forest cover 2011]]</f>
        <v>5.5420769915493651E-3</v>
      </c>
      <c r="AS132" s="6">
        <f>Tabla2[[#This Row],[Deforestation 2024]]/Tabla2[[#This Row],[Forest cover 2011]]</f>
        <v>6.477912094768023E-3</v>
      </c>
      <c r="AT132" s="6">
        <f>Tabla2[[#This Row],[Forest Loss 2012]]/Tabla2[[#This Row],[Forest cover 2011]]</f>
        <v>3.0966036654859622E-3</v>
      </c>
      <c r="AU132" s="6">
        <f>Tabla2[[#This Row],[Forest Loss 2013]]/Tabla2[[#This Row],[Forest cover 2011]]</f>
        <v>3.5043290062309923E-3</v>
      </c>
      <c r="AV132" s="6">
        <f>Tabla2[[#This Row],[Forest Loss 2014]]/Tabla2[[#This Row],[Forest cover 2011]]</f>
        <v>3.5377203056885589E-3</v>
      </c>
      <c r="AW132" s="6">
        <f>Tabla2[[#This Row],[Forest Loss 2015]]/Tabla2[[#This Row],[Forest cover 2011]]</f>
        <v>1.4736107681668441E-3</v>
      </c>
      <c r="AX132" s="6">
        <f>Tabla2[[#This Row],[Forest Loss 2016]]/Tabla2[[#This Row],[Forest cover 2011]]</f>
        <v>3.0166402904691567E-3</v>
      </c>
      <c r="AY132" s="6">
        <f>Tabla2[[#This Row],[Forest Loss 2017]]/Tabla2[[#This Row],[Forest cover 2011]]</f>
        <v>3.1141780336215235E-3</v>
      </c>
      <c r="AZ132" s="6">
        <f>Tabla2[[#This Row],[Forest Loss 2018]]/Tabla2[[#This Row],[Forest cover 2011]]</f>
        <v>2.7943245335543018E-3</v>
      </c>
      <c r="BA132" s="6">
        <f>Tabla2[[#This Row],[Forest Loss 2019]]/Tabla2[[#This Row],[Forest cover 2011]]</f>
        <v>2.4815007807413043E-3</v>
      </c>
      <c r="BB132" s="6">
        <f>Tabla2[[#This Row],[Forest Loss 2020]]/Tabla2[[#This Row],[Forest cover 2011]]</f>
        <v>3.1493267698926471E-3</v>
      </c>
      <c r="BC132" s="6">
        <f>Tabla2[[#This Row],[Forest Loss 2021]]/Tabla2[[#This Row],[Forest cover 2011]]</f>
        <v>6.7643742953776773E-3</v>
      </c>
      <c r="BD132" s="6">
        <f>Tabla2[[#This Row],[Forest Loss 2022]]/Tabla2[[#This Row],[Forest cover 2011]]</f>
        <v>1.4437343423363892E-3</v>
      </c>
      <c r="BE132" s="6">
        <f>Tabla2[[#This Row],[Forest Loss 2023]]/Tabla2[[#This Row],[Forest cover 2011]]</f>
        <v>6.0745803460568841E-3</v>
      </c>
      <c r="BF132" s="6">
        <f>Tabla2[[#This Row],[Forest Loss 2024]]/Tabla2[[#This Row],[Forest cover 2011]]</f>
        <v>6.6369601263948554E-3</v>
      </c>
    </row>
    <row r="133" spans="1:58" x14ac:dyDescent="0.25">
      <c r="A133" s="2">
        <v>80901</v>
      </c>
      <c r="B133" s="3" t="s">
        <v>365</v>
      </c>
      <c r="C133" t="s">
        <v>383</v>
      </c>
      <c r="D133">
        <v>531983.97</v>
      </c>
      <c r="E133" s="4">
        <f>AVERAGE(Tabla2[[#This Row],[Deforestation 2012]:[Deforestation 2014]])</f>
        <v>97.83</v>
      </c>
      <c r="F133" s="4">
        <f>AVERAGE(Tabla2[[#This Row],[Deforestation 2022]:[Deforestation 2024]])</f>
        <v>221.93999999999997</v>
      </c>
      <c r="G133">
        <v>120.78</v>
      </c>
      <c r="H133">
        <v>99.45</v>
      </c>
      <c r="I133">
        <v>73.260000000000005</v>
      </c>
      <c r="J133">
        <v>64.44</v>
      </c>
      <c r="K133">
        <v>192.69</v>
      </c>
      <c r="L133">
        <v>104.04</v>
      </c>
      <c r="M133">
        <v>93.69</v>
      </c>
      <c r="N133">
        <v>81.539999999999992</v>
      </c>
      <c r="O133">
        <v>407.7</v>
      </c>
      <c r="P133">
        <v>447.39</v>
      </c>
      <c r="Q133">
        <v>156.78</v>
      </c>
      <c r="R133">
        <v>41.4</v>
      </c>
      <c r="S133">
        <v>467.64</v>
      </c>
      <c r="T133">
        <v>6079.32</v>
      </c>
      <c r="U133">
        <v>1829.97</v>
      </c>
      <c r="V133">
        <v>2131.83</v>
      </c>
      <c r="W133">
        <v>2277.27</v>
      </c>
      <c r="X133">
        <v>2120.04</v>
      </c>
      <c r="Y133">
        <v>1854.72</v>
      </c>
      <c r="Z133">
        <v>1359.18</v>
      </c>
      <c r="AA133">
        <v>2182.3200000000002</v>
      </c>
      <c r="AB133">
        <v>3096.63</v>
      </c>
      <c r="AC133">
        <v>1121.1300000000001</v>
      </c>
      <c r="AD133">
        <v>780.12</v>
      </c>
      <c r="AE133">
        <v>252.9</v>
      </c>
      <c r="AF133">
        <v>3450.06</v>
      </c>
      <c r="AG133" s="5">
        <f>Tabla2[[#This Row],[Deforestation 2012]]/Tabla2[[#This Row],[Forest cover 2011]]</f>
        <v>2.2703691616873345E-4</v>
      </c>
      <c r="AH133" s="6">
        <f>Tabla2[[#This Row],[Deforestation 2013]]/Tabla2[[#This Row],[Forest cover 2011]]</f>
        <v>1.8694172307485131E-4</v>
      </c>
      <c r="AI133" s="6">
        <f>Tabla2[[#This Row],[Deforestation 2014]]/Tabla2[[#This Row],[Forest cover 2011]]</f>
        <v>1.3771091636464159E-4</v>
      </c>
      <c r="AJ133" s="6">
        <f>Tabla2[[#This Row],[Deforestation 2015]]/Tabla2[[#This Row],[Forest cover 2011]]</f>
        <v>1.2113146943130636E-4</v>
      </c>
      <c r="AK133" s="6">
        <f>Tabla2[[#This Row],[Deforestation 2016]]/Tabla2[[#This Row],[Forest cover 2011]]</f>
        <v>3.6221016208439513E-4</v>
      </c>
      <c r="AL133" s="6">
        <f>Tabla2[[#This Row],[Deforestation 2017]]/Tabla2[[#This Row],[Forest cover 2011]]</f>
        <v>1.9556980260138291E-4</v>
      </c>
      <c r="AM133" s="6">
        <f>Tabla2[[#This Row],[Deforestation 2018]]/Tabla2[[#This Row],[Forest cover 2011]]</f>
        <v>1.761143291592038E-4</v>
      </c>
      <c r="AN133" s="6">
        <f>Tabla2[[#This Row],[Deforestation 2019]]/Tabla2[[#This Row],[Forest cover 2011]]</f>
        <v>1.5327529511838486E-4</v>
      </c>
      <c r="AO133" s="6">
        <f>Tabla2[[#This Row],[Deforestation 2020]]/Tabla2[[#This Row],[Forest cover 2011]]</f>
        <v>7.6637647559192439E-4</v>
      </c>
      <c r="AP133" s="6">
        <f>Tabla2[[#This Row],[Deforestation 2021]]/Tabla2[[#This Row],[Forest cover 2011]]</f>
        <v>8.409839867919329E-4</v>
      </c>
      <c r="AQ133" s="6">
        <f>Tabla2[[#This Row],[Deforestation 2022]]/Tabla2[[#This Row],[Forest cover 2011]]</f>
        <v>2.9470812814153029E-4</v>
      </c>
      <c r="AR133" s="6">
        <f>Tabla2[[#This Row],[Deforestation 2023]]/Tabla2[[#This Row],[Forest cover 2011]]</f>
        <v>7.7821893768716385E-5</v>
      </c>
      <c r="AS133" s="6">
        <f>Tabla2[[#This Row],[Deforestation 2024]]/Tabla2[[#This Row],[Forest cover 2011]]</f>
        <v>8.790490435266311E-4</v>
      </c>
      <c r="AT133" s="6">
        <f>Tabla2[[#This Row],[Forest Loss 2012]]/Tabla2[[#This Row],[Forest cover 2011]]</f>
        <v>1.1427637565846204E-2</v>
      </c>
      <c r="AU133" s="6">
        <f>Tabla2[[#This Row],[Forest Loss 2013]]/Tabla2[[#This Row],[Forest cover 2011]]</f>
        <v>3.4398968826071961E-3</v>
      </c>
      <c r="AV133" s="6">
        <f>Tabla2[[#This Row],[Forest Loss 2014]]/Tabla2[[#This Row],[Forest cover 2011]]</f>
        <v>4.0073199949990975E-3</v>
      </c>
      <c r="AW133" s="6">
        <f>Tabla2[[#This Row],[Forest Loss 2015]]/Tabla2[[#This Row],[Forest cover 2011]]</f>
        <v>4.2807116913691967E-3</v>
      </c>
      <c r="AX133" s="6">
        <f>Tabla2[[#This Row],[Forest Loss 2016]]/Tabla2[[#This Row],[Forest cover 2011]]</f>
        <v>3.985157673078007E-3</v>
      </c>
      <c r="AY133" s="6">
        <f>Tabla2[[#This Row],[Forest Loss 2017]]/Tabla2[[#This Row],[Forest cover 2011]]</f>
        <v>3.4864208408384939E-3</v>
      </c>
      <c r="AZ133" s="6">
        <f>Tabla2[[#This Row],[Forest Loss 2018]]/Tabla2[[#This Row],[Forest cover 2011]]</f>
        <v>2.5549266080329455E-3</v>
      </c>
      <c r="BA133" s="6">
        <f>Tabla2[[#This Row],[Forest Loss 2019]]/Tabla2[[#This Row],[Forest cover 2011]]</f>
        <v>4.1022288697909453E-3</v>
      </c>
      <c r="BB133" s="6">
        <f>Tabla2[[#This Row],[Forest Loss 2020]]/Tabla2[[#This Row],[Forest cover 2011]]</f>
        <v>5.8209084758700539E-3</v>
      </c>
      <c r="BC133" s="6">
        <f>Tabla2[[#This Row],[Forest Loss 2021]]/Tabla2[[#This Row],[Forest cover 2011]]</f>
        <v>2.1074507188628263E-3</v>
      </c>
      <c r="BD133" s="6">
        <f>Tabla2[[#This Row],[Forest Loss 2022]]/Tabla2[[#This Row],[Forest cover 2011]]</f>
        <v>1.4664351634505078E-3</v>
      </c>
      <c r="BE133" s="6">
        <f>Tabla2[[#This Row],[Forest Loss 2023]]/Tabla2[[#This Row],[Forest cover 2011]]</f>
        <v>4.7539026410889791E-4</v>
      </c>
      <c r="BF133" s="6">
        <f>Tabla2[[#This Row],[Forest Loss 2024]]/Tabla2[[#This Row],[Forest cover 2011]]</f>
        <v>6.4852705994129867E-3</v>
      </c>
    </row>
    <row r="134" spans="1:58" x14ac:dyDescent="0.25">
      <c r="A134" s="2">
        <v>20606</v>
      </c>
      <c r="B134" s="3" t="s">
        <v>88</v>
      </c>
      <c r="C134" t="s">
        <v>121</v>
      </c>
      <c r="D134">
        <v>21546.36</v>
      </c>
      <c r="E134" s="4">
        <f>AVERAGE(Tabla2[[#This Row],[Deforestation 2012]:[Deforestation 2014]])</f>
        <v>75.780000000000015</v>
      </c>
      <c r="F134" s="4">
        <f>AVERAGE(Tabla2[[#This Row],[Deforestation 2022]:[Deforestation 2024]])</f>
        <v>233.46</v>
      </c>
      <c r="G134">
        <v>49.95</v>
      </c>
      <c r="H134">
        <v>80.91</v>
      </c>
      <c r="I134">
        <v>96.48</v>
      </c>
      <c r="J134">
        <v>63.54</v>
      </c>
      <c r="K134">
        <v>70.289999999999992</v>
      </c>
      <c r="L134">
        <v>21.06</v>
      </c>
      <c r="M134">
        <v>77.759999999999991</v>
      </c>
      <c r="N134">
        <v>54.72</v>
      </c>
      <c r="O134">
        <v>96.84</v>
      </c>
      <c r="P134">
        <v>42.75</v>
      </c>
      <c r="Q134">
        <v>24.66</v>
      </c>
      <c r="R134">
        <v>563.49</v>
      </c>
      <c r="S134">
        <v>112.23</v>
      </c>
      <c r="T134">
        <v>70.11</v>
      </c>
      <c r="U134">
        <v>100.35</v>
      </c>
      <c r="V134">
        <v>122.04</v>
      </c>
      <c r="W134">
        <v>71.64</v>
      </c>
      <c r="X134">
        <v>74.7</v>
      </c>
      <c r="Y134">
        <v>25.38</v>
      </c>
      <c r="Z134">
        <v>82.71</v>
      </c>
      <c r="AA134">
        <v>57.239999999999988</v>
      </c>
      <c r="AB134">
        <v>99</v>
      </c>
      <c r="AC134">
        <v>45.540000000000013</v>
      </c>
      <c r="AD134">
        <v>26.01</v>
      </c>
      <c r="AE134">
        <v>597.69000000000005</v>
      </c>
      <c r="AF134">
        <v>136.08000000000001</v>
      </c>
      <c r="AG134" s="5">
        <f>Tabla2[[#This Row],[Deforestation 2012]]/Tabla2[[#This Row],[Forest cover 2011]]</f>
        <v>2.3182570048954905E-3</v>
      </c>
      <c r="AH134" s="6">
        <f>Tabla2[[#This Row],[Deforestation 2013]]/Tabla2[[#This Row],[Forest cover 2011]]</f>
        <v>3.7551586439658483E-3</v>
      </c>
      <c r="AI134" s="6">
        <f>Tabla2[[#This Row],[Deforestation 2014]]/Tabla2[[#This Row],[Forest cover 2011]]</f>
        <v>4.4777865031494883E-3</v>
      </c>
      <c r="AJ134" s="6">
        <f>Tabla2[[#This Row],[Deforestation 2015]]/Tabla2[[#This Row],[Forest cover 2011]]</f>
        <v>2.9489899918130023E-3</v>
      </c>
      <c r="AK134" s="6">
        <f>Tabla2[[#This Row],[Deforestation 2016]]/Tabla2[[#This Row],[Forest cover 2011]]</f>
        <v>3.2622679654475276E-3</v>
      </c>
      <c r="AL134" s="6">
        <f>Tabla2[[#This Row],[Deforestation 2017]]/Tabla2[[#This Row],[Forest cover 2011]]</f>
        <v>9.7742727773972022E-4</v>
      </c>
      <c r="AM134" s="6">
        <f>Tabla2[[#This Row],[Deforestation 2018]]/Tabla2[[#This Row],[Forest cover 2011]]</f>
        <v>3.6089622562697362E-3</v>
      </c>
      <c r="AN134" s="6">
        <f>Tabla2[[#This Row],[Deforestation 2019]]/Tabla2[[#This Row],[Forest cover 2011]]</f>
        <v>2.5396401062638884E-3</v>
      </c>
      <c r="AO134" s="6">
        <f>Tabla2[[#This Row],[Deforestation 2020]]/Tabla2[[#This Row],[Forest cover 2011]]</f>
        <v>4.4944946617433293E-3</v>
      </c>
      <c r="AP134" s="6">
        <f>Tabla2[[#This Row],[Deforestation 2021]]/Tabla2[[#This Row],[Forest cover 2011]]</f>
        <v>1.9840938330186629E-3</v>
      </c>
      <c r="AQ134" s="6">
        <f>Tabla2[[#This Row],[Deforestation 2022]]/Tabla2[[#This Row],[Forest cover 2011]]</f>
        <v>1.144508863678134E-3</v>
      </c>
      <c r="AR134" s="6">
        <f>Tabla2[[#This Row],[Deforestation 2023]]/Tabla2[[#This Row],[Forest cover 2011]]</f>
        <v>2.6152445239010207E-2</v>
      </c>
      <c r="AS134" s="6">
        <f>Tabla2[[#This Row],[Deforestation 2024]]/Tabla2[[#This Row],[Forest cover 2011]]</f>
        <v>5.2087684416300484E-3</v>
      </c>
      <c r="AT134" s="6">
        <f>Tabla2[[#This Row],[Forest Loss 2012]]/Tabla2[[#This Row],[Forest cover 2011]]</f>
        <v>3.2539138861506071E-3</v>
      </c>
      <c r="AU134" s="6">
        <f>Tabla2[[#This Row],[Forest Loss 2013]]/Tabla2[[#This Row],[Forest cover 2011]]</f>
        <v>4.657399208033282E-3</v>
      </c>
      <c r="AV134" s="6">
        <f>Tabla2[[#This Row],[Forest Loss 2014]]/Tabla2[[#This Row],[Forest cover 2011]]</f>
        <v>5.6640657633122253E-3</v>
      </c>
      <c r="AW134" s="6">
        <f>Tabla2[[#This Row],[Forest Loss 2015]]/Tabla2[[#This Row],[Forest cover 2011]]</f>
        <v>3.3249235601744329E-3</v>
      </c>
      <c r="AX134" s="6">
        <f>Tabla2[[#This Row],[Forest Loss 2016]]/Tabla2[[#This Row],[Forest cover 2011]]</f>
        <v>3.466942908222085E-3</v>
      </c>
      <c r="AY134" s="6">
        <f>Tabla2[[#This Row],[Forest Loss 2017]]/Tabla2[[#This Row],[Forest cover 2011]]</f>
        <v>1.1779251808658167E-3</v>
      </c>
      <c r="AZ134" s="6">
        <f>Tabla2[[#This Row],[Forest Loss 2018]]/Tabla2[[#This Row],[Forest cover 2011]]</f>
        <v>3.8386994369350551E-3</v>
      </c>
      <c r="BA134" s="6">
        <f>Tabla2[[#This Row],[Forest Loss 2019]]/Tabla2[[#This Row],[Forest cover 2011]]</f>
        <v>2.6565972164207777E-3</v>
      </c>
      <c r="BB134" s="6">
        <f>Tabla2[[#This Row],[Forest Loss 2020]]/Tabla2[[#This Row],[Forest cover 2011]]</f>
        <v>4.5947436133063771E-3</v>
      </c>
      <c r="BC134" s="6">
        <f>Tabla2[[#This Row],[Forest Loss 2021]]/Tabla2[[#This Row],[Forest cover 2011]]</f>
        <v>2.1135820621209344E-3</v>
      </c>
      <c r="BD134" s="6">
        <f>Tabla2[[#This Row],[Forest Loss 2022]]/Tabla2[[#This Row],[Forest cover 2011]]</f>
        <v>1.2071644584050391E-3</v>
      </c>
      <c r="BE134" s="6">
        <f>Tabla2[[#This Row],[Forest Loss 2023]]/Tabla2[[#This Row],[Forest cover 2011]]</f>
        <v>2.7739720305425142E-2</v>
      </c>
      <c r="BF134" s="6">
        <f>Tabla2[[#This Row],[Forest Loss 2024]]/Tabla2[[#This Row],[Forest cover 2011]]</f>
        <v>6.3156839484720395E-3</v>
      </c>
    </row>
    <row r="135" spans="1:58" x14ac:dyDescent="0.25">
      <c r="A135" s="2">
        <v>21501</v>
      </c>
      <c r="B135" s="3" t="s">
        <v>88</v>
      </c>
      <c r="C135" t="s">
        <v>162</v>
      </c>
      <c r="D135">
        <v>2770533.45</v>
      </c>
      <c r="E135" s="4">
        <f>AVERAGE(Tabla2[[#This Row],[Deforestation 2012]:[Deforestation 2014]])</f>
        <v>894.06000000000006</v>
      </c>
      <c r="F135" s="4">
        <f>AVERAGE(Tabla2[[#This Row],[Deforestation 2022]:[Deforestation 2024]])</f>
        <v>1799.82</v>
      </c>
      <c r="G135">
        <v>772.38</v>
      </c>
      <c r="H135">
        <v>834.3900000000001</v>
      </c>
      <c r="I135">
        <v>1075.4100000000001</v>
      </c>
      <c r="J135">
        <v>664.02</v>
      </c>
      <c r="K135">
        <v>1160.0999999999999</v>
      </c>
      <c r="L135">
        <v>1170.0899999999999</v>
      </c>
      <c r="M135">
        <v>1206</v>
      </c>
      <c r="N135">
        <v>1431.72</v>
      </c>
      <c r="O135">
        <v>1347.57</v>
      </c>
      <c r="P135">
        <v>1335.24</v>
      </c>
      <c r="Q135">
        <v>759.96</v>
      </c>
      <c r="R135">
        <v>2917.53</v>
      </c>
      <c r="S135">
        <v>1721.97</v>
      </c>
      <c r="T135">
        <v>7678.89</v>
      </c>
      <c r="U135">
        <v>5774.9400000000014</v>
      </c>
      <c r="V135">
        <v>8716.23</v>
      </c>
      <c r="W135">
        <v>4817.16</v>
      </c>
      <c r="X135">
        <v>3561.3</v>
      </c>
      <c r="Y135">
        <v>2920.5</v>
      </c>
      <c r="Z135">
        <v>3102.12</v>
      </c>
      <c r="AA135">
        <v>3711.96</v>
      </c>
      <c r="AB135">
        <v>3370.95</v>
      </c>
      <c r="AC135">
        <v>4314.51</v>
      </c>
      <c r="AD135">
        <v>2827.44</v>
      </c>
      <c r="AE135">
        <v>5534.37</v>
      </c>
      <c r="AF135">
        <v>16877.97</v>
      </c>
      <c r="AG135" s="5">
        <f>Tabla2[[#This Row],[Deforestation 2012]]/Tabla2[[#This Row],[Forest cover 2011]]</f>
        <v>2.7878385658906227E-4</v>
      </c>
      <c r="AH135" s="6">
        <f>Tabla2[[#This Row],[Deforestation 2013]]/Tabla2[[#This Row],[Forest cover 2011]]</f>
        <v>3.011658278300159E-4</v>
      </c>
      <c r="AI135" s="6">
        <f>Tabla2[[#This Row],[Deforestation 2014]]/Tabla2[[#This Row],[Forest cover 2011]]</f>
        <v>3.8815990472881677E-4</v>
      </c>
      <c r="AJ135" s="6">
        <f>Tabla2[[#This Row],[Deforestation 2015]]/Tabla2[[#This Row],[Forest cover 2011]]</f>
        <v>2.3967225517526234E-4</v>
      </c>
      <c r="AK135" s="6">
        <f>Tabla2[[#This Row],[Deforestation 2016]]/Tabla2[[#This Row],[Forest cover 2011]]</f>
        <v>4.1872802510289122E-4</v>
      </c>
      <c r="AL135" s="6">
        <f>Tabla2[[#This Row],[Deforestation 2017]]/Tabla2[[#This Row],[Forest cover 2011]]</f>
        <v>4.2233382888771828E-4</v>
      </c>
      <c r="AM135" s="6">
        <f>Tabla2[[#This Row],[Deforestation 2018]]/Tabla2[[#This Row],[Forest cover 2011]]</f>
        <v>4.3529523168182643E-4</v>
      </c>
      <c r="AN135" s="6">
        <f>Tabla2[[#This Row],[Deforestation 2019]]/Tabla2[[#This Row],[Forest cover 2011]]</f>
        <v>5.1676690638764885E-4</v>
      </c>
      <c r="AO135" s="6">
        <f>Tabla2[[#This Row],[Deforestation 2020]]/Tabla2[[#This Row],[Forest cover 2011]]</f>
        <v>4.8639369432626771E-4</v>
      </c>
      <c r="AP135" s="6">
        <f>Tabla2[[#This Row],[Deforestation 2021]]/Tabla2[[#This Row],[Forest cover 2011]]</f>
        <v>4.8194328785310277E-4</v>
      </c>
      <c r="AQ135" s="6">
        <f>Tabla2[[#This Row],[Deforestation 2022]]/Tabla2[[#This Row],[Forest cover 2011]]</f>
        <v>2.7430096539711511E-4</v>
      </c>
      <c r="AR135" s="6">
        <f>Tabla2[[#This Row],[Deforestation 2023]]/Tabla2[[#This Row],[Forest cover 2011]]</f>
        <v>1.0530571287634155E-3</v>
      </c>
      <c r="AS135" s="6">
        <f>Tabla2[[#This Row],[Deforestation 2024]]/Tabla2[[#This Row],[Forest cover 2011]]</f>
        <v>6.2153012446032726E-4</v>
      </c>
      <c r="AT135" s="6">
        <f>Tabla2[[#This Row],[Forest Loss 2012]]/Tabla2[[#This Row],[Forest cover 2011]]</f>
        <v>2.7716286912182922E-3</v>
      </c>
      <c r="AU135" s="6">
        <f>Tabla2[[#This Row],[Forest Loss 2013]]/Tabla2[[#This Row],[Forest cover 2011]]</f>
        <v>2.0844144653803048E-3</v>
      </c>
      <c r="AV135" s="6">
        <f>Tabla2[[#This Row],[Forest Loss 2014]]/Tabla2[[#This Row],[Forest cover 2011]]</f>
        <v>3.1460475599022269E-3</v>
      </c>
      <c r="AW135" s="6">
        <f>Tabla2[[#This Row],[Forest Loss 2015]]/Tabla2[[#This Row],[Forest cover 2011]]</f>
        <v>1.7387120880998565E-3</v>
      </c>
      <c r="AX135" s="6">
        <f>Tabla2[[#This Row],[Forest Loss 2016]]/Tabla2[[#This Row],[Forest cover 2011]]</f>
        <v>1.2854203222126771E-3</v>
      </c>
      <c r="AY135" s="6">
        <f>Tabla2[[#This Row],[Forest Loss 2017]]/Tabla2[[#This Row],[Forest cover 2011]]</f>
        <v>1.0541291244832291E-3</v>
      </c>
      <c r="AZ135" s="6">
        <f>Tabla2[[#This Row],[Forest Loss 2018]]/Tabla2[[#This Row],[Forest cover 2011]]</f>
        <v>1.1196832869857607E-3</v>
      </c>
      <c r="BA135" s="6">
        <f>Tabla2[[#This Row],[Forest Loss 2019]]/Tabla2[[#This Row],[Forest cover 2011]]</f>
        <v>1.3397997414541232E-3</v>
      </c>
      <c r="BB135" s="6">
        <f>Tabla2[[#This Row],[Forest Loss 2020]]/Tabla2[[#This Row],[Forest cover 2011]]</f>
        <v>1.2167151419882694E-3</v>
      </c>
      <c r="BC135" s="6">
        <f>Tabla2[[#This Row],[Forest Loss 2021]]/Tabla2[[#This Row],[Forest cover 2011]]</f>
        <v>1.5572849337011252E-3</v>
      </c>
      <c r="BD135" s="6">
        <f>Tabla2[[#This Row],[Forest Loss 2022]]/Tabla2[[#This Row],[Forest cover 2011]]</f>
        <v>1.0205399252624075E-3</v>
      </c>
      <c r="BE135" s="6">
        <f>Tabla2[[#This Row],[Forest Loss 2023]]/Tabla2[[#This Row],[Forest cover 2011]]</f>
        <v>1.9975828120754142E-3</v>
      </c>
      <c r="BF135" s="6">
        <f>Tabla2[[#This Row],[Forest Loss 2024]]/Tabla2[[#This Row],[Forest cover 2011]]</f>
        <v>6.0919567673871616E-3</v>
      </c>
    </row>
    <row r="136" spans="1:58" x14ac:dyDescent="0.25">
      <c r="A136" s="2">
        <v>70902</v>
      </c>
      <c r="B136" s="3" t="s">
        <v>310</v>
      </c>
      <c r="C136" t="s">
        <v>344</v>
      </c>
      <c r="D136">
        <v>75895.11</v>
      </c>
      <c r="E136" s="4">
        <f>AVERAGE(Tabla2[[#This Row],[Deforestation 2012]:[Deforestation 2014]])</f>
        <v>299.52000000000004</v>
      </c>
      <c r="F136" s="4">
        <f>AVERAGE(Tabla2[[#This Row],[Deforestation 2022]:[Deforestation 2024]])</f>
        <v>431.58</v>
      </c>
      <c r="G136">
        <v>362.16</v>
      </c>
      <c r="H136">
        <v>264.51</v>
      </c>
      <c r="I136">
        <v>271.89</v>
      </c>
      <c r="J136">
        <v>132.66</v>
      </c>
      <c r="K136">
        <v>234.72</v>
      </c>
      <c r="L136">
        <v>227.97</v>
      </c>
      <c r="M136">
        <v>312.75</v>
      </c>
      <c r="N136">
        <v>232.92</v>
      </c>
      <c r="O136">
        <v>273.95999999999998</v>
      </c>
      <c r="P136">
        <v>329.49</v>
      </c>
      <c r="Q136">
        <v>263.25</v>
      </c>
      <c r="R136">
        <v>579.41999999999996</v>
      </c>
      <c r="S136">
        <v>452.07</v>
      </c>
      <c r="T136">
        <v>474.48</v>
      </c>
      <c r="U136">
        <v>352.8</v>
      </c>
      <c r="V136">
        <v>671.49</v>
      </c>
      <c r="W136">
        <v>184.14</v>
      </c>
      <c r="X136">
        <v>298.98</v>
      </c>
      <c r="Y136">
        <v>294.93</v>
      </c>
      <c r="Z136">
        <v>340.2</v>
      </c>
      <c r="AA136">
        <v>285.66000000000003</v>
      </c>
      <c r="AB136">
        <v>311.22000000000003</v>
      </c>
      <c r="AC136">
        <v>446.76</v>
      </c>
      <c r="AD136">
        <v>284.04000000000002</v>
      </c>
      <c r="AE136">
        <v>616.59</v>
      </c>
      <c r="AF136">
        <v>461.25</v>
      </c>
      <c r="AG136" s="5">
        <f>Tabla2[[#This Row],[Deforestation 2012]]/Tabla2[[#This Row],[Forest cover 2011]]</f>
        <v>4.7718489373030758E-3</v>
      </c>
      <c r="AH136" s="6">
        <f>Tabla2[[#This Row],[Deforestation 2013]]/Tabla2[[#This Row],[Forest cover 2011]]</f>
        <v>3.4852047780153422E-3</v>
      </c>
      <c r="AI136" s="6">
        <f>Tabla2[[#This Row],[Deforestation 2014]]/Tabla2[[#This Row],[Forest cover 2011]]</f>
        <v>3.5824442444315581E-3</v>
      </c>
      <c r="AJ136" s="6">
        <f>Tabla2[[#This Row],[Deforestation 2015]]/Tabla2[[#This Row],[Forest cover 2011]]</f>
        <v>1.747938701189049E-3</v>
      </c>
      <c r="AK136" s="6">
        <f>Tabla2[[#This Row],[Deforestation 2016]]/Tabla2[[#This Row],[Forest cover 2011]]</f>
        <v>3.0926893708962278E-3</v>
      </c>
      <c r="AL136" s="6">
        <f>Tabla2[[#This Row],[Deforestation 2017]]/Tabla2[[#This Row],[Forest cover 2011]]</f>
        <v>3.0037508345399327E-3</v>
      </c>
      <c r="AM136" s="6">
        <f>Tabla2[[#This Row],[Deforestation 2018]]/Tabla2[[#This Row],[Forest cover 2011]]</f>
        <v>4.1208188511749969E-3</v>
      </c>
      <c r="AN136" s="6">
        <f>Tabla2[[#This Row],[Deforestation 2019]]/Tabla2[[#This Row],[Forest cover 2011]]</f>
        <v>3.0689724278678823E-3</v>
      </c>
      <c r="AO136" s="6">
        <f>Tabla2[[#This Row],[Deforestation 2020]]/Tabla2[[#This Row],[Forest cover 2011]]</f>
        <v>3.6097187289141552E-3</v>
      </c>
      <c r="AP136" s="6">
        <f>Tabla2[[#This Row],[Deforestation 2021]]/Tabla2[[#This Row],[Forest cover 2011]]</f>
        <v>4.3413864213386081E-3</v>
      </c>
      <c r="AQ136" s="6">
        <f>Tabla2[[#This Row],[Deforestation 2022]]/Tabla2[[#This Row],[Forest cover 2011]]</f>
        <v>3.4686029178955008E-3</v>
      </c>
      <c r="AR136" s="6">
        <f>Tabla2[[#This Row],[Deforestation 2023]]/Tabla2[[#This Row],[Forest cover 2011]]</f>
        <v>7.6344839608243533E-3</v>
      </c>
      <c r="AS136" s="6">
        <f>Tabla2[[#This Row],[Deforestation 2024]]/Tabla2[[#This Row],[Forest cover 2011]]</f>
        <v>5.9565102415689228E-3</v>
      </c>
      <c r="AT136" s="6">
        <f>Tabla2[[#This Row],[Forest Loss 2012]]/Tabla2[[#This Row],[Forest cover 2011]]</f>
        <v>6.2517861822718223E-3</v>
      </c>
      <c r="AU136" s="6">
        <f>Tabla2[[#This Row],[Forest Loss 2013]]/Tabla2[[#This Row],[Forest cover 2011]]</f>
        <v>4.6485208335556799E-3</v>
      </c>
      <c r="AV136" s="6">
        <f>Tabla2[[#This Row],[Forest Loss 2014]]/Tabla2[[#This Row],[Forest cover 2011]]</f>
        <v>8.8476055967242166E-3</v>
      </c>
      <c r="AW136" s="6">
        <f>Tabla2[[#This Row],[Forest Loss 2015]]/Tabla2[[#This Row],[Forest cover 2011]]</f>
        <v>2.4262432717997245E-3</v>
      </c>
      <c r="AX136" s="6">
        <f>Tabla2[[#This Row],[Forest Loss 2016]]/Tabla2[[#This Row],[Forest cover 2011]]</f>
        <v>3.9393842370081551E-3</v>
      </c>
      <c r="AY136" s="6">
        <f>Tabla2[[#This Row],[Forest Loss 2017]]/Tabla2[[#This Row],[Forest cover 2011]]</f>
        <v>3.8860211151943783E-3</v>
      </c>
      <c r="AZ136" s="6">
        <f>Tabla2[[#This Row],[Forest Loss 2018]]/Tabla2[[#This Row],[Forest cover 2011]]</f>
        <v>4.4825022323572621E-3</v>
      </c>
      <c r="BA136" s="6">
        <f>Tabla2[[#This Row],[Forest Loss 2019]]/Tabla2[[#This Row],[Forest cover 2011]]</f>
        <v>3.7638788585984003E-3</v>
      </c>
      <c r="BB136" s="6">
        <f>Tabla2[[#This Row],[Forest Loss 2020]]/Tabla2[[#This Row],[Forest cover 2011]]</f>
        <v>4.1006594496009038E-3</v>
      </c>
      <c r="BC136" s="6">
        <f>Tabla2[[#This Row],[Forest Loss 2021]]/Tabla2[[#This Row],[Forest cover 2011]]</f>
        <v>5.8865452596353045E-3</v>
      </c>
      <c r="BD136" s="6">
        <f>Tabla2[[#This Row],[Forest Loss 2022]]/Tabla2[[#This Row],[Forest cover 2011]]</f>
        <v>3.7425336098728893E-3</v>
      </c>
      <c r="BE136" s="6">
        <f>Tabla2[[#This Row],[Forest Loss 2023]]/Tabla2[[#This Row],[Forest cover 2011]]</f>
        <v>8.1242388343596844E-3</v>
      </c>
      <c r="BF136" s="6">
        <f>Tabla2[[#This Row],[Forest Loss 2024]]/Tabla2[[#This Row],[Forest cover 2011]]</f>
        <v>6.0774666510134846E-3</v>
      </c>
    </row>
    <row r="137" spans="1:58" x14ac:dyDescent="0.25">
      <c r="A137" s="2">
        <v>90103</v>
      </c>
      <c r="B137" s="3" t="s">
        <v>384</v>
      </c>
      <c r="C137" t="s">
        <v>387</v>
      </c>
      <c r="D137">
        <v>232518.15</v>
      </c>
      <c r="E137" s="4">
        <f>AVERAGE(Tabla2[[#This Row],[Deforestation 2012]:[Deforestation 2014]])</f>
        <v>784.77</v>
      </c>
      <c r="F137" s="4">
        <f>AVERAGE(Tabla2[[#This Row],[Deforestation 2022]:[Deforestation 2024]])</f>
        <v>798.9899999999999</v>
      </c>
      <c r="G137">
        <v>758.7</v>
      </c>
      <c r="H137">
        <v>793.53</v>
      </c>
      <c r="I137">
        <v>802.07999999999993</v>
      </c>
      <c r="J137">
        <v>799.47</v>
      </c>
      <c r="K137">
        <v>871.2</v>
      </c>
      <c r="L137">
        <v>1083.24</v>
      </c>
      <c r="M137">
        <v>1360.98</v>
      </c>
      <c r="N137">
        <v>970.56</v>
      </c>
      <c r="O137">
        <v>1095.03</v>
      </c>
      <c r="P137">
        <v>886.77</v>
      </c>
      <c r="Q137">
        <v>357.92999999999989</v>
      </c>
      <c r="R137">
        <v>703.98</v>
      </c>
      <c r="S137">
        <v>1335.06</v>
      </c>
      <c r="T137">
        <v>856.53</v>
      </c>
      <c r="U137">
        <v>858.87</v>
      </c>
      <c r="V137">
        <v>858.96</v>
      </c>
      <c r="W137">
        <v>915.93000000000006</v>
      </c>
      <c r="X137">
        <v>906.21</v>
      </c>
      <c r="Y137">
        <v>1101.69</v>
      </c>
      <c r="Z137">
        <v>1382.85</v>
      </c>
      <c r="AA137">
        <v>1000.35</v>
      </c>
      <c r="AB137">
        <v>1126.8</v>
      </c>
      <c r="AC137">
        <v>912.51</v>
      </c>
      <c r="AD137">
        <v>374.58</v>
      </c>
      <c r="AE137">
        <v>781.2</v>
      </c>
      <c r="AF137">
        <v>1393.47</v>
      </c>
      <c r="AG137" s="5">
        <f>Tabla2[[#This Row],[Deforestation 2012]]/Tabla2[[#This Row],[Forest cover 2011]]</f>
        <v>3.2629710841927824E-3</v>
      </c>
      <c r="AH137" s="6">
        <f>Tabla2[[#This Row],[Deforestation 2013]]/Tabla2[[#This Row],[Forest cover 2011]]</f>
        <v>3.4127658421503871E-3</v>
      </c>
      <c r="AI137" s="6">
        <f>Tabla2[[#This Row],[Deforestation 2014]]/Tabla2[[#This Row],[Forest cover 2011]]</f>
        <v>3.4495371651632354E-3</v>
      </c>
      <c r="AJ137" s="6">
        <f>Tabla2[[#This Row],[Deforestation 2015]]/Tabla2[[#This Row],[Forest cover 2011]]</f>
        <v>3.4383122349803661E-3</v>
      </c>
      <c r="AK137" s="6">
        <f>Tabla2[[#This Row],[Deforestation 2016]]/Tabla2[[#This Row],[Forest cover 2011]]</f>
        <v>3.7468042817302653E-3</v>
      </c>
      <c r="AL137" s="6">
        <f>Tabla2[[#This Row],[Deforestation 2017]]/Tabla2[[#This Row],[Forest cover 2011]]</f>
        <v>4.6587330924489122E-3</v>
      </c>
      <c r="AM137" s="6">
        <f>Tabla2[[#This Row],[Deforestation 2018]]/Tabla2[[#This Row],[Forest cover 2011]]</f>
        <v>5.8532204905294496E-3</v>
      </c>
      <c r="AN137" s="6">
        <f>Tabla2[[#This Row],[Deforestation 2019]]/Tabla2[[#This Row],[Forest cover 2011]]</f>
        <v>4.1741257617953697E-3</v>
      </c>
      <c r="AO137" s="6">
        <f>Tabla2[[#This Row],[Deforestation 2020]]/Tabla2[[#This Row],[Forest cover 2011]]</f>
        <v>4.7094388115508402E-3</v>
      </c>
      <c r="AP137" s="6">
        <f>Tabla2[[#This Row],[Deforestation 2021]]/Tabla2[[#This Row],[Forest cover 2011]]</f>
        <v>3.8137667962694524E-3</v>
      </c>
      <c r="AQ137" s="6">
        <f>Tabla2[[#This Row],[Deforestation 2022]]/Tabla2[[#This Row],[Forest cover 2011]]</f>
        <v>1.539363701285254E-3</v>
      </c>
      <c r="AR137" s="6">
        <f>Tabla2[[#This Row],[Deforestation 2023]]/Tabla2[[#This Row],[Forest cover 2011]]</f>
        <v>3.0276346169105508E-3</v>
      </c>
      <c r="AS137" s="6">
        <f>Tabla2[[#This Row],[Deforestation 2024]]/Tabla2[[#This Row],[Forest cover 2011]]</f>
        <v>5.7417453218168131E-3</v>
      </c>
      <c r="AT137" s="6">
        <f>Tabla2[[#This Row],[Forest Loss 2012]]/Tabla2[[#This Row],[Forest cover 2011]]</f>
        <v>3.6837124327713773E-3</v>
      </c>
      <c r="AU137" s="6">
        <f>Tabla2[[#This Row],[Forest Loss 2013]]/Tabla2[[#This Row],[Forest cover 2011]]</f>
        <v>3.6937761632801569E-3</v>
      </c>
      <c r="AV137" s="6">
        <f>Tabla2[[#This Row],[Forest Loss 2014]]/Tabla2[[#This Row],[Forest cover 2011]]</f>
        <v>3.694163229838187E-3</v>
      </c>
      <c r="AW137" s="6">
        <f>Tabla2[[#This Row],[Forest Loss 2015]]/Tabla2[[#This Row],[Forest cover 2011]]</f>
        <v>3.9391763610711686E-3</v>
      </c>
      <c r="AX137" s="6">
        <f>Tabla2[[#This Row],[Forest Loss 2016]]/Tabla2[[#This Row],[Forest cover 2011]]</f>
        <v>3.8973731728039296E-3</v>
      </c>
      <c r="AY137" s="6">
        <f>Tabla2[[#This Row],[Forest Loss 2017]]/Tabla2[[#This Row],[Forest cover 2011]]</f>
        <v>4.7380817368450597E-3</v>
      </c>
      <c r="AZ137" s="6">
        <f>Tabla2[[#This Row],[Forest Loss 2018]]/Tabla2[[#This Row],[Forest cover 2011]]</f>
        <v>5.9472776641307356E-3</v>
      </c>
      <c r="BA137" s="6">
        <f>Tabla2[[#This Row],[Forest Loss 2019]]/Tabla2[[#This Row],[Forest cover 2011]]</f>
        <v>4.302244792503295E-3</v>
      </c>
      <c r="BB137" s="6">
        <f>Tabla2[[#This Row],[Forest Loss 2020]]/Tabla2[[#This Row],[Forest cover 2011]]</f>
        <v>4.8460733065354249E-3</v>
      </c>
      <c r="BC137" s="6">
        <f>Tabla2[[#This Row],[Forest Loss 2021]]/Tabla2[[#This Row],[Forest cover 2011]]</f>
        <v>3.9244678318660284E-3</v>
      </c>
      <c r="BD137" s="6">
        <f>Tabla2[[#This Row],[Forest Loss 2022]]/Tabla2[[#This Row],[Forest cover 2011]]</f>
        <v>1.610971014520802E-3</v>
      </c>
      <c r="BE137" s="6">
        <f>Tabla2[[#This Row],[Forest Loss 2023]]/Tabla2[[#This Row],[Forest cover 2011]]</f>
        <v>3.3597377237002792E-3</v>
      </c>
      <c r="BF137" s="6">
        <f>Tabla2[[#This Row],[Forest Loss 2024]]/Tabla2[[#This Row],[Forest cover 2011]]</f>
        <v>5.9929515179782738E-3</v>
      </c>
    </row>
    <row r="138" spans="1:58" x14ac:dyDescent="0.25">
      <c r="A138" s="2">
        <v>60302</v>
      </c>
      <c r="B138" s="3" t="s">
        <v>300</v>
      </c>
      <c r="C138" t="s">
        <v>304</v>
      </c>
      <c r="D138">
        <v>274668.57</v>
      </c>
      <c r="E138" s="4">
        <f>AVERAGE(Tabla2[[#This Row],[Deforestation 2012]:[Deforestation 2014]])</f>
        <v>1214.6400000000001</v>
      </c>
      <c r="F138" s="4">
        <f>AVERAGE(Tabla2[[#This Row],[Deforestation 2022]:[Deforestation 2024]])</f>
        <v>1459.11</v>
      </c>
      <c r="G138">
        <v>1096.2</v>
      </c>
      <c r="H138">
        <v>1522.8</v>
      </c>
      <c r="I138">
        <v>1024.92</v>
      </c>
      <c r="J138">
        <v>769.05</v>
      </c>
      <c r="K138">
        <v>1033.47</v>
      </c>
      <c r="L138">
        <v>1087.1099999999999</v>
      </c>
      <c r="M138">
        <v>592.55999999999995</v>
      </c>
      <c r="N138">
        <v>815.49</v>
      </c>
      <c r="O138">
        <v>847.44</v>
      </c>
      <c r="P138">
        <v>782.82</v>
      </c>
      <c r="Q138">
        <v>320.67</v>
      </c>
      <c r="R138">
        <v>2523.5100000000002</v>
      </c>
      <c r="S138">
        <v>1533.15</v>
      </c>
      <c r="T138">
        <v>1160.28</v>
      </c>
      <c r="U138">
        <v>1541.25</v>
      </c>
      <c r="V138">
        <v>1084.32</v>
      </c>
      <c r="W138">
        <v>782.81999999999994</v>
      </c>
      <c r="X138">
        <v>1049.67</v>
      </c>
      <c r="Y138">
        <v>1096.1099999999999</v>
      </c>
      <c r="Z138">
        <v>623.06999999999994</v>
      </c>
      <c r="AA138">
        <v>881.91</v>
      </c>
      <c r="AB138">
        <v>868.5</v>
      </c>
      <c r="AC138">
        <v>822.78</v>
      </c>
      <c r="AD138">
        <v>334.62</v>
      </c>
      <c r="AE138">
        <v>2550.33</v>
      </c>
      <c r="AF138">
        <v>1624.41</v>
      </c>
      <c r="AG138" s="5">
        <f>Tabla2[[#This Row],[Deforestation 2012]]/Tabla2[[#This Row],[Forest cover 2011]]</f>
        <v>3.9909917614527213E-3</v>
      </c>
      <c r="AH138" s="6">
        <f>Tabla2[[#This Row],[Deforestation 2013]]/Tabla2[[#This Row],[Forest cover 2011]]</f>
        <v>5.5441363385697892E-3</v>
      </c>
      <c r="AI138" s="6">
        <f>Tabla2[[#This Row],[Deforestation 2014]]/Tabla2[[#This Row],[Forest cover 2011]]</f>
        <v>3.7314789966686034E-3</v>
      </c>
      <c r="AJ138" s="6">
        <f>Tabla2[[#This Row],[Deforestation 2015]]/Tabla2[[#This Row],[Forest cover 2011]]</f>
        <v>2.799919918030665E-3</v>
      </c>
      <c r="AK138" s="6">
        <f>Tabla2[[#This Row],[Deforestation 2016]]/Tabla2[[#This Row],[Forest cover 2011]]</f>
        <v>3.7626074217374053E-3</v>
      </c>
      <c r="AL138" s="6">
        <f>Tabla2[[#This Row],[Deforestation 2017]]/Tabla2[[#This Row],[Forest cover 2011]]</f>
        <v>3.9578973305900997E-3</v>
      </c>
      <c r="AM138" s="6">
        <f>Tabla2[[#This Row],[Deforestation 2018]]/Tabla2[[#This Row],[Forest cover 2011]]</f>
        <v>2.1573636910841307E-3</v>
      </c>
      <c r="AN138" s="6">
        <f>Tabla2[[#This Row],[Deforestation 2019]]/Tabla2[[#This Row],[Forest cover 2011]]</f>
        <v>2.9689964162991057E-3</v>
      </c>
      <c r="AO138" s="6">
        <f>Tabla2[[#This Row],[Deforestation 2020]]/Tabla2[[#This Row],[Forest cover 2011]]</f>
        <v>3.085318425766734E-3</v>
      </c>
      <c r="AP138" s="6">
        <f>Tabla2[[#This Row],[Deforestation 2021]]/Tabla2[[#This Row],[Forest cover 2011]]</f>
        <v>2.8500530657730515E-3</v>
      </c>
      <c r="AQ138" s="6">
        <f>Tabla2[[#This Row],[Deforestation 2022]]/Tabla2[[#This Row],[Forest cover 2011]]</f>
        <v>1.167479773896227E-3</v>
      </c>
      <c r="AR138" s="6">
        <f>Tabla2[[#This Row],[Deforestation 2023]]/Tabla2[[#This Row],[Forest cover 2011]]</f>
        <v>9.1874727421488375E-3</v>
      </c>
      <c r="AS138" s="6">
        <f>Tabla2[[#This Row],[Deforestation 2024]]/Tabla2[[#This Row],[Forest cover 2011]]</f>
        <v>5.5818181162846552E-3</v>
      </c>
      <c r="AT138" s="6">
        <f>Tabla2[[#This Row],[Forest Loss 2012]]/Tabla2[[#This Row],[Forest cover 2011]]</f>
        <v>4.2242911156525845E-3</v>
      </c>
      <c r="AU138" s="6">
        <f>Tabla2[[#This Row],[Forest Loss 2013]]/Tabla2[[#This Row],[Forest cover 2011]]</f>
        <v>5.6113082031919413E-3</v>
      </c>
      <c r="AV138" s="6">
        <f>Tabla2[[#This Row],[Forest Loss 2014]]/Tabla2[[#This Row],[Forest cover 2011]]</f>
        <v>3.9477396339887014E-3</v>
      </c>
      <c r="AW138" s="6">
        <f>Tabla2[[#This Row],[Forest Loss 2015]]/Tabla2[[#This Row],[Forest cover 2011]]</f>
        <v>2.850053065773051E-3</v>
      </c>
      <c r="AX138" s="6">
        <f>Tabla2[[#This Row],[Forest Loss 2016]]/Tabla2[[#This Row],[Forest cover 2011]]</f>
        <v>3.8215875955519775E-3</v>
      </c>
      <c r="AY138" s="6">
        <f>Tabla2[[#This Row],[Forest Loss 2017]]/Tabla2[[#This Row],[Forest cover 2011]]</f>
        <v>3.9906640938204173E-3</v>
      </c>
      <c r="AZ138" s="6">
        <f>Tabla2[[#This Row],[Forest Loss 2018]]/Tabla2[[#This Row],[Forest cover 2011]]</f>
        <v>2.2684430184349083E-3</v>
      </c>
      <c r="BA138" s="6">
        <f>Tabla2[[#This Row],[Forest Loss 2019]]/Tabla2[[#This Row],[Forest cover 2011]]</f>
        <v>3.2108151289388515E-3</v>
      </c>
      <c r="BB138" s="6">
        <f>Tabla2[[#This Row],[Forest Loss 2020]]/Tabla2[[#This Row],[Forest cover 2011]]</f>
        <v>3.161992651725678E-3</v>
      </c>
      <c r="BC138" s="6">
        <f>Tabla2[[#This Row],[Forest Loss 2021]]/Tabla2[[#This Row],[Forest cover 2011]]</f>
        <v>2.9955374945156627E-3</v>
      </c>
      <c r="BD138" s="6">
        <f>Tabla2[[#This Row],[Forest Loss 2022]]/Tabla2[[#This Row],[Forest cover 2011]]</f>
        <v>1.2182682569032198E-3</v>
      </c>
      <c r="BE138" s="6">
        <f>Tabla2[[#This Row],[Forest Loss 2023]]/Tabla2[[#This Row],[Forest cover 2011]]</f>
        <v>9.2851176965751854E-3</v>
      </c>
      <c r="BF138" s="6">
        <f>Tabla2[[#This Row],[Forest Loss 2024]]/Tabla2[[#This Row],[Forest cover 2011]]</f>
        <v>5.9140730954400792E-3</v>
      </c>
    </row>
    <row r="139" spans="1:58" x14ac:dyDescent="0.25">
      <c r="A139" s="2">
        <v>20101</v>
      </c>
      <c r="B139" s="3" t="s">
        <v>88</v>
      </c>
      <c r="C139" t="s">
        <v>89</v>
      </c>
      <c r="D139">
        <v>88330.41</v>
      </c>
      <c r="E139" s="4">
        <f>AVERAGE(Tabla2[[#This Row],[Deforestation 2012]:[Deforestation 2014]])</f>
        <v>25.439999999999998</v>
      </c>
      <c r="F139" s="4">
        <f>AVERAGE(Tabla2[[#This Row],[Deforestation 2022]:[Deforestation 2024]])</f>
        <v>190.98000000000002</v>
      </c>
      <c r="G139">
        <v>20.52</v>
      </c>
      <c r="H139">
        <v>25.47</v>
      </c>
      <c r="I139">
        <v>30.33</v>
      </c>
      <c r="J139">
        <v>22.68</v>
      </c>
      <c r="K139">
        <v>35.01</v>
      </c>
      <c r="L139">
        <v>14.31</v>
      </c>
      <c r="M139">
        <v>53.1</v>
      </c>
      <c r="N139">
        <v>39.06</v>
      </c>
      <c r="O139">
        <v>82.8</v>
      </c>
      <c r="P139">
        <v>42.57</v>
      </c>
      <c r="Q139">
        <v>31.14</v>
      </c>
      <c r="R139">
        <v>404.37</v>
      </c>
      <c r="S139">
        <v>137.43</v>
      </c>
      <c r="T139">
        <v>110.61</v>
      </c>
      <c r="U139">
        <v>76.680000000000007</v>
      </c>
      <c r="V139">
        <v>101.16</v>
      </c>
      <c r="W139">
        <v>39.510000000000012</v>
      </c>
      <c r="X139">
        <v>47.61</v>
      </c>
      <c r="Y139">
        <v>18.72</v>
      </c>
      <c r="Z139">
        <v>78.210000000000008</v>
      </c>
      <c r="AA139">
        <v>53.01</v>
      </c>
      <c r="AB139">
        <v>94.59</v>
      </c>
      <c r="AC139">
        <v>53.19</v>
      </c>
      <c r="AD139">
        <v>34.380000000000003</v>
      </c>
      <c r="AE139">
        <v>447.66</v>
      </c>
      <c r="AF139">
        <v>512.64</v>
      </c>
      <c r="AG139" s="5">
        <f>Tabla2[[#This Row],[Deforestation 2012]]/Tabla2[[#This Row],[Forest cover 2011]]</f>
        <v>2.3230957492442294E-4</v>
      </c>
      <c r="AH139" s="6">
        <f>Tabla2[[#This Row],[Deforestation 2013]]/Tabla2[[#This Row],[Forest cover 2011]]</f>
        <v>2.8834916536671796E-4</v>
      </c>
      <c r="AI139" s="6">
        <f>Tabla2[[#This Row],[Deforestation 2014]]/Tabla2[[#This Row],[Forest cover 2011]]</f>
        <v>3.4336985416460759E-4</v>
      </c>
      <c r="AJ139" s="6">
        <f>Tabla2[[#This Row],[Deforestation 2015]]/Tabla2[[#This Row],[Forest cover 2011]]</f>
        <v>2.567632143901517E-4</v>
      </c>
      <c r="AK139" s="6">
        <f>Tabla2[[#This Row],[Deforestation 2016]]/Tabla2[[#This Row],[Forest cover 2011]]</f>
        <v>3.9635273967368655E-4</v>
      </c>
      <c r="AL139" s="6">
        <f>Tabla2[[#This Row],[Deforestation 2017]]/Tabla2[[#This Row],[Forest cover 2011]]</f>
        <v>1.6200536146045286E-4</v>
      </c>
      <c r="AM139" s="6">
        <f>Tabla2[[#This Row],[Deforestation 2018]]/Tabla2[[#This Row],[Forest cover 2011]]</f>
        <v>6.0115197019916468E-4</v>
      </c>
      <c r="AN139" s="6">
        <f>Tabla2[[#This Row],[Deforestation 2019]]/Tabla2[[#This Row],[Forest cover 2011]]</f>
        <v>4.4220331367192796E-4</v>
      </c>
      <c r="AO139" s="6">
        <f>Tabla2[[#This Row],[Deforestation 2020]]/Tabla2[[#This Row],[Forest cover 2011]]</f>
        <v>9.3738951285293477E-4</v>
      </c>
      <c r="AP139" s="6">
        <f>Tabla2[[#This Row],[Deforestation 2021]]/Tabla2[[#This Row],[Forest cover 2011]]</f>
        <v>4.819404778037371E-4</v>
      </c>
      <c r="AQ139" s="6">
        <f>Tabla2[[#This Row],[Deforestation 2022]]/Tabla2[[#This Row],[Forest cover 2011]]</f>
        <v>3.5253996896425591E-4</v>
      </c>
      <c r="AR139" s="6">
        <f>Tabla2[[#This Row],[Deforestation 2023]]/Tabla2[[#This Row],[Forest cover 2011]]</f>
        <v>4.5779250883133003E-3</v>
      </c>
      <c r="AS139" s="6">
        <f>Tabla2[[#This Row],[Deforestation 2024]]/Tabla2[[#This Row],[Forest cover 2011]]</f>
        <v>1.5558628110069906E-3</v>
      </c>
      <c r="AT139" s="6">
        <f>Tabla2[[#This Row],[Forest Loss 2012]]/Tabla2[[#This Row],[Forest cover 2011]]</f>
        <v>1.2522301209741923E-3</v>
      </c>
      <c r="AU139" s="6">
        <f>Tabla2[[#This Row],[Forest Loss 2013]]/Tabla2[[#This Row],[Forest cover 2011]]</f>
        <v>8.6810420103337004E-4</v>
      </c>
      <c r="AV139" s="6">
        <f>Tabla2[[#This Row],[Forest Loss 2014]]/Tabla2[[#This Row],[Forest cover 2011]]</f>
        <v>1.145245448311629E-3</v>
      </c>
      <c r="AW139" s="6">
        <f>Tabla2[[#This Row],[Forest Loss 2015]]/Tabla2[[#This Row],[Forest cover 2011]]</f>
        <v>4.472978218939549E-4</v>
      </c>
      <c r="AX139" s="6">
        <f>Tabla2[[#This Row],[Forest Loss 2016]]/Tabla2[[#This Row],[Forest cover 2011]]</f>
        <v>5.3899896989043745E-4</v>
      </c>
      <c r="AY139" s="6">
        <f>Tabla2[[#This Row],[Forest Loss 2017]]/Tabla2[[#This Row],[Forest cover 2011]]</f>
        <v>2.1193154203631568E-4</v>
      </c>
      <c r="AZ139" s="6">
        <f>Tabla2[[#This Row],[Forest Loss 2018]]/Tabla2[[#This Row],[Forest cover 2011]]</f>
        <v>8.854255289882613E-4</v>
      </c>
      <c r="BA139" s="6">
        <f>Tabla2[[#This Row],[Forest Loss 2019]]/Tabla2[[#This Row],[Forest cover 2011]]</f>
        <v>6.0013306855475929E-4</v>
      </c>
      <c r="BB139" s="6">
        <f>Tabla2[[#This Row],[Forest Loss 2020]]/Tabla2[[#This Row],[Forest cover 2011]]</f>
        <v>1.0708656282700374E-3</v>
      </c>
      <c r="BC139" s="6">
        <f>Tabla2[[#This Row],[Forest Loss 2021]]/Tabla2[[#This Row],[Forest cover 2011]]</f>
        <v>6.0217087184357007E-4</v>
      </c>
      <c r="BD139" s="6">
        <f>Tabla2[[#This Row],[Forest Loss 2022]]/Tabla2[[#This Row],[Forest cover 2011]]</f>
        <v>3.8922042816284905E-4</v>
      </c>
      <c r="BE139" s="6">
        <f>Tabla2[[#This Row],[Forest Loss 2023]]/Tabla2[[#This Row],[Forest cover 2011]]</f>
        <v>5.0680167792722802E-3</v>
      </c>
      <c r="BF139" s="6">
        <f>Tabla2[[#This Row],[Forest Loss 2024]]/Tabla2[[#This Row],[Forest cover 2011]]</f>
        <v>5.8036637665329523E-3</v>
      </c>
    </row>
    <row r="140" spans="1:58" x14ac:dyDescent="0.25">
      <c r="A140" s="2">
        <v>70401</v>
      </c>
      <c r="B140" s="3" t="s">
        <v>310</v>
      </c>
      <c r="C140" t="s">
        <v>321</v>
      </c>
      <c r="D140">
        <v>224255.07</v>
      </c>
      <c r="E140" s="4">
        <f>AVERAGE(Tabla2[[#This Row],[Deforestation 2012]:[Deforestation 2014]])</f>
        <v>1836.57</v>
      </c>
      <c r="F140" s="4">
        <f>AVERAGE(Tabla2[[#This Row],[Deforestation 2022]:[Deforestation 2024]])</f>
        <v>1728.54</v>
      </c>
      <c r="G140">
        <v>2622.51</v>
      </c>
      <c r="H140">
        <v>1734.48</v>
      </c>
      <c r="I140">
        <v>1152.72</v>
      </c>
      <c r="J140">
        <v>1070.46</v>
      </c>
      <c r="K140">
        <v>1371.78</v>
      </c>
      <c r="L140">
        <v>1156.23</v>
      </c>
      <c r="M140">
        <v>667.53</v>
      </c>
      <c r="N140">
        <v>808.65</v>
      </c>
      <c r="O140">
        <v>682.83</v>
      </c>
      <c r="P140">
        <v>1436.4</v>
      </c>
      <c r="Q140">
        <v>405.9</v>
      </c>
      <c r="R140">
        <v>3558.6</v>
      </c>
      <c r="S140">
        <v>1221.1199999999999</v>
      </c>
      <c r="T140">
        <v>2939.49</v>
      </c>
      <c r="U140">
        <v>1943.55</v>
      </c>
      <c r="V140">
        <v>1448.55</v>
      </c>
      <c r="W140">
        <v>1394.19</v>
      </c>
      <c r="X140">
        <v>1550.7</v>
      </c>
      <c r="Y140">
        <v>1272.1500000000001</v>
      </c>
      <c r="Z140">
        <v>823.41000000000008</v>
      </c>
      <c r="AA140">
        <v>988.29</v>
      </c>
      <c r="AB140">
        <v>821.43</v>
      </c>
      <c r="AC140">
        <v>1908.09</v>
      </c>
      <c r="AD140">
        <v>425.52</v>
      </c>
      <c r="AE140">
        <v>3885.3</v>
      </c>
      <c r="AF140">
        <v>1256.58</v>
      </c>
      <c r="AG140" s="5">
        <f>Tabla2[[#This Row],[Deforestation 2012]]/Tabla2[[#This Row],[Forest cover 2011]]</f>
        <v>1.1694317546533063E-2</v>
      </c>
      <c r="AH140" s="6">
        <f>Tabla2[[#This Row],[Deforestation 2013]]/Tabla2[[#This Row],[Forest cover 2011]]</f>
        <v>7.7344070749437235E-3</v>
      </c>
      <c r="AI140" s="6">
        <f>Tabla2[[#This Row],[Deforestation 2014]]/Tabla2[[#This Row],[Forest cover 2011]]</f>
        <v>5.1402182345308845E-3</v>
      </c>
      <c r="AJ140" s="6">
        <f>Tabla2[[#This Row],[Deforestation 2015]]/Tabla2[[#This Row],[Forest cover 2011]]</f>
        <v>4.7734037852522129E-3</v>
      </c>
      <c r="AK140" s="6">
        <f>Tabla2[[#This Row],[Deforestation 2016]]/Tabla2[[#This Row],[Forest cover 2011]]</f>
        <v>6.1170523368769322E-3</v>
      </c>
      <c r="AL140" s="6">
        <f>Tabla2[[#This Row],[Deforestation 2017]]/Tabla2[[#This Row],[Forest cover 2011]]</f>
        <v>5.155870054576692E-3</v>
      </c>
      <c r="AM140" s="6">
        <f>Tabla2[[#This Row],[Deforestation 2018]]/Tabla2[[#This Row],[Forest cover 2011]]</f>
        <v>2.9766551097373181E-3</v>
      </c>
      <c r="AN140" s="6">
        <f>Tabla2[[#This Row],[Deforestation 2019]]/Tabla2[[#This Row],[Forest cover 2011]]</f>
        <v>3.6059385413226108E-3</v>
      </c>
      <c r="AO140" s="6">
        <f>Tabla2[[#This Row],[Deforestation 2020]]/Tabla2[[#This Row],[Forest cover 2011]]</f>
        <v>3.0448809919882748E-3</v>
      </c>
      <c r="AP140" s="6">
        <f>Tabla2[[#This Row],[Deforestation 2021]]/Tabla2[[#This Row],[Forest cover 2011]]</f>
        <v>6.4052063572074425E-3</v>
      </c>
      <c r="AQ140" s="6">
        <f>Tabla2[[#This Row],[Deforestation 2022]]/Tabla2[[#This Row],[Forest cover 2011]]</f>
        <v>1.8099925232459625E-3</v>
      </c>
      <c r="AR140" s="6">
        <f>Tabla2[[#This Row],[Deforestation 2023]]/Tabla2[[#This Row],[Forest cover 2011]]</f>
        <v>1.5868537554134227E-2</v>
      </c>
      <c r="AS140" s="6">
        <f>Tabla2[[#This Row],[Deforestation 2024]]/Tabla2[[#This Row],[Forest cover 2011]]</f>
        <v>5.4452280610645717E-3</v>
      </c>
      <c r="AT140" s="6">
        <f>Tabla2[[#This Row],[Forest Loss 2012]]/Tabla2[[#This Row],[Forest cover 2011]]</f>
        <v>1.3107797295285229E-2</v>
      </c>
      <c r="AU140" s="6">
        <f>Tabla2[[#This Row],[Forest Loss 2013]]/Tabla2[[#This Row],[Forest cover 2011]]</f>
        <v>8.6666936894670872E-3</v>
      </c>
      <c r="AV140" s="6">
        <f>Tabla2[[#This Row],[Forest Loss 2014]]/Tabla2[[#This Row],[Forest cover 2011]]</f>
        <v>6.4593857342890842E-3</v>
      </c>
      <c r="AW140" s="6">
        <f>Tabla2[[#This Row],[Forest Loss 2015]]/Tabla2[[#This Row],[Forest cover 2011]]</f>
        <v>6.216983187938627E-3</v>
      </c>
      <c r="AX140" s="6">
        <f>Tabla2[[#This Row],[Forest Loss 2016]]/Tabla2[[#This Row],[Forest cover 2011]]</f>
        <v>6.9148938304939992E-3</v>
      </c>
      <c r="AY140" s="6">
        <f>Tabla2[[#This Row],[Forest Loss 2017]]/Tabla2[[#This Row],[Forest cover 2011]]</f>
        <v>5.6727814448074686E-3</v>
      </c>
      <c r="AZ140" s="6">
        <f>Tabla2[[#This Row],[Forest Loss 2018]]/Tabla2[[#This Row],[Forest cover 2011]]</f>
        <v>3.671756451258828E-3</v>
      </c>
      <c r="BA140" s="6">
        <f>Tabla2[[#This Row],[Forest Loss 2019]]/Tabla2[[#This Row],[Forest cover 2011]]</f>
        <v>4.4069906646926641E-3</v>
      </c>
      <c r="BB140" s="6">
        <f>Tabla2[[#This Row],[Forest Loss 2020]]/Tabla2[[#This Row],[Forest cover 2011]]</f>
        <v>3.6629272194381155E-3</v>
      </c>
      <c r="BC140" s="6">
        <f>Tabla2[[#This Row],[Forest Loss 2021]]/Tabla2[[#This Row],[Forest cover 2011]]</f>
        <v>8.5085701741325175E-3</v>
      </c>
      <c r="BD140" s="6">
        <f>Tabla2[[#This Row],[Forest Loss 2022]]/Tabla2[[#This Row],[Forest cover 2011]]</f>
        <v>1.8974821840148362E-3</v>
      </c>
      <c r="BE140" s="6">
        <f>Tabla2[[#This Row],[Forest Loss 2023]]/Tabla2[[#This Row],[Forest cover 2011]]</f>
        <v>1.7325360804551711E-2</v>
      </c>
      <c r="BF140" s="6">
        <f>Tabla2[[#This Row],[Forest Loss 2024]]/Tabla2[[#This Row],[Forest cover 2011]]</f>
        <v>5.6033515763991414E-3</v>
      </c>
    </row>
    <row r="141" spans="1:58" x14ac:dyDescent="0.25">
      <c r="A141" s="2">
        <v>22001</v>
      </c>
      <c r="B141" s="3" t="s">
        <v>88</v>
      </c>
      <c r="C141" t="s">
        <v>174</v>
      </c>
      <c r="D141">
        <v>141188.94</v>
      </c>
      <c r="E141" s="4">
        <f>AVERAGE(Tabla2[[#This Row],[Deforestation 2012]:[Deforestation 2014]])</f>
        <v>444.51</v>
      </c>
      <c r="F141" s="4">
        <f>AVERAGE(Tabla2[[#This Row],[Deforestation 2022]:[Deforestation 2024]])</f>
        <v>2364.5100000000002</v>
      </c>
      <c r="G141">
        <v>367.92</v>
      </c>
      <c r="H141">
        <v>359.55</v>
      </c>
      <c r="I141">
        <v>606.05999999999995</v>
      </c>
      <c r="J141">
        <v>449.82000000000011</v>
      </c>
      <c r="K141">
        <v>492.66</v>
      </c>
      <c r="L141">
        <v>248.13</v>
      </c>
      <c r="M141">
        <v>726.57</v>
      </c>
      <c r="N141">
        <v>886.05</v>
      </c>
      <c r="O141">
        <v>1366.92</v>
      </c>
      <c r="P141">
        <v>980.01</v>
      </c>
      <c r="Q141">
        <v>57.42</v>
      </c>
      <c r="R141">
        <v>6397.1100000000006</v>
      </c>
      <c r="S141">
        <v>639</v>
      </c>
      <c r="T141">
        <v>387</v>
      </c>
      <c r="U141">
        <v>386.46</v>
      </c>
      <c r="V141">
        <v>656.91</v>
      </c>
      <c r="W141">
        <v>470.34</v>
      </c>
      <c r="X141">
        <v>504.27</v>
      </c>
      <c r="Y141">
        <v>253.53</v>
      </c>
      <c r="Z141">
        <v>731.97</v>
      </c>
      <c r="AA141">
        <v>901.26</v>
      </c>
      <c r="AB141">
        <v>1379.25</v>
      </c>
      <c r="AC141">
        <v>1003.41</v>
      </c>
      <c r="AD141">
        <v>59.22</v>
      </c>
      <c r="AE141">
        <v>6429.42</v>
      </c>
      <c r="AF141">
        <v>780.12</v>
      </c>
      <c r="AG141" s="5">
        <f>Tabla2[[#This Row],[Deforestation 2012]]/Tabla2[[#This Row],[Forest cover 2011]]</f>
        <v>2.6058698365466872E-3</v>
      </c>
      <c r="AH141" s="6">
        <f>Tabla2[[#This Row],[Deforestation 2013]]/Tabla2[[#This Row],[Forest cover 2011]]</f>
        <v>2.5465875726526457E-3</v>
      </c>
      <c r="AI141" s="6">
        <f>Tabla2[[#This Row],[Deforestation 2014]]/Tabla2[[#This Row],[Forest cover 2011]]</f>
        <v>4.2925458608868367E-3</v>
      </c>
      <c r="AJ141" s="6">
        <f>Tabla2[[#This Row],[Deforestation 2015]]/Tabla2[[#This Row],[Forest cover 2011]]</f>
        <v>3.1859436015313955E-3</v>
      </c>
      <c r="AK141" s="6">
        <f>Tabla2[[#This Row],[Deforestation 2016]]/Tabla2[[#This Row],[Forest cover 2011]]</f>
        <v>3.4893668016772418E-3</v>
      </c>
      <c r="AL141" s="6">
        <f>Tabla2[[#This Row],[Deforestation 2017]]/Tabla2[[#This Row],[Forest cover 2011]]</f>
        <v>1.7574322747943287E-3</v>
      </c>
      <c r="AM141" s="6">
        <f>Tabla2[[#This Row],[Deforestation 2018]]/Tabla2[[#This Row],[Forest cover 2011]]</f>
        <v>5.1460829722214784E-3</v>
      </c>
      <c r="AN141" s="6">
        <f>Tabla2[[#This Row],[Deforestation 2019]]/Tabla2[[#This Row],[Forest cover 2011]]</f>
        <v>6.275633204697195E-3</v>
      </c>
      <c r="AO141" s="6">
        <f>Tabla2[[#This Row],[Deforestation 2020]]/Tabla2[[#This Row],[Forest cover 2011]]</f>
        <v>9.6814948819645506E-3</v>
      </c>
      <c r="AP141" s="6">
        <f>Tabla2[[#This Row],[Deforestation 2021]]/Tabla2[[#This Row],[Forest cover 2011]]</f>
        <v>6.9411244251851457E-3</v>
      </c>
      <c r="AQ141" s="6">
        <f>Tabla2[[#This Row],[Deforestation 2022]]/Tabla2[[#This Row],[Forest cover 2011]]</f>
        <v>4.0668907918708078E-4</v>
      </c>
      <c r="AR141" s="6">
        <f>Tabla2[[#This Row],[Deforestation 2023]]/Tabla2[[#This Row],[Forest cover 2011]]</f>
        <v>4.5308860594887958E-2</v>
      </c>
      <c r="AS141" s="6">
        <f>Tabla2[[#This Row],[Deforestation 2024]]/Tabla2[[#This Row],[Forest cover 2011]]</f>
        <v>4.5258502542762907E-3</v>
      </c>
      <c r="AT141" s="6">
        <f>Tabla2[[#This Row],[Forest Loss 2012]]/Tabla2[[#This Row],[Forest cover 2011]]</f>
        <v>2.7410079004771904E-3</v>
      </c>
      <c r="AU141" s="6">
        <f>Tabla2[[#This Row],[Forest Loss 2013]]/Tabla2[[#This Row],[Forest cover 2011]]</f>
        <v>2.7371832382904779E-3</v>
      </c>
      <c r="AV141" s="6">
        <f>Tabla2[[#This Row],[Forest Loss 2014]]/Tabla2[[#This Row],[Forest cover 2011]]</f>
        <v>4.6527015501355842E-3</v>
      </c>
      <c r="AW141" s="6">
        <f>Tabla2[[#This Row],[Forest Loss 2015]]/Tabla2[[#This Row],[Forest cover 2011]]</f>
        <v>3.331280764626464E-3</v>
      </c>
      <c r="AX141" s="6">
        <f>Tabla2[[#This Row],[Forest Loss 2016]]/Tabla2[[#This Row],[Forest cover 2011]]</f>
        <v>3.5715970386915575E-3</v>
      </c>
      <c r="AY141" s="6">
        <f>Tabla2[[#This Row],[Forest Loss 2017]]/Tabla2[[#This Row],[Forest cover 2011]]</f>
        <v>1.7956788966614523E-3</v>
      </c>
      <c r="AZ141" s="6">
        <f>Tabla2[[#This Row],[Forest Loss 2018]]/Tabla2[[#This Row],[Forest cover 2011]]</f>
        <v>5.1843295940886026E-3</v>
      </c>
      <c r="BA141" s="6">
        <f>Tabla2[[#This Row],[Forest Loss 2019]]/Tabla2[[#This Row],[Forest cover 2011]]</f>
        <v>6.3833611896229265E-3</v>
      </c>
      <c r="BB141" s="6">
        <f>Tabla2[[#This Row],[Forest Loss 2020]]/Tabla2[[#This Row],[Forest cover 2011]]</f>
        <v>9.7688246685611498E-3</v>
      </c>
      <c r="BC141" s="6">
        <f>Tabla2[[#This Row],[Forest Loss 2021]]/Tabla2[[#This Row],[Forest cover 2011]]</f>
        <v>7.1068597866093472E-3</v>
      </c>
      <c r="BD141" s="6">
        <f>Tabla2[[#This Row],[Forest Loss 2022]]/Tabla2[[#This Row],[Forest cover 2011]]</f>
        <v>4.1943795314278864E-4</v>
      </c>
      <c r="BE141" s="6">
        <f>Tabla2[[#This Row],[Forest Loss 2023]]/Tabla2[[#This Row],[Forest cover 2011]]</f>
        <v>4.5537702882392915E-2</v>
      </c>
      <c r="BF141" s="6">
        <f>Tabla2[[#This Row],[Forest Loss 2024]]/Tabla2[[#This Row],[Forest cover 2011]]</f>
        <v>5.5253619724037872E-3</v>
      </c>
    </row>
    <row r="142" spans="1:58" x14ac:dyDescent="0.25">
      <c r="A142" s="2">
        <v>31101</v>
      </c>
      <c r="B142" s="3" t="s">
        <v>176</v>
      </c>
      <c r="C142" t="s">
        <v>205</v>
      </c>
      <c r="D142">
        <v>869.04</v>
      </c>
      <c r="E142" s="4">
        <f>AVERAGE(Tabla2[[#This Row],[Deforestation 2012]:[Deforestation 2014]])</f>
        <v>0</v>
      </c>
      <c r="F142" s="4">
        <f>AVERAGE(Tabla2[[#This Row],[Deforestation 2022]:[Deforestation 2024]])</f>
        <v>2.2200000000000002</v>
      </c>
      <c r="G142">
        <v>0</v>
      </c>
      <c r="H142">
        <v>0</v>
      </c>
      <c r="I142">
        <v>0</v>
      </c>
      <c r="J142">
        <v>0</v>
      </c>
      <c r="K142">
        <v>0.18</v>
      </c>
      <c r="L142">
        <v>0.27</v>
      </c>
      <c r="M142">
        <v>0</v>
      </c>
      <c r="N142">
        <v>0.18</v>
      </c>
      <c r="O142">
        <v>0.18</v>
      </c>
      <c r="P142">
        <v>0.45</v>
      </c>
      <c r="Q142">
        <v>2.25</v>
      </c>
      <c r="R142">
        <v>4.1399999999999997</v>
      </c>
      <c r="S142">
        <v>0.27</v>
      </c>
      <c r="T142">
        <v>1.62</v>
      </c>
      <c r="U142">
        <v>0.9</v>
      </c>
      <c r="V142">
        <v>26.1</v>
      </c>
      <c r="W142">
        <v>10.71</v>
      </c>
      <c r="X142">
        <v>14.94</v>
      </c>
      <c r="Y142">
        <v>20.97</v>
      </c>
      <c r="Z142">
        <v>17.28</v>
      </c>
      <c r="AA142">
        <v>15.66</v>
      </c>
      <c r="AB142">
        <v>9.18</v>
      </c>
      <c r="AC142">
        <v>0.45</v>
      </c>
      <c r="AD142">
        <v>3.06</v>
      </c>
      <c r="AE142">
        <v>8.2799999999999994</v>
      </c>
      <c r="AF142">
        <v>4.7699999999999996</v>
      </c>
      <c r="AG142" s="5">
        <f>Tabla2[[#This Row],[Deforestation 2012]]/Tabla2[[#This Row],[Forest cover 2011]]</f>
        <v>0</v>
      </c>
      <c r="AH142" s="6">
        <f>Tabla2[[#This Row],[Deforestation 2013]]/Tabla2[[#This Row],[Forest cover 2011]]</f>
        <v>0</v>
      </c>
      <c r="AI142" s="6">
        <f>Tabla2[[#This Row],[Deforestation 2014]]/Tabla2[[#This Row],[Forest cover 2011]]</f>
        <v>0</v>
      </c>
      <c r="AJ142" s="6">
        <f>Tabla2[[#This Row],[Deforestation 2015]]/Tabla2[[#This Row],[Forest cover 2011]]</f>
        <v>0</v>
      </c>
      <c r="AK142" s="6">
        <f>Tabla2[[#This Row],[Deforestation 2016]]/Tabla2[[#This Row],[Forest cover 2011]]</f>
        <v>2.0712510356255177E-4</v>
      </c>
      <c r="AL142" s="6">
        <f>Tabla2[[#This Row],[Deforestation 2017]]/Tabla2[[#This Row],[Forest cover 2011]]</f>
        <v>3.1068765534382768E-4</v>
      </c>
      <c r="AM142" s="6">
        <f>Tabla2[[#This Row],[Deforestation 2018]]/Tabla2[[#This Row],[Forest cover 2011]]</f>
        <v>0</v>
      </c>
      <c r="AN142" s="6">
        <f>Tabla2[[#This Row],[Deforestation 2019]]/Tabla2[[#This Row],[Forest cover 2011]]</f>
        <v>2.0712510356255177E-4</v>
      </c>
      <c r="AO142" s="6">
        <f>Tabla2[[#This Row],[Deforestation 2020]]/Tabla2[[#This Row],[Forest cover 2011]]</f>
        <v>2.0712510356255177E-4</v>
      </c>
      <c r="AP142" s="6">
        <f>Tabla2[[#This Row],[Deforestation 2021]]/Tabla2[[#This Row],[Forest cover 2011]]</f>
        <v>5.1781275890637945E-4</v>
      </c>
      <c r="AQ142" s="6">
        <f>Tabla2[[#This Row],[Deforestation 2022]]/Tabla2[[#This Row],[Forest cover 2011]]</f>
        <v>2.5890637945318973E-3</v>
      </c>
      <c r="AR142" s="6">
        <f>Tabla2[[#This Row],[Deforestation 2023]]/Tabla2[[#This Row],[Forest cover 2011]]</f>
        <v>4.7638773819386904E-3</v>
      </c>
      <c r="AS142" s="6">
        <f>Tabla2[[#This Row],[Deforestation 2024]]/Tabla2[[#This Row],[Forest cover 2011]]</f>
        <v>3.1068765534382768E-4</v>
      </c>
      <c r="AT142" s="6">
        <f>Tabla2[[#This Row],[Forest Loss 2012]]/Tabla2[[#This Row],[Forest cover 2011]]</f>
        <v>1.8641259320629662E-3</v>
      </c>
      <c r="AU142" s="6">
        <f>Tabla2[[#This Row],[Forest Loss 2013]]/Tabla2[[#This Row],[Forest cover 2011]]</f>
        <v>1.0356255178127589E-3</v>
      </c>
      <c r="AV142" s="6">
        <f>Tabla2[[#This Row],[Forest Loss 2014]]/Tabla2[[#This Row],[Forest cover 2011]]</f>
        <v>3.0033140016570013E-2</v>
      </c>
      <c r="AW142" s="6">
        <f>Tabla2[[#This Row],[Forest Loss 2015]]/Tabla2[[#This Row],[Forest cover 2011]]</f>
        <v>1.2323943661971832E-2</v>
      </c>
      <c r="AX142" s="6">
        <f>Tabla2[[#This Row],[Forest Loss 2016]]/Tabla2[[#This Row],[Forest cover 2011]]</f>
        <v>1.7191383595691799E-2</v>
      </c>
      <c r="AY142" s="6">
        <f>Tabla2[[#This Row],[Forest Loss 2017]]/Tabla2[[#This Row],[Forest cover 2011]]</f>
        <v>2.4130074565037282E-2</v>
      </c>
      <c r="AZ142" s="6">
        <f>Tabla2[[#This Row],[Forest Loss 2018]]/Tabla2[[#This Row],[Forest cover 2011]]</f>
        <v>1.9884009942004972E-2</v>
      </c>
      <c r="BA142" s="6">
        <f>Tabla2[[#This Row],[Forest Loss 2019]]/Tabla2[[#This Row],[Forest cover 2011]]</f>
        <v>1.8019884009942005E-2</v>
      </c>
      <c r="BB142" s="6">
        <f>Tabla2[[#This Row],[Forest Loss 2020]]/Tabla2[[#This Row],[Forest cover 2011]]</f>
        <v>1.0563380281690141E-2</v>
      </c>
      <c r="BC142" s="6">
        <f>Tabla2[[#This Row],[Forest Loss 2021]]/Tabla2[[#This Row],[Forest cover 2011]]</f>
        <v>5.1781275890637945E-4</v>
      </c>
      <c r="BD142" s="6">
        <f>Tabla2[[#This Row],[Forest Loss 2022]]/Tabla2[[#This Row],[Forest cover 2011]]</f>
        <v>3.5211267605633804E-3</v>
      </c>
      <c r="BE142" s="6">
        <f>Tabla2[[#This Row],[Forest Loss 2023]]/Tabla2[[#This Row],[Forest cover 2011]]</f>
        <v>9.5277547638773809E-3</v>
      </c>
      <c r="BF142" s="6">
        <f>Tabla2[[#This Row],[Forest Loss 2024]]/Tabla2[[#This Row],[Forest cover 2011]]</f>
        <v>5.4888152444076219E-3</v>
      </c>
    </row>
    <row r="143" spans="1:58" x14ac:dyDescent="0.25">
      <c r="A143" s="2">
        <v>90301</v>
      </c>
      <c r="B143" s="3" t="s">
        <v>384</v>
      </c>
      <c r="C143" t="s">
        <v>391</v>
      </c>
      <c r="D143">
        <v>109327.14</v>
      </c>
      <c r="E143" s="4">
        <f>AVERAGE(Tabla2[[#This Row],[Deforestation 2012]:[Deforestation 2014]])</f>
        <v>231.05999999999997</v>
      </c>
      <c r="F143" s="4">
        <f>AVERAGE(Tabla2[[#This Row],[Deforestation 2022]:[Deforestation 2024]])</f>
        <v>271.02</v>
      </c>
      <c r="G143">
        <v>264.77999999999997</v>
      </c>
      <c r="H143">
        <v>183.24</v>
      </c>
      <c r="I143">
        <v>245.16</v>
      </c>
      <c r="J143">
        <v>192.6</v>
      </c>
      <c r="K143">
        <v>271.70999999999998</v>
      </c>
      <c r="L143">
        <v>411.75</v>
      </c>
      <c r="M143">
        <v>156.15</v>
      </c>
      <c r="N143">
        <v>99.45</v>
      </c>
      <c r="O143">
        <v>231.39</v>
      </c>
      <c r="P143">
        <v>571.95000000000005</v>
      </c>
      <c r="Q143">
        <v>171.09</v>
      </c>
      <c r="R143">
        <v>224.46</v>
      </c>
      <c r="S143">
        <v>417.51</v>
      </c>
      <c r="T143">
        <v>1185.21</v>
      </c>
      <c r="U143">
        <v>558.17999999999995</v>
      </c>
      <c r="V143">
        <v>1971.99</v>
      </c>
      <c r="W143">
        <v>568.26</v>
      </c>
      <c r="X143">
        <v>504.54</v>
      </c>
      <c r="Y143">
        <v>640.62</v>
      </c>
      <c r="Z143">
        <v>328.68</v>
      </c>
      <c r="AA143">
        <v>350.01</v>
      </c>
      <c r="AB143">
        <v>467.64</v>
      </c>
      <c r="AC143">
        <v>732.42000000000007</v>
      </c>
      <c r="AD143">
        <v>231.12</v>
      </c>
      <c r="AE143">
        <v>547.74</v>
      </c>
      <c r="AF143">
        <v>597.51</v>
      </c>
      <c r="AG143" s="5">
        <f>Tabla2[[#This Row],[Deforestation 2012]]/Tabla2[[#This Row],[Forest cover 2011]]</f>
        <v>2.421905484768009E-3</v>
      </c>
      <c r="AH143" s="6">
        <f>Tabla2[[#This Row],[Deforestation 2013]]/Tabla2[[#This Row],[Forest cover 2011]]</f>
        <v>1.6760705530209608E-3</v>
      </c>
      <c r="AI143" s="6">
        <f>Tabla2[[#This Row],[Deforestation 2014]]/Tabla2[[#This Row],[Forest cover 2011]]</f>
        <v>2.2424440994249003E-3</v>
      </c>
      <c r="AJ143" s="6">
        <f>Tabla2[[#This Row],[Deforestation 2015]]/Tabla2[[#This Row],[Forest cover 2011]]</f>
        <v>1.761685158872719E-3</v>
      </c>
      <c r="AK143" s="6">
        <f>Tabla2[[#This Row],[Deforestation 2016]]/Tabla2[[#This Row],[Forest cover 2011]]</f>
        <v>2.4852932217928683E-3</v>
      </c>
      <c r="AL143" s="6">
        <f>Tabla2[[#This Row],[Deforestation 2017]]/Tabla2[[#This Row],[Forest cover 2011]]</f>
        <v>3.7662194401134066E-3</v>
      </c>
      <c r="AM143" s="6">
        <f>Tabla2[[#This Row],[Deforestation 2018]]/Tabla2[[#This Row],[Forest cover 2011]]</f>
        <v>1.4282821264692373E-3</v>
      </c>
      <c r="AN143" s="6">
        <f>Tabla2[[#This Row],[Deforestation 2019]]/Tabla2[[#This Row],[Forest cover 2011]]</f>
        <v>9.0965518717493212E-4</v>
      </c>
      <c r="AO143" s="6">
        <f>Tabla2[[#This Row],[Deforestation 2020]]/Tabla2[[#This Row],[Forest cover 2011]]</f>
        <v>2.1164918427391405E-3</v>
      </c>
      <c r="AP143" s="6">
        <f>Tabla2[[#This Row],[Deforestation 2021]]/Tabla2[[#This Row],[Forest cover 2011]]</f>
        <v>5.2315463479608087E-3</v>
      </c>
      <c r="AQ143" s="6">
        <f>Tabla2[[#This Row],[Deforestation 2022]]/Tabla2[[#This Row],[Forest cover 2011]]</f>
        <v>1.5649362088864668E-3</v>
      </c>
      <c r="AR143" s="6">
        <f>Tabla2[[#This Row],[Deforestation 2023]]/Tabla2[[#This Row],[Forest cover 2011]]</f>
        <v>2.0531041057142811E-3</v>
      </c>
      <c r="AS143" s="6">
        <f>Tabla2[[#This Row],[Deforestation 2024]]/Tabla2[[#This Row],[Forest cover 2011]]</f>
        <v>3.8189053514067961E-3</v>
      </c>
      <c r="AT143" s="6">
        <f>Tabla2[[#This Row],[Forest Loss 2012]]/Tabla2[[#This Row],[Forest cover 2011]]</f>
        <v>1.0840949465978897E-2</v>
      </c>
      <c r="AU143" s="6">
        <f>Tabla2[[#This Row],[Forest Loss 2013]]/Tabla2[[#This Row],[Forest cover 2011]]</f>
        <v>5.105594091275048E-3</v>
      </c>
      <c r="AV143" s="6">
        <f>Tabla2[[#This Row],[Forest Loss 2014]]/Tabla2[[#This Row],[Forest cover 2011]]</f>
        <v>1.803751566171035E-2</v>
      </c>
      <c r="AW143" s="6">
        <f>Tabla2[[#This Row],[Forest Loss 2015]]/Tabla2[[#This Row],[Forest cover 2011]]</f>
        <v>5.19779443603848E-3</v>
      </c>
      <c r="AX143" s="6">
        <f>Tabla2[[#This Row],[Forest Loss 2016]]/Tabla2[[#This Row],[Forest cover 2011]]</f>
        <v>4.6149565423553567E-3</v>
      </c>
      <c r="AY143" s="6">
        <f>Tabla2[[#This Row],[Forest Loss 2017]]/Tabla2[[#This Row],[Forest cover 2011]]</f>
        <v>5.8596611966616891E-3</v>
      </c>
      <c r="AZ143" s="6">
        <f>Tabla2[[#This Row],[Forest Loss 2018]]/Tabla2[[#This Row],[Forest cover 2011]]</f>
        <v>3.0063898131790514E-3</v>
      </c>
      <c r="BA143" s="6">
        <f>Tabla2[[#This Row],[Forest Loss 2019]]/Tabla2[[#This Row],[Forest cover 2011]]</f>
        <v>3.2014923284373852E-3</v>
      </c>
      <c r="BB143" s="6">
        <f>Tabla2[[#This Row],[Forest Loss 2020]]/Tabla2[[#This Row],[Forest cover 2011]]</f>
        <v>4.2774374231320782E-3</v>
      </c>
      <c r="BC143" s="6">
        <f>Tabla2[[#This Row],[Forest Loss 2021]]/Tabla2[[#This Row],[Forest cover 2011]]</f>
        <v>6.6993429079000881E-3</v>
      </c>
      <c r="BD143" s="6">
        <f>Tabla2[[#This Row],[Forest Loss 2022]]/Tabla2[[#This Row],[Forest cover 2011]]</f>
        <v>2.1140221906472629E-3</v>
      </c>
      <c r="BE143" s="6">
        <f>Tabla2[[#This Row],[Forest Loss 2023]]/Tabla2[[#This Row],[Forest cover 2011]]</f>
        <v>5.0101008770557795E-3</v>
      </c>
      <c r="BF143" s="6">
        <f>Tabla2[[#This Row],[Forest Loss 2024]]/Tabla2[[#This Row],[Forest cover 2011]]</f>
        <v>5.4653400793252252E-3</v>
      </c>
    </row>
    <row r="144" spans="1:58" x14ac:dyDescent="0.25">
      <c r="A144" s="2">
        <v>71401</v>
      </c>
      <c r="B144" s="3" t="s">
        <v>310</v>
      </c>
      <c r="C144" t="s">
        <v>360</v>
      </c>
      <c r="D144">
        <v>959463.72</v>
      </c>
      <c r="E144" s="4">
        <f>AVERAGE(Tabla2[[#This Row],[Deforestation 2012]:[Deforestation 2014]])</f>
        <v>1974.51</v>
      </c>
      <c r="F144" s="4">
        <f>AVERAGE(Tabla2[[#This Row],[Deforestation 2022]:[Deforestation 2024]])</f>
        <v>2528.0700000000002</v>
      </c>
      <c r="G144">
        <v>1895.49</v>
      </c>
      <c r="H144">
        <v>2268</v>
      </c>
      <c r="I144">
        <v>1760.04</v>
      </c>
      <c r="J144">
        <v>3131.64</v>
      </c>
      <c r="K144">
        <v>2266.92</v>
      </c>
      <c r="L144">
        <v>9053.4599999999991</v>
      </c>
      <c r="M144">
        <v>6057.45</v>
      </c>
      <c r="N144">
        <v>4506.4799999999996</v>
      </c>
      <c r="O144">
        <v>1439.73</v>
      </c>
      <c r="P144">
        <v>2540.79</v>
      </c>
      <c r="Q144">
        <v>2586.69</v>
      </c>
      <c r="R144">
        <v>1984.86</v>
      </c>
      <c r="S144">
        <v>3012.66</v>
      </c>
      <c r="T144">
        <v>2914.74</v>
      </c>
      <c r="U144">
        <v>3950.46</v>
      </c>
      <c r="V144">
        <v>3979.71</v>
      </c>
      <c r="W144">
        <v>4850.7299999999996</v>
      </c>
      <c r="X144">
        <v>3031.92</v>
      </c>
      <c r="Y144">
        <v>9565.02</v>
      </c>
      <c r="Z144">
        <v>6533.01</v>
      </c>
      <c r="AA144">
        <v>5550.9299999999994</v>
      </c>
      <c r="AB144">
        <v>2380.9499999999998</v>
      </c>
      <c r="AC144">
        <v>5156.91</v>
      </c>
      <c r="AD144">
        <v>2815.83</v>
      </c>
      <c r="AE144">
        <v>2310.84</v>
      </c>
      <c r="AF144">
        <v>5229</v>
      </c>
      <c r="AG144" s="5">
        <f>Tabla2[[#This Row],[Deforestation 2012]]/Tabla2[[#This Row],[Forest cover 2011]]</f>
        <v>1.9755723541063125E-3</v>
      </c>
      <c r="AH144" s="6">
        <f>Tabla2[[#This Row],[Deforestation 2013]]/Tabla2[[#This Row],[Forest cover 2011]]</f>
        <v>2.363820489220791E-3</v>
      </c>
      <c r="AI144" s="6">
        <f>Tabla2[[#This Row],[Deforestation 2014]]/Tabla2[[#This Row],[Forest cover 2011]]</f>
        <v>1.8343997415556266E-3</v>
      </c>
      <c r="AJ144" s="6">
        <f>Tabla2[[#This Row],[Deforestation 2015]]/Tabla2[[#This Row],[Forest cover 2011]]</f>
        <v>3.2639483231320095E-3</v>
      </c>
      <c r="AK144" s="6">
        <f>Tabla2[[#This Row],[Deforestation 2016]]/Tabla2[[#This Row],[Forest cover 2011]]</f>
        <v>2.3626948604164003E-3</v>
      </c>
      <c r="AL144" s="6">
        <f>Tabla2[[#This Row],[Deforestation 2017]]/Tabla2[[#This Row],[Forest cover 2011]]</f>
        <v>9.4359586624077861E-3</v>
      </c>
      <c r="AM144" s="6">
        <f>Tabla2[[#This Row],[Deforestation 2018]]/Tabla2[[#This Row],[Forest cover 2011]]</f>
        <v>6.3133705566271962E-3</v>
      </c>
      <c r="AN144" s="6">
        <f>Tabla2[[#This Row],[Deforestation 2019]]/Tabla2[[#This Row],[Forest cover 2011]]</f>
        <v>4.6968737911215648E-3</v>
      </c>
      <c r="AO144" s="6">
        <f>Tabla2[[#This Row],[Deforestation 2020]]/Tabla2[[#This Row],[Forest cover 2011]]</f>
        <v>1.5005569986533728E-3</v>
      </c>
      <c r="AP144" s="6">
        <f>Tabla2[[#This Row],[Deforestation 2021]]/Tabla2[[#This Row],[Forest cover 2011]]</f>
        <v>2.6481355647298473E-3</v>
      </c>
      <c r="AQ144" s="6">
        <f>Tabla2[[#This Row],[Deforestation 2022]]/Tabla2[[#This Row],[Forest cover 2011]]</f>
        <v>2.6959747889164585E-3</v>
      </c>
      <c r="AR144" s="6">
        <f>Tabla2[[#This Row],[Deforestation 2023]]/Tabla2[[#This Row],[Forest cover 2011]]</f>
        <v>2.0687181376696558E-3</v>
      </c>
      <c r="AS144" s="6">
        <f>Tabla2[[#This Row],[Deforestation 2024]]/Tabla2[[#This Row],[Forest cover 2011]]</f>
        <v>3.1399415498482839E-3</v>
      </c>
      <c r="AT144" s="6">
        <f>Tabla2[[#This Row],[Forest Loss 2012]]/Tabla2[[#This Row],[Forest cover 2011]]</f>
        <v>3.0378845382501799E-3</v>
      </c>
      <c r="AU144" s="6">
        <f>Tabla2[[#This Row],[Forest Loss 2013]]/Tabla2[[#This Row],[Forest cover 2011]]</f>
        <v>4.1173625616610079E-3</v>
      </c>
      <c r="AV144" s="6">
        <f>Tabla2[[#This Row],[Forest Loss 2014]]/Tabla2[[#This Row],[Forest cover 2011]]</f>
        <v>4.1478483417799273E-3</v>
      </c>
      <c r="AW144" s="6">
        <f>Tabla2[[#This Row],[Forest Loss 2015]]/Tabla2[[#This Row],[Forest cover 2011]]</f>
        <v>5.0556679725211493E-3</v>
      </c>
      <c r="AX144" s="6">
        <f>Tabla2[[#This Row],[Forest Loss 2016]]/Tabla2[[#This Row],[Forest cover 2011]]</f>
        <v>3.1600152635265877E-3</v>
      </c>
      <c r="AY144" s="6">
        <f>Tabla2[[#This Row],[Forest Loss 2017]]/Tabla2[[#This Row],[Forest cover 2011]]</f>
        <v>9.9691315060875894E-3</v>
      </c>
      <c r="AZ144" s="6">
        <f>Tabla2[[#This Row],[Forest Loss 2018]]/Tabla2[[#This Row],[Forest cover 2011]]</f>
        <v>6.809022440160635E-3</v>
      </c>
      <c r="BA144" s="6">
        <f>Tabla2[[#This Row],[Forest Loss 2019]]/Tabla2[[#This Row],[Forest cover 2011]]</f>
        <v>5.7854506473678851E-3</v>
      </c>
      <c r="BB144" s="6">
        <f>Tabla2[[#This Row],[Forest Loss 2020]]/Tabla2[[#This Row],[Forest cover 2011]]</f>
        <v>2.4815425016800007E-3</v>
      </c>
      <c r="BC144" s="6">
        <f>Tabla2[[#This Row],[Forest Loss 2021]]/Tabla2[[#This Row],[Forest cover 2011]]</f>
        <v>5.3747837385659568E-3</v>
      </c>
      <c r="BD144" s="6">
        <f>Tabla2[[#This Row],[Forest Loss 2022]]/Tabla2[[#This Row],[Forest cover 2011]]</f>
        <v>2.934795700248051E-3</v>
      </c>
      <c r="BE144" s="6">
        <f>Tabla2[[#This Row],[Forest Loss 2023]]/Tabla2[[#This Row],[Forest cover 2011]]</f>
        <v>2.4084704317949616E-3</v>
      </c>
      <c r="BF144" s="6">
        <f>Tabla2[[#This Row],[Forest Loss 2024]]/Tabla2[[#This Row],[Forest cover 2011]]</f>
        <v>5.4499194612590458E-3</v>
      </c>
    </row>
    <row r="145" spans="1:58" x14ac:dyDescent="0.25">
      <c r="A145" s="2">
        <v>90104</v>
      </c>
      <c r="B145" s="3" t="s">
        <v>384</v>
      </c>
      <c r="C145" t="s">
        <v>388</v>
      </c>
      <c r="D145">
        <v>481176.99</v>
      </c>
      <c r="E145" s="4">
        <f>AVERAGE(Tabla2[[#This Row],[Deforestation 2012]:[Deforestation 2014]])</f>
        <v>1364.6100000000001</v>
      </c>
      <c r="F145" s="4">
        <f>AVERAGE(Tabla2[[#This Row],[Deforestation 2022]:[Deforestation 2024]])</f>
        <v>1668.0900000000001</v>
      </c>
      <c r="G145">
        <v>1360.71</v>
      </c>
      <c r="H145">
        <v>1752.39</v>
      </c>
      <c r="I145">
        <v>980.73</v>
      </c>
      <c r="J145">
        <v>1263.8699999999999</v>
      </c>
      <c r="K145">
        <v>1808.46</v>
      </c>
      <c r="L145">
        <v>2225.25</v>
      </c>
      <c r="M145">
        <v>1820.88</v>
      </c>
      <c r="N145">
        <v>1024.6500000000001</v>
      </c>
      <c r="O145">
        <v>1629.09</v>
      </c>
      <c r="P145">
        <v>3184.56</v>
      </c>
      <c r="Q145">
        <v>625.14</v>
      </c>
      <c r="R145">
        <v>2086.38</v>
      </c>
      <c r="S145">
        <v>2292.75</v>
      </c>
      <c r="T145">
        <v>1575.63</v>
      </c>
      <c r="U145">
        <v>2038.23</v>
      </c>
      <c r="V145">
        <v>1196.55</v>
      </c>
      <c r="W145">
        <v>1455.39</v>
      </c>
      <c r="X145">
        <v>1941.84</v>
      </c>
      <c r="Y145">
        <v>2283.21</v>
      </c>
      <c r="Z145">
        <v>1912.86</v>
      </c>
      <c r="AA145">
        <v>1122.21</v>
      </c>
      <c r="AB145">
        <v>1887.48</v>
      </c>
      <c r="AC145">
        <v>3295.26</v>
      </c>
      <c r="AD145">
        <v>655.92000000000007</v>
      </c>
      <c r="AE145">
        <v>2310.12</v>
      </c>
      <c r="AF145">
        <v>2428.92</v>
      </c>
      <c r="AG145" s="5">
        <f>Tabla2[[#This Row],[Deforestation 2012]]/Tabla2[[#This Row],[Forest cover 2011]]</f>
        <v>2.8278783655053832E-3</v>
      </c>
      <c r="AH145" s="6">
        <f>Tabla2[[#This Row],[Deforestation 2013]]/Tabla2[[#This Row],[Forest cover 2011]]</f>
        <v>3.6418823767944519E-3</v>
      </c>
      <c r="AI145" s="6">
        <f>Tabla2[[#This Row],[Deforestation 2014]]/Tabla2[[#This Row],[Forest cover 2011]]</f>
        <v>2.0381897313917693E-3</v>
      </c>
      <c r="AJ145" s="6">
        <f>Tabla2[[#This Row],[Deforestation 2015]]/Tabla2[[#This Row],[Forest cover 2011]]</f>
        <v>2.6266218590377732E-3</v>
      </c>
      <c r="AK145" s="6">
        <f>Tabla2[[#This Row],[Deforestation 2016]]/Tabla2[[#This Row],[Forest cover 2011]]</f>
        <v>3.7584091458737461E-3</v>
      </c>
      <c r="AL145" s="6">
        <f>Tabla2[[#This Row],[Deforestation 2017]]/Tabla2[[#This Row],[Forest cover 2011]]</f>
        <v>4.6245976974085981E-3</v>
      </c>
      <c r="AM145" s="6">
        <f>Tabla2[[#This Row],[Deforestation 2018]]/Tabla2[[#This Row],[Forest cover 2011]]</f>
        <v>3.784220853952306E-3</v>
      </c>
      <c r="AN145" s="6">
        <f>Tabla2[[#This Row],[Deforestation 2019]]/Tabla2[[#This Row],[Forest cover 2011]]</f>
        <v>2.1294659164811688E-3</v>
      </c>
      <c r="AO145" s="6">
        <f>Tabla2[[#This Row],[Deforestation 2020]]/Tabla2[[#This Row],[Forest cover 2011]]</f>
        <v>3.3856357096377363E-3</v>
      </c>
      <c r="AP145" s="6">
        <f>Tabla2[[#This Row],[Deforestation 2021]]/Tabla2[[#This Row],[Forest cover 2011]]</f>
        <v>6.6182715844329961E-3</v>
      </c>
      <c r="AQ145" s="6">
        <f>Tabla2[[#This Row],[Deforestation 2022]]/Tabla2[[#This Row],[Forest cover 2011]]</f>
        <v>1.299189306620834E-3</v>
      </c>
      <c r="AR145" s="6">
        <f>Tabla2[[#This Row],[Deforestation 2023]]/Tabla2[[#This Row],[Forest cover 2011]]</f>
        <v>4.3359928744722397E-3</v>
      </c>
      <c r="AS145" s="6">
        <f>Tabla2[[#This Row],[Deforestation 2024]]/Tabla2[[#This Row],[Forest cover 2011]]</f>
        <v>4.764878719574683E-3</v>
      </c>
      <c r="AT145" s="6">
        <f>Tabla2[[#This Row],[Forest Loss 2012]]/Tabla2[[#This Row],[Forest cover 2011]]</f>
        <v>3.2745331400821976E-3</v>
      </c>
      <c r="AU145" s="6">
        <f>Tabla2[[#This Row],[Forest Loss 2013]]/Tabla2[[#This Row],[Forest cover 2011]]</f>
        <v>4.2359257453270993E-3</v>
      </c>
      <c r="AV145" s="6">
        <f>Tabla2[[#This Row],[Forest Loss 2014]]/Tabla2[[#This Row],[Forest cover 2011]]</f>
        <v>2.4867149195974647E-3</v>
      </c>
      <c r="AW145" s="6">
        <f>Tabla2[[#This Row],[Forest Loss 2015]]/Tabla2[[#This Row],[Forest cover 2011]]</f>
        <v>3.0246458792636782E-3</v>
      </c>
      <c r="AX145" s="6">
        <f>Tabla2[[#This Row],[Forest Loss 2016]]/Tabla2[[#This Row],[Forest cover 2011]]</f>
        <v>4.03560444567393E-3</v>
      </c>
      <c r="AY145" s="6">
        <f>Tabla2[[#This Row],[Forest Loss 2017]]/Tabla2[[#This Row],[Forest cover 2011]]</f>
        <v>4.7450523351085429E-3</v>
      </c>
      <c r="AZ145" s="6">
        <f>Tabla2[[#This Row],[Forest Loss 2018]]/Tabla2[[#This Row],[Forest cover 2011]]</f>
        <v>3.9753771268239571E-3</v>
      </c>
      <c r="BA145" s="6">
        <f>Tabla2[[#This Row],[Forest Loss 2019]]/Tabla2[[#This Row],[Forest cover 2011]]</f>
        <v>2.3322187538518833E-3</v>
      </c>
      <c r="BB145" s="6">
        <f>Tabla2[[#This Row],[Forest Loss 2020]]/Tabla2[[#This Row],[Forest cover 2011]]</f>
        <v>3.9226314624895096E-3</v>
      </c>
      <c r="BC145" s="6">
        <f>Tabla2[[#This Row],[Forest Loss 2021]]/Tabla2[[#This Row],[Forest cover 2011]]</f>
        <v>6.8483324607853764E-3</v>
      </c>
      <c r="BD145" s="6">
        <f>Tabla2[[#This Row],[Forest Loss 2022]]/Tabla2[[#This Row],[Forest cover 2011]]</f>
        <v>1.3631574527285689E-3</v>
      </c>
      <c r="BE145" s="6">
        <f>Tabla2[[#This Row],[Forest Loss 2023]]/Tabla2[[#This Row],[Forest cover 2011]]</f>
        <v>4.8009777026120888E-3</v>
      </c>
      <c r="BF145" s="6">
        <f>Tabla2[[#This Row],[Forest Loss 2024]]/Tabla2[[#This Row],[Forest cover 2011]]</f>
        <v>5.0478723016243983E-3</v>
      </c>
    </row>
    <row r="146" spans="1:58" x14ac:dyDescent="0.25">
      <c r="A146" s="2">
        <v>70705</v>
      </c>
      <c r="B146" s="3" t="s">
        <v>310</v>
      </c>
      <c r="C146" t="s">
        <v>335</v>
      </c>
      <c r="D146">
        <v>244483.65</v>
      </c>
      <c r="E146" s="4">
        <f>AVERAGE(Tabla2[[#This Row],[Deforestation 2012]:[Deforestation 2014]])</f>
        <v>2226.5700000000002</v>
      </c>
      <c r="F146" s="4">
        <f>AVERAGE(Tabla2[[#This Row],[Deforestation 2022]:[Deforestation 2024]])</f>
        <v>1662.2699999999998</v>
      </c>
      <c r="G146">
        <v>3366.63</v>
      </c>
      <c r="H146">
        <v>2041.74</v>
      </c>
      <c r="I146">
        <v>1271.3399999999999</v>
      </c>
      <c r="J146">
        <v>1274.04</v>
      </c>
      <c r="K146">
        <v>1196.3699999999999</v>
      </c>
      <c r="L146">
        <v>975.51</v>
      </c>
      <c r="M146">
        <v>1556.55</v>
      </c>
      <c r="N146">
        <v>1402.38</v>
      </c>
      <c r="O146">
        <v>1069.6500000000001</v>
      </c>
      <c r="P146">
        <v>1287.3599999999999</v>
      </c>
      <c r="Q146">
        <v>1477.26</v>
      </c>
      <c r="R146">
        <v>2315.0700000000002</v>
      </c>
      <c r="S146">
        <v>1194.48</v>
      </c>
      <c r="T146">
        <v>3554.01</v>
      </c>
      <c r="U146">
        <v>2156.67</v>
      </c>
      <c r="V146">
        <v>1584.09</v>
      </c>
      <c r="W146">
        <v>1337.13</v>
      </c>
      <c r="X146">
        <v>1277.3699999999999</v>
      </c>
      <c r="Y146">
        <v>1036.8900000000001</v>
      </c>
      <c r="Z146">
        <v>1638.27</v>
      </c>
      <c r="AA146">
        <v>1499.85</v>
      </c>
      <c r="AB146">
        <v>1120.77</v>
      </c>
      <c r="AC146">
        <v>1403.55</v>
      </c>
      <c r="AD146">
        <v>1509.93</v>
      </c>
      <c r="AE146">
        <v>2467.8000000000002</v>
      </c>
      <c r="AF146">
        <v>1229.76</v>
      </c>
      <c r="AG146" s="5">
        <f>Tabla2[[#This Row],[Deforestation 2012]]/Tabla2[[#This Row],[Forest cover 2011]]</f>
        <v>1.3770368693366612E-2</v>
      </c>
      <c r="AH146" s="6">
        <f>Tabla2[[#This Row],[Deforestation 2013]]/Tabla2[[#This Row],[Forest cover 2011]]</f>
        <v>8.3512333033313266E-3</v>
      </c>
      <c r="AI146" s="6">
        <f>Tabla2[[#This Row],[Deforestation 2014]]/Tabla2[[#This Row],[Forest cover 2011]]</f>
        <v>5.2001023381318132E-3</v>
      </c>
      <c r="AJ146" s="6">
        <f>Tabla2[[#This Row],[Deforestation 2015]]/Tabla2[[#This Row],[Forest cover 2011]]</f>
        <v>5.2111460214210644E-3</v>
      </c>
      <c r="AK146" s="6">
        <f>Tabla2[[#This Row],[Deforestation 2016]]/Tabla2[[#This Row],[Forest cover 2011]]</f>
        <v>4.8934560654669539E-3</v>
      </c>
      <c r="AL146" s="6">
        <f>Tabla2[[#This Row],[Deforestation 2017]]/Tabla2[[#This Row],[Forest cover 2011]]</f>
        <v>3.9900827724062534E-3</v>
      </c>
      <c r="AM146" s="6">
        <f>Tabla2[[#This Row],[Deforestation 2018]]/Tabla2[[#This Row],[Forest cover 2011]]</f>
        <v>6.3666834162529884E-3</v>
      </c>
      <c r="AN146" s="6">
        <f>Tabla2[[#This Row],[Deforestation 2019]]/Tabla2[[#This Row],[Forest cover 2011]]</f>
        <v>5.7360891004367785E-3</v>
      </c>
      <c r="AO146" s="6">
        <f>Tabla2[[#This Row],[Deforestation 2020]]/Tabla2[[#This Row],[Forest cover 2011]]</f>
        <v>4.3751391964247923E-3</v>
      </c>
      <c r="AP146" s="6">
        <f>Tabla2[[#This Row],[Deforestation 2021]]/Tabla2[[#This Row],[Forest cover 2011]]</f>
        <v>5.2656281923147003E-3</v>
      </c>
      <c r="AQ146" s="6">
        <f>Tabla2[[#This Row],[Deforestation 2022]]/Tabla2[[#This Row],[Forest cover 2011]]</f>
        <v>6.0423672503253289E-3</v>
      </c>
      <c r="AR146" s="6">
        <f>Tabla2[[#This Row],[Deforestation 2023]]/Tabla2[[#This Row],[Forest cover 2011]]</f>
        <v>9.4692221749798008E-3</v>
      </c>
      <c r="AS146" s="6">
        <f>Tabla2[[#This Row],[Deforestation 2024]]/Tabla2[[#This Row],[Forest cover 2011]]</f>
        <v>4.8857254871644794E-3</v>
      </c>
      <c r="AT146" s="6">
        <f>Tabla2[[#This Row],[Forest Loss 2012]]/Tabla2[[#This Row],[Forest cover 2011]]</f>
        <v>1.4536800313640607E-2</v>
      </c>
      <c r="AU146" s="6">
        <f>Tabla2[[#This Row],[Forest Loss 2013]]/Tabla2[[#This Row],[Forest cover 2011]]</f>
        <v>8.821326088677096E-3</v>
      </c>
      <c r="AV146" s="6">
        <f>Tabla2[[#This Row],[Forest Loss 2014]]/Tabla2[[#This Row],[Forest cover 2011]]</f>
        <v>6.4793289858033447E-3</v>
      </c>
      <c r="AW146" s="6">
        <f>Tabla2[[#This Row],[Forest Loss 2015]]/Tabla2[[#This Row],[Forest cover 2011]]</f>
        <v>5.4692000876132209E-3</v>
      </c>
      <c r="AX146" s="6">
        <f>Tabla2[[#This Row],[Forest Loss 2016]]/Tabla2[[#This Row],[Forest cover 2011]]</f>
        <v>5.2247665641444729E-3</v>
      </c>
      <c r="AY146" s="6">
        <f>Tabla2[[#This Row],[Forest Loss 2017]]/Tabla2[[#This Row],[Forest cover 2011]]</f>
        <v>4.2411425058485512E-3</v>
      </c>
      <c r="AZ146" s="6">
        <f>Tabla2[[#This Row],[Forest Loss 2018]]/Tabla2[[#This Row],[Forest cover 2011]]</f>
        <v>6.7009388971409744E-3</v>
      </c>
      <c r="BA146" s="6">
        <f>Tabla2[[#This Row],[Forest Loss 2019]]/Tabla2[[#This Row],[Forest cover 2011]]</f>
        <v>6.1347660671787251E-3</v>
      </c>
      <c r="BB146" s="6">
        <f>Tabla2[[#This Row],[Forest Loss 2020]]/Tabla2[[#This Row],[Forest cover 2011]]</f>
        <v>4.5842329333679365E-3</v>
      </c>
      <c r="BC146" s="6">
        <f>Tabla2[[#This Row],[Forest Loss 2021]]/Tabla2[[#This Row],[Forest cover 2011]]</f>
        <v>5.740874696528786E-3</v>
      </c>
      <c r="BD146" s="6">
        <f>Tabla2[[#This Row],[Forest Loss 2022]]/Tabla2[[#This Row],[Forest cover 2011]]</f>
        <v>6.1759958181252612E-3</v>
      </c>
      <c r="BE146" s="6">
        <f>Tabla2[[#This Row],[Forest Loss 2023]]/Tabla2[[#This Row],[Forest cover 2011]]</f>
        <v>1.0093926526375077E-2</v>
      </c>
      <c r="BF146" s="6">
        <f>Tabla2[[#This Row],[Forest Loss 2024]]/Tabla2[[#This Row],[Forest cover 2011]]</f>
        <v>5.0300296154773541E-3</v>
      </c>
    </row>
    <row r="147" spans="1:58" x14ac:dyDescent="0.25">
      <c r="A147" s="2">
        <v>50403</v>
      </c>
      <c r="B147" s="3" t="s">
        <v>258</v>
      </c>
      <c r="C147" t="s">
        <v>271</v>
      </c>
      <c r="D147">
        <v>492.66</v>
      </c>
      <c r="E147" s="4">
        <f>AVERAGE(Tabla2[[#This Row],[Deforestation 2012]:[Deforestation 2014]])</f>
        <v>0.03</v>
      </c>
      <c r="F147" s="4">
        <f>AVERAGE(Tabla2[[#This Row],[Deforestation 2022]:[Deforestation 2024]])</f>
        <v>0.75</v>
      </c>
      <c r="G147">
        <v>0</v>
      </c>
      <c r="H147">
        <v>0.09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2.25</v>
      </c>
      <c r="S147">
        <v>0</v>
      </c>
      <c r="T147">
        <v>4.68</v>
      </c>
      <c r="U147">
        <v>3.69</v>
      </c>
      <c r="V147">
        <v>12.24</v>
      </c>
      <c r="W147">
        <v>0.63</v>
      </c>
      <c r="X147">
        <v>3.15</v>
      </c>
      <c r="Y147">
        <v>2.52</v>
      </c>
      <c r="Z147">
        <v>3.15</v>
      </c>
      <c r="AA147">
        <v>2.0699999999999998</v>
      </c>
      <c r="AB147">
        <v>10.17</v>
      </c>
      <c r="AC147">
        <v>0</v>
      </c>
      <c r="AD147">
        <v>0.27</v>
      </c>
      <c r="AE147">
        <v>3.42</v>
      </c>
      <c r="AF147">
        <v>2.4300000000000002</v>
      </c>
      <c r="AG147" s="5">
        <f>Tabla2[[#This Row],[Deforestation 2012]]/Tabla2[[#This Row],[Forest cover 2011]]</f>
        <v>0</v>
      </c>
      <c r="AH147" s="6">
        <f>Tabla2[[#This Row],[Deforestation 2013]]/Tabla2[[#This Row],[Forest cover 2011]]</f>
        <v>1.8268176835951772E-4</v>
      </c>
      <c r="AI147" s="6">
        <f>Tabla2[[#This Row],[Deforestation 2014]]/Tabla2[[#This Row],[Forest cover 2011]]</f>
        <v>0</v>
      </c>
      <c r="AJ147" s="6">
        <f>Tabla2[[#This Row],[Deforestation 2015]]/Tabla2[[#This Row],[Forest cover 2011]]</f>
        <v>0</v>
      </c>
      <c r="AK147" s="6">
        <f>Tabla2[[#This Row],[Deforestation 2016]]/Tabla2[[#This Row],[Forest cover 2011]]</f>
        <v>0</v>
      </c>
      <c r="AL147" s="6">
        <f>Tabla2[[#This Row],[Deforestation 2017]]/Tabla2[[#This Row],[Forest cover 2011]]</f>
        <v>0</v>
      </c>
      <c r="AM147" s="6">
        <f>Tabla2[[#This Row],[Deforestation 2018]]/Tabla2[[#This Row],[Forest cover 2011]]</f>
        <v>0</v>
      </c>
      <c r="AN147" s="6">
        <f>Tabla2[[#This Row],[Deforestation 2019]]/Tabla2[[#This Row],[Forest cover 2011]]</f>
        <v>0</v>
      </c>
      <c r="AO147" s="6">
        <f>Tabla2[[#This Row],[Deforestation 2020]]/Tabla2[[#This Row],[Forest cover 2011]]</f>
        <v>0</v>
      </c>
      <c r="AP147" s="6">
        <f>Tabla2[[#This Row],[Deforestation 2021]]/Tabla2[[#This Row],[Forest cover 2011]]</f>
        <v>0</v>
      </c>
      <c r="AQ147" s="6">
        <f>Tabla2[[#This Row],[Deforestation 2022]]/Tabla2[[#This Row],[Forest cover 2011]]</f>
        <v>0</v>
      </c>
      <c r="AR147" s="6">
        <f>Tabla2[[#This Row],[Deforestation 2023]]/Tabla2[[#This Row],[Forest cover 2011]]</f>
        <v>4.5670442089879425E-3</v>
      </c>
      <c r="AS147" s="6">
        <f>Tabla2[[#This Row],[Deforestation 2024]]/Tabla2[[#This Row],[Forest cover 2011]]</f>
        <v>0</v>
      </c>
      <c r="AT147" s="6">
        <f>Tabla2[[#This Row],[Forest Loss 2012]]/Tabla2[[#This Row],[Forest cover 2011]]</f>
        <v>9.4994519546949211E-3</v>
      </c>
      <c r="AU147" s="6">
        <f>Tabla2[[#This Row],[Forest Loss 2013]]/Tabla2[[#This Row],[Forest cover 2011]]</f>
        <v>7.4899525027402264E-3</v>
      </c>
      <c r="AV147" s="6">
        <f>Tabla2[[#This Row],[Forest Loss 2014]]/Tabla2[[#This Row],[Forest cover 2011]]</f>
        <v>2.4844720496894408E-2</v>
      </c>
      <c r="AW147" s="6">
        <f>Tabla2[[#This Row],[Forest Loss 2015]]/Tabla2[[#This Row],[Forest cover 2011]]</f>
        <v>1.2787723785166239E-3</v>
      </c>
      <c r="AX147" s="6">
        <f>Tabla2[[#This Row],[Forest Loss 2016]]/Tabla2[[#This Row],[Forest cover 2011]]</f>
        <v>6.3938618925831201E-3</v>
      </c>
      <c r="AY147" s="6">
        <f>Tabla2[[#This Row],[Forest Loss 2017]]/Tabla2[[#This Row],[Forest cover 2011]]</f>
        <v>5.1150895140664957E-3</v>
      </c>
      <c r="AZ147" s="6">
        <f>Tabla2[[#This Row],[Forest Loss 2018]]/Tabla2[[#This Row],[Forest cover 2011]]</f>
        <v>6.3938618925831201E-3</v>
      </c>
      <c r="BA147" s="6">
        <f>Tabla2[[#This Row],[Forest Loss 2019]]/Tabla2[[#This Row],[Forest cover 2011]]</f>
        <v>4.2016806722689074E-3</v>
      </c>
      <c r="BB147" s="6">
        <f>Tabla2[[#This Row],[Forest Loss 2020]]/Tabla2[[#This Row],[Forest cover 2011]]</f>
        <v>2.0643039824625502E-2</v>
      </c>
      <c r="BC147" s="6">
        <f>Tabla2[[#This Row],[Forest Loss 2021]]/Tabla2[[#This Row],[Forest cover 2011]]</f>
        <v>0</v>
      </c>
      <c r="BD147" s="6">
        <f>Tabla2[[#This Row],[Forest Loss 2022]]/Tabla2[[#This Row],[Forest cover 2011]]</f>
        <v>5.4804530507855317E-4</v>
      </c>
      <c r="BE147" s="6">
        <f>Tabla2[[#This Row],[Forest Loss 2023]]/Tabla2[[#This Row],[Forest cover 2011]]</f>
        <v>6.9419071976616733E-3</v>
      </c>
      <c r="BF147" s="6">
        <f>Tabla2[[#This Row],[Forest Loss 2024]]/Tabla2[[#This Row],[Forest cover 2011]]</f>
        <v>4.9324077457069786E-3</v>
      </c>
    </row>
    <row r="148" spans="1:58" x14ac:dyDescent="0.25">
      <c r="A148" s="2">
        <v>60303</v>
      </c>
      <c r="B148" s="3" t="s">
        <v>300</v>
      </c>
      <c r="C148" t="s">
        <v>305</v>
      </c>
      <c r="D148">
        <v>966590.19</v>
      </c>
      <c r="E148" s="4">
        <f>AVERAGE(Tabla2[[#This Row],[Deforestation 2012]:[Deforestation 2014]])</f>
        <v>2523.6</v>
      </c>
      <c r="F148" s="4">
        <f>AVERAGE(Tabla2[[#This Row],[Deforestation 2022]:[Deforestation 2024]])</f>
        <v>4266.75</v>
      </c>
      <c r="G148">
        <v>1496.52</v>
      </c>
      <c r="H148">
        <v>2952.54</v>
      </c>
      <c r="I148">
        <v>3121.74</v>
      </c>
      <c r="J148">
        <v>2583.81</v>
      </c>
      <c r="K148">
        <v>1856.97</v>
      </c>
      <c r="L148">
        <v>2099.34</v>
      </c>
      <c r="M148">
        <v>2839.23</v>
      </c>
      <c r="N148">
        <v>3976.29</v>
      </c>
      <c r="O148">
        <v>3502.8</v>
      </c>
      <c r="P148">
        <v>7490.52</v>
      </c>
      <c r="Q148">
        <v>4155.93</v>
      </c>
      <c r="R148">
        <v>4403.34</v>
      </c>
      <c r="S148">
        <v>4240.9799999999996</v>
      </c>
      <c r="T148">
        <v>2158.1999999999998</v>
      </c>
      <c r="U148">
        <v>3347.64</v>
      </c>
      <c r="V148">
        <v>4150.08</v>
      </c>
      <c r="W148">
        <v>2829.87</v>
      </c>
      <c r="X148">
        <v>1975.41</v>
      </c>
      <c r="Y148">
        <v>2167.4699999999998</v>
      </c>
      <c r="Z148">
        <v>3197.34</v>
      </c>
      <c r="AA148">
        <v>4435.74</v>
      </c>
      <c r="AB148">
        <v>3691.71</v>
      </c>
      <c r="AC148">
        <v>7623.54</v>
      </c>
      <c r="AD148">
        <v>4530.6900000000014</v>
      </c>
      <c r="AE148">
        <v>24164.82</v>
      </c>
      <c r="AF148">
        <v>4737.78</v>
      </c>
      <c r="AG148" s="5">
        <f>Tabla2[[#This Row],[Deforestation 2012]]/Tabla2[[#This Row],[Forest cover 2011]]</f>
        <v>1.5482466255942449E-3</v>
      </c>
      <c r="AH148" s="6">
        <f>Tabla2[[#This Row],[Deforestation 2013]]/Tabla2[[#This Row],[Forest cover 2011]]</f>
        <v>3.054593384606976E-3</v>
      </c>
      <c r="AI148" s="6">
        <f>Tabla2[[#This Row],[Deforestation 2014]]/Tabla2[[#This Row],[Forest cover 2011]]</f>
        <v>3.2296417161030776E-3</v>
      </c>
      <c r="AJ148" s="6">
        <f>Tabla2[[#This Row],[Deforestation 2015]]/Tabla2[[#This Row],[Forest cover 2011]]</f>
        <v>2.6731183770859501E-3</v>
      </c>
      <c r="AK148" s="6">
        <f>Tabla2[[#This Row],[Deforestation 2016]]/Tabla2[[#This Row],[Forest cover 2011]]</f>
        <v>1.9211554381697172E-3</v>
      </c>
      <c r="AL148" s="6">
        <f>Tabla2[[#This Row],[Deforestation 2017]]/Tabla2[[#This Row],[Forest cover 2011]]</f>
        <v>2.1719028619564206E-3</v>
      </c>
      <c r="AM148" s="6">
        <f>Tabla2[[#This Row],[Deforestation 2018]]/Tabla2[[#This Row],[Forest cover 2011]]</f>
        <v>2.9373668689933632E-3</v>
      </c>
      <c r="AN148" s="6">
        <f>Tabla2[[#This Row],[Deforestation 2019]]/Tabla2[[#This Row],[Forest cover 2011]]</f>
        <v>4.1137289009730172E-3</v>
      </c>
      <c r="AO148" s="6">
        <f>Tabla2[[#This Row],[Deforestation 2020]]/Tabla2[[#This Row],[Forest cover 2011]]</f>
        <v>3.6238729052278096E-3</v>
      </c>
      <c r="AP148" s="6">
        <f>Tabla2[[#This Row],[Deforestation 2021]]/Tabla2[[#This Row],[Forest cover 2011]]</f>
        <v>7.749426879658277E-3</v>
      </c>
      <c r="AQ148" s="6">
        <f>Tabla2[[#This Row],[Deforestation 2022]]/Tabla2[[#This Row],[Forest cover 2011]]</f>
        <v>4.2995780869656873E-3</v>
      </c>
      <c r="AR148" s="6">
        <f>Tabla2[[#This Row],[Deforestation 2023]]/Tabla2[[#This Row],[Forest cover 2011]]</f>
        <v>4.5555397163714239E-3</v>
      </c>
      <c r="AS148" s="6">
        <f>Tabla2[[#This Row],[Deforestation 2024]]/Tabla2[[#This Row],[Forest cover 2011]]</f>
        <v>4.3875678067868658E-3</v>
      </c>
      <c r="AT148" s="6">
        <f>Tabla2[[#This Row],[Forest Loss 2012]]/Tabla2[[#This Row],[Forest cover 2011]]</f>
        <v>2.2327973347215533E-3</v>
      </c>
      <c r="AU148" s="6">
        <f>Tabla2[[#This Row],[Forest Loss 2013]]/Tabla2[[#This Row],[Forest cover 2011]]</f>
        <v>3.4633498608132988E-3</v>
      </c>
      <c r="AV148" s="6">
        <f>Tabla2[[#This Row],[Forest Loss 2014]]/Tabla2[[#This Row],[Forest cover 2011]]</f>
        <v>4.2935258840150238E-3</v>
      </c>
      <c r="AW148" s="6">
        <f>Tabla2[[#This Row],[Forest Loss 2015]]/Tabla2[[#This Row],[Forest cover 2011]]</f>
        <v>2.9276833442723024E-3</v>
      </c>
      <c r="AX148" s="6">
        <f>Tabla2[[#This Row],[Forest Loss 2016]]/Tabla2[[#This Row],[Forest cover 2011]]</f>
        <v>2.0436892702169886E-3</v>
      </c>
      <c r="AY148" s="6">
        <f>Tabla2[[#This Row],[Forest Loss 2017]]/Tabla2[[#This Row],[Forest cover 2011]]</f>
        <v>2.2423877486279888E-3</v>
      </c>
      <c r="AZ148" s="6">
        <f>Tabla2[[#This Row],[Forest Loss 2018]]/Tabla2[[#This Row],[Forest cover 2011]]</f>
        <v>3.3078548003885704E-3</v>
      </c>
      <c r="BA148" s="6">
        <f>Tabla2[[#This Row],[Forest Loss 2019]]/Tabla2[[#This Row],[Forest cover 2011]]</f>
        <v>4.5890596096366341E-3</v>
      </c>
      <c r="BB148" s="6">
        <f>Tabla2[[#This Row],[Forest Loss 2020]]/Tabla2[[#This Row],[Forest cover 2011]]</f>
        <v>3.8193125051269143E-3</v>
      </c>
      <c r="BC148" s="6">
        <f>Tabla2[[#This Row],[Forest Loss 2021]]/Tabla2[[#This Row],[Forest cover 2011]]</f>
        <v>7.8870446636748921E-3</v>
      </c>
      <c r="BD148" s="6">
        <f>Tabla2[[#This Row],[Forest Loss 2022]]/Tabla2[[#This Row],[Forest cover 2011]]</f>
        <v>4.6872915190666288E-3</v>
      </c>
      <c r="BE148" s="6">
        <f>Tabla2[[#This Row],[Forest Loss 2023]]/Tabla2[[#This Row],[Forest cover 2011]]</f>
        <v>2.5000067505340604E-2</v>
      </c>
      <c r="BF148" s="6">
        <f>Tabla2[[#This Row],[Forest Loss 2024]]/Tabla2[[#This Row],[Forest cover 2011]]</f>
        <v>4.9015395035201005E-3</v>
      </c>
    </row>
    <row r="149" spans="1:58" x14ac:dyDescent="0.25">
      <c r="A149" s="2">
        <v>70706</v>
      </c>
      <c r="B149" s="3" t="s">
        <v>310</v>
      </c>
      <c r="C149" t="s">
        <v>336</v>
      </c>
      <c r="D149">
        <v>87469.74</v>
      </c>
      <c r="E149" s="4">
        <f>AVERAGE(Tabla2[[#This Row],[Deforestation 2012]:[Deforestation 2014]])</f>
        <v>439.89000000000004</v>
      </c>
      <c r="F149" s="4">
        <f>AVERAGE(Tabla2[[#This Row],[Deforestation 2022]:[Deforestation 2024]])</f>
        <v>547.68000000000006</v>
      </c>
      <c r="G149">
        <v>413.55</v>
      </c>
      <c r="H149">
        <v>476.19</v>
      </c>
      <c r="I149">
        <v>429.93</v>
      </c>
      <c r="J149">
        <v>237.15</v>
      </c>
      <c r="K149">
        <v>202.05</v>
      </c>
      <c r="L149">
        <v>151.29</v>
      </c>
      <c r="M149">
        <v>192.33</v>
      </c>
      <c r="N149">
        <v>80.55</v>
      </c>
      <c r="O149">
        <v>173.52</v>
      </c>
      <c r="P149">
        <v>111.24</v>
      </c>
      <c r="Q149">
        <v>195.75</v>
      </c>
      <c r="R149">
        <v>1053.6300000000001</v>
      </c>
      <c r="S149">
        <v>393.66</v>
      </c>
      <c r="T149">
        <v>477.45</v>
      </c>
      <c r="U149">
        <v>537.57000000000005</v>
      </c>
      <c r="V149">
        <v>809.46</v>
      </c>
      <c r="W149">
        <v>309.24</v>
      </c>
      <c r="X149">
        <v>277.64999999999998</v>
      </c>
      <c r="Y149">
        <v>185.49</v>
      </c>
      <c r="Z149">
        <v>201.51</v>
      </c>
      <c r="AA149">
        <v>220.59</v>
      </c>
      <c r="AB149">
        <v>216.81</v>
      </c>
      <c r="AC149">
        <v>169.65</v>
      </c>
      <c r="AD149">
        <v>222.21</v>
      </c>
      <c r="AE149">
        <v>1170.81</v>
      </c>
      <c r="AF149">
        <v>424.8</v>
      </c>
      <c r="AG149" s="5">
        <f>Tabla2[[#This Row],[Deforestation 2012]]/Tabla2[[#This Row],[Forest cover 2011]]</f>
        <v>4.7279207643694835E-3</v>
      </c>
      <c r="AH149" s="6">
        <f>Tabla2[[#This Row],[Deforestation 2013]]/Tabla2[[#This Row],[Forest cover 2011]]</f>
        <v>5.4440541380367654E-3</v>
      </c>
      <c r="AI149" s="6">
        <f>Tabla2[[#This Row],[Deforestation 2014]]/Tabla2[[#This Row],[Forest cover 2011]]</f>
        <v>4.9151855258744333E-3</v>
      </c>
      <c r="AJ149" s="6">
        <f>Tabla2[[#This Row],[Deforestation 2015]]/Tabla2[[#This Row],[Forest cover 2011]]</f>
        <v>2.7112233327777125E-3</v>
      </c>
      <c r="AK149" s="6">
        <f>Tabla2[[#This Row],[Deforestation 2016]]/Tabla2[[#This Row],[Forest cover 2011]]</f>
        <v>2.3099417009813908E-3</v>
      </c>
      <c r="AL149" s="6">
        <f>Tabla2[[#This Row],[Deforestation 2017]]/Tabla2[[#This Row],[Forest cover 2011]]</f>
        <v>1.7296267257682484E-3</v>
      </c>
      <c r="AM149" s="6">
        <f>Tabla2[[#This Row],[Deforestation 2018]]/Tabla2[[#This Row],[Forest cover 2011]]</f>
        <v>2.1988175567916402E-3</v>
      </c>
      <c r="AN149" s="6">
        <f>Tabla2[[#This Row],[Deforestation 2019]]/Tabla2[[#This Row],[Forest cover 2011]]</f>
        <v>9.2088989860950759E-4</v>
      </c>
      <c r="AO149" s="6">
        <f>Tabla2[[#This Row],[Deforestation 2020]]/Tabla2[[#This Row],[Forest cover 2011]]</f>
        <v>1.9837717592392523E-3</v>
      </c>
      <c r="AP149" s="6">
        <f>Tabla2[[#This Row],[Deforestation 2021]]/Tabla2[[#This Row],[Forest cover 2011]]</f>
        <v>1.271754094616035E-3</v>
      </c>
      <c r="AQ149" s="6">
        <f>Tabla2[[#This Row],[Deforestation 2022]]/Tabla2[[#This Row],[Forest cover 2011]]</f>
        <v>2.2379167927102559E-3</v>
      </c>
      <c r="AR149" s="6">
        <f>Tabla2[[#This Row],[Deforestation 2023]]/Tabla2[[#This Row],[Forest cover 2011]]</f>
        <v>1.2045651444716768E-2</v>
      </c>
      <c r="AS149" s="6">
        <f>Tabla2[[#This Row],[Deforestation 2024]]/Tabla2[[#This Row],[Forest cover 2011]]</f>
        <v>4.5005278396849013E-3</v>
      </c>
      <c r="AT149" s="6">
        <f>Tabla2[[#This Row],[Forest Loss 2012]]/Tabla2[[#This Row],[Forest cover 2011]]</f>
        <v>5.4584591196909921E-3</v>
      </c>
      <c r="AU149" s="6">
        <f>Tabla2[[#This Row],[Forest Loss 2013]]/Tabla2[[#This Row],[Forest cover 2011]]</f>
        <v>6.1457825300498207E-3</v>
      </c>
      <c r="AV149" s="6">
        <f>Tabla2[[#This Row],[Forest Loss 2014]]/Tabla2[[#This Row],[Forest cover 2011]]</f>
        <v>9.2541717855797907E-3</v>
      </c>
      <c r="AW149" s="6">
        <f>Tabla2[[#This Row],[Forest Loss 2015]]/Tabla2[[#This Row],[Forest cover 2011]]</f>
        <v>3.5353940688516963E-3</v>
      </c>
      <c r="AX149" s="6">
        <f>Tabla2[[#This Row],[Forest Loss 2016]]/Tabla2[[#This Row],[Forest cover 2011]]</f>
        <v>3.1742406002350067E-3</v>
      </c>
      <c r="AY149" s="6">
        <f>Tabla2[[#This Row],[Forest Loss 2017]]/Tabla2[[#This Row],[Forest cover 2011]]</f>
        <v>2.1206190849544083E-3</v>
      </c>
      <c r="AZ149" s="6">
        <f>Tabla2[[#This Row],[Forest Loss 2018]]/Tabla2[[#This Row],[Forest cover 2011]]</f>
        <v>2.3037681374152934E-3</v>
      </c>
      <c r="BA149" s="6">
        <f>Tabla2[[#This Row],[Forest Loss 2019]]/Tabla2[[#This Row],[Forest cover 2011]]</f>
        <v>2.52190071675073E-3</v>
      </c>
      <c r="BB149" s="6">
        <f>Tabla2[[#This Row],[Forest Loss 2020]]/Tabla2[[#This Row],[Forest cover 2011]]</f>
        <v>2.4786857717880493E-3</v>
      </c>
      <c r="BC149" s="6">
        <f>Tabla2[[#This Row],[Forest Loss 2021]]/Tabla2[[#This Row],[Forest cover 2011]]</f>
        <v>1.9395278870155553E-3</v>
      </c>
      <c r="BD149" s="6">
        <f>Tabla2[[#This Row],[Forest Loss 2022]]/Tabla2[[#This Row],[Forest cover 2011]]</f>
        <v>2.5404214074490217E-3</v>
      </c>
      <c r="BE149" s="6">
        <f>Tabla2[[#This Row],[Forest Loss 2023]]/Tabla2[[#This Row],[Forest cover 2011]]</f>
        <v>1.338531473855987E-2</v>
      </c>
      <c r="BF149" s="6">
        <f>Tabla2[[#This Row],[Forest Loss 2024]]/Tabla2[[#This Row],[Forest cover 2011]]</f>
        <v>4.8565366719965095E-3</v>
      </c>
    </row>
    <row r="150" spans="1:58" x14ac:dyDescent="0.25">
      <c r="A150" s="2">
        <v>30101</v>
      </c>
      <c r="B150" s="3" t="s">
        <v>176</v>
      </c>
      <c r="C150" t="s">
        <v>176</v>
      </c>
      <c r="D150">
        <v>1554.48</v>
      </c>
      <c r="E150" s="4">
        <f>AVERAGE(Tabla2[[#This Row],[Deforestation 2012]:[Deforestation 2014]])</f>
        <v>5.01</v>
      </c>
      <c r="F150" s="4">
        <f>AVERAGE(Tabla2[[#This Row],[Deforestation 2022]:[Deforestation 2024]])</f>
        <v>56.73</v>
      </c>
      <c r="G150">
        <v>5.85</v>
      </c>
      <c r="H150">
        <v>5.4899999999999993</v>
      </c>
      <c r="I150">
        <v>3.69</v>
      </c>
      <c r="J150">
        <v>15.39</v>
      </c>
      <c r="K150">
        <v>18.989999999999998</v>
      </c>
      <c r="L150">
        <v>17.82</v>
      </c>
      <c r="M150">
        <v>172.8</v>
      </c>
      <c r="N150">
        <v>43.74</v>
      </c>
      <c r="O150">
        <v>30.51</v>
      </c>
      <c r="P150">
        <v>41.94</v>
      </c>
      <c r="Q150">
        <v>75.69</v>
      </c>
      <c r="R150">
        <v>88.02000000000001</v>
      </c>
      <c r="S150">
        <v>6.48</v>
      </c>
      <c r="T150">
        <v>11.07</v>
      </c>
      <c r="U150">
        <v>15.75</v>
      </c>
      <c r="V150">
        <v>10.26</v>
      </c>
      <c r="W150">
        <v>20.7</v>
      </c>
      <c r="X150">
        <v>25.11</v>
      </c>
      <c r="Y150">
        <v>28.89</v>
      </c>
      <c r="Z150">
        <v>190.98</v>
      </c>
      <c r="AA150">
        <v>104.31</v>
      </c>
      <c r="AB150">
        <v>109.53</v>
      </c>
      <c r="AC150">
        <v>42.75</v>
      </c>
      <c r="AD150">
        <v>76.319999999999993</v>
      </c>
      <c r="AE150">
        <v>99.990000000000009</v>
      </c>
      <c r="AF150">
        <v>7.3800000000000008</v>
      </c>
      <c r="AG150" s="5">
        <f>Tabla2[[#This Row],[Deforestation 2012]]/Tabla2[[#This Row],[Forest cover 2011]]</f>
        <v>3.7633163501621116E-3</v>
      </c>
      <c r="AH150" s="6">
        <f>Tabla2[[#This Row],[Deforestation 2013]]/Tabla2[[#This Row],[Forest cover 2011]]</f>
        <v>3.531727651690597E-3</v>
      </c>
      <c r="AI150" s="6">
        <f>Tabla2[[#This Row],[Deforestation 2014]]/Tabla2[[#This Row],[Forest cover 2011]]</f>
        <v>2.3737841593330245E-3</v>
      </c>
      <c r="AJ150" s="6">
        <f>Tabla2[[#This Row],[Deforestation 2015]]/Tabla2[[#This Row],[Forest cover 2011]]</f>
        <v>9.9004168596572486E-3</v>
      </c>
      <c r="AK150" s="6">
        <f>Tabla2[[#This Row],[Deforestation 2016]]/Tabla2[[#This Row],[Forest cover 2011]]</f>
        <v>1.2216303844372393E-2</v>
      </c>
      <c r="AL150" s="6">
        <f>Tabla2[[#This Row],[Deforestation 2017]]/Tabla2[[#This Row],[Forest cover 2011]]</f>
        <v>1.1463640574339972E-2</v>
      </c>
      <c r="AM150" s="6">
        <f>Tabla2[[#This Row],[Deforestation 2018]]/Tabla2[[#This Row],[Forest cover 2011]]</f>
        <v>0.11116257526632702</v>
      </c>
      <c r="AN150" s="6">
        <f>Tabla2[[#This Row],[Deforestation 2019]]/Tabla2[[#This Row],[Forest cover 2011]]</f>
        <v>2.8138026864289022E-2</v>
      </c>
      <c r="AO150" s="6">
        <f>Tabla2[[#This Row],[Deforestation 2020]]/Tabla2[[#This Row],[Forest cover 2011]]</f>
        <v>1.9627142195460863E-2</v>
      </c>
      <c r="AP150" s="6">
        <f>Tabla2[[#This Row],[Deforestation 2021]]/Tabla2[[#This Row],[Forest cover 2011]]</f>
        <v>2.6980083371931449E-2</v>
      </c>
      <c r="AQ150" s="6">
        <f>Tabla2[[#This Row],[Deforestation 2022]]/Tabla2[[#This Row],[Forest cover 2011]]</f>
        <v>4.869152385363594E-2</v>
      </c>
      <c r="AR150" s="6">
        <f>Tabla2[[#This Row],[Deforestation 2023]]/Tabla2[[#This Row],[Forest cover 2011]]</f>
        <v>5.662343677628532E-2</v>
      </c>
      <c r="AS150" s="6">
        <f>Tabla2[[#This Row],[Deforestation 2024]]/Tabla2[[#This Row],[Forest cover 2011]]</f>
        <v>4.1685965724872626E-3</v>
      </c>
      <c r="AT150" s="6">
        <f>Tabla2[[#This Row],[Forest Loss 2012]]/Tabla2[[#This Row],[Forest cover 2011]]</f>
        <v>7.1213524779990735E-3</v>
      </c>
      <c r="AU150" s="6">
        <f>Tabla2[[#This Row],[Forest Loss 2013]]/Tabla2[[#This Row],[Forest cover 2011]]</f>
        <v>1.0132005558128763E-2</v>
      </c>
      <c r="AV150" s="6">
        <f>Tabla2[[#This Row],[Forest Loss 2014]]/Tabla2[[#This Row],[Forest cover 2011]]</f>
        <v>6.6002779064381657E-3</v>
      </c>
      <c r="AW150" s="6">
        <f>Tabla2[[#This Row],[Forest Loss 2015]]/Tabla2[[#This Row],[Forest cover 2011]]</f>
        <v>1.3316350162112089E-2</v>
      </c>
      <c r="AX150" s="6">
        <f>Tabla2[[#This Row],[Forest Loss 2016]]/Tabla2[[#This Row],[Forest cover 2011]]</f>
        <v>1.6153311718388141E-2</v>
      </c>
      <c r="AY150" s="6">
        <f>Tabla2[[#This Row],[Forest Loss 2017]]/Tabla2[[#This Row],[Forest cover 2011]]</f>
        <v>1.8584993052339047E-2</v>
      </c>
      <c r="AZ150" s="6">
        <f>Tabla2[[#This Row],[Forest Loss 2018]]/Tabla2[[#This Row],[Forest cover 2011]]</f>
        <v>0.12285780453913848</v>
      </c>
      <c r="BA150" s="6">
        <f>Tabla2[[#This Row],[Forest Loss 2019]]/Tabla2[[#This Row],[Forest cover 2011]]</f>
        <v>6.7102825382121353E-2</v>
      </c>
      <c r="BB150" s="6">
        <f>Tabla2[[#This Row],[Forest Loss 2020]]/Tabla2[[#This Row],[Forest cover 2011]]</f>
        <v>7.0460861509958311E-2</v>
      </c>
      <c r="BC150" s="6">
        <f>Tabla2[[#This Row],[Forest Loss 2021]]/Tabla2[[#This Row],[Forest cover 2011]]</f>
        <v>2.7501157943492359E-2</v>
      </c>
      <c r="BD150" s="6">
        <f>Tabla2[[#This Row],[Forest Loss 2022]]/Tabla2[[#This Row],[Forest cover 2011]]</f>
        <v>4.9096804075961085E-2</v>
      </c>
      <c r="BE150" s="6">
        <f>Tabla2[[#This Row],[Forest Loss 2023]]/Tabla2[[#This Row],[Forest cover 2011]]</f>
        <v>6.4323761000463178E-2</v>
      </c>
      <c r="BF150" s="6">
        <f>Tabla2[[#This Row],[Forest Loss 2024]]/Tabla2[[#This Row],[Forest cover 2011]]</f>
        <v>4.7475683186660499E-3</v>
      </c>
    </row>
    <row r="151" spans="1:58" x14ac:dyDescent="0.25">
      <c r="A151" s="2">
        <v>21502</v>
      </c>
      <c r="B151" s="3" t="s">
        <v>88</v>
      </c>
      <c r="C151" t="s">
        <v>163</v>
      </c>
      <c r="D151">
        <v>264913.2</v>
      </c>
      <c r="E151" s="4">
        <f>AVERAGE(Tabla2[[#This Row],[Deforestation 2012]:[Deforestation 2014]])</f>
        <v>841.43999999999994</v>
      </c>
      <c r="F151" s="4">
        <f>AVERAGE(Tabla2[[#This Row],[Deforestation 2022]:[Deforestation 2024]])</f>
        <v>1654.11</v>
      </c>
      <c r="G151">
        <v>507.78</v>
      </c>
      <c r="H151">
        <v>610.02</v>
      </c>
      <c r="I151">
        <v>1406.52</v>
      </c>
      <c r="J151">
        <v>499.95</v>
      </c>
      <c r="K151">
        <v>1945.8</v>
      </c>
      <c r="L151">
        <v>1010.79</v>
      </c>
      <c r="M151">
        <v>1095.6600000000001</v>
      </c>
      <c r="N151">
        <v>803.88</v>
      </c>
      <c r="O151">
        <v>1221.75</v>
      </c>
      <c r="P151">
        <v>507.06</v>
      </c>
      <c r="Q151">
        <v>262.62</v>
      </c>
      <c r="R151">
        <v>3802.5</v>
      </c>
      <c r="S151">
        <v>897.21</v>
      </c>
      <c r="T151">
        <v>2191.5</v>
      </c>
      <c r="U151">
        <v>1751.31</v>
      </c>
      <c r="V151">
        <v>3904.83</v>
      </c>
      <c r="W151">
        <v>2116.35</v>
      </c>
      <c r="X151">
        <v>2547.7199999999998</v>
      </c>
      <c r="Y151">
        <v>1463.49</v>
      </c>
      <c r="Z151">
        <v>1497.42</v>
      </c>
      <c r="AA151">
        <v>1227.06</v>
      </c>
      <c r="AB151">
        <v>1577.97</v>
      </c>
      <c r="AC151">
        <v>1180.17</v>
      </c>
      <c r="AD151">
        <v>739.98</v>
      </c>
      <c r="AE151">
        <v>4072.05</v>
      </c>
      <c r="AF151">
        <v>1196.3699999999999</v>
      </c>
      <c r="AG151" s="5">
        <f>Tabla2[[#This Row],[Deforestation 2012]]/Tabla2[[#This Row],[Forest cover 2011]]</f>
        <v>1.9167787788603964E-3</v>
      </c>
      <c r="AH151" s="6">
        <f>Tabla2[[#This Row],[Deforestation 2013]]/Tabla2[[#This Row],[Forest cover 2011]]</f>
        <v>2.3027165124274666E-3</v>
      </c>
      <c r="AI151" s="6">
        <f>Tabla2[[#This Row],[Deforestation 2014]]/Tabla2[[#This Row],[Forest cover 2011]]</f>
        <v>5.3093617079103643E-3</v>
      </c>
      <c r="AJ151" s="6">
        <f>Tabla2[[#This Row],[Deforestation 2015]]/Tabla2[[#This Row],[Forest cover 2011]]</f>
        <v>1.8872219277861577E-3</v>
      </c>
      <c r="AK151" s="6">
        <f>Tabla2[[#This Row],[Deforestation 2016]]/Tabla2[[#This Row],[Forest cover 2011]]</f>
        <v>7.3450473589085023E-3</v>
      </c>
      <c r="AL151" s="6">
        <f>Tabla2[[#This Row],[Deforestation 2017]]/Tabla2[[#This Row],[Forest cover 2011]]</f>
        <v>3.8155516599399347E-3</v>
      </c>
      <c r="AM151" s="6">
        <f>Tabla2[[#This Row],[Deforestation 2018]]/Tabla2[[#This Row],[Forest cover 2011]]</f>
        <v>4.1359207468710506E-3</v>
      </c>
      <c r="AN151" s="6">
        <f>Tabla2[[#This Row],[Deforestation 2019]]/Tabla2[[#This Row],[Forest cover 2011]]</f>
        <v>3.0345033769551685E-3</v>
      </c>
      <c r="AO151" s="6">
        <f>Tabla2[[#This Row],[Deforestation 2020]]/Tabla2[[#This Row],[Forest cover 2011]]</f>
        <v>4.6118879693424104E-3</v>
      </c>
      <c r="AP151" s="6">
        <f>Tabla2[[#This Row],[Deforestation 2021]]/Tabla2[[#This Row],[Forest cover 2011]]</f>
        <v>1.9140609074972481E-3</v>
      </c>
      <c r="AQ151" s="6">
        <f>Tabla2[[#This Row],[Deforestation 2022]]/Tabla2[[#This Row],[Forest cover 2011]]</f>
        <v>9.9134357970837245E-4</v>
      </c>
      <c r="AR151" s="6">
        <f>Tabla2[[#This Row],[Deforestation 2023]]/Tabla2[[#This Row],[Forest cover 2011]]</f>
        <v>1.4353758136627393E-2</v>
      </c>
      <c r="AS151" s="6">
        <f>Tabla2[[#This Row],[Deforestation 2024]]/Tabla2[[#This Row],[Forest cover 2011]]</f>
        <v>3.3868074524032775E-3</v>
      </c>
      <c r="AT151" s="6">
        <f>Tabla2[[#This Row],[Forest Loss 2012]]/Tabla2[[#This Row],[Forest cover 2011]]</f>
        <v>8.2725209615828882E-3</v>
      </c>
      <c r="AU151" s="6">
        <f>Tabla2[[#This Row],[Forest Loss 2013]]/Tabla2[[#This Row],[Forest cover 2011]]</f>
        <v>6.6108823569380453E-3</v>
      </c>
      <c r="AV151" s="6">
        <f>Tabla2[[#This Row],[Forest Loss 2014]]/Tabla2[[#This Row],[Forest cover 2011]]</f>
        <v>1.4740035604114856E-2</v>
      </c>
      <c r="AW151" s="6">
        <f>Tabla2[[#This Row],[Forest Loss 2015]]/Tabla2[[#This Row],[Forest cover 2011]]</f>
        <v>7.9888431380542753E-3</v>
      </c>
      <c r="AX151" s="6">
        <f>Tabla2[[#This Row],[Forest Loss 2016]]/Tabla2[[#This Row],[Forest cover 2011]]</f>
        <v>9.6171878185005496E-3</v>
      </c>
      <c r="AY151" s="6">
        <f>Tabla2[[#This Row],[Forest Loss 2017]]/Tabla2[[#This Row],[Forest cover 2011]]</f>
        <v>5.5244132795194802E-3</v>
      </c>
      <c r="AZ151" s="6">
        <f>Tabla2[[#This Row],[Forest Loss 2018]]/Tabla2[[#This Row],[Forest cover 2011]]</f>
        <v>5.6524929675078476E-3</v>
      </c>
      <c r="BA151" s="6">
        <f>Tabla2[[#This Row],[Forest Loss 2019]]/Tabla2[[#This Row],[Forest cover 2011]]</f>
        <v>4.6319322706456301E-3</v>
      </c>
      <c r="BB151" s="6">
        <f>Tabla2[[#This Row],[Forest Loss 2020]]/Tabla2[[#This Row],[Forest cover 2011]]</f>
        <v>5.9565548262600727E-3</v>
      </c>
      <c r="BC151" s="6">
        <f>Tabla2[[#This Row],[Forest Loss 2021]]/Tabla2[[#This Row],[Forest cover 2011]]</f>
        <v>4.454930898120592E-3</v>
      </c>
      <c r="BD151" s="6">
        <f>Tabla2[[#This Row],[Forest Loss 2022]]/Tabla2[[#This Row],[Forest cover 2011]]</f>
        <v>2.7932922934757499E-3</v>
      </c>
      <c r="BE151" s="6">
        <f>Tabla2[[#This Row],[Forest Loss 2023]]/Tabla2[[#This Row],[Forest cover 2011]]</f>
        <v>1.5371261228206069E-2</v>
      </c>
      <c r="BF151" s="6">
        <f>Tabla2[[#This Row],[Forest Loss 2024]]/Tabla2[[#This Row],[Forest cover 2011]]</f>
        <v>4.5160830037914296E-3</v>
      </c>
    </row>
    <row r="152" spans="1:58" x14ac:dyDescent="0.25">
      <c r="A152" s="2">
        <v>60601</v>
      </c>
      <c r="B152" s="3" t="s">
        <v>300</v>
      </c>
      <c r="C152" t="s">
        <v>211</v>
      </c>
      <c r="D152">
        <v>553532.13</v>
      </c>
      <c r="E152" s="4">
        <f>AVERAGE(Tabla2[[#This Row],[Deforestation 2012]:[Deforestation 2014]])</f>
        <v>515.16</v>
      </c>
      <c r="F152" s="4">
        <f>AVERAGE(Tabla2[[#This Row],[Deforestation 2022]:[Deforestation 2024]])</f>
        <v>3029.5200000000004</v>
      </c>
      <c r="G152">
        <v>319.68</v>
      </c>
      <c r="H152">
        <v>493.92</v>
      </c>
      <c r="I152">
        <v>731.88</v>
      </c>
      <c r="J152">
        <v>311.39999999999998</v>
      </c>
      <c r="K152">
        <v>868.5</v>
      </c>
      <c r="L152">
        <v>1166.94</v>
      </c>
      <c r="M152">
        <v>629.54999999999995</v>
      </c>
      <c r="N152">
        <v>802.71</v>
      </c>
      <c r="O152">
        <v>1457.64</v>
      </c>
      <c r="P152">
        <v>1470.42</v>
      </c>
      <c r="Q152">
        <v>1428.3</v>
      </c>
      <c r="R152">
        <v>5354.1900000000014</v>
      </c>
      <c r="S152">
        <v>2306.0700000000002</v>
      </c>
      <c r="T152">
        <v>476.73</v>
      </c>
      <c r="U152">
        <v>567.72</v>
      </c>
      <c r="V152">
        <v>987.48</v>
      </c>
      <c r="W152">
        <v>371.16</v>
      </c>
      <c r="X152">
        <v>936.99</v>
      </c>
      <c r="Y152">
        <v>1207.08</v>
      </c>
      <c r="Z152">
        <v>691.92000000000007</v>
      </c>
      <c r="AA152">
        <v>902.07</v>
      </c>
      <c r="AB152">
        <v>1488.96</v>
      </c>
      <c r="AC152">
        <v>1534.95</v>
      </c>
      <c r="AD152">
        <v>2190.96</v>
      </c>
      <c r="AE152">
        <v>5424.0300000000007</v>
      </c>
      <c r="AF152">
        <v>2494.98</v>
      </c>
      <c r="AG152" s="5">
        <f>Tabla2[[#This Row],[Deforestation 2012]]/Tabla2[[#This Row],[Forest cover 2011]]</f>
        <v>5.7752745084553624E-4</v>
      </c>
      <c r="AH152" s="6">
        <f>Tabla2[[#This Row],[Deforestation 2013]]/Tabla2[[#This Row],[Forest cover 2011]]</f>
        <v>8.9230592630639165E-4</v>
      </c>
      <c r="AI152" s="6">
        <f>Tabla2[[#This Row],[Deforestation 2014]]/Tabla2[[#This Row],[Forest cover 2011]]</f>
        <v>1.322199670685783E-3</v>
      </c>
      <c r="AJ152" s="6">
        <f>Tabla2[[#This Row],[Deforestation 2015]]/Tabla2[[#This Row],[Forest cover 2011]]</f>
        <v>5.6256896957363606E-4</v>
      </c>
      <c r="AK152" s="6">
        <f>Tabla2[[#This Row],[Deforestation 2016]]/Tabla2[[#This Row],[Forest cover 2011]]</f>
        <v>1.5690146116721353E-3</v>
      </c>
      <c r="AL152" s="6">
        <f>Tabla2[[#This Row],[Deforestation 2017]]/Tabla2[[#This Row],[Forest cover 2011]]</f>
        <v>2.1081703062114932E-3</v>
      </c>
      <c r="AM152" s="6">
        <f>Tabla2[[#This Row],[Deforestation 2018]]/Tabla2[[#This Row],[Forest cover 2011]]</f>
        <v>1.1373323532276255E-3</v>
      </c>
      <c r="AN152" s="6">
        <f>Tabla2[[#This Row],[Deforestation 2019]]/Tabla2[[#This Row],[Forest cover 2011]]</f>
        <v>1.4501597224356245E-3</v>
      </c>
      <c r="AO152" s="6">
        <f>Tabla2[[#This Row],[Deforestation 2020]]/Tabla2[[#This Row],[Forest cover 2011]]</f>
        <v>2.633343072605379E-3</v>
      </c>
      <c r="AP152" s="6">
        <f>Tabla2[[#This Row],[Deforestation 2021]]/Tabla2[[#This Row],[Forest cover 2011]]</f>
        <v>2.6564311632641812E-3</v>
      </c>
      <c r="AQ152" s="6">
        <f>Tabla2[[#This Row],[Deforestation 2022]]/Tabla2[[#This Row],[Forest cover 2011]]</f>
        <v>2.580338019402776E-3</v>
      </c>
      <c r="AR152" s="6">
        <f>Tabla2[[#This Row],[Deforestation 2023]]/Tabla2[[#This Row],[Forest cover 2011]]</f>
        <v>9.6727718407240443E-3</v>
      </c>
      <c r="AS152" s="6">
        <f>Tabla2[[#This Row],[Deforestation 2024]]/Tabla2[[#This Row],[Forest cover 2011]]</f>
        <v>4.1660996264119305E-3</v>
      </c>
      <c r="AT152" s="6">
        <f>Tabla2[[#This Row],[Forest Loss 2012]]/Tabla2[[#This Row],[Forest cover 2011]]</f>
        <v>8.6125081844842506E-4</v>
      </c>
      <c r="AU152" s="6">
        <f>Tabla2[[#This Row],[Forest Loss 2013]]/Tabla2[[#This Row],[Forest cover 2011]]</f>
        <v>1.0256315202515887E-3</v>
      </c>
      <c r="AV152" s="6">
        <f>Tabla2[[#This Row],[Forest Loss 2014]]/Tabla2[[#This Row],[Forest cover 2011]]</f>
        <v>1.7839614838618312E-3</v>
      </c>
      <c r="AW152" s="6">
        <f>Tabla2[[#This Row],[Forest Loss 2015]]/Tabla2[[#This Row],[Forest cover 2011]]</f>
        <v>6.7053018223169818E-4</v>
      </c>
      <c r="AX152" s="6">
        <f>Tabla2[[#This Row],[Forest Loss 2016]]/Tabla2[[#This Row],[Forest cover 2011]]</f>
        <v>1.6927472665407878E-3</v>
      </c>
      <c r="AY152" s="6">
        <f>Tabla2[[#This Row],[Forest Loss 2017]]/Tabla2[[#This Row],[Forest cover 2011]]</f>
        <v>2.1806864219426612E-3</v>
      </c>
      <c r="AZ152" s="6">
        <f>Tabla2[[#This Row],[Forest Loss 2018]]/Tabla2[[#This Row],[Forest cover 2011]]</f>
        <v>1.250008739330091E-3</v>
      </c>
      <c r="BA152" s="6">
        <f>Tabla2[[#This Row],[Forest Loss 2019]]/Tabla2[[#This Row],[Forest cover 2011]]</f>
        <v>1.6296614976984264E-3</v>
      </c>
      <c r="BB152" s="6">
        <f>Tabla2[[#This Row],[Forest Loss 2020]]/Tabla2[[#This Row],[Forest cover 2011]]</f>
        <v>2.6899251539382186E-3</v>
      </c>
      <c r="BC152" s="6">
        <f>Tabla2[[#This Row],[Forest Loss 2021]]/Tabla2[[#This Row],[Forest cover 2011]]</f>
        <v>2.7730097618723598E-3</v>
      </c>
      <c r="BD152" s="6">
        <f>Tabla2[[#This Row],[Forest Loss 2022]]/Tabla2[[#This Row],[Forest cover 2011]]</f>
        <v>3.9581442182949709E-3</v>
      </c>
      <c r="BE152" s="6">
        <f>Tabla2[[#This Row],[Forest Loss 2023]]/Tabla2[[#This Row],[Forest cover 2011]]</f>
        <v>9.7989433784087671E-3</v>
      </c>
      <c r="BF152" s="6">
        <f>Tabla2[[#This Row],[Forest Loss 2024]]/Tabla2[[#This Row],[Forest cover 2011]]</f>
        <v>4.5073806284740871E-3</v>
      </c>
    </row>
    <row r="153" spans="1:58" x14ac:dyDescent="0.25">
      <c r="A153" s="2">
        <v>30501</v>
      </c>
      <c r="B153" s="3" t="s">
        <v>176</v>
      </c>
      <c r="C153" t="s">
        <v>187</v>
      </c>
      <c r="D153">
        <v>321.39</v>
      </c>
      <c r="E153" s="4">
        <f>AVERAGE(Tabla2[[#This Row],[Deforestation 2012]:[Deforestation 2014]])</f>
        <v>0.03</v>
      </c>
      <c r="F153" s="4">
        <f>AVERAGE(Tabla2[[#This Row],[Deforestation 2022]:[Deforestation 2024]])</f>
        <v>7.7700000000000005</v>
      </c>
      <c r="G153">
        <v>0.09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0.09</v>
      </c>
      <c r="N153">
        <v>0.18</v>
      </c>
      <c r="O153">
        <v>0.81</v>
      </c>
      <c r="P153">
        <v>3.78</v>
      </c>
      <c r="Q153">
        <v>3.6</v>
      </c>
      <c r="R153">
        <v>19.440000000000001</v>
      </c>
      <c r="S153">
        <v>0.27</v>
      </c>
      <c r="T153">
        <v>1.62</v>
      </c>
      <c r="U153">
        <v>1.35</v>
      </c>
      <c r="V153">
        <v>7.02</v>
      </c>
      <c r="W153">
        <v>5.49</v>
      </c>
      <c r="X153">
        <v>1.08</v>
      </c>
      <c r="Y153">
        <v>5.13</v>
      </c>
      <c r="Z153">
        <v>11.52</v>
      </c>
      <c r="AA153">
        <v>10.8</v>
      </c>
      <c r="AB153">
        <v>3.87</v>
      </c>
      <c r="AC153">
        <v>3.87</v>
      </c>
      <c r="AD153">
        <v>3.87</v>
      </c>
      <c r="AE153">
        <v>32.94</v>
      </c>
      <c r="AF153">
        <v>1.44</v>
      </c>
      <c r="AG153" s="5">
        <f>Tabla2[[#This Row],[Deforestation 2012]]/Tabla2[[#This Row],[Forest cover 2011]]</f>
        <v>2.8003360403248392E-4</v>
      </c>
      <c r="AH153" s="6">
        <f>Tabla2[[#This Row],[Deforestation 2013]]/Tabla2[[#This Row],[Forest cover 2011]]</f>
        <v>0</v>
      </c>
      <c r="AI153" s="6">
        <f>Tabla2[[#This Row],[Deforestation 2014]]/Tabla2[[#This Row],[Forest cover 2011]]</f>
        <v>0</v>
      </c>
      <c r="AJ153" s="6">
        <f>Tabla2[[#This Row],[Deforestation 2015]]/Tabla2[[#This Row],[Forest cover 2011]]</f>
        <v>0</v>
      </c>
      <c r="AK153" s="6">
        <f>Tabla2[[#This Row],[Deforestation 2016]]/Tabla2[[#This Row],[Forest cover 2011]]</f>
        <v>0</v>
      </c>
      <c r="AL153" s="6">
        <f>Tabla2[[#This Row],[Deforestation 2017]]/Tabla2[[#This Row],[Forest cover 2011]]</f>
        <v>0</v>
      </c>
      <c r="AM153" s="6">
        <f>Tabla2[[#This Row],[Deforestation 2018]]/Tabla2[[#This Row],[Forest cover 2011]]</f>
        <v>2.8003360403248392E-4</v>
      </c>
      <c r="AN153" s="6">
        <f>Tabla2[[#This Row],[Deforestation 2019]]/Tabla2[[#This Row],[Forest cover 2011]]</f>
        <v>5.6006720806496785E-4</v>
      </c>
      <c r="AO153" s="6">
        <f>Tabla2[[#This Row],[Deforestation 2020]]/Tabla2[[#This Row],[Forest cover 2011]]</f>
        <v>2.5203024362923554E-3</v>
      </c>
      <c r="AP153" s="6">
        <f>Tabla2[[#This Row],[Deforestation 2021]]/Tabla2[[#This Row],[Forest cover 2011]]</f>
        <v>1.1761411369364323E-2</v>
      </c>
      <c r="AQ153" s="6">
        <f>Tabla2[[#This Row],[Deforestation 2022]]/Tabla2[[#This Row],[Forest cover 2011]]</f>
        <v>1.1201344161299356E-2</v>
      </c>
      <c r="AR153" s="6">
        <f>Tabla2[[#This Row],[Deforestation 2023]]/Tabla2[[#This Row],[Forest cover 2011]]</f>
        <v>6.0487258471016526E-2</v>
      </c>
      <c r="AS153" s="6">
        <f>Tabla2[[#This Row],[Deforestation 2024]]/Tabla2[[#This Row],[Forest cover 2011]]</f>
        <v>8.4010081209745177E-4</v>
      </c>
      <c r="AT153" s="6">
        <f>Tabla2[[#This Row],[Forest Loss 2012]]/Tabla2[[#This Row],[Forest cover 2011]]</f>
        <v>5.0406048725847108E-3</v>
      </c>
      <c r="AU153" s="6">
        <f>Tabla2[[#This Row],[Forest Loss 2013]]/Tabla2[[#This Row],[Forest cover 2011]]</f>
        <v>4.2005040604872592E-3</v>
      </c>
      <c r="AV153" s="6">
        <f>Tabla2[[#This Row],[Forest Loss 2014]]/Tabla2[[#This Row],[Forest cover 2011]]</f>
        <v>2.1842621114533743E-2</v>
      </c>
      <c r="AW153" s="6">
        <f>Tabla2[[#This Row],[Forest Loss 2015]]/Tabla2[[#This Row],[Forest cover 2011]]</f>
        <v>1.7082049845981519E-2</v>
      </c>
      <c r="AX153" s="6">
        <f>Tabla2[[#This Row],[Forest Loss 2016]]/Tabla2[[#This Row],[Forest cover 2011]]</f>
        <v>3.3604032483898071E-3</v>
      </c>
      <c r="AY153" s="6">
        <f>Tabla2[[#This Row],[Forest Loss 2017]]/Tabla2[[#This Row],[Forest cover 2011]]</f>
        <v>1.5961915429851582E-2</v>
      </c>
      <c r="AZ153" s="6">
        <f>Tabla2[[#This Row],[Forest Loss 2018]]/Tabla2[[#This Row],[Forest cover 2011]]</f>
        <v>3.5844301316157942E-2</v>
      </c>
      <c r="BA153" s="6">
        <f>Tabla2[[#This Row],[Forest Loss 2019]]/Tabla2[[#This Row],[Forest cover 2011]]</f>
        <v>3.3604032483898073E-2</v>
      </c>
      <c r="BB153" s="6">
        <f>Tabla2[[#This Row],[Forest Loss 2020]]/Tabla2[[#This Row],[Forest cover 2011]]</f>
        <v>1.2041444973396808E-2</v>
      </c>
      <c r="BC153" s="6">
        <f>Tabla2[[#This Row],[Forest Loss 2021]]/Tabla2[[#This Row],[Forest cover 2011]]</f>
        <v>1.2041444973396808E-2</v>
      </c>
      <c r="BD153" s="6">
        <f>Tabla2[[#This Row],[Forest Loss 2022]]/Tabla2[[#This Row],[Forest cover 2011]]</f>
        <v>1.2041444973396808E-2</v>
      </c>
      <c r="BE153" s="6">
        <f>Tabla2[[#This Row],[Forest Loss 2023]]/Tabla2[[#This Row],[Forest cover 2011]]</f>
        <v>0.10249229907588911</v>
      </c>
      <c r="BF153" s="6">
        <f>Tabla2[[#This Row],[Forest Loss 2024]]/Tabla2[[#This Row],[Forest cover 2011]]</f>
        <v>4.4805376645197428E-3</v>
      </c>
    </row>
    <row r="154" spans="1:58" x14ac:dyDescent="0.25">
      <c r="A154" s="2">
        <v>70805</v>
      </c>
      <c r="B154" s="3" t="s">
        <v>310</v>
      </c>
      <c r="C154" t="s">
        <v>342</v>
      </c>
      <c r="D154">
        <v>44864.639999999999</v>
      </c>
      <c r="E154" s="4">
        <f>AVERAGE(Tabla2[[#This Row],[Deforestation 2012]:[Deforestation 2014]])</f>
        <v>65.339999999999989</v>
      </c>
      <c r="F154" s="4">
        <f>AVERAGE(Tabla2[[#This Row],[Deforestation 2022]:[Deforestation 2024]])</f>
        <v>257.15999999999997</v>
      </c>
      <c r="G154">
        <v>56.43</v>
      </c>
      <c r="H154">
        <v>64.17</v>
      </c>
      <c r="I154">
        <v>75.42</v>
      </c>
      <c r="J154">
        <v>58.41</v>
      </c>
      <c r="K154">
        <v>47.7</v>
      </c>
      <c r="L154">
        <v>69.75</v>
      </c>
      <c r="M154">
        <v>158.04</v>
      </c>
      <c r="N154">
        <v>97.74</v>
      </c>
      <c r="O154">
        <v>112.23</v>
      </c>
      <c r="P154">
        <v>64.710000000000008</v>
      </c>
      <c r="Q154">
        <v>134.72999999999999</v>
      </c>
      <c r="R154">
        <v>444.50999999999988</v>
      </c>
      <c r="S154">
        <v>192.24</v>
      </c>
      <c r="T154">
        <v>158.85</v>
      </c>
      <c r="U154">
        <v>183.69</v>
      </c>
      <c r="V154">
        <v>497.7</v>
      </c>
      <c r="W154">
        <v>108.36</v>
      </c>
      <c r="X154">
        <v>95.039999999999992</v>
      </c>
      <c r="Y154">
        <v>107.82</v>
      </c>
      <c r="Z154">
        <v>203.67</v>
      </c>
      <c r="AA154">
        <v>198.27</v>
      </c>
      <c r="AB154">
        <v>166.86</v>
      </c>
      <c r="AC154">
        <v>181.8</v>
      </c>
      <c r="AD154">
        <v>213.3</v>
      </c>
      <c r="AE154">
        <v>541.98</v>
      </c>
      <c r="AF154">
        <v>199.53</v>
      </c>
      <c r="AG154" s="5">
        <f>Tabla2[[#This Row],[Deforestation 2012]]/Tabla2[[#This Row],[Forest cover 2011]]</f>
        <v>1.2577834125048145E-3</v>
      </c>
      <c r="AH154" s="6">
        <f>Tabla2[[#This Row],[Deforestation 2013]]/Tabla2[[#This Row],[Forest cover 2011]]</f>
        <v>1.4303023494671974E-3</v>
      </c>
      <c r="AI154" s="6">
        <f>Tabla2[[#This Row],[Deforestation 2014]]/Tabla2[[#This Row],[Forest cover 2011]]</f>
        <v>1.6810566183078702E-3</v>
      </c>
      <c r="AJ154" s="6">
        <f>Tabla2[[#This Row],[Deforestation 2015]]/Tabla2[[#This Row],[Forest cover 2011]]</f>
        <v>1.3019161638207729E-3</v>
      </c>
      <c r="AK154" s="6">
        <f>Tabla2[[#This Row],[Deforestation 2016]]/Tabla2[[#This Row],[Forest cover 2011]]</f>
        <v>1.0631980998844525E-3</v>
      </c>
      <c r="AL154" s="6">
        <f>Tabla2[[#This Row],[Deforestation 2017]]/Tabla2[[#This Row],[Forest cover 2011]]</f>
        <v>1.554676466812171E-3</v>
      </c>
      <c r="AM154" s="6">
        <f>Tabla2[[#This Row],[Deforestation 2018]]/Tabla2[[#This Row],[Forest cover 2011]]</f>
        <v>3.5225959686737704E-3</v>
      </c>
      <c r="AN154" s="6">
        <f>Tabla2[[#This Row],[Deforestation 2019]]/Tabla2[[#This Row],[Forest cover 2011]]</f>
        <v>2.1785530876877648E-3</v>
      </c>
      <c r="AO154" s="6">
        <f>Tabla2[[#This Row],[Deforestation 2020]]/Tabla2[[#This Row],[Forest cover 2011]]</f>
        <v>2.5015245859545516E-3</v>
      </c>
      <c r="AP154" s="6">
        <f>Tabla2[[#This Row],[Deforestation 2021]]/Tabla2[[#This Row],[Forest cover 2011]]</f>
        <v>1.4423385543715498E-3</v>
      </c>
      <c r="AQ154" s="6">
        <f>Tabla2[[#This Row],[Deforestation 2022]]/Tabla2[[#This Row],[Forest cover 2011]]</f>
        <v>3.0030331236358967E-3</v>
      </c>
      <c r="AR154" s="6">
        <f>Tabla2[[#This Row],[Deforestation 2023]]/Tabla2[[#This Row],[Forest cover 2011]]</f>
        <v>9.9078026704326593E-3</v>
      </c>
      <c r="AS154" s="6">
        <f>Tabla2[[#This Row],[Deforestation 2024]]/Tabla2[[#This Row],[Forest cover 2011]]</f>
        <v>4.2848889459494157E-3</v>
      </c>
      <c r="AT154" s="6">
        <f>Tabla2[[#This Row],[Forest Loss 2012]]/Tabla2[[#This Row],[Forest cover 2011]]</f>
        <v>3.5406502760302991E-3</v>
      </c>
      <c r="AU154" s="6">
        <f>Tabla2[[#This Row],[Forest Loss 2013]]/Tabla2[[#This Row],[Forest cover 2011]]</f>
        <v>4.0943157016305048E-3</v>
      </c>
      <c r="AV154" s="6">
        <f>Tabla2[[#This Row],[Forest Loss 2014]]/Tabla2[[#This Row],[Forest cover 2011]]</f>
        <v>1.1093368853511362E-2</v>
      </c>
      <c r="AW154" s="6">
        <f>Tabla2[[#This Row],[Forest Loss 2015]]/Tabla2[[#This Row],[Forest cover 2011]]</f>
        <v>2.4152651174733598E-3</v>
      </c>
      <c r="AX154" s="6">
        <f>Tabla2[[#This Row],[Forest Loss 2016]]/Tabla2[[#This Row],[Forest cover 2011]]</f>
        <v>2.1183720631660031E-3</v>
      </c>
      <c r="AY154" s="6">
        <f>Tabla2[[#This Row],[Forest Loss 2017]]/Tabla2[[#This Row],[Forest cover 2011]]</f>
        <v>2.4032289125690076E-3</v>
      </c>
      <c r="AZ154" s="6">
        <f>Tabla2[[#This Row],[Forest Loss 2018]]/Tabla2[[#This Row],[Forest cover 2011]]</f>
        <v>4.539655283091539E-3</v>
      </c>
      <c r="BA154" s="6">
        <f>Tabla2[[#This Row],[Forest Loss 2019]]/Tabla2[[#This Row],[Forest cover 2011]]</f>
        <v>4.4192932340480166E-3</v>
      </c>
      <c r="BB154" s="6">
        <f>Tabla2[[#This Row],[Forest Loss 2020]]/Tabla2[[#This Row],[Forest cover 2011]]</f>
        <v>3.7191873154448583E-3</v>
      </c>
      <c r="BC154" s="6">
        <f>Tabla2[[#This Row],[Forest Loss 2021]]/Tabla2[[#This Row],[Forest cover 2011]]</f>
        <v>4.0521889844652714E-3</v>
      </c>
      <c r="BD154" s="6">
        <f>Tabla2[[#This Row],[Forest Loss 2022]]/Tabla2[[#This Row],[Forest cover 2011]]</f>
        <v>4.7543009372191559E-3</v>
      </c>
      <c r="BE154" s="6">
        <f>Tabla2[[#This Row],[Forest Loss 2023]]/Tabla2[[#This Row],[Forest cover 2011]]</f>
        <v>1.2080337655668251E-2</v>
      </c>
      <c r="BF154" s="6">
        <f>Tabla2[[#This Row],[Forest Loss 2024]]/Tabla2[[#This Row],[Forest cover 2011]]</f>
        <v>4.4473777121581716E-3</v>
      </c>
    </row>
    <row r="155" spans="1:58" x14ac:dyDescent="0.25">
      <c r="A155" s="2">
        <v>20605</v>
      </c>
      <c r="B155" s="3" t="s">
        <v>88</v>
      </c>
      <c r="C155" t="s">
        <v>120</v>
      </c>
      <c r="D155">
        <v>367.56</v>
      </c>
      <c r="E155" s="4">
        <f>AVERAGE(Tabla2[[#This Row],[Deforestation 2012]:[Deforestation 2014]])</f>
        <v>0.42</v>
      </c>
      <c r="F155" s="4">
        <f>AVERAGE(Tabla2[[#This Row],[Deforestation 2022]:[Deforestation 2024]])</f>
        <v>0.56999999999999995</v>
      </c>
      <c r="G155">
        <v>0.18</v>
      </c>
      <c r="H155">
        <v>0.27</v>
      </c>
      <c r="I155">
        <v>0.81</v>
      </c>
      <c r="J155">
        <v>0.36</v>
      </c>
      <c r="K155">
        <v>1.26</v>
      </c>
      <c r="L155">
        <v>0.09</v>
      </c>
      <c r="M155">
        <v>0.09</v>
      </c>
      <c r="N155">
        <v>0.18</v>
      </c>
      <c r="O155">
        <v>0.81</v>
      </c>
      <c r="P155">
        <v>0</v>
      </c>
      <c r="Q155">
        <v>0</v>
      </c>
      <c r="R155">
        <v>0.18</v>
      </c>
      <c r="S155">
        <v>1.53</v>
      </c>
      <c r="T155">
        <v>3.51</v>
      </c>
      <c r="U155">
        <v>2.79</v>
      </c>
      <c r="V155">
        <v>6.48</v>
      </c>
      <c r="W155">
        <v>0.81</v>
      </c>
      <c r="X155">
        <v>1.71</v>
      </c>
      <c r="Y155">
        <v>0.18</v>
      </c>
      <c r="Z155">
        <v>0.36</v>
      </c>
      <c r="AA155">
        <v>1.71</v>
      </c>
      <c r="AB155">
        <v>0.99</v>
      </c>
      <c r="AC155">
        <v>0</v>
      </c>
      <c r="AD155">
        <v>0</v>
      </c>
      <c r="AE155">
        <v>0.18</v>
      </c>
      <c r="AF155">
        <v>1.62</v>
      </c>
      <c r="AG155" s="5">
        <f>Tabla2[[#This Row],[Deforestation 2012]]/Tabla2[[#This Row],[Forest cover 2011]]</f>
        <v>4.8971596474045055E-4</v>
      </c>
      <c r="AH155" s="6">
        <f>Tabla2[[#This Row],[Deforestation 2013]]/Tabla2[[#This Row],[Forest cover 2011]]</f>
        <v>7.3457394711067589E-4</v>
      </c>
      <c r="AI155" s="6">
        <f>Tabla2[[#This Row],[Deforestation 2014]]/Tabla2[[#This Row],[Forest cover 2011]]</f>
        <v>2.2037218413320275E-3</v>
      </c>
      <c r="AJ155" s="6">
        <f>Tabla2[[#This Row],[Deforestation 2015]]/Tabla2[[#This Row],[Forest cover 2011]]</f>
        <v>9.7943192948090111E-4</v>
      </c>
      <c r="AK155" s="6">
        <f>Tabla2[[#This Row],[Deforestation 2016]]/Tabla2[[#This Row],[Forest cover 2011]]</f>
        <v>3.4280117531831538E-3</v>
      </c>
      <c r="AL155" s="6">
        <f>Tabla2[[#This Row],[Deforestation 2017]]/Tabla2[[#This Row],[Forest cover 2011]]</f>
        <v>2.4485798237022528E-4</v>
      </c>
      <c r="AM155" s="6">
        <f>Tabla2[[#This Row],[Deforestation 2018]]/Tabla2[[#This Row],[Forest cover 2011]]</f>
        <v>2.4485798237022528E-4</v>
      </c>
      <c r="AN155" s="6">
        <f>Tabla2[[#This Row],[Deforestation 2019]]/Tabla2[[#This Row],[Forest cover 2011]]</f>
        <v>4.8971596474045055E-4</v>
      </c>
      <c r="AO155" s="6">
        <f>Tabla2[[#This Row],[Deforestation 2020]]/Tabla2[[#This Row],[Forest cover 2011]]</f>
        <v>2.2037218413320275E-3</v>
      </c>
      <c r="AP155" s="6">
        <f>Tabla2[[#This Row],[Deforestation 2021]]/Tabla2[[#This Row],[Forest cover 2011]]</f>
        <v>0</v>
      </c>
      <c r="AQ155" s="6">
        <f>Tabla2[[#This Row],[Deforestation 2022]]/Tabla2[[#This Row],[Forest cover 2011]]</f>
        <v>0</v>
      </c>
      <c r="AR155" s="6">
        <f>Tabla2[[#This Row],[Deforestation 2023]]/Tabla2[[#This Row],[Forest cover 2011]]</f>
        <v>4.8971596474045055E-4</v>
      </c>
      <c r="AS155" s="6">
        <f>Tabla2[[#This Row],[Deforestation 2024]]/Tabla2[[#This Row],[Forest cover 2011]]</f>
        <v>4.1625857002938298E-3</v>
      </c>
      <c r="AT155" s="6">
        <f>Tabla2[[#This Row],[Forest Loss 2012]]/Tabla2[[#This Row],[Forest cover 2011]]</f>
        <v>9.5494613124387853E-3</v>
      </c>
      <c r="AU155" s="6">
        <f>Tabla2[[#This Row],[Forest Loss 2013]]/Tabla2[[#This Row],[Forest cover 2011]]</f>
        <v>7.5905974534769835E-3</v>
      </c>
      <c r="AV155" s="6">
        <f>Tabla2[[#This Row],[Forest Loss 2014]]/Tabla2[[#This Row],[Forest cover 2011]]</f>
        <v>1.762977473065622E-2</v>
      </c>
      <c r="AW155" s="6">
        <f>Tabla2[[#This Row],[Forest Loss 2015]]/Tabla2[[#This Row],[Forest cover 2011]]</f>
        <v>2.2037218413320275E-3</v>
      </c>
      <c r="AX155" s="6">
        <f>Tabla2[[#This Row],[Forest Loss 2016]]/Tabla2[[#This Row],[Forest cover 2011]]</f>
        <v>4.6523016650342796E-3</v>
      </c>
      <c r="AY155" s="6">
        <f>Tabla2[[#This Row],[Forest Loss 2017]]/Tabla2[[#This Row],[Forest cover 2011]]</f>
        <v>4.8971596474045055E-4</v>
      </c>
      <c r="AZ155" s="6">
        <f>Tabla2[[#This Row],[Forest Loss 2018]]/Tabla2[[#This Row],[Forest cover 2011]]</f>
        <v>9.7943192948090111E-4</v>
      </c>
      <c r="BA155" s="6">
        <f>Tabla2[[#This Row],[Forest Loss 2019]]/Tabla2[[#This Row],[Forest cover 2011]]</f>
        <v>4.6523016650342796E-3</v>
      </c>
      <c r="BB155" s="6">
        <f>Tabla2[[#This Row],[Forest Loss 2020]]/Tabla2[[#This Row],[Forest cover 2011]]</f>
        <v>2.6934378060724778E-3</v>
      </c>
      <c r="BC155" s="6">
        <f>Tabla2[[#This Row],[Forest Loss 2021]]/Tabla2[[#This Row],[Forest cover 2011]]</f>
        <v>0</v>
      </c>
      <c r="BD155" s="6">
        <f>Tabla2[[#This Row],[Forest Loss 2022]]/Tabla2[[#This Row],[Forest cover 2011]]</f>
        <v>0</v>
      </c>
      <c r="BE155" s="6">
        <f>Tabla2[[#This Row],[Forest Loss 2023]]/Tabla2[[#This Row],[Forest cover 2011]]</f>
        <v>4.8971596474045055E-4</v>
      </c>
      <c r="BF155" s="6">
        <f>Tabla2[[#This Row],[Forest Loss 2024]]/Tabla2[[#This Row],[Forest cover 2011]]</f>
        <v>4.4074436826640551E-3</v>
      </c>
    </row>
    <row r="156" spans="1:58" x14ac:dyDescent="0.25">
      <c r="A156" s="2">
        <v>10902</v>
      </c>
      <c r="B156" s="3" t="s">
        <v>58</v>
      </c>
      <c r="C156" t="s">
        <v>83</v>
      </c>
      <c r="D156">
        <v>232980.57</v>
      </c>
      <c r="E156" s="4">
        <f>AVERAGE(Tabla2[[#This Row],[Deforestation 2012]:[Deforestation 2014]])</f>
        <v>495.27</v>
      </c>
      <c r="F156" s="4">
        <f>AVERAGE(Tabla2[[#This Row],[Deforestation 2022]:[Deforestation 2024]])</f>
        <v>1180.8599999999999</v>
      </c>
      <c r="G156">
        <v>419.76</v>
      </c>
      <c r="H156">
        <v>561.41999999999996</v>
      </c>
      <c r="I156">
        <v>504.63</v>
      </c>
      <c r="J156">
        <v>246.51</v>
      </c>
      <c r="K156">
        <v>385.83</v>
      </c>
      <c r="L156">
        <v>660.51</v>
      </c>
      <c r="M156">
        <v>330.75</v>
      </c>
      <c r="N156">
        <v>913.13999999999987</v>
      </c>
      <c r="O156">
        <v>634.7700000000001</v>
      </c>
      <c r="P156">
        <v>499.86</v>
      </c>
      <c r="Q156">
        <v>280.44</v>
      </c>
      <c r="R156">
        <v>2403.36</v>
      </c>
      <c r="S156">
        <v>858.78</v>
      </c>
      <c r="T156">
        <v>460.53</v>
      </c>
      <c r="U156">
        <v>597.87</v>
      </c>
      <c r="V156">
        <v>826.83</v>
      </c>
      <c r="W156">
        <v>296.01</v>
      </c>
      <c r="X156">
        <v>420.48</v>
      </c>
      <c r="Y156">
        <v>690.03</v>
      </c>
      <c r="Z156">
        <v>360.72</v>
      </c>
      <c r="AA156">
        <v>942.38999999999987</v>
      </c>
      <c r="AB156">
        <v>654.57000000000005</v>
      </c>
      <c r="AC156">
        <v>536.66999999999996</v>
      </c>
      <c r="AD156">
        <v>283.68</v>
      </c>
      <c r="AE156">
        <v>2493.63</v>
      </c>
      <c r="AF156">
        <v>1014.93</v>
      </c>
      <c r="AG156" s="5">
        <f>Tabla2[[#This Row],[Deforestation 2012]]/Tabla2[[#This Row],[Forest cover 2011]]</f>
        <v>1.8016953087547172E-3</v>
      </c>
      <c r="AH156" s="6">
        <f>Tabla2[[#This Row],[Deforestation 2013]]/Tabla2[[#This Row],[Forest cover 2011]]</f>
        <v>2.4097288456286286E-3</v>
      </c>
      <c r="AI156" s="6">
        <f>Tabla2[[#This Row],[Deforestation 2014]]/Tabla2[[#This Row],[Forest cover 2011]]</f>
        <v>2.1659746132477913E-3</v>
      </c>
      <c r="AJ156" s="6">
        <f>Tabla2[[#This Row],[Deforestation 2015]]/Tabla2[[#This Row],[Forest cover 2011]]</f>
        <v>1.058071065754539E-3</v>
      </c>
      <c r="AK156" s="6">
        <f>Tabla2[[#This Row],[Deforestation 2016]]/Tabla2[[#This Row],[Forest cover 2011]]</f>
        <v>1.6560608466190977E-3</v>
      </c>
      <c r="AL156" s="6">
        <f>Tabla2[[#This Row],[Deforestation 2017]]/Tabla2[[#This Row],[Forest cover 2011]]</f>
        <v>2.8350432827939256E-3</v>
      </c>
      <c r="AM156" s="6">
        <f>Tabla2[[#This Row],[Deforestation 2018]]/Tabla2[[#This Row],[Forest cover 2011]]</f>
        <v>1.4196462820912491E-3</v>
      </c>
      <c r="AN156" s="6">
        <f>Tabla2[[#This Row],[Deforestation 2019]]/Tabla2[[#This Row],[Forest cover 2011]]</f>
        <v>3.919382633496003E-3</v>
      </c>
      <c r="AO156" s="6">
        <f>Tabla2[[#This Row],[Deforestation 2020]]/Tabla2[[#This Row],[Forest cover 2011]]</f>
        <v>2.7245619666910422E-3</v>
      </c>
      <c r="AP156" s="6">
        <f>Tabla2[[#This Row],[Deforestation 2021]]/Tabla2[[#This Row],[Forest cover 2011]]</f>
        <v>2.1455008029210333E-3</v>
      </c>
      <c r="AQ156" s="6">
        <f>Tabla2[[#This Row],[Deforestation 2022]]/Tabla2[[#This Row],[Forest cover 2011]]</f>
        <v>1.2037055278901582E-3</v>
      </c>
      <c r="AR156" s="6">
        <f>Tabla2[[#This Row],[Deforestation 2023]]/Tabla2[[#This Row],[Forest cover 2011]]</f>
        <v>1.0315710018221692E-2</v>
      </c>
      <c r="AS156" s="6">
        <f>Tabla2[[#This Row],[Deforestation 2024]]/Tabla2[[#This Row],[Forest cover 2011]]</f>
        <v>3.6860584554325709E-3</v>
      </c>
      <c r="AT156" s="6">
        <f>Tabla2[[#This Row],[Forest Loss 2012]]/Tabla2[[#This Row],[Forest cover 2011]]</f>
        <v>1.9766884423022915E-3</v>
      </c>
      <c r="AU156" s="6">
        <f>Tabla2[[#This Row],[Forest Loss 2013]]/Tabla2[[#This Row],[Forest cover 2011]]</f>
        <v>2.5661796603897052E-3</v>
      </c>
      <c r="AV156" s="6">
        <f>Tabla2[[#This Row],[Forest Loss 2014]]/Tabla2[[#This Row],[Forest cover 2011]]</f>
        <v>3.5489225560740969E-3</v>
      </c>
      <c r="AW156" s="6">
        <f>Tabla2[[#This Row],[Forest Loss 2015]]/Tabla2[[#This Row],[Forest cover 2011]]</f>
        <v>1.2705351351831613E-3</v>
      </c>
      <c r="AX156" s="6">
        <f>Tabla2[[#This Row],[Forest Loss 2016]]/Tabla2[[#This Row],[Forest cover 2011]]</f>
        <v>1.8047856952191335E-3</v>
      </c>
      <c r="AY156" s="6">
        <f>Tabla2[[#This Row],[Forest Loss 2017]]/Tabla2[[#This Row],[Forest cover 2011]]</f>
        <v>2.9617491278349948E-3</v>
      </c>
      <c r="AZ156" s="6">
        <f>Tabla2[[#This Row],[Forest Loss 2018]]/Tabla2[[#This Row],[Forest cover 2011]]</f>
        <v>1.5482836186725786E-3</v>
      </c>
      <c r="BA156" s="6">
        <f>Tabla2[[#This Row],[Forest Loss 2019]]/Tabla2[[#This Row],[Forest cover 2011]]</f>
        <v>4.0449295836129159E-3</v>
      </c>
      <c r="BB156" s="6">
        <f>Tabla2[[#This Row],[Forest Loss 2020]]/Tabla2[[#This Row],[Forest cover 2011]]</f>
        <v>2.8095475944624913E-3</v>
      </c>
      <c r="BC156" s="6">
        <f>Tabla2[[#This Row],[Forest Loss 2021]]/Tabla2[[#This Row],[Forest cover 2011]]</f>
        <v>2.3034968109143178E-3</v>
      </c>
      <c r="BD156" s="6">
        <f>Tabla2[[#This Row],[Forest Loss 2022]]/Tabla2[[#This Row],[Forest cover 2011]]</f>
        <v>1.2176122669800319E-3</v>
      </c>
      <c r="BE156" s="6">
        <f>Tabla2[[#This Row],[Forest Loss 2023]]/Tabla2[[#This Row],[Forest cover 2011]]</f>
        <v>1.0703167221197888E-2</v>
      </c>
      <c r="BF156" s="6">
        <f>Tabla2[[#This Row],[Forest Loss 2024]]/Tabla2[[#This Row],[Forest cover 2011]]</f>
        <v>4.3562860199028615E-3</v>
      </c>
    </row>
    <row r="157" spans="1:58" x14ac:dyDescent="0.25">
      <c r="A157" s="2">
        <v>70707</v>
      </c>
      <c r="B157" s="3" t="s">
        <v>310</v>
      </c>
      <c r="C157" t="s">
        <v>337</v>
      </c>
      <c r="D157">
        <v>147199.14000000001</v>
      </c>
      <c r="E157" s="4">
        <f>AVERAGE(Tabla2[[#This Row],[Deforestation 2012]:[Deforestation 2014]])</f>
        <v>70.44</v>
      </c>
      <c r="F157" s="4">
        <f>AVERAGE(Tabla2[[#This Row],[Deforestation 2022]:[Deforestation 2024]])</f>
        <v>1307.04</v>
      </c>
      <c r="G157">
        <v>43.2</v>
      </c>
      <c r="H157">
        <v>77.22</v>
      </c>
      <c r="I157">
        <v>90.9</v>
      </c>
      <c r="J157">
        <v>110.52</v>
      </c>
      <c r="K157">
        <v>360.18</v>
      </c>
      <c r="L157">
        <v>324.72000000000003</v>
      </c>
      <c r="M157">
        <v>348.3</v>
      </c>
      <c r="N157">
        <v>569.42999999999995</v>
      </c>
      <c r="O157">
        <v>288.81</v>
      </c>
      <c r="P157">
        <v>2776.95</v>
      </c>
      <c r="Q157">
        <v>2023.02</v>
      </c>
      <c r="R157">
        <v>1288.8</v>
      </c>
      <c r="S157">
        <v>609.29999999999995</v>
      </c>
      <c r="T157">
        <v>82.35</v>
      </c>
      <c r="U157">
        <v>100.35</v>
      </c>
      <c r="V157">
        <v>344.97</v>
      </c>
      <c r="W157">
        <v>166.14</v>
      </c>
      <c r="X157">
        <v>443.61</v>
      </c>
      <c r="Y157">
        <v>404.28</v>
      </c>
      <c r="Z157">
        <v>374.22</v>
      </c>
      <c r="AA157">
        <v>641.79</v>
      </c>
      <c r="AB157">
        <v>346.86</v>
      </c>
      <c r="AC157">
        <v>3685.41</v>
      </c>
      <c r="AD157">
        <v>2029.41</v>
      </c>
      <c r="AE157">
        <v>2905.65</v>
      </c>
      <c r="AF157">
        <v>638.55000000000007</v>
      </c>
      <c r="AG157" s="5">
        <f>Tabla2[[#This Row],[Deforestation 2012]]/Tabla2[[#This Row],[Forest cover 2011]]</f>
        <v>2.9347997549442203E-4</v>
      </c>
      <c r="AH157" s="6">
        <f>Tabla2[[#This Row],[Deforestation 2013]]/Tabla2[[#This Row],[Forest cover 2011]]</f>
        <v>5.2459545619627931E-4</v>
      </c>
      <c r="AI157" s="6">
        <f>Tabla2[[#This Row],[Deforestation 2014]]/Tabla2[[#This Row],[Forest cover 2011]]</f>
        <v>6.1753078176951309E-4</v>
      </c>
      <c r="AJ157" s="6">
        <f>Tabla2[[#This Row],[Deforestation 2015]]/Tabla2[[#This Row],[Forest cover 2011]]</f>
        <v>7.5081960397322962E-4</v>
      </c>
      <c r="AK157" s="6">
        <f>Tabla2[[#This Row],[Deforestation 2016]]/Tabla2[[#This Row],[Forest cover 2011]]</f>
        <v>2.4468892956847435E-3</v>
      </c>
      <c r="AL157" s="6">
        <f>Tabla2[[#This Row],[Deforestation 2017]]/Tabla2[[#This Row],[Forest cover 2011]]</f>
        <v>2.2059911491330722E-3</v>
      </c>
      <c r="AM157" s="6">
        <f>Tabla2[[#This Row],[Deforestation 2018]]/Tabla2[[#This Row],[Forest cover 2011]]</f>
        <v>2.3661823024237775E-3</v>
      </c>
      <c r="AN157" s="6">
        <f>Tabla2[[#This Row],[Deforestation 2019]]/Tabla2[[#This Row],[Forest cover 2011]]</f>
        <v>3.8684329269858498E-3</v>
      </c>
      <c r="AO157" s="6">
        <f>Tabla2[[#This Row],[Deforestation 2020]]/Tabla2[[#This Row],[Forest cover 2011]]</f>
        <v>1.9620359195033337E-3</v>
      </c>
      <c r="AP157" s="6">
        <f>Tabla2[[#This Row],[Deforestation 2021]]/Tabla2[[#This Row],[Forest cover 2011]]</f>
        <v>1.8865259674750813E-2</v>
      </c>
      <c r="AQ157" s="6">
        <f>Tabla2[[#This Row],[Deforestation 2022]]/Tabla2[[#This Row],[Forest cover 2011]]</f>
        <v>1.3743422685757537E-2</v>
      </c>
      <c r="AR157" s="6">
        <f>Tabla2[[#This Row],[Deforestation 2023]]/Tabla2[[#This Row],[Forest cover 2011]]</f>
        <v>8.7554859355835901E-3</v>
      </c>
      <c r="AS157" s="6">
        <f>Tabla2[[#This Row],[Deforestation 2024]]/Tabla2[[#This Row],[Forest cover 2011]]</f>
        <v>4.1392904877025766E-3</v>
      </c>
      <c r="AT157" s="6">
        <f>Tabla2[[#This Row],[Forest Loss 2012]]/Tabla2[[#This Row],[Forest cover 2011]]</f>
        <v>5.5944620328624191E-4</v>
      </c>
      <c r="AU157" s="6">
        <f>Tabla2[[#This Row],[Forest Loss 2013]]/Tabla2[[#This Row],[Forest cover 2011]]</f>
        <v>6.8172952640891782E-4</v>
      </c>
      <c r="AV157" s="6">
        <f>Tabla2[[#This Row],[Forest Loss 2014]]/Tabla2[[#This Row],[Forest cover 2011]]</f>
        <v>2.3435598876460828E-3</v>
      </c>
      <c r="AW157" s="6">
        <f>Tabla2[[#This Row],[Forest Loss 2015]]/Tabla2[[#This Row],[Forest cover 2011]]</f>
        <v>1.128675072422298E-3</v>
      </c>
      <c r="AX157" s="6">
        <f>Tabla2[[#This Row],[Forest Loss 2016]]/Tabla2[[#This Row],[Forest cover 2011]]</f>
        <v>3.0136724983583461E-3</v>
      </c>
      <c r="AY157" s="6">
        <f>Tabla2[[#This Row],[Forest Loss 2017]]/Tabla2[[#This Row],[Forest cover 2011]]</f>
        <v>2.7464834373352991E-3</v>
      </c>
      <c r="AZ157" s="6">
        <f>Tabla2[[#This Row],[Forest Loss 2018]]/Tabla2[[#This Row],[Forest cover 2011]]</f>
        <v>2.5422702877204309E-3</v>
      </c>
      <c r="BA157" s="6">
        <f>Tabla2[[#This Row],[Forest Loss 2019]]/Tabla2[[#This Row],[Forest cover 2011]]</f>
        <v>4.3600118859390066E-3</v>
      </c>
      <c r="BB157" s="6">
        <f>Tabla2[[#This Row],[Forest Loss 2020]]/Tabla2[[#This Row],[Forest cover 2011]]</f>
        <v>2.3563996365739636E-3</v>
      </c>
      <c r="BC157" s="6">
        <f>Tabla2[[#This Row],[Forest Loss 2021]]/Tabla2[[#This Row],[Forest cover 2011]]</f>
        <v>2.5036898992752264E-2</v>
      </c>
      <c r="BD157" s="6">
        <f>Tabla2[[#This Row],[Forest Loss 2022]]/Tabla2[[#This Row],[Forest cover 2011]]</f>
        <v>1.3786833265466088E-2</v>
      </c>
      <c r="BE157" s="6">
        <f>Tabla2[[#This Row],[Forest Loss 2023]]/Tabla2[[#This Row],[Forest cover 2011]]</f>
        <v>1.973958543507795E-2</v>
      </c>
      <c r="BF157" s="6">
        <f>Tabla2[[#This Row],[Forest Loss 2024]]/Tabla2[[#This Row],[Forest cover 2011]]</f>
        <v>4.3380008877769256E-3</v>
      </c>
    </row>
    <row r="158" spans="1:58" x14ac:dyDescent="0.25">
      <c r="A158" s="2">
        <v>70801</v>
      </c>
      <c r="B158" s="3" t="s">
        <v>310</v>
      </c>
      <c r="C158" t="s">
        <v>338</v>
      </c>
      <c r="D158">
        <v>269921.7</v>
      </c>
      <c r="E158" s="4">
        <f>AVERAGE(Tabla2[[#This Row],[Deforestation 2012]:[Deforestation 2014]])</f>
        <v>639.84</v>
      </c>
      <c r="F158" s="4">
        <f>AVERAGE(Tabla2[[#This Row],[Deforestation 2022]:[Deforestation 2024]])</f>
        <v>1338.06</v>
      </c>
      <c r="G158">
        <v>537.21</v>
      </c>
      <c r="H158">
        <v>833.93999999999994</v>
      </c>
      <c r="I158">
        <v>548.37</v>
      </c>
      <c r="J158">
        <v>569.52</v>
      </c>
      <c r="K158">
        <v>669.51</v>
      </c>
      <c r="L158">
        <v>724.77</v>
      </c>
      <c r="M158">
        <v>696.15</v>
      </c>
      <c r="N158">
        <v>518.4</v>
      </c>
      <c r="O158">
        <v>999.09</v>
      </c>
      <c r="P158">
        <v>1309.5899999999999</v>
      </c>
      <c r="Q158">
        <v>486.72</v>
      </c>
      <c r="R158">
        <v>2434.23</v>
      </c>
      <c r="S158">
        <v>1093.23</v>
      </c>
      <c r="T158">
        <v>726.12</v>
      </c>
      <c r="U158">
        <v>1041.1199999999999</v>
      </c>
      <c r="V158">
        <v>1511.01</v>
      </c>
      <c r="W158">
        <v>707.04</v>
      </c>
      <c r="X158">
        <v>789.48</v>
      </c>
      <c r="Y158">
        <v>842.67</v>
      </c>
      <c r="Z158">
        <v>820.08</v>
      </c>
      <c r="AA158">
        <v>816.66000000000008</v>
      </c>
      <c r="AB158">
        <v>1110.06</v>
      </c>
      <c r="AC158">
        <v>1590.39</v>
      </c>
      <c r="AD158">
        <v>670.68000000000006</v>
      </c>
      <c r="AE158">
        <v>2835.45</v>
      </c>
      <c r="AF158">
        <v>1157.76</v>
      </c>
      <c r="AG158" s="5">
        <f>Tabla2[[#This Row],[Deforestation 2012]]/Tabla2[[#This Row],[Forest cover 2011]]</f>
        <v>1.9902438373795069E-3</v>
      </c>
      <c r="AH158" s="6">
        <f>Tabla2[[#This Row],[Deforestation 2013]]/Tabla2[[#This Row],[Forest cover 2011]]</f>
        <v>3.0895626398322177E-3</v>
      </c>
      <c r="AI158" s="6">
        <f>Tabla2[[#This Row],[Deforestation 2014]]/Tabla2[[#This Row],[Forest cover 2011]]</f>
        <v>2.0315891608566482E-3</v>
      </c>
      <c r="AJ158" s="6">
        <f>Tabla2[[#This Row],[Deforestation 2015]]/Tabla2[[#This Row],[Forest cover 2011]]</f>
        <v>2.1099452174463927E-3</v>
      </c>
      <c r="AK158" s="6">
        <f>Tabla2[[#This Row],[Deforestation 2016]]/Tabla2[[#This Row],[Forest cover 2011]]</f>
        <v>2.4803859786004605E-3</v>
      </c>
      <c r="AL158" s="6">
        <f>Tabla2[[#This Row],[Deforestation 2017]]/Tabla2[[#This Row],[Forest cover 2011]]</f>
        <v>2.6851120158179202E-3</v>
      </c>
      <c r="AM158" s="6">
        <f>Tabla2[[#This Row],[Deforestation 2018]]/Tabla2[[#This Row],[Forest cover 2011]]</f>
        <v>2.5790812669007341E-3</v>
      </c>
      <c r="AN158" s="6">
        <f>Tabla2[[#This Row],[Deforestation 2019]]/Tabla2[[#This Row],[Forest cover 2011]]</f>
        <v>1.9205569615188404E-3</v>
      </c>
      <c r="AO158" s="6">
        <f>Tabla2[[#This Row],[Deforestation 2020]]/Tabla2[[#This Row],[Forest cover 2011]]</f>
        <v>3.7014067412883067E-3</v>
      </c>
      <c r="AP158" s="6">
        <f>Tabla2[[#This Row],[Deforestation 2021]]/Tabla2[[#This Row],[Forest cover 2011]]</f>
        <v>4.8517403380313618E-3</v>
      </c>
      <c r="AQ158" s="6">
        <f>Tabla2[[#This Row],[Deforestation 2022]]/Tabla2[[#This Row],[Forest cover 2011]]</f>
        <v>1.8031895916482447E-3</v>
      </c>
      <c r="AR158" s="6">
        <f>Tabla2[[#This Row],[Deforestation 2023]]/Tabla2[[#This Row],[Forest cover 2011]]</f>
        <v>9.0182819684375137E-3</v>
      </c>
      <c r="AS158" s="6">
        <f>Tabla2[[#This Row],[Deforestation 2024]]/Tabla2[[#This Row],[Forest cover 2011]]</f>
        <v>4.0501745506196793E-3</v>
      </c>
      <c r="AT158" s="6">
        <f>Tabla2[[#This Row],[Forest Loss 2012]]/Tabla2[[#This Row],[Forest cover 2011]]</f>
        <v>2.6901134662385426E-3</v>
      </c>
      <c r="AU158" s="6">
        <f>Tabla2[[#This Row],[Forest Loss 2013]]/Tabla2[[#This Row],[Forest cover 2011]]</f>
        <v>3.8571185643836705E-3</v>
      </c>
      <c r="AV158" s="6">
        <f>Tabla2[[#This Row],[Forest Loss 2014]]/Tabla2[[#This Row],[Forest cover 2011]]</f>
        <v>5.597956740788162E-3</v>
      </c>
      <c r="AW158" s="6">
        <f>Tabla2[[#This Row],[Forest Loss 2015]]/Tabla2[[#This Row],[Forest cover 2011]]</f>
        <v>2.6194263002937515E-3</v>
      </c>
      <c r="AX158" s="6">
        <f>Tabla2[[#This Row],[Forest Loss 2016]]/Tabla2[[#This Row],[Forest cover 2011]]</f>
        <v>2.924848205979734E-3</v>
      </c>
      <c r="AY158" s="6">
        <f>Tabla2[[#This Row],[Forest Loss 2017]]/Tabla2[[#This Row],[Forest cover 2011]]</f>
        <v>3.1219053525522399E-3</v>
      </c>
      <c r="AZ158" s="6">
        <f>Tabla2[[#This Row],[Forest Loss 2018]]/Tabla2[[#This Row],[Forest cover 2011]]</f>
        <v>3.0382144155138326E-3</v>
      </c>
      <c r="BA158" s="6">
        <f>Tabla2[[#This Row],[Forest Loss 2019]]/Tabla2[[#This Row],[Forest cover 2011]]</f>
        <v>3.0255440744482568E-3</v>
      </c>
      <c r="BB158" s="6">
        <f>Tabla2[[#This Row],[Forest Loss 2020]]/Tabla2[[#This Row],[Forest cover 2011]]</f>
        <v>4.1125259658634332E-3</v>
      </c>
      <c r="BC158" s="6">
        <f>Tabla2[[#This Row],[Forest Loss 2021]]/Tabla2[[#This Row],[Forest cover 2011]]</f>
        <v>5.8920420255207341E-3</v>
      </c>
      <c r="BD158" s="6">
        <f>Tabla2[[#This Row],[Forest Loss 2022]]/Tabla2[[#This Row],[Forest cover 2011]]</f>
        <v>2.4847205689649998E-3</v>
      </c>
      <c r="BE158" s="6">
        <f>Tabla2[[#This Row],[Forest Loss 2023]]/Tabla2[[#This Row],[Forest cover 2011]]</f>
        <v>1.0504713033446364E-2</v>
      </c>
      <c r="BF158" s="6">
        <f>Tabla2[[#This Row],[Forest Loss 2024]]/Tabla2[[#This Row],[Forest cover 2011]]</f>
        <v>4.28924388072541E-3</v>
      </c>
    </row>
    <row r="159" spans="1:58" x14ac:dyDescent="0.25">
      <c r="A159" s="2">
        <v>30303</v>
      </c>
      <c r="B159" s="3" t="s">
        <v>176</v>
      </c>
      <c r="C159" t="s">
        <v>182</v>
      </c>
      <c r="D159">
        <v>527519.88</v>
      </c>
      <c r="E159" s="4">
        <f>AVERAGE(Tabla2[[#This Row],[Deforestation 2012]:[Deforestation 2014]])</f>
        <v>208.65</v>
      </c>
      <c r="F159" s="4">
        <f>AVERAGE(Tabla2[[#This Row],[Deforestation 2022]:[Deforestation 2024]])</f>
        <v>1246.0200000000002</v>
      </c>
      <c r="G159">
        <v>151.38</v>
      </c>
      <c r="H159">
        <v>184.23</v>
      </c>
      <c r="I159">
        <v>290.33999999999997</v>
      </c>
      <c r="J159">
        <v>226.26</v>
      </c>
      <c r="K159">
        <v>354.33</v>
      </c>
      <c r="L159">
        <v>319.77</v>
      </c>
      <c r="M159">
        <v>241.74</v>
      </c>
      <c r="N159">
        <v>346.41</v>
      </c>
      <c r="O159">
        <v>689.94</v>
      </c>
      <c r="P159">
        <v>421.2</v>
      </c>
      <c r="Q159">
        <v>473.22</v>
      </c>
      <c r="R159">
        <v>1855.89</v>
      </c>
      <c r="S159">
        <v>1408.95</v>
      </c>
      <c r="T159">
        <v>661.86</v>
      </c>
      <c r="U159">
        <v>600.66</v>
      </c>
      <c r="V159">
        <v>970.38</v>
      </c>
      <c r="W159">
        <v>563.30999999999995</v>
      </c>
      <c r="X159">
        <v>638.73</v>
      </c>
      <c r="Y159">
        <v>506.25000000000011</v>
      </c>
      <c r="Z159">
        <v>492.57000000000011</v>
      </c>
      <c r="AA159">
        <v>559.98</v>
      </c>
      <c r="AB159">
        <v>1095.8399999999999</v>
      </c>
      <c r="AC159">
        <v>565.91999999999996</v>
      </c>
      <c r="AD159">
        <v>609.57000000000005</v>
      </c>
      <c r="AE159">
        <v>2108.0700000000002</v>
      </c>
      <c r="AF159">
        <v>2199.33</v>
      </c>
      <c r="AG159" s="5">
        <f>Tabla2[[#This Row],[Deforestation 2012]]/Tabla2[[#This Row],[Forest cover 2011]]</f>
        <v>2.8696548839069342E-4</v>
      </c>
      <c r="AH159" s="6">
        <f>Tabla2[[#This Row],[Deforestation 2013]]/Tabla2[[#This Row],[Forest cover 2011]]</f>
        <v>3.4923802302957757E-4</v>
      </c>
      <c r="AI159" s="6">
        <f>Tabla2[[#This Row],[Deforestation 2014]]/Tabla2[[#This Row],[Forest cover 2011]]</f>
        <v>5.5038684039737033E-4</v>
      </c>
      <c r="AJ159" s="6">
        <f>Tabla2[[#This Row],[Deforestation 2015]]/Tabla2[[#This Row],[Forest cover 2011]]</f>
        <v>4.289127454305608E-4</v>
      </c>
      <c r="AK159" s="6">
        <f>Tabla2[[#This Row],[Deforestation 2016]]/Tabla2[[#This Row],[Forest cover 2011]]</f>
        <v>6.7169032568023784E-4</v>
      </c>
      <c r="AL159" s="6">
        <f>Tabla2[[#This Row],[Deforestation 2017]]/Tabla2[[#This Row],[Forest cover 2011]]</f>
        <v>6.0617620704645284E-4</v>
      </c>
      <c r="AM159" s="6">
        <f>Tabla2[[#This Row],[Deforestation 2018]]/Tabla2[[#This Row],[Forest cover 2011]]</f>
        <v>4.5825761106861037E-4</v>
      </c>
      <c r="AN159" s="6">
        <f>Tabla2[[#This Row],[Deforestation 2019]]/Tabla2[[#This Row],[Forest cover 2011]]</f>
        <v>6.5667667349332884E-4</v>
      </c>
      <c r="AO159" s="6">
        <f>Tabla2[[#This Row],[Deforestation 2020]]/Tabla2[[#This Row],[Forest cover 2011]]</f>
        <v>1.307893837100509E-3</v>
      </c>
      <c r="AP159" s="6">
        <f>Tabla2[[#This Row],[Deforestation 2021]]/Tabla2[[#This Row],[Forest cover 2011]]</f>
        <v>7.9845332084925403E-4</v>
      </c>
      <c r="AQ159" s="6">
        <f>Tabla2[[#This Row],[Deforestation 2022]]/Tabla2[[#This Row],[Forest cover 2011]]</f>
        <v>8.9706571816781586E-4</v>
      </c>
      <c r="AR159" s="6">
        <f>Tabla2[[#This Row],[Deforestation 2023]]/Tabla2[[#This Row],[Forest cover 2011]]</f>
        <v>3.5181422925710405E-3</v>
      </c>
      <c r="AS159" s="6">
        <f>Tabla2[[#This Row],[Deforestation 2024]]/Tabla2[[#This Row],[Forest cover 2011]]</f>
        <v>2.670894602114332E-3</v>
      </c>
      <c r="AT159" s="6">
        <f>Tabla2[[#This Row],[Forest Loss 2012]]/Tabla2[[#This Row],[Forest cover 2011]]</f>
        <v>1.2546636157105585E-3</v>
      </c>
      <c r="AU159" s="6">
        <f>Tabla2[[#This Row],[Forest Loss 2013]]/Tabla2[[#This Row],[Forest cover 2011]]</f>
        <v>1.1386490306298977E-3</v>
      </c>
      <c r="AV159" s="6">
        <f>Tabla2[[#This Row],[Forest Loss 2014]]/Tabla2[[#This Row],[Forest cover 2011]]</f>
        <v>1.8395136122642431E-3</v>
      </c>
      <c r="AW159" s="6">
        <f>Tabla2[[#This Row],[Forest Loss 2015]]/Tabla2[[#This Row],[Forest cover 2011]]</f>
        <v>1.067846011793906E-3</v>
      </c>
      <c r="AX159" s="6">
        <f>Tabla2[[#This Row],[Forest Loss 2016]]/Tabla2[[#This Row],[Forest cover 2011]]</f>
        <v>1.2108169269374265E-3</v>
      </c>
      <c r="AY159" s="6">
        <f>Tabla2[[#This Row],[Forest Loss 2017]]/Tabla2[[#This Row],[Forest cover 2011]]</f>
        <v>9.5967947217458444E-4</v>
      </c>
      <c r="AZ159" s="6">
        <f>Tabla2[[#This Row],[Forest Loss 2018]]/Tabla2[[#This Row],[Forest cover 2011]]</f>
        <v>9.3374680021537785E-4</v>
      </c>
      <c r="BA159" s="6">
        <f>Tabla2[[#This Row],[Forest Loss 2019]]/Tabla2[[#This Row],[Forest cover 2011]]</f>
        <v>1.0615334534880467E-3</v>
      </c>
      <c r="BB159" s="6">
        <f>Tabla2[[#This Row],[Forest Loss 2020]]/Tabla2[[#This Row],[Forest cover 2011]]</f>
        <v>2.0773435116795977E-3</v>
      </c>
      <c r="BC159" s="6">
        <f>Tabla2[[#This Row],[Forest Loss 2021]]/Tabla2[[#This Row],[Forest cover 2011]]</f>
        <v>1.0727936926282285E-3</v>
      </c>
      <c r="BD159" s="6">
        <f>Tabla2[[#This Row],[Forest Loss 2022]]/Tabla2[[#This Row],[Forest cover 2011]]</f>
        <v>1.1555393893401705E-3</v>
      </c>
      <c r="BE159" s="6">
        <f>Tabla2[[#This Row],[Forest Loss 2023]]/Tabla2[[#This Row],[Forest cover 2011]]</f>
        <v>3.9961906269769401E-3</v>
      </c>
      <c r="BF159" s="6">
        <f>Tabla2[[#This Row],[Forest Loss 2024]]/Tabla2[[#This Row],[Forest cover 2011]]</f>
        <v>4.1691888464942782E-3</v>
      </c>
    </row>
    <row r="160" spans="1:58" x14ac:dyDescent="0.25">
      <c r="A160" s="2">
        <v>10801</v>
      </c>
      <c r="B160" s="3" t="s">
        <v>58</v>
      </c>
      <c r="C160" t="s">
        <v>81</v>
      </c>
      <c r="D160">
        <v>99479.159999999989</v>
      </c>
      <c r="E160" s="4">
        <f>AVERAGE(Tabla2[[#This Row],[Deforestation 2012]:[Deforestation 2014]])</f>
        <v>100.71</v>
      </c>
      <c r="F160" s="4">
        <f>AVERAGE(Tabla2[[#This Row],[Deforestation 2022]:[Deforestation 2024]])</f>
        <v>453.57</v>
      </c>
      <c r="G160">
        <v>69.03</v>
      </c>
      <c r="H160">
        <v>94.86</v>
      </c>
      <c r="I160">
        <v>138.24</v>
      </c>
      <c r="J160">
        <v>91.53</v>
      </c>
      <c r="K160">
        <v>44.91</v>
      </c>
      <c r="L160">
        <v>81.99</v>
      </c>
      <c r="M160">
        <v>156.87</v>
      </c>
      <c r="N160">
        <v>136.62</v>
      </c>
      <c r="O160">
        <v>160.83000000000001</v>
      </c>
      <c r="P160">
        <v>118.44</v>
      </c>
      <c r="Q160">
        <v>169.02</v>
      </c>
      <c r="R160">
        <v>789.21</v>
      </c>
      <c r="S160">
        <v>402.48</v>
      </c>
      <c r="T160">
        <v>236.88</v>
      </c>
      <c r="U160">
        <v>295.38</v>
      </c>
      <c r="V160">
        <v>1181.8800000000001</v>
      </c>
      <c r="W160">
        <v>145.62</v>
      </c>
      <c r="X160">
        <v>80.010000000000005</v>
      </c>
      <c r="Y160">
        <v>110.07</v>
      </c>
      <c r="Z160">
        <v>198.54</v>
      </c>
      <c r="AA160">
        <v>235.53</v>
      </c>
      <c r="AB160">
        <v>223.56</v>
      </c>
      <c r="AC160">
        <v>187.02</v>
      </c>
      <c r="AD160">
        <v>319.23</v>
      </c>
      <c r="AE160">
        <v>1032.75</v>
      </c>
      <c r="AF160">
        <v>414.54</v>
      </c>
      <c r="AG160" s="5">
        <f>Tabla2[[#This Row],[Deforestation 2012]]/Tabla2[[#This Row],[Forest cover 2011]]</f>
        <v>6.9391418262880391E-4</v>
      </c>
      <c r="AH160" s="6">
        <f>Tabla2[[#This Row],[Deforestation 2013]]/Tabla2[[#This Row],[Forest cover 2011]]</f>
        <v>9.5356655605053373E-4</v>
      </c>
      <c r="AI160" s="6">
        <f>Tabla2[[#This Row],[Deforestation 2014]]/Tabla2[[#This Row],[Forest cover 2011]]</f>
        <v>1.3896377894626374E-3</v>
      </c>
      <c r="AJ160" s="6">
        <f>Tabla2[[#This Row],[Deforestation 2015]]/Tabla2[[#This Row],[Forest cover 2011]]</f>
        <v>9.2009220825748847E-4</v>
      </c>
      <c r="AK160" s="6">
        <f>Tabla2[[#This Row],[Deforestation 2016]]/Tabla2[[#This Row],[Forest cover 2011]]</f>
        <v>4.5145133915485417E-4</v>
      </c>
      <c r="AL160" s="6">
        <f>Tabla2[[#This Row],[Deforestation 2017]]/Tabla2[[#This Row],[Forest cover 2011]]</f>
        <v>8.241927253909261E-4</v>
      </c>
      <c r="AM160" s="6">
        <f>Tabla2[[#This Row],[Deforestation 2018]]/Tabla2[[#This Row],[Forest cover 2011]]</f>
        <v>1.5769131946831881E-3</v>
      </c>
      <c r="AN160" s="6">
        <f>Tabla2[[#This Row],[Deforestation 2019]]/Tabla2[[#This Row],[Forest cover 2011]]</f>
        <v>1.3733529716173721E-3</v>
      </c>
      <c r="AO160" s="6">
        <f>Tabla2[[#This Row],[Deforestation 2020]]/Tabla2[[#This Row],[Forest cover 2011]]</f>
        <v>1.6167205271938366E-3</v>
      </c>
      <c r="AP160" s="6">
        <f>Tabla2[[#This Row],[Deforestation 2021]]/Tabla2[[#This Row],[Forest cover 2011]]</f>
        <v>1.190601126909395E-3</v>
      </c>
      <c r="AQ160" s="6">
        <f>Tabla2[[#This Row],[Deforestation 2022]]/Tabla2[[#This Row],[Forest cover 2011]]</f>
        <v>1.6990493285226778E-3</v>
      </c>
      <c r="AR160" s="6">
        <f>Tabla2[[#This Row],[Deforestation 2023]]/Tabla2[[#This Row],[Forest cover 2011]]</f>
        <v>7.9334204269517362E-3</v>
      </c>
      <c r="AS160" s="6">
        <f>Tabla2[[#This Row],[Deforestation 2024]]/Tabla2[[#This Row],[Forest cover 2011]]</f>
        <v>4.0458725224459076E-3</v>
      </c>
      <c r="AT160" s="6">
        <f>Tabla2[[#This Row],[Forest Loss 2012]]/Tabla2[[#This Row],[Forest cover 2011]]</f>
        <v>2.38120225381879E-3</v>
      </c>
      <c r="AU160" s="6">
        <f>Tabla2[[#This Row],[Forest Loss 2013]]/Tabla2[[#This Row],[Forest cover 2011]]</f>
        <v>2.9692651204533695E-3</v>
      </c>
      <c r="AV160" s="6">
        <f>Tabla2[[#This Row],[Forest Loss 2014]]/Tabla2[[#This Row],[Forest cover 2011]]</f>
        <v>1.1880679330223539E-2</v>
      </c>
      <c r="AW160" s="6">
        <f>Tabla2[[#This Row],[Forest Loss 2015]]/Tabla2[[#This Row],[Forest cover 2011]]</f>
        <v>1.463824181868846E-3</v>
      </c>
      <c r="AX160" s="6">
        <f>Tabla2[[#This Row],[Forest Loss 2016]]/Tabla2[[#This Row],[Forest cover 2011]]</f>
        <v>8.0428905913560204E-4</v>
      </c>
      <c r="AY160" s="6">
        <f>Tabla2[[#This Row],[Forest Loss 2017]]/Tabla2[[#This Row],[Forest cover 2011]]</f>
        <v>1.1064629013755242E-3</v>
      </c>
      <c r="AZ160" s="6">
        <f>Tabla2[[#This Row],[Forest Loss 2018]]/Tabla2[[#This Row],[Forest cover 2011]]</f>
        <v>1.9957948981475116E-3</v>
      </c>
      <c r="BA160" s="6">
        <f>Tabla2[[#This Row],[Forest Loss 2019]]/Tabla2[[#This Row],[Forest cover 2011]]</f>
        <v>2.3676315722810691E-3</v>
      </c>
      <c r="BB160" s="6">
        <f>Tabla2[[#This Row],[Forest Loss 2020]]/Tabla2[[#This Row],[Forest cover 2011]]</f>
        <v>2.247304862646609E-3</v>
      </c>
      <c r="BC160" s="6">
        <f>Tabla2[[#This Row],[Forest Loss 2021]]/Tabla2[[#This Row],[Forest cover 2011]]</f>
        <v>1.8799917490256253E-3</v>
      </c>
      <c r="BD160" s="6">
        <f>Tabla2[[#This Row],[Forest Loss 2022]]/Tabla2[[#This Row],[Forest cover 2011]]</f>
        <v>3.2090138276197754E-3</v>
      </c>
      <c r="BE160" s="6">
        <f>Tabla2[[#This Row],[Forest Loss 2023]]/Tabla2[[#This Row],[Forest cover 2011]]</f>
        <v>1.0381571376356617E-2</v>
      </c>
      <c r="BF160" s="6">
        <f>Tabla2[[#This Row],[Forest Loss 2024]]/Tabla2[[#This Row],[Forest cover 2011]]</f>
        <v>4.167103944182883E-3</v>
      </c>
    </row>
    <row r="161" spans="1:58" x14ac:dyDescent="0.25">
      <c r="A161" s="2">
        <v>20701</v>
      </c>
      <c r="B161" s="3" t="s">
        <v>88</v>
      </c>
      <c r="C161" t="s">
        <v>124</v>
      </c>
      <c r="D161">
        <v>1253903.31</v>
      </c>
      <c r="E161" s="4">
        <f>AVERAGE(Tabla2[[#This Row],[Deforestation 2012]:[Deforestation 2014]])</f>
        <v>386.82</v>
      </c>
      <c r="F161" s="4">
        <f>AVERAGE(Tabla2[[#This Row],[Deforestation 2022]:[Deforestation 2024]])</f>
        <v>1647.9000000000003</v>
      </c>
      <c r="G161">
        <v>281.52</v>
      </c>
      <c r="H161">
        <v>365.58</v>
      </c>
      <c r="I161">
        <v>513.36</v>
      </c>
      <c r="J161">
        <v>428.76</v>
      </c>
      <c r="K161">
        <v>567.54</v>
      </c>
      <c r="L161">
        <v>324.72000000000003</v>
      </c>
      <c r="M161">
        <v>440.55</v>
      </c>
      <c r="N161">
        <v>489.68999999999988</v>
      </c>
      <c r="O161">
        <v>1187.01</v>
      </c>
      <c r="P161">
        <v>803.52</v>
      </c>
      <c r="Q161">
        <v>440.82</v>
      </c>
      <c r="R161">
        <v>840.87</v>
      </c>
      <c r="S161">
        <v>3662.01</v>
      </c>
      <c r="T161">
        <v>2612.6999999999998</v>
      </c>
      <c r="U161">
        <v>2975.4</v>
      </c>
      <c r="V161">
        <v>5211.18</v>
      </c>
      <c r="W161">
        <v>3059.28</v>
      </c>
      <c r="X161">
        <v>2124.81</v>
      </c>
      <c r="Y161">
        <v>1600.38</v>
      </c>
      <c r="Z161">
        <v>2030.76</v>
      </c>
      <c r="AA161">
        <v>2216.16</v>
      </c>
      <c r="AB161">
        <v>2698.56</v>
      </c>
      <c r="AC161">
        <v>5406.48</v>
      </c>
      <c r="AD161">
        <v>1316.7</v>
      </c>
      <c r="AE161">
        <v>1349.28</v>
      </c>
      <c r="AF161">
        <v>5048.7299999999996</v>
      </c>
      <c r="AG161" s="5">
        <f>Tabla2[[#This Row],[Deforestation 2012]]/Tabla2[[#This Row],[Forest cover 2011]]</f>
        <v>2.245149189374099E-4</v>
      </c>
      <c r="AH161" s="6">
        <f>Tabla2[[#This Row],[Deforestation 2013]]/Tabla2[[#This Row],[Forest cover 2011]]</f>
        <v>2.9155358079404063E-4</v>
      </c>
      <c r="AI161" s="6">
        <f>Tabla2[[#This Row],[Deforestation 2014]]/Tabla2[[#This Row],[Forest cover 2011]]</f>
        <v>4.0940955806233577E-4</v>
      </c>
      <c r="AJ161" s="6">
        <f>Tabla2[[#This Row],[Deforestation 2015]]/Tabla2[[#This Row],[Forest cover 2011]]</f>
        <v>3.4194024099035191E-4</v>
      </c>
      <c r="AK161" s="6">
        <f>Tabla2[[#This Row],[Deforestation 2016]]/Tabla2[[#This Row],[Forest cover 2011]]</f>
        <v>4.5261863133609555E-4</v>
      </c>
      <c r="AL161" s="6">
        <f>Tabla2[[#This Row],[Deforestation 2017]]/Tabla2[[#This Row],[Forest cover 2011]]</f>
        <v>2.5896733616565697E-4</v>
      </c>
      <c r="AM161" s="6">
        <f>Tabla2[[#This Row],[Deforestation 2018]]/Tabla2[[#This Row],[Forest cover 2011]]</f>
        <v>3.5134287985889439E-4</v>
      </c>
      <c r="AN161" s="6">
        <f>Tabla2[[#This Row],[Deforestation 2019]]/Tabla2[[#This Row],[Forest cover 2011]]</f>
        <v>3.9053250445602531E-4</v>
      </c>
      <c r="AO161" s="6">
        <f>Tabla2[[#This Row],[Deforestation 2020]]/Tabla2[[#This Row],[Forest cover 2011]]</f>
        <v>9.4665193921531312E-4</v>
      </c>
      <c r="AP161" s="6">
        <f>Tabla2[[#This Row],[Deforestation 2021]]/Tabla2[[#This Row],[Forest cover 2011]]</f>
        <v>6.4081496044539506E-4</v>
      </c>
      <c r="AQ161" s="6">
        <f>Tabla2[[#This Row],[Deforestation 2022]]/Tabla2[[#This Row],[Forest cover 2011]]</f>
        <v>3.5155820746657091E-4</v>
      </c>
      <c r="AR161" s="6">
        <f>Tabla2[[#This Row],[Deforestation 2023]]/Tabla2[[#This Row],[Forest cover 2011]]</f>
        <v>6.7060194617398372E-4</v>
      </c>
      <c r="AS161" s="6">
        <f>Tabla2[[#This Row],[Deforestation 2024]]/Tabla2[[#This Row],[Forest cover 2011]]</f>
        <v>2.9204883429169671E-3</v>
      </c>
      <c r="AT161" s="6">
        <f>Tabla2[[#This Row],[Forest Loss 2012]]/Tabla2[[#This Row],[Forest cover 2011]]</f>
        <v>2.0836534836166909E-3</v>
      </c>
      <c r="AU161" s="6">
        <f>Tabla2[[#This Row],[Forest Loss 2013]]/Tabla2[[#This Row],[Forest cover 2011]]</f>
        <v>2.3729102365955155E-3</v>
      </c>
      <c r="AV161" s="6">
        <f>Tabla2[[#This Row],[Forest Loss 2014]]/Tabla2[[#This Row],[Forest cover 2011]]</f>
        <v>4.1559663798957517E-3</v>
      </c>
      <c r="AW161" s="6">
        <f>Tabla2[[#This Row],[Forest Loss 2015]]/Tabla2[[#This Row],[Forest cover 2011]]</f>
        <v>2.4398053467136953E-3</v>
      </c>
      <c r="AX161" s="6">
        <f>Tabla2[[#This Row],[Forest Loss 2016]]/Tabla2[[#This Row],[Forest cover 2011]]</f>
        <v>1.6945564965451761E-3</v>
      </c>
      <c r="AY161" s="6">
        <f>Tabla2[[#This Row],[Forest Loss 2017]]/Tabla2[[#This Row],[Forest cover 2011]]</f>
        <v>1.2763185065681022E-3</v>
      </c>
      <c r="AZ161" s="6">
        <f>Tabla2[[#This Row],[Forest Loss 2018]]/Tabla2[[#This Row],[Forest cover 2011]]</f>
        <v>1.6195507132045132E-3</v>
      </c>
      <c r="BA161" s="6">
        <f>Tabla2[[#This Row],[Forest Loss 2019]]/Tabla2[[#This Row],[Forest cover 2011]]</f>
        <v>1.7674090038090734E-3</v>
      </c>
      <c r="BB161" s="6">
        <f>Tabla2[[#This Row],[Forest Loss 2020]]/Tabla2[[#This Row],[Forest cover 2011]]</f>
        <v>2.1521276628578322E-3</v>
      </c>
      <c r="BC161" s="6">
        <f>Tabla2[[#This Row],[Forest Loss 2021]]/Tabla2[[#This Row],[Forest cover 2011]]</f>
        <v>4.3117200161151177E-3</v>
      </c>
      <c r="BD161" s="6">
        <f>Tabla2[[#This Row],[Forest Loss 2022]]/Tabla2[[#This Row],[Forest cover 2011]]</f>
        <v>1.0500809667692798E-3</v>
      </c>
      <c r="BE161" s="6">
        <f>Tabla2[[#This Row],[Forest Loss 2023]]/Tabla2[[#This Row],[Forest cover 2011]]</f>
        <v>1.0760638314289161E-3</v>
      </c>
      <c r="BF161" s="6">
        <f>Tabla2[[#This Row],[Forest Loss 2024]]/Tabla2[[#This Row],[Forest cover 2011]]</f>
        <v>4.0264109359436969E-3</v>
      </c>
    </row>
    <row r="162" spans="1:58" x14ac:dyDescent="0.25">
      <c r="A162" s="2">
        <v>31002</v>
      </c>
      <c r="B162" s="3" t="s">
        <v>176</v>
      </c>
      <c r="C162" t="s">
        <v>203</v>
      </c>
      <c r="D162">
        <v>15156.63</v>
      </c>
      <c r="E162" s="4">
        <f>AVERAGE(Tabla2[[#This Row],[Deforestation 2012]:[Deforestation 2014]])</f>
        <v>73.38</v>
      </c>
      <c r="F162" s="4">
        <f>AVERAGE(Tabla2[[#This Row],[Deforestation 2022]:[Deforestation 2024]])</f>
        <v>219.05999999999997</v>
      </c>
      <c r="G162">
        <v>67.319999999999993</v>
      </c>
      <c r="H162">
        <v>76.14</v>
      </c>
      <c r="I162">
        <v>76.680000000000007</v>
      </c>
      <c r="J162">
        <v>104.04</v>
      </c>
      <c r="K162">
        <v>95.4</v>
      </c>
      <c r="L162">
        <v>186.57</v>
      </c>
      <c r="M162">
        <v>185.58</v>
      </c>
      <c r="N162">
        <v>177.39</v>
      </c>
      <c r="O162">
        <v>245.79</v>
      </c>
      <c r="P162">
        <v>144.36000000000001</v>
      </c>
      <c r="Q162">
        <v>104.67</v>
      </c>
      <c r="R162">
        <v>492.84</v>
      </c>
      <c r="S162">
        <v>59.67</v>
      </c>
      <c r="T162">
        <v>139.13999999999999</v>
      </c>
      <c r="U162">
        <v>133.38</v>
      </c>
      <c r="V162">
        <v>134.01</v>
      </c>
      <c r="W162">
        <v>148.77000000000001</v>
      </c>
      <c r="X162">
        <v>136.97999999999999</v>
      </c>
      <c r="Y162">
        <v>276.39</v>
      </c>
      <c r="Z162">
        <v>280.52999999999997</v>
      </c>
      <c r="AA162">
        <v>306.89999999999998</v>
      </c>
      <c r="AB162">
        <v>314.37</v>
      </c>
      <c r="AC162">
        <v>170.37</v>
      </c>
      <c r="AD162">
        <v>178.83</v>
      </c>
      <c r="AE162">
        <v>542.97</v>
      </c>
      <c r="AF162">
        <v>60.21</v>
      </c>
      <c r="AG162" s="5">
        <f>Tabla2[[#This Row],[Deforestation 2012]]/Tabla2[[#This Row],[Forest cover 2011]]</f>
        <v>4.4416205977186223E-3</v>
      </c>
      <c r="AH162" s="6">
        <f>Tabla2[[#This Row],[Deforestation 2013]]/Tabla2[[#This Row],[Forest cover 2011]]</f>
        <v>5.0235441519651796E-3</v>
      </c>
      <c r="AI162" s="6">
        <f>Tabla2[[#This Row],[Deforestation 2014]]/Tabla2[[#This Row],[Forest cover 2011]]</f>
        <v>5.0591721246741536E-3</v>
      </c>
      <c r="AJ162" s="6">
        <f>Tabla2[[#This Row],[Deforestation 2015]]/Tabla2[[#This Row],[Forest cover 2011]]</f>
        <v>6.8643227419287805E-3</v>
      </c>
      <c r="AK162" s="6">
        <f>Tabla2[[#This Row],[Deforestation 2016]]/Tabla2[[#This Row],[Forest cover 2011]]</f>
        <v>6.2942751785852137E-3</v>
      </c>
      <c r="AL162" s="6">
        <f>Tabla2[[#This Row],[Deforestation 2017]]/Tabla2[[#This Row],[Forest cover 2011]]</f>
        <v>1.2309464570950139E-2</v>
      </c>
      <c r="AM162" s="6">
        <f>Tabla2[[#This Row],[Deforestation 2018]]/Tabla2[[#This Row],[Forest cover 2011]]</f>
        <v>1.2244146620983689E-2</v>
      </c>
      <c r="AN162" s="6">
        <f>Tabla2[[#This Row],[Deforestation 2019]]/Tabla2[[#This Row],[Forest cover 2011]]</f>
        <v>1.17037890348976E-2</v>
      </c>
      <c r="AO162" s="6">
        <f>Tabla2[[#This Row],[Deforestation 2020]]/Tabla2[[#This Row],[Forest cover 2011]]</f>
        <v>1.6216665578034167E-2</v>
      </c>
      <c r="AP162" s="6">
        <f>Tabla2[[#This Row],[Deforestation 2021]]/Tabla2[[#This Row],[Forest cover 2011]]</f>
        <v>9.5245447041987577E-3</v>
      </c>
      <c r="AQ162" s="6">
        <f>Tabla2[[#This Row],[Deforestation 2022]]/Tabla2[[#This Row],[Forest cover 2011]]</f>
        <v>6.9058887100892485E-3</v>
      </c>
      <c r="AR162" s="6">
        <f>Tabla2[[#This Row],[Deforestation 2023]]/Tabla2[[#This Row],[Forest cover 2011]]</f>
        <v>3.2516463092389272E-2</v>
      </c>
      <c r="AS162" s="6">
        <f>Tabla2[[#This Row],[Deforestation 2024]]/Tabla2[[#This Row],[Forest cover 2011]]</f>
        <v>3.9368909843415061E-3</v>
      </c>
      <c r="AT162" s="6">
        <f>Tabla2[[#This Row],[Forest Loss 2012]]/Tabla2[[#This Row],[Forest cover 2011]]</f>
        <v>9.1801409680120176E-3</v>
      </c>
      <c r="AU162" s="6">
        <f>Tabla2[[#This Row],[Forest Loss 2013]]/Tabla2[[#This Row],[Forest cover 2011]]</f>
        <v>8.8001092591163069E-3</v>
      </c>
      <c r="AV162" s="6">
        <f>Tabla2[[#This Row],[Forest Loss 2014]]/Tabla2[[#This Row],[Forest cover 2011]]</f>
        <v>8.8416752272767758E-3</v>
      </c>
      <c r="AW162" s="6">
        <f>Tabla2[[#This Row],[Forest Loss 2015]]/Tabla2[[#This Row],[Forest cover 2011]]</f>
        <v>9.8155064813220359E-3</v>
      </c>
      <c r="AX162" s="6">
        <f>Tabla2[[#This Row],[Forest Loss 2016]]/Tabla2[[#This Row],[Forest cover 2011]]</f>
        <v>9.0376290771761267E-3</v>
      </c>
      <c r="AY162" s="6">
        <f>Tabla2[[#This Row],[Forest Loss 2017]]/Tabla2[[#This Row],[Forest cover 2011]]</f>
        <v>1.8235584031542632E-2</v>
      </c>
      <c r="AZ162" s="6">
        <f>Tabla2[[#This Row],[Forest Loss 2018]]/Tabla2[[#This Row],[Forest cover 2011]]</f>
        <v>1.8508731822311424E-2</v>
      </c>
      <c r="BA162" s="6">
        <f>Tabla2[[#This Row],[Forest Loss 2019]]/Tabla2[[#This Row],[Forest cover 2011]]</f>
        <v>2.0248564489599601E-2</v>
      </c>
      <c r="BB162" s="6">
        <f>Tabla2[[#This Row],[Forest Loss 2020]]/Tabla2[[#This Row],[Forest cover 2011]]</f>
        <v>2.0741418112073726E-2</v>
      </c>
      <c r="BC162" s="6">
        <f>Tabla2[[#This Row],[Forest Loss 2021]]/Tabla2[[#This Row],[Forest cover 2011]]</f>
        <v>1.1240625389680953E-2</v>
      </c>
      <c r="BD162" s="6">
        <f>Tabla2[[#This Row],[Forest Loss 2022]]/Tabla2[[#This Row],[Forest cover 2011]]</f>
        <v>1.1798796962121529E-2</v>
      </c>
      <c r="BE162" s="6">
        <f>Tabla2[[#This Row],[Forest Loss 2023]]/Tabla2[[#This Row],[Forest cover 2011]]</f>
        <v>3.582392655887226E-2</v>
      </c>
      <c r="BF162" s="6">
        <f>Tabla2[[#This Row],[Forest Loss 2024]]/Tabla2[[#This Row],[Forest cover 2011]]</f>
        <v>3.9725189570504792E-3</v>
      </c>
    </row>
    <row r="163" spans="1:58" x14ac:dyDescent="0.25">
      <c r="A163" s="2">
        <v>80202</v>
      </c>
      <c r="B163" s="3" t="s">
        <v>365</v>
      </c>
      <c r="C163" t="s">
        <v>368</v>
      </c>
      <c r="D163">
        <v>491534.73</v>
      </c>
      <c r="E163" s="4">
        <f>AVERAGE(Tabla2[[#This Row],[Deforestation 2012]:[Deforestation 2014]])</f>
        <v>3076.56</v>
      </c>
      <c r="F163" s="4">
        <f>AVERAGE(Tabla2[[#This Row],[Deforestation 2022]:[Deforestation 2024]])</f>
        <v>945.78000000000009</v>
      </c>
      <c r="G163">
        <v>5037.57</v>
      </c>
      <c r="H163">
        <v>2055.2399999999998</v>
      </c>
      <c r="I163">
        <v>2136.87</v>
      </c>
      <c r="J163">
        <v>1538.1</v>
      </c>
      <c r="K163">
        <v>2603.16</v>
      </c>
      <c r="L163">
        <v>3002.4</v>
      </c>
      <c r="M163">
        <v>1766.07</v>
      </c>
      <c r="N163">
        <v>941.31</v>
      </c>
      <c r="O163">
        <v>1881.72</v>
      </c>
      <c r="P163">
        <v>3545.82</v>
      </c>
      <c r="Q163">
        <v>482.22</v>
      </c>
      <c r="R163">
        <v>1036.08</v>
      </c>
      <c r="S163">
        <v>1319.04</v>
      </c>
      <c r="T163">
        <v>7356.24</v>
      </c>
      <c r="U163">
        <v>3266.19</v>
      </c>
      <c r="V163">
        <v>9524.34</v>
      </c>
      <c r="W163">
        <v>2156.2199999999998</v>
      </c>
      <c r="X163">
        <v>3521.88</v>
      </c>
      <c r="Y163">
        <v>3422.16</v>
      </c>
      <c r="Z163">
        <v>2101.9499999999998</v>
      </c>
      <c r="AA163">
        <v>1298.25</v>
      </c>
      <c r="AB163">
        <v>2626.47</v>
      </c>
      <c r="AC163">
        <v>3764.43</v>
      </c>
      <c r="AD163">
        <v>599.76</v>
      </c>
      <c r="AE163">
        <v>1899.72</v>
      </c>
      <c r="AF163">
        <v>1936.62</v>
      </c>
      <c r="AG163" s="5">
        <f>Tabla2[[#This Row],[Deforestation 2012]]/Tabla2[[#This Row],[Forest cover 2011]]</f>
        <v>1.0248655267960415E-2</v>
      </c>
      <c r="AH163" s="6">
        <f>Tabla2[[#This Row],[Deforestation 2013]]/Tabla2[[#This Row],[Forest cover 2011]]</f>
        <v>4.181271178945992E-3</v>
      </c>
      <c r="AI163" s="6">
        <f>Tabla2[[#This Row],[Deforestation 2014]]/Tabla2[[#This Row],[Forest cover 2011]]</f>
        <v>4.3473428622225734E-3</v>
      </c>
      <c r="AJ163" s="6">
        <f>Tabla2[[#This Row],[Deforestation 2015]]/Tabla2[[#This Row],[Forest cover 2011]]</f>
        <v>3.1291786848917065E-3</v>
      </c>
      <c r="AK163" s="6">
        <f>Tabla2[[#This Row],[Deforestation 2016]]/Tabla2[[#This Row],[Forest cover 2011]]</f>
        <v>5.2959838666944243E-3</v>
      </c>
      <c r="AL163" s="6">
        <f>Tabla2[[#This Row],[Deforestation 2017]]/Tabla2[[#This Row],[Forest cover 2011]]</f>
        <v>6.1082153849027114E-3</v>
      </c>
      <c r="AM163" s="6">
        <f>Tabla2[[#This Row],[Deforestation 2018]]/Tabla2[[#This Row],[Forest cover 2011]]</f>
        <v>3.5929709381878265E-3</v>
      </c>
      <c r="AN163" s="6">
        <f>Tabla2[[#This Row],[Deforestation 2019]]/Tabla2[[#This Row],[Forest cover 2011]]</f>
        <v>1.9150427071551992E-3</v>
      </c>
      <c r="AO163" s="6">
        <f>Tabla2[[#This Row],[Deforestation 2020]]/Tabla2[[#This Row],[Forest cover 2011]]</f>
        <v>3.8282544144947806E-3</v>
      </c>
      <c r="AP163" s="6">
        <f>Tabla2[[#This Row],[Deforestation 2021]]/Tabla2[[#This Row],[Forest cover 2011]]</f>
        <v>7.2137730735730519E-3</v>
      </c>
      <c r="AQ163" s="6">
        <f>Tabla2[[#This Row],[Deforestation 2022]]/Tabla2[[#This Row],[Forest cover 2011]]</f>
        <v>9.810497012082951E-4</v>
      </c>
      <c r="AR163" s="6">
        <f>Tabla2[[#This Row],[Deforestation 2023]]/Tabla2[[#This Row],[Forest cover 2011]]</f>
        <v>2.1078469877398084E-3</v>
      </c>
      <c r="AS163" s="6">
        <f>Tabla2[[#This Row],[Deforestation 2024]]/Tabla2[[#This Row],[Forest cover 2011]]</f>
        <v>2.6835133297702079E-3</v>
      </c>
      <c r="AT163" s="6">
        <f>Tabla2[[#This Row],[Forest Loss 2012]]/Tabla2[[#This Row],[Forest cover 2011]]</f>
        <v>1.4965860092937889E-2</v>
      </c>
      <c r="AU163" s="6">
        <f>Tabla2[[#This Row],[Forest Loss 2013]]/Tabla2[[#This Row],[Forest cover 2011]]</f>
        <v>6.6448814308604403E-3</v>
      </c>
      <c r="AV163" s="6">
        <f>Tabla2[[#This Row],[Forest Loss 2014]]/Tabla2[[#This Row],[Forest cover 2011]]</f>
        <v>1.937673864876242E-2</v>
      </c>
      <c r="AW163" s="6">
        <f>Tabla2[[#This Row],[Forest Loss 2015]]/Tabla2[[#This Row],[Forest cover 2011]]</f>
        <v>4.3867093582583673E-3</v>
      </c>
      <c r="AX163" s="6">
        <f>Tabla2[[#This Row],[Forest Loss 2016]]/Tabla2[[#This Row],[Forest cover 2011]]</f>
        <v>7.1650684784776049E-3</v>
      </c>
      <c r="AY163" s="6">
        <f>Tabla2[[#This Row],[Forest Loss 2017]]/Tabla2[[#This Row],[Forest cover 2011]]</f>
        <v>6.9621936989070947E-3</v>
      </c>
      <c r="AZ163" s="6">
        <f>Tabla2[[#This Row],[Forest Loss 2018]]/Tabla2[[#This Row],[Forest cover 2011]]</f>
        <v>4.2763000693765828E-3</v>
      </c>
      <c r="BA163" s="6">
        <f>Tabla2[[#This Row],[Forest Loss 2019]]/Tabla2[[#This Row],[Forest cover 2011]]</f>
        <v>2.6412172340294247E-3</v>
      </c>
      <c r="BB163" s="6">
        <f>Tabla2[[#This Row],[Forest Loss 2020]]/Tabla2[[#This Row],[Forest cover 2011]]</f>
        <v>5.3434067619189387E-3</v>
      </c>
      <c r="BC163" s="6">
        <f>Tabla2[[#This Row],[Forest Loss 2021]]/Tabla2[[#This Row],[Forest cover 2011]]</f>
        <v>7.6585229287867412E-3</v>
      </c>
      <c r="BD163" s="6">
        <f>Tabla2[[#This Row],[Forest Loss 2022]]/Tabla2[[#This Row],[Forest cover 2011]]</f>
        <v>1.2201782771280474E-3</v>
      </c>
      <c r="BE163" s="6">
        <f>Tabla2[[#This Row],[Forest Loss 2023]]/Tabla2[[#This Row],[Forest cover 2011]]</f>
        <v>3.8648744108071469E-3</v>
      </c>
      <c r="BF163" s="6">
        <f>Tabla2[[#This Row],[Forest Loss 2024]]/Tabla2[[#This Row],[Forest cover 2011]]</f>
        <v>3.9399454032474981E-3</v>
      </c>
    </row>
    <row r="164" spans="1:58" x14ac:dyDescent="0.25">
      <c r="A164" s="2">
        <v>21401</v>
      </c>
      <c r="B164" s="3" t="s">
        <v>88</v>
      </c>
      <c r="C164" t="s">
        <v>160</v>
      </c>
      <c r="D164">
        <v>97249.23000000001</v>
      </c>
      <c r="E164" s="4">
        <f>AVERAGE(Tabla2[[#This Row],[Deforestation 2012]:[Deforestation 2014]])</f>
        <v>108.24000000000001</v>
      </c>
      <c r="F164" s="4">
        <f>AVERAGE(Tabla2[[#This Row],[Deforestation 2022]:[Deforestation 2024]])</f>
        <v>753.15000000000009</v>
      </c>
      <c r="G164">
        <v>88.83</v>
      </c>
      <c r="H164">
        <v>87.84</v>
      </c>
      <c r="I164">
        <v>148.05000000000001</v>
      </c>
      <c r="J164">
        <v>154.97999999999999</v>
      </c>
      <c r="K164">
        <v>141.03</v>
      </c>
      <c r="L164">
        <v>110.43</v>
      </c>
      <c r="M164">
        <v>271.52999999999997</v>
      </c>
      <c r="N164">
        <v>200.88</v>
      </c>
      <c r="O164">
        <v>261.27</v>
      </c>
      <c r="P164">
        <v>33.93</v>
      </c>
      <c r="Q164">
        <v>153.54</v>
      </c>
      <c r="R164">
        <v>1955.61</v>
      </c>
      <c r="S164">
        <v>150.30000000000001</v>
      </c>
      <c r="T164">
        <v>118.53</v>
      </c>
      <c r="U164">
        <v>102.33</v>
      </c>
      <c r="V164">
        <v>192.6</v>
      </c>
      <c r="W164">
        <v>166.68</v>
      </c>
      <c r="X164">
        <v>148.13999999999999</v>
      </c>
      <c r="Y164">
        <v>114.48</v>
      </c>
      <c r="Z164">
        <v>280.8</v>
      </c>
      <c r="AA164">
        <v>208.08</v>
      </c>
      <c r="AB164">
        <v>268.64999999999998</v>
      </c>
      <c r="AC164">
        <v>46.71</v>
      </c>
      <c r="AD164">
        <v>155.16</v>
      </c>
      <c r="AE164">
        <v>1976.67</v>
      </c>
      <c r="AF164">
        <v>381.96</v>
      </c>
      <c r="AG164" s="5">
        <f>Tabla2[[#This Row],[Deforestation 2012]]/Tabla2[[#This Row],[Forest cover 2011]]</f>
        <v>9.1342625540582676E-4</v>
      </c>
      <c r="AH164" s="6">
        <f>Tabla2[[#This Row],[Deforestation 2013]]/Tabla2[[#This Row],[Forest cover 2011]]</f>
        <v>9.0324622621690677E-4</v>
      </c>
      <c r="AI164" s="6">
        <f>Tabla2[[#This Row],[Deforestation 2014]]/Tabla2[[#This Row],[Forest cover 2011]]</f>
        <v>1.5223770923430448E-3</v>
      </c>
      <c r="AJ164" s="6">
        <f>Tabla2[[#This Row],[Deforestation 2015]]/Tabla2[[#This Row],[Forest cover 2011]]</f>
        <v>1.5936372966654849E-3</v>
      </c>
      <c r="AK164" s="6">
        <f>Tabla2[[#This Row],[Deforestation 2016]]/Tabla2[[#This Row],[Forest cover 2011]]</f>
        <v>1.4501914308216114E-3</v>
      </c>
      <c r="AL164" s="6">
        <f>Tabla2[[#This Row],[Deforestation 2017]]/Tabla2[[#This Row],[Forest cover 2011]]</f>
        <v>1.1355359831640825E-3</v>
      </c>
      <c r="AM164" s="6">
        <f>Tabla2[[#This Row],[Deforestation 2018]]/Tabla2[[#This Row],[Forest cover 2011]]</f>
        <v>2.7921043693610731E-3</v>
      </c>
      <c r="AN164" s="6">
        <f>Tabla2[[#This Row],[Deforestation 2019]]/Tabla2[[#This Row],[Forest cover 2011]]</f>
        <v>2.0656204681517784E-3</v>
      </c>
      <c r="AO164" s="6">
        <f>Tabla2[[#This Row],[Deforestation 2020]]/Tabla2[[#This Row],[Forest cover 2011]]</f>
        <v>2.6866022486759017E-3</v>
      </c>
      <c r="AP164" s="6">
        <f>Tabla2[[#This Row],[Deforestation 2021]]/Tabla2[[#This Row],[Forest cover 2011]]</f>
        <v>3.4889736402026009E-4</v>
      </c>
      <c r="AQ164" s="6">
        <f>Tabla2[[#This Row],[Deforestation 2022]]/Tabla2[[#This Row],[Forest cover 2011]]</f>
        <v>1.5788299814816012E-3</v>
      </c>
      <c r="AR164" s="6">
        <f>Tabla2[[#This Row],[Deforestation 2023]]/Tabla2[[#This Row],[Forest cover 2011]]</f>
        <v>2.0109259476913079E-2</v>
      </c>
      <c r="AS164" s="6">
        <f>Tabla2[[#This Row],[Deforestation 2024]]/Tabla2[[#This Row],[Forest cover 2011]]</f>
        <v>1.5455135223178631E-3</v>
      </c>
      <c r="AT164" s="6">
        <f>Tabla2[[#This Row],[Forest Loss 2012]]/Tabla2[[#This Row],[Forest cover 2011]]</f>
        <v>1.2188271310734284E-3</v>
      </c>
      <c r="AU164" s="6">
        <f>Tabla2[[#This Row],[Forest Loss 2013]]/Tabla2[[#This Row],[Forest cover 2011]]</f>
        <v>1.0522448352547366E-3</v>
      </c>
      <c r="AV164" s="6">
        <f>Tabla2[[#This Row],[Forest Loss 2014]]/Tabla2[[#This Row],[Forest cover 2011]]</f>
        <v>1.980478405844447E-3</v>
      </c>
      <c r="AW164" s="6">
        <f>Tabla2[[#This Row],[Forest Loss 2015]]/Tabla2[[#This Row],[Forest cover 2011]]</f>
        <v>1.7139467325345402E-3</v>
      </c>
      <c r="AX164" s="6">
        <f>Tabla2[[#This Row],[Forest Loss 2016]]/Tabla2[[#This Row],[Forest cover 2011]]</f>
        <v>1.5233025495420371E-3</v>
      </c>
      <c r="AY164" s="6">
        <f>Tabla2[[#This Row],[Forest Loss 2017]]/Tabla2[[#This Row],[Forest cover 2011]]</f>
        <v>1.1771815571187554E-3</v>
      </c>
      <c r="AZ164" s="6">
        <f>Tabla2[[#This Row],[Forest Loss 2018]]/Tabla2[[#This Row],[Forest cover 2011]]</f>
        <v>2.8874264608573248E-3</v>
      </c>
      <c r="BA164" s="6">
        <f>Tabla2[[#This Row],[Forest Loss 2019]]/Tabla2[[#This Row],[Forest cover 2011]]</f>
        <v>2.1396570440711973E-3</v>
      </c>
      <c r="BB164" s="6">
        <f>Tabla2[[#This Row],[Forest Loss 2020]]/Tabla2[[#This Row],[Forest cover 2011]]</f>
        <v>2.7624897389933057E-3</v>
      </c>
      <c r="BC164" s="6">
        <f>Tabla2[[#This Row],[Forest Loss 2021]]/Tabla2[[#This Row],[Forest cover 2011]]</f>
        <v>4.8031228627722804E-4</v>
      </c>
      <c r="BD164" s="6">
        <f>Tabla2[[#This Row],[Forest Loss 2022]]/Tabla2[[#This Row],[Forest cover 2011]]</f>
        <v>1.5954882110634705E-3</v>
      </c>
      <c r="BE164" s="6">
        <f>Tabla2[[#This Row],[Forest Loss 2023]]/Tabla2[[#This Row],[Forest cover 2011]]</f>
        <v>2.0325816461477381E-2</v>
      </c>
      <c r="BF164" s="6">
        <f>Tabla2[[#This Row],[Forest Loss 2024]]/Tabla2[[#This Row],[Forest cover 2011]]</f>
        <v>3.9276403525251554E-3</v>
      </c>
    </row>
    <row r="165" spans="1:58" x14ac:dyDescent="0.25">
      <c r="A165" s="2">
        <v>60201</v>
      </c>
      <c r="B165" s="3" t="s">
        <v>300</v>
      </c>
      <c r="C165" t="s">
        <v>301</v>
      </c>
      <c r="D165">
        <v>331244.28000000003</v>
      </c>
      <c r="E165" s="4">
        <f>AVERAGE(Tabla2[[#This Row],[Deforestation 2012]:[Deforestation 2014]])</f>
        <v>531.12</v>
      </c>
      <c r="F165" s="4">
        <f>AVERAGE(Tabla2[[#This Row],[Deforestation 2022]:[Deforestation 2024]])</f>
        <v>887.52</v>
      </c>
      <c r="G165">
        <v>370.98</v>
      </c>
      <c r="H165">
        <v>840.78</v>
      </c>
      <c r="I165">
        <v>381.6</v>
      </c>
      <c r="J165">
        <v>228.15</v>
      </c>
      <c r="K165">
        <v>235.8</v>
      </c>
      <c r="L165">
        <v>260.27999999999997</v>
      </c>
      <c r="M165">
        <v>176.67</v>
      </c>
      <c r="N165">
        <v>339.3</v>
      </c>
      <c r="O165">
        <v>595.44000000000005</v>
      </c>
      <c r="P165">
        <v>191.43</v>
      </c>
      <c r="Q165">
        <v>275.94</v>
      </c>
      <c r="R165">
        <v>1275.03</v>
      </c>
      <c r="S165">
        <v>1111.5899999999999</v>
      </c>
      <c r="T165">
        <v>513.36</v>
      </c>
      <c r="U165">
        <v>974.61</v>
      </c>
      <c r="V165">
        <v>830.16</v>
      </c>
      <c r="W165">
        <v>299.7</v>
      </c>
      <c r="X165">
        <v>342.81</v>
      </c>
      <c r="Y165">
        <v>315.81</v>
      </c>
      <c r="Z165">
        <v>223.74</v>
      </c>
      <c r="AA165">
        <v>458.73</v>
      </c>
      <c r="AB165">
        <v>689.04</v>
      </c>
      <c r="AC165">
        <v>661.58999999999992</v>
      </c>
      <c r="AD165">
        <v>305.27999999999997</v>
      </c>
      <c r="AE165">
        <v>1320.12</v>
      </c>
      <c r="AF165">
        <v>1276.47</v>
      </c>
      <c r="AG165" s="5">
        <f>Tabla2[[#This Row],[Deforestation 2012]]/Tabla2[[#This Row],[Forest cover 2011]]</f>
        <v>1.1199589620083401E-3</v>
      </c>
      <c r="AH165" s="6">
        <f>Tabla2[[#This Row],[Deforestation 2013]]/Tabla2[[#This Row],[Forest cover 2011]]</f>
        <v>2.5382476038529628E-3</v>
      </c>
      <c r="AI165" s="6">
        <f>Tabla2[[#This Row],[Deforestation 2014]]/Tabla2[[#This Row],[Forest cover 2011]]</f>
        <v>1.1520198929925673E-3</v>
      </c>
      <c r="AJ165" s="6">
        <f>Tabla2[[#This Row],[Deforestation 2015]]/Tabla2[[#This Row],[Forest cover 2011]]</f>
        <v>6.8876661055098059E-4</v>
      </c>
      <c r="AK165" s="6">
        <f>Tabla2[[#This Row],[Deforestation 2016]]/Tabla2[[#This Row],[Forest cover 2011]]</f>
        <v>7.1186134897182219E-4</v>
      </c>
      <c r="AL165" s="6">
        <f>Tabla2[[#This Row],[Deforestation 2017]]/Tabla2[[#This Row],[Forest cover 2011]]</f>
        <v>7.8576451191851506E-4</v>
      </c>
      <c r="AM165" s="6">
        <f>Tabla2[[#This Row],[Deforestation 2018]]/Tabla2[[#This Row],[Forest cover 2011]]</f>
        <v>5.3335260611896444E-4</v>
      </c>
      <c r="AN165" s="6">
        <f>Tabla2[[#This Row],[Deforestation 2019]]/Tabla2[[#This Row],[Forest cover 2011]]</f>
        <v>1.0243195746655609E-3</v>
      </c>
      <c r="AO165" s="6">
        <f>Tabla2[[#This Row],[Deforestation 2020]]/Tabla2[[#This Row],[Forest cover 2011]]</f>
        <v>1.7975857575563267E-3</v>
      </c>
      <c r="AP165" s="6">
        <f>Tabla2[[#This Row],[Deforestation 2021]]/Tabla2[[#This Row],[Forest cover 2011]]</f>
        <v>5.7791186613094113E-4</v>
      </c>
      <c r="AQ165" s="6">
        <f>Tabla2[[#This Row],[Deforestation 2022]]/Tabla2[[#This Row],[Forest cover 2011]]</f>
        <v>8.3304079998000255E-4</v>
      </c>
      <c r="AR165" s="6">
        <f>Tabla2[[#This Row],[Deforestation 2023]]/Tabla2[[#This Row],[Forest cover 2011]]</f>
        <v>3.8492136377419103E-3</v>
      </c>
      <c r="AS165" s="6">
        <f>Tabla2[[#This Row],[Deforestation 2024]]/Tabla2[[#This Row],[Forest cover 2011]]</f>
        <v>3.355801343950754E-3</v>
      </c>
      <c r="AT165" s="6">
        <f>Tabla2[[#This Row],[Forest Loss 2012]]/Tabla2[[#This Row],[Forest cover 2011]]</f>
        <v>1.5497927994409441E-3</v>
      </c>
      <c r="AU165" s="6">
        <f>Tabla2[[#This Row],[Forest Loss 2013]]/Tabla2[[#This Row],[Forest cover 2011]]</f>
        <v>2.9422696748152145E-3</v>
      </c>
      <c r="AV165" s="6">
        <f>Tabla2[[#This Row],[Forest Loss 2014]]/Tabla2[[#This Row],[Forest cover 2011]]</f>
        <v>2.5061866728687356E-3</v>
      </c>
      <c r="AW165" s="6">
        <f>Tabla2[[#This Row],[Forest Loss 2015]]/Tabla2[[#This Row],[Forest cover 2011]]</f>
        <v>9.0477034048708693E-4</v>
      </c>
      <c r="AX165" s="6">
        <f>Tabla2[[#This Row],[Forest Loss 2016]]/Tabla2[[#This Row],[Forest cover 2011]]</f>
        <v>1.0349159840586529E-3</v>
      </c>
      <c r="AY165" s="6">
        <f>Tabla2[[#This Row],[Forest Loss 2017]]/Tabla2[[#This Row],[Forest cover 2011]]</f>
        <v>9.5340514257332982E-4</v>
      </c>
      <c r="AZ165" s="6">
        <f>Tabla2[[#This Row],[Forest Loss 2018]]/Tabla2[[#This Row],[Forest cover 2011]]</f>
        <v>6.7545317310837791E-4</v>
      </c>
      <c r="BA165" s="6">
        <f>Tabla2[[#This Row],[Forest Loss 2019]]/Tabla2[[#This Row],[Forest cover 2011]]</f>
        <v>1.3848691968356404E-3</v>
      </c>
      <c r="BB165" s="6">
        <f>Tabla2[[#This Row],[Forest Loss 2020]]/Tabla2[[#This Row],[Forest cover 2011]]</f>
        <v>2.0801566747054466E-3</v>
      </c>
      <c r="BC165" s="6">
        <f>Tabla2[[#This Row],[Forest Loss 2021]]/Tabla2[[#This Row],[Forest cover 2011]]</f>
        <v>1.997287319195368E-3</v>
      </c>
      <c r="BD165" s="6">
        <f>Tabla2[[#This Row],[Forest Loss 2022]]/Tabla2[[#This Row],[Forest cover 2011]]</f>
        <v>9.2161591439405373E-4</v>
      </c>
      <c r="BE165" s="6">
        <f>Tabla2[[#This Row],[Forest Loss 2023]]/Tabla2[[#This Row],[Forest cover 2011]]</f>
        <v>3.9853367430223996E-3</v>
      </c>
      <c r="BF165" s="6">
        <f>Tabla2[[#This Row],[Forest Loss 2024]]/Tabla2[[#This Row],[Forest cover 2011]]</f>
        <v>3.8535608826211275E-3</v>
      </c>
    </row>
    <row r="166" spans="1:58" x14ac:dyDescent="0.25">
      <c r="A166" s="2">
        <v>30403</v>
      </c>
      <c r="B166" s="3" t="s">
        <v>176</v>
      </c>
      <c r="C166" t="s">
        <v>185</v>
      </c>
      <c r="D166">
        <v>73.44</v>
      </c>
      <c r="E166" s="4">
        <f>AVERAGE(Tabla2[[#This Row],[Deforestation 2012]:[Deforestation 2014]])</f>
        <v>0.03</v>
      </c>
      <c r="F166" s="4">
        <f>AVERAGE(Tabla2[[#This Row],[Deforestation 2022]:[Deforestation 2024]])</f>
        <v>4.5</v>
      </c>
      <c r="G166">
        <v>0</v>
      </c>
      <c r="H166">
        <v>0.09</v>
      </c>
      <c r="I166">
        <v>0</v>
      </c>
      <c r="J166">
        <v>0.09</v>
      </c>
      <c r="K166">
        <v>0.09</v>
      </c>
      <c r="L166">
        <v>0.18</v>
      </c>
      <c r="M166">
        <v>0.54</v>
      </c>
      <c r="N166">
        <v>0</v>
      </c>
      <c r="O166">
        <v>1.8</v>
      </c>
      <c r="P166">
        <v>4.95</v>
      </c>
      <c r="Q166">
        <v>2.97</v>
      </c>
      <c r="R166">
        <v>10.26</v>
      </c>
      <c r="S166">
        <v>0.27</v>
      </c>
      <c r="T166">
        <v>0</v>
      </c>
      <c r="U166">
        <v>0.09</v>
      </c>
      <c r="V166">
        <v>2.88</v>
      </c>
      <c r="W166">
        <v>0.45</v>
      </c>
      <c r="X166">
        <v>0.09</v>
      </c>
      <c r="Y166">
        <v>0.36</v>
      </c>
      <c r="Z166">
        <v>1.17</v>
      </c>
      <c r="AA166">
        <v>0.54</v>
      </c>
      <c r="AB166">
        <v>1.89</v>
      </c>
      <c r="AC166">
        <v>5.04</v>
      </c>
      <c r="AD166">
        <v>2.97</v>
      </c>
      <c r="AE166">
        <v>10.62</v>
      </c>
      <c r="AF166">
        <v>0.27</v>
      </c>
      <c r="AG166" s="5">
        <f>Tabla2[[#This Row],[Deforestation 2012]]/Tabla2[[#This Row],[Forest cover 2011]]</f>
        <v>0</v>
      </c>
      <c r="AH166" s="6">
        <f>Tabla2[[#This Row],[Deforestation 2013]]/Tabla2[[#This Row],[Forest cover 2011]]</f>
        <v>1.2254901960784314E-3</v>
      </c>
      <c r="AI166" s="6">
        <f>Tabla2[[#This Row],[Deforestation 2014]]/Tabla2[[#This Row],[Forest cover 2011]]</f>
        <v>0</v>
      </c>
      <c r="AJ166" s="6">
        <f>Tabla2[[#This Row],[Deforestation 2015]]/Tabla2[[#This Row],[Forest cover 2011]]</f>
        <v>1.2254901960784314E-3</v>
      </c>
      <c r="AK166" s="6">
        <f>Tabla2[[#This Row],[Deforestation 2016]]/Tabla2[[#This Row],[Forest cover 2011]]</f>
        <v>1.2254901960784314E-3</v>
      </c>
      <c r="AL166" s="6">
        <f>Tabla2[[#This Row],[Deforestation 2017]]/Tabla2[[#This Row],[Forest cover 2011]]</f>
        <v>2.4509803921568627E-3</v>
      </c>
      <c r="AM166" s="6">
        <f>Tabla2[[#This Row],[Deforestation 2018]]/Tabla2[[#This Row],[Forest cover 2011]]</f>
        <v>7.352941176470589E-3</v>
      </c>
      <c r="AN166" s="6">
        <f>Tabla2[[#This Row],[Deforestation 2019]]/Tabla2[[#This Row],[Forest cover 2011]]</f>
        <v>0</v>
      </c>
      <c r="AO166" s="6">
        <f>Tabla2[[#This Row],[Deforestation 2020]]/Tabla2[[#This Row],[Forest cover 2011]]</f>
        <v>2.4509803921568627E-2</v>
      </c>
      <c r="AP166" s="6">
        <f>Tabla2[[#This Row],[Deforestation 2021]]/Tabla2[[#This Row],[Forest cover 2011]]</f>
        <v>6.7401960784313736E-2</v>
      </c>
      <c r="AQ166" s="6">
        <f>Tabla2[[#This Row],[Deforestation 2022]]/Tabla2[[#This Row],[Forest cover 2011]]</f>
        <v>4.0441176470588237E-2</v>
      </c>
      <c r="AR166" s="6">
        <f>Tabla2[[#This Row],[Deforestation 2023]]/Tabla2[[#This Row],[Forest cover 2011]]</f>
        <v>0.13970588235294118</v>
      </c>
      <c r="AS166" s="6">
        <f>Tabla2[[#This Row],[Deforestation 2024]]/Tabla2[[#This Row],[Forest cover 2011]]</f>
        <v>3.6764705882352945E-3</v>
      </c>
      <c r="AT166" s="6">
        <f>Tabla2[[#This Row],[Forest Loss 2012]]/Tabla2[[#This Row],[Forest cover 2011]]</f>
        <v>0</v>
      </c>
      <c r="AU166" s="6">
        <f>Tabla2[[#This Row],[Forest Loss 2013]]/Tabla2[[#This Row],[Forest cover 2011]]</f>
        <v>1.2254901960784314E-3</v>
      </c>
      <c r="AV166" s="6">
        <f>Tabla2[[#This Row],[Forest Loss 2014]]/Tabla2[[#This Row],[Forest cover 2011]]</f>
        <v>3.9215686274509803E-2</v>
      </c>
      <c r="AW166" s="6">
        <f>Tabla2[[#This Row],[Forest Loss 2015]]/Tabla2[[#This Row],[Forest cover 2011]]</f>
        <v>6.1274509803921568E-3</v>
      </c>
      <c r="AX166" s="6">
        <f>Tabla2[[#This Row],[Forest Loss 2016]]/Tabla2[[#This Row],[Forest cover 2011]]</f>
        <v>1.2254901960784314E-3</v>
      </c>
      <c r="AY166" s="6">
        <f>Tabla2[[#This Row],[Forest Loss 2017]]/Tabla2[[#This Row],[Forest cover 2011]]</f>
        <v>4.9019607843137254E-3</v>
      </c>
      <c r="AZ166" s="6">
        <f>Tabla2[[#This Row],[Forest Loss 2018]]/Tabla2[[#This Row],[Forest cover 2011]]</f>
        <v>1.5931372549019607E-2</v>
      </c>
      <c r="BA166" s="6">
        <f>Tabla2[[#This Row],[Forest Loss 2019]]/Tabla2[[#This Row],[Forest cover 2011]]</f>
        <v>7.352941176470589E-3</v>
      </c>
      <c r="BB166" s="6">
        <f>Tabla2[[#This Row],[Forest Loss 2020]]/Tabla2[[#This Row],[Forest cover 2011]]</f>
        <v>2.5735294117647058E-2</v>
      </c>
      <c r="BC166" s="6">
        <f>Tabla2[[#This Row],[Forest Loss 2021]]/Tabla2[[#This Row],[Forest cover 2011]]</f>
        <v>6.8627450980392163E-2</v>
      </c>
      <c r="BD166" s="6">
        <f>Tabla2[[#This Row],[Forest Loss 2022]]/Tabla2[[#This Row],[Forest cover 2011]]</f>
        <v>4.0441176470588237E-2</v>
      </c>
      <c r="BE166" s="6">
        <f>Tabla2[[#This Row],[Forest Loss 2023]]/Tabla2[[#This Row],[Forest cover 2011]]</f>
        <v>0.14460784313725489</v>
      </c>
      <c r="BF166" s="6">
        <f>Tabla2[[#This Row],[Forest Loss 2024]]/Tabla2[[#This Row],[Forest cover 2011]]</f>
        <v>3.6764705882352945E-3</v>
      </c>
    </row>
    <row r="167" spans="1:58" x14ac:dyDescent="0.25">
      <c r="A167" s="2">
        <v>11003</v>
      </c>
      <c r="B167" s="3" t="s">
        <v>58</v>
      </c>
      <c r="C167" t="s">
        <v>87</v>
      </c>
      <c r="D167">
        <v>765965.88</v>
      </c>
      <c r="E167" s="4">
        <f>AVERAGE(Tabla2[[#This Row],[Deforestation 2012]:[Deforestation 2014]])</f>
        <v>708.68999999999994</v>
      </c>
      <c r="F167" s="4">
        <f>AVERAGE(Tabla2[[#This Row],[Deforestation 2022]:[Deforestation 2024]])</f>
        <v>3597.6000000000004</v>
      </c>
      <c r="G167">
        <v>672.66</v>
      </c>
      <c r="H167">
        <v>876.06</v>
      </c>
      <c r="I167">
        <v>577.35</v>
      </c>
      <c r="J167">
        <v>750.87</v>
      </c>
      <c r="K167">
        <v>496.71</v>
      </c>
      <c r="L167">
        <v>1276.2</v>
      </c>
      <c r="M167">
        <v>520.83000000000004</v>
      </c>
      <c r="N167">
        <v>3744.9</v>
      </c>
      <c r="O167">
        <v>4122.09</v>
      </c>
      <c r="P167">
        <v>4566.0600000000004</v>
      </c>
      <c r="Q167">
        <v>4370.9400000000014</v>
      </c>
      <c r="R167">
        <v>3645.36</v>
      </c>
      <c r="S167">
        <v>2776.5</v>
      </c>
      <c r="T167">
        <v>781.38</v>
      </c>
      <c r="U167">
        <v>929.52</v>
      </c>
      <c r="V167">
        <v>790.92</v>
      </c>
      <c r="W167">
        <v>792.27</v>
      </c>
      <c r="X167">
        <v>545.22</v>
      </c>
      <c r="Y167">
        <v>1319.94</v>
      </c>
      <c r="Z167">
        <v>550.89</v>
      </c>
      <c r="AA167">
        <v>3801.78</v>
      </c>
      <c r="AB167">
        <v>4168.4399999999996</v>
      </c>
      <c r="AC167">
        <v>5362.65</v>
      </c>
      <c r="AD167">
        <v>4392.45</v>
      </c>
      <c r="AE167">
        <v>9302.2199999999993</v>
      </c>
      <c r="AF167">
        <v>2811.6</v>
      </c>
      <c r="AG167" s="5">
        <f>Tabla2[[#This Row],[Deforestation 2012]]/Tabla2[[#This Row],[Forest cover 2011]]</f>
        <v>8.7818533117950371E-4</v>
      </c>
      <c r="AH167" s="6">
        <f>Tabla2[[#This Row],[Deforestation 2013]]/Tabla2[[#This Row],[Forest cover 2011]]</f>
        <v>1.1437324075061932E-3</v>
      </c>
      <c r="AI167" s="6">
        <f>Tabla2[[#This Row],[Deforestation 2014]]/Tabla2[[#This Row],[Forest cover 2011]]</f>
        <v>7.5375420116624515E-4</v>
      </c>
      <c r="AJ167" s="6">
        <f>Tabla2[[#This Row],[Deforestation 2015]]/Tabla2[[#This Row],[Forest cover 2011]]</f>
        <v>9.8029170698830611E-4</v>
      </c>
      <c r="AK167" s="6">
        <f>Tabla2[[#This Row],[Deforestation 2016]]/Tabla2[[#This Row],[Forest cover 2011]]</f>
        <v>6.4847536028628326E-4</v>
      </c>
      <c r="AL167" s="6">
        <f>Tabla2[[#This Row],[Deforestation 2017]]/Tabla2[[#This Row],[Forest cover 2011]]</f>
        <v>1.6661316558904686E-3</v>
      </c>
      <c r="AM167" s="6">
        <f>Tabla2[[#This Row],[Deforestation 2018]]/Tabla2[[#This Row],[Forest cover 2011]]</f>
        <v>6.799650135852005E-4</v>
      </c>
      <c r="AN167" s="6">
        <f>Tabla2[[#This Row],[Deforestation 2019]]/Tabla2[[#This Row],[Forest cover 2011]]</f>
        <v>4.8891211707759097E-3</v>
      </c>
      <c r="AO167" s="6">
        <f>Tabla2[[#This Row],[Deforestation 2020]]/Tabla2[[#This Row],[Forest cover 2011]]</f>
        <v>5.3815582490436779E-3</v>
      </c>
      <c r="AP167" s="6">
        <f>Tabla2[[#This Row],[Deforestation 2021]]/Tabla2[[#This Row],[Forest cover 2011]]</f>
        <v>5.9611793674151656E-3</v>
      </c>
      <c r="AQ167" s="6">
        <f>Tabla2[[#This Row],[Deforestation 2022]]/Tabla2[[#This Row],[Forest cover 2011]]</f>
        <v>5.7064421720716876E-3</v>
      </c>
      <c r="AR167" s="6">
        <f>Tabla2[[#This Row],[Deforestation 2023]]/Tabla2[[#This Row],[Forest cover 2011]]</f>
        <v>4.7591676015647068E-3</v>
      </c>
      <c r="AS167" s="6">
        <f>Tabla2[[#This Row],[Deforestation 2024]]/Tabla2[[#This Row],[Forest cover 2011]]</f>
        <v>3.6248350905656529E-3</v>
      </c>
      <c r="AT167" s="6">
        <f>Tabla2[[#This Row],[Forest Loss 2012]]/Tabla2[[#This Row],[Forest cover 2011]]</f>
        <v>1.0201237684373094E-3</v>
      </c>
      <c r="AU167" s="6">
        <f>Tabla2[[#This Row],[Forest Loss 2013]]/Tabla2[[#This Row],[Forest cover 2011]]</f>
        <v>1.2135266390717037E-3</v>
      </c>
      <c r="AV167" s="6">
        <f>Tabla2[[#This Row],[Forest Loss 2014]]/Tabla2[[#This Row],[Forest cover 2011]]</f>
        <v>1.0325786313092693E-3</v>
      </c>
      <c r="AW167" s="6">
        <f>Tabla2[[#This Row],[Forest Loss 2015]]/Tabla2[[#This Row],[Forest cover 2011]]</f>
        <v>1.034341111904358E-3</v>
      </c>
      <c r="AX167" s="6">
        <f>Tabla2[[#This Row],[Forest Loss 2016]]/Tabla2[[#This Row],[Forest cover 2011]]</f>
        <v>7.1180716300313536E-4</v>
      </c>
      <c r="AY167" s="6">
        <f>Tabla2[[#This Row],[Forest Loss 2017]]/Tabla2[[#This Row],[Forest cover 2011]]</f>
        <v>1.7232360271713409E-3</v>
      </c>
      <c r="AZ167" s="6">
        <f>Tabla2[[#This Row],[Forest Loss 2018]]/Tabla2[[#This Row],[Forest cover 2011]]</f>
        <v>7.1920958150250766E-4</v>
      </c>
      <c r="BA167" s="6">
        <f>Tabla2[[#This Row],[Forest Loss 2019]]/Tabla2[[#This Row],[Forest cover 2011]]</f>
        <v>4.9633803531823114E-3</v>
      </c>
      <c r="BB167" s="6">
        <f>Tabla2[[#This Row],[Forest Loss 2020]]/Tabla2[[#This Row],[Forest cover 2011]]</f>
        <v>5.442070082808388E-3</v>
      </c>
      <c r="BC167" s="6">
        <f>Tabla2[[#This Row],[Forest Loss 2021]]/Tabla2[[#This Row],[Forest cover 2011]]</f>
        <v>7.001160417223806E-3</v>
      </c>
      <c r="BD167" s="6">
        <f>Tabla2[[#This Row],[Forest Loss 2022]]/Tabla2[[#This Row],[Forest cover 2011]]</f>
        <v>5.7345243628867644E-3</v>
      </c>
      <c r="BE167" s="6">
        <f>Tabla2[[#This Row],[Forest Loss 2023]]/Tabla2[[#This Row],[Forest cover 2011]]</f>
        <v>1.2144431289811498E-2</v>
      </c>
      <c r="BF167" s="6">
        <f>Tabla2[[#This Row],[Forest Loss 2024]]/Tabla2[[#This Row],[Forest cover 2011]]</f>
        <v>3.6706595860379575E-3</v>
      </c>
    </row>
    <row r="168" spans="1:58" x14ac:dyDescent="0.25">
      <c r="A168" s="2">
        <v>71201</v>
      </c>
      <c r="B168" s="3" t="s">
        <v>310</v>
      </c>
      <c r="C168" t="s">
        <v>357</v>
      </c>
      <c r="D168">
        <v>1780795.71</v>
      </c>
      <c r="E168" s="4">
        <f>AVERAGE(Tabla2[[#This Row],[Deforestation 2012]:[Deforestation 2014]])</f>
        <v>839.46</v>
      </c>
      <c r="F168" s="4">
        <f>AVERAGE(Tabla2[[#This Row],[Deforestation 2022]:[Deforestation 2024]])</f>
        <v>5040.66</v>
      </c>
      <c r="G168">
        <v>1032.1199999999999</v>
      </c>
      <c r="H168">
        <v>881.73</v>
      </c>
      <c r="I168">
        <v>604.53</v>
      </c>
      <c r="J168">
        <v>1923.84</v>
      </c>
      <c r="K168">
        <v>1314.45</v>
      </c>
      <c r="L168">
        <v>1469.97</v>
      </c>
      <c r="M168">
        <v>2311.56</v>
      </c>
      <c r="N168">
        <v>3261.6</v>
      </c>
      <c r="O168">
        <v>2534.7600000000002</v>
      </c>
      <c r="P168">
        <v>3507.48</v>
      </c>
      <c r="Q168">
        <v>3920.13</v>
      </c>
      <c r="R168">
        <v>5433.03</v>
      </c>
      <c r="S168">
        <v>5768.82</v>
      </c>
      <c r="T168">
        <v>1861.11</v>
      </c>
      <c r="U168">
        <v>1580.85</v>
      </c>
      <c r="V168">
        <v>3711.69</v>
      </c>
      <c r="W168">
        <v>2653.2</v>
      </c>
      <c r="X168">
        <v>1751.67</v>
      </c>
      <c r="Y168">
        <v>1779.3</v>
      </c>
      <c r="Z168">
        <v>2711.7</v>
      </c>
      <c r="AA168">
        <v>3590.37</v>
      </c>
      <c r="AB168">
        <v>3489.75</v>
      </c>
      <c r="AC168">
        <v>4461.84</v>
      </c>
      <c r="AD168">
        <v>4317.57</v>
      </c>
      <c r="AE168">
        <v>6201.27</v>
      </c>
      <c r="AF168">
        <v>6397.74</v>
      </c>
      <c r="AG168" s="5">
        <f>Tabla2[[#This Row],[Deforestation 2012]]/Tabla2[[#This Row],[Forest cover 2011]]</f>
        <v>5.7958360647668002E-4</v>
      </c>
      <c r="AH168" s="6">
        <f>Tabla2[[#This Row],[Deforestation 2013]]/Tabla2[[#This Row],[Forest cover 2011]]</f>
        <v>4.9513259440635109E-4</v>
      </c>
      <c r="AI168" s="6">
        <f>Tabla2[[#This Row],[Deforestation 2014]]/Tabla2[[#This Row],[Forest cover 2011]]</f>
        <v>3.3947184205649283E-4</v>
      </c>
      <c r="AJ168" s="6">
        <f>Tabla2[[#This Row],[Deforestation 2015]]/Tabla2[[#This Row],[Forest cover 2011]]</f>
        <v>1.080326052672263E-3</v>
      </c>
      <c r="AK168" s="6">
        <f>Tabla2[[#This Row],[Deforestation 2016]]/Tabla2[[#This Row],[Forest cover 2011]]</f>
        <v>7.3812509352911692E-4</v>
      </c>
      <c r="AL168" s="6">
        <f>Tabla2[[#This Row],[Deforestation 2017]]/Tabla2[[#This Row],[Forest cover 2011]]</f>
        <v>8.2545684030202438E-4</v>
      </c>
      <c r="AM168" s="6">
        <f>Tabla2[[#This Row],[Deforestation 2018]]/Tabla2[[#This Row],[Forest cover 2011]]</f>
        <v>1.298048949140831E-3</v>
      </c>
      <c r="AN168" s="6">
        <f>Tabla2[[#This Row],[Deforestation 2019]]/Tabla2[[#This Row],[Forest cover 2011]]</f>
        <v>1.8315408003762542E-3</v>
      </c>
      <c r="AO168" s="6">
        <f>Tabla2[[#This Row],[Deforestation 2020]]/Tabla2[[#This Row],[Forest cover 2011]]</f>
        <v>1.4233861783056522E-3</v>
      </c>
      <c r="AP168" s="6">
        <f>Tabla2[[#This Row],[Deforestation 2021]]/Tabla2[[#This Row],[Forest cover 2011]]</f>
        <v>1.969613909278791E-3</v>
      </c>
      <c r="AQ168" s="6">
        <f>Tabla2[[#This Row],[Deforestation 2022]]/Tabla2[[#This Row],[Forest cover 2011]]</f>
        <v>2.2013361656177846E-3</v>
      </c>
      <c r="AR168" s="6">
        <f>Tabla2[[#This Row],[Deforestation 2023]]/Tabla2[[#This Row],[Forest cover 2011]]</f>
        <v>3.0509002068519133E-3</v>
      </c>
      <c r="AS168" s="6">
        <f>Tabla2[[#This Row],[Deforestation 2024]]/Tabla2[[#This Row],[Forest cover 2011]]</f>
        <v>3.239461981857537E-3</v>
      </c>
      <c r="AT168" s="6">
        <f>Tabla2[[#This Row],[Forest Loss 2012]]/Tabla2[[#This Row],[Forest cover 2011]]</f>
        <v>1.0451002265723112E-3</v>
      </c>
      <c r="AU168" s="6">
        <f>Tabla2[[#This Row],[Forest Loss 2013]]/Tabla2[[#This Row],[Forest cover 2011]]</f>
        <v>8.8772114124196762E-4</v>
      </c>
      <c r="AV168" s="6">
        <f>Tabla2[[#This Row],[Forest Loss 2014]]/Tabla2[[#This Row],[Forest cover 2011]]</f>
        <v>2.0842873661235405E-3</v>
      </c>
      <c r="AW168" s="6">
        <f>Tabla2[[#This Row],[Forest Loss 2015]]/Tabla2[[#This Row],[Forest cover 2011]]</f>
        <v>1.4898957724915004E-3</v>
      </c>
      <c r="AX168" s="6">
        <f>Tabla2[[#This Row],[Forest Loss 2016]]/Tabla2[[#This Row],[Forest cover 2011]]</f>
        <v>9.8364455291730232E-4</v>
      </c>
      <c r="AY168" s="6">
        <f>Tabla2[[#This Row],[Forest Loss 2017]]/Tabla2[[#This Row],[Forest cover 2011]]</f>
        <v>9.9916008894697979E-4</v>
      </c>
      <c r="AZ168" s="6">
        <f>Tabla2[[#This Row],[Forest Loss 2018]]/Tabla2[[#This Row],[Forest cover 2011]]</f>
        <v>1.5227462559419575E-3</v>
      </c>
      <c r="BA168" s="6">
        <f>Tabla2[[#This Row],[Forest Loss 2019]]/Tabla2[[#This Row],[Forest cover 2011]]</f>
        <v>2.016160517367823E-3</v>
      </c>
      <c r="BB168" s="6">
        <f>Tabla2[[#This Row],[Forest Loss 2020]]/Tabla2[[#This Row],[Forest cover 2011]]</f>
        <v>1.9596576858330371E-3</v>
      </c>
      <c r="BC168" s="6">
        <f>Tabla2[[#This Row],[Forest Loss 2021]]/Tabla2[[#This Row],[Forest cover 2011]]</f>
        <v>2.5055316423690174E-3</v>
      </c>
      <c r="BD168" s="6">
        <f>Tabla2[[#This Row],[Forest Loss 2022]]/Tabla2[[#This Row],[Forest cover 2011]]</f>
        <v>2.4245172962596589E-3</v>
      </c>
      <c r="BE168" s="6">
        <f>Tabla2[[#This Row],[Forest Loss 2023]]/Tabla2[[#This Row],[Forest cover 2011]]</f>
        <v>3.4823028633643779E-3</v>
      </c>
      <c r="BF168" s="6">
        <f>Tabla2[[#This Row],[Forest Loss 2024]]/Tabla2[[#This Row],[Forest cover 2011]]</f>
        <v>3.5926299485526049E-3</v>
      </c>
    </row>
    <row r="169" spans="1:58" x14ac:dyDescent="0.25">
      <c r="A169" s="2">
        <v>30903</v>
      </c>
      <c r="B169" s="3" t="s">
        <v>176</v>
      </c>
      <c r="C169" t="s">
        <v>199</v>
      </c>
      <c r="D169">
        <v>1077.1199999999999</v>
      </c>
      <c r="E169" s="4">
        <f>AVERAGE(Tabla2[[#This Row],[Deforestation 2012]:[Deforestation 2014]])</f>
        <v>8.49</v>
      </c>
      <c r="F169" s="4">
        <f>AVERAGE(Tabla2[[#This Row],[Deforestation 2022]:[Deforestation 2024]])</f>
        <v>133.73999999999998</v>
      </c>
      <c r="G169">
        <v>4.1400000000000006</v>
      </c>
      <c r="H169">
        <v>8.64</v>
      </c>
      <c r="I169">
        <v>12.69</v>
      </c>
      <c r="J169">
        <v>18.27</v>
      </c>
      <c r="K169">
        <v>15.66</v>
      </c>
      <c r="L169">
        <v>24.12</v>
      </c>
      <c r="M169">
        <v>35.64</v>
      </c>
      <c r="N169">
        <v>7.7399999999999993</v>
      </c>
      <c r="O169">
        <v>11.97</v>
      </c>
      <c r="P169">
        <v>22.14</v>
      </c>
      <c r="Q169">
        <v>179.01</v>
      </c>
      <c r="R169">
        <v>218.52</v>
      </c>
      <c r="S169">
        <v>3.69</v>
      </c>
      <c r="T169">
        <v>4.41</v>
      </c>
      <c r="U169">
        <v>9.4499999999999993</v>
      </c>
      <c r="V169">
        <v>21.24</v>
      </c>
      <c r="W169">
        <v>19.98</v>
      </c>
      <c r="X169">
        <v>18.54</v>
      </c>
      <c r="Y169">
        <v>27.27</v>
      </c>
      <c r="Z169">
        <v>39.78</v>
      </c>
      <c r="AA169">
        <v>11.34</v>
      </c>
      <c r="AB169">
        <v>15.21</v>
      </c>
      <c r="AC169">
        <v>22.32</v>
      </c>
      <c r="AD169">
        <v>179.82</v>
      </c>
      <c r="AE169">
        <v>225.18</v>
      </c>
      <c r="AF169">
        <v>3.78</v>
      </c>
      <c r="AG169" s="5">
        <f>Tabla2[[#This Row],[Deforestation 2012]]/Tabla2[[#This Row],[Forest cover 2011]]</f>
        <v>3.8435828877005358E-3</v>
      </c>
      <c r="AH169" s="6">
        <f>Tabla2[[#This Row],[Deforestation 2013]]/Tabla2[[#This Row],[Forest cover 2011]]</f>
        <v>8.0213903743315516E-3</v>
      </c>
      <c r="AI169" s="6">
        <f>Tabla2[[#This Row],[Deforestation 2014]]/Tabla2[[#This Row],[Forest cover 2011]]</f>
        <v>1.1781417112299465E-2</v>
      </c>
      <c r="AJ169" s="6">
        <f>Tabla2[[#This Row],[Deforestation 2015]]/Tabla2[[#This Row],[Forest cover 2011]]</f>
        <v>1.6961898395721927E-2</v>
      </c>
      <c r="AK169" s="6">
        <f>Tabla2[[#This Row],[Deforestation 2016]]/Tabla2[[#This Row],[Forest cover 2011]]</f>
        <v>1.4538770053475937E-2</v>
      </c>
      <c r="AL169" s="6">
        <f>Tabla2[[#This Row],[Deforestation 2017]]/Tabla2[[#This Row],[Forest cover 2011]]</f>
        <v>2.2393048128342249E-2</v>
      </c>
      <c r="AM169" s="6">
        <f>Tabla2[[#This Row],[Deforestation 2018]]/Tabla2[[#This Row],[Forest cover 2011]]</f>
        <v>3.3088235294117654E-2</v>
      </c>
      <c r="AN169" s="6">
        <f>Tabla2[[#This Row],[Deforestation 2019]]/Tabla2[[#This Row],[Forest cover 2011]]</f>
        <v>7.1858288770053477E-3</v>
      </c>
      <c r="AO169" s="6">
        <f>Tabla2[[#This Row],[Deforestation 2020]]/Tabla2[[#This Row],[Forest cover 2011]]</f>
        <v>1.1112967914438504E-2</v>
      </c>
      <c r="AP169" s="6">
        <f>Tabla2[[#This Row],[Deforestation 2021]]/Tabla2[[#This Row],[Forest cover 2011]]</f>
        <v>2.0554812834224601E-2</v>
      </c>
      <c r="AQ169" s="6">
        <f>Tabla2[[#This Row],[Deforestation 2022]]/Tabla2[[#This Row],[Forest cover 2011]]</f>
        <v>0.16619318181818182</v>
      </c>
      <c r="AR169" s="6">
        <f>Tabla2[[#This Row],[Deforestation 2023]]/Tabla2[[#This Row],[Forest cover 2011]]</f>
        <v>0.20287433155080217</v>
      </c>
      <c r="AS169" s="6">
        <f>Tabla2[[#This Row],[Deforestation 2024]]/Tabla2[[#This Row],[Forest cover 2011]]</f>
        <v>3.4258021390374334E-3</v>
      </c>
      <c r="AT169" s="6">
        <f>Tabla2[[#This Row],[Forest Loss 2012]]/Tabla2[[#This Row],[Forest cover 2011]]</f>
        <v>4.0942513368983965E-3</v>
      </c>
      <c r="AU169" s="6">
        <f>Tabla2[[#This Row],[Forest Loss 2013]]/Tabla2[[#This Row],[Forest cover 2011]]</f>
        <v>8.7733957219251341E-3</v>
      </c>
      <c r="AV169" s="6">
        <f>Tabla2[[#This Row],[Forest Loss 2014]]/Tabla2[[#This Row],[Forest cover 2011]]</f>
        <v>1.9719251336898395E-2</v>
      </c>
      <c r="AW169" s="6">
        <f>Tabla2[[#This Row],[Forest Loss 2015]]/Tabla2[[#This Row],[Forest cover 2011]]</f>
        <v>1.8549465240641713E-2</v>
      </c>
      <c r="AX169" s="6">
        <f>Tabla2[[#This Row],[Forest Loss 2016]]/Tabla2[[#This Row],[Forest cover 2011]]</f>
        <v>1.7212566844919786E-2</v>
      </c>
      <c r="AY169" s="6">
        <f>Tabla2[[#This Row],[Forest Loss 2017]]/Tabla2[[#This Row],[Forest cover 2011]]</f>
        <v>2.5317513368983958E-2</v>
      </c>
      <c r="AZ169" s="6">
        <f>Tabla2[[#This Row],[Forest Loss 2018]]/Tabla2[[#This Row],[Forest cover 2011]]</f>
        <v>3.6931818181818184E-2</v>
      </c>
      <c r="BA169" s="6">
        <f>Tabla2[[#This Row],[Forest Loss 2019]]/Tabla2[[#This Row],[Forest cover 2011]]</f>
        <v>1.0528074866310161E-2</v>
      </c>
      <c r="BB169" s="6">
        <f>Tabla2[[#This Row],[Forest Loss 2020]]/Tabla2[[#This Row],[Forest cover 2011]]</f>
        <v>1.4120989304812837E-2</v>
      </c>
      <c r="BC169" s="6">
        <f>Tabla2[[#This Row],[Forest Loss 2021]]/Tabla2[[#This Row],[Forest cover 2011]]</f>
        <v>2.0721925133689843E-2</v>
      </c>
      <c r="BD169" s="6">
        <f>Tabla2[[#This Row],[Forest Loss 2022]]/Tabla2[[#This Row],[Forest cover 2011]]</f>
        <v>0.16694518716577542</v>
      </c>
      <c r="BE169" s="6">
        <f>Tabla2[[#This Row],[Forest Loss 2023]]/Tabla2[[#This Row],[Forest cover 2011]]</f>
        <v>0.20905748663101606</v>
      </c>
      <c r="BF169" s="6">
        <f>Tabla2[[#This Row],[Forest Loss 2024]]/Tabla2[[#This Row],[Forest cover 2011]]</f>
        <v>3.5093582887700536E-3</v>
      </c>
    </row>
    <row r="170" spans="1:58" x14ac:dyDescent="0.25">
      <c r="A170" s="2">
        <v>10403</v>
      </c>
      <c r="B170" s="3" t="s">
        <v>58</v>
      </c>
      <c r="C170" t="s">
        <v>70</v>
      </c>
      <c r="D170">
        <v>23945.58</v>
      </c>
      <c r="E170" s="4">
        <f>AVERAGE(Tabla2[[#This Row],[Deforestation 2012]:[Deforestation 2014]])</f>
        <v>12.660000000000002</v>
      </c>
      <c r="F170" s="4">
        <f>AVERAGE(Tabla2[[#This Row],[Deforestation 2022]:[Deforestation 2024]])</f>
        <v>107.55</v>
      </c>
      <c r="G170">
        <v>8.4600000000000009</v>
      </c>
      <c r="H170">
        <v>14.85</v>
      </c>
      <c r="I170">
        <v>14.67</v>
      </c>
      <c r="J170">
        <v>5.58</v>
      </c>
      <c r="K170">
        <v>3.06</v>
      </c>
      <c r="L170">
        <v>4.1399999999999997</v>
      </c>
      <c r="M170">
        <v>6.93</v>
      </c>
      <c r="N170">
        <v>6.3900000000000006</v>
      </c>
      <c r="O170">
        <v>27</v>
      </c>
      <c r="P170">
        <v>2.61</v>
      </c>
      <c r="Q170">
        <v>2.25</v>
      </c>
      <c r="R170">
        <v>253.35</v>
      </c>
      <c r="S170">
        <v>67.05</v>
      </c>
      <c r="T170">
        <v>20.52</v>
      </c>
      <c r="U170">
        <v>55.08</v>
      </c>
      <c r="V170">
        <v>238.59</v>
      </c>
      <c r="W170">
        <v>15.75</v>
      </c>
      <c r="X170">
        <v>8.91</v>
      </c>
      <c r="Y170">
        <v>12.51</v>
      </c>
      <c r="Z170">
        <v>14.76</v>
      </c>
      <c r="AA170">
        <v>26.55</v>
      </c>
      <c r="AB170">
        <v>45.9</v>
      </c>
      <c r="AC170">
        <v>2.61</v>
      </c>
      <c r="AD170">
        <v>114.03</v>
      </c>
      <c r="AE170">
        <v>448.29</v>
      </c>
      <c r="AF170">
        <v>82.53</v>
      </c>
      <c r="AG170" s="5">
        <f>Tabla2[[#This Row],[Deforestation 2012]]/Tabla2[[#This Row],[Forest cover 2011]]</f>
        <v>3.5330111026753163E-4</v>
      </c>
      <c r="AH170" s="6">
        <f>Tabla2[[#This Row],[Deforestation 2013]]/Tabla2[[#This Row],[Forest cover 2011]]</f>
        <v>6.2015620419300763E-4</v>
      </c>
      <c r="AI170" s="6">
        <f>Tabla2[[#This Row],[Deforestation 2014]]/Tabla2[[#This Row],[Forest cover 2011]]</f>
        <v>6.1263915929369846E-4</v>
      </c>
      <c r="AJ170" s="6">
        <f>Tabla2[[#This Row],[Deforestation 2015]]/Tabla2[[#This Row],[Forest cover 2011]]</f>
        <v>2.3302839187858468E-4</v>
      </c>
      <c r="AK170" s="6">
        <f>Tabla2[[#This Row],[Deforestation 2016]]/Tabla2[[#This Row],[Forest cover 2011]]</f>
        <v>1.2778976328825612E-4</v>
      </c>
      <c r="AL170" s="6">
        <f>Tabla2[[#This Row],[Deforestation 2017]]/Tabla2[[#This Row],[Forest cover 2011]]</f>
        <v>1.7289203268411121E-4</v>
      </c>
      <c r="AM170" s="6">
        <f>Tabla2[[#This Row],[Deforestation 2018]]/Tabla2[[#This Row],[Forest cover 2011]]</f>
        <v>2.8940622862340355E-4</v>
      </c>
      <c r="AN170" s="6">
        <f>Tabla2[[#This Row],[Deforestation 2019]]/Tabla2[[#This Row],[Forest cover 2011]]</f>
        <v>2.6685509392547605E-4</v>
      </c>
      <c r="AO170" s="6">
        <f>Tabla2[[#This Row],[Deforestation 2020]]/Tabla2[[#This Row],[Forest cover 2011]]</f>
        <v>1.1275567348963775E-3</v>
      </c>
      <c r="AP170" s="6">
        <f>Tabla2[[#This Row],[Deforestation 2021]]/Tabla2[[#This Row],[Forest cover 2011]]</f>
        <v>1.0899715103998315E-4</v>
      </c>
      <c r="AQ170" s="6">
        <f>Tabla2[[#This Row],[Deforestation 2022]]/Tabla2[[#This Row],[Forest cover 2011]]</f>
        <v>9.3963061241364784E-5</v>
      </c>
      <c r="AR170" s="6">
        <f>Tabla2[[#This Row],[Deforestation 2023]]/Tabla2[[#This Row],[Forest cover 2011]]</f>
        <v>1.0580240695777674E-2</v>
      </c>
      <c r="AS170" s="6">
        <f>Tabla2[[#This Row],[Deforestation 2024]]/Tabla2[[#This Row],[Forest cover 2011]]</f>
        <v>2.8000992249926707E-3</v>
      </c>
      <c r="AT170" s="6">
        <f>Tabla2[[#This Row],[Forest Loss 2012]]/Tabla2[[#This Row],[Forest cover 2011]]</f>
        <v>8.5694311852124684E-4</v>
      </c>
      <c r="AU170" s="6">
        <f>Tabla2[[#This Row],[Forest Loss 2013]]/Tabla2[[#This Row],[Forest cover 2011]]</f>
        <v>2.30021573918861E-3</v>
      </c>
      <c r="AV170" s="6">
        <f>Tabla2[[#This Row],[Forest Loss 2014]]/Tabla2[[#This Row],[Forest cover 2011]]</f>
        <v>9.9638430140343223E-3</v>
      </c>
      <c r="AW170" s="6">
        <f>Tabla2[[#This Row],[Forest Loss 2015]]/Tabla2[[#This Row],[Forest cover 2011]]</f>
        <v>6.5774142868955346E-4</v>
      </c>
      <c r="AX170" s="6">
        <f>Tabla2[[#This Row],[Forest Loss 2016]]/Tabla2[[#This Row],[Forest cover 2011]]</f>
        <v>3.7209372251580455E-4</v>
      </c>
      <c r="AY170" s="6">
        <f>Tabla2[[#This Row],[Forest Loss 2017]]/Tabla2[[#This Row],[Forest cover 2011]]</f>
        <v>5.2243462050198823E-4</v>
      </c>
      <c r="AZ170" s="6">
        <f>Tabla2[[#This Row],[Forest Loss 2018]]/Tabla2[[#This Row],[Forest cover 2011]]</f>
        <v>6.1639768174335304E-4</v>
      </c>
      <c r="BA170" s="6">
        <f>Tabla2[[#This Row],[Forest Loss 2019]]/Tabla2[[#This Row],[Forest cover 2011]]</f>
        <v>1.1087641226481045E-3</v>
      </c>
      <c r="BB170" s="6">
        <f>Tabla2[[#This Row],[Forest Loss 2020]]/Tabla2[[#This Row],[Forest cover 2011]]</f>
        <v>1.9168464493238416E-3</v>
      </c>
      <c r="BC170" s="6">
        <f>Tabla2[[#This Row],[Forest Loss 2021]]/Tabla2[[#This Row],[Forest cover 2011]]</f>
        <v>1.0899715103998315E-4</v>
      </c>
      <c r="BD170" s="6">
        <f>Tabla2[[#This Row],[Forest Loss 2022]]/Tabla2[[#This Row],[Forest cover 2011]]</f>
        <v>4.7620479437123671E-3</v>
      </c>
      <c r="BE170" s="6">
        <f>Tabla2[[#This Row],[Forest Loss 2023]]/Tabla2[[#This Row],[Forest cover 2011]]</f>
        <v>1.8721200321729522E-2</v>
      </c>
      <c r="BF170" s="6">
        <f>Tabla2[[#This Row],[Forest Loss 2024]]/Tabla2[[#This Row],[Forest cover 2011]]</f>
        <v>3.4465650863332604E-3</v>
      </c>
    </row>
    <row r="171" spans="1:58" x14ac:dyDescent="0.25">
      <c r="A171" s="2">
        <v>10704</v>
      </c>
      <c r="B171" s="3" t="s">
        <v>58</v>
      </c>
      <c r="C171" t="s">
        <v>80</v>
      </c>
      <c r="D171">
        <v>10740.24</v>
      </c>
      <c r="E171" s="4">
        <f>AVERAGE(Tabla2[[#This Row],[Deforestation 2012]:[Deforestation 2014]])</f>
        <v>13.799999999999999</v>
      </c>
      <c r="F171" s="4">
        <f>AVERAGE(Tabla2[[#This Row],[Deforestation 2022]:[Deforestation 2024]])</f>
        <v>6.48</v>
      </c>
      <c r="G171">
        <v>4.32</v>
      </c>
      <c r="H171">
        <v>9.7199999999999989</v>
      </c>
      <c r="I171">
        <v>27.36</v>
      </c>
      <c r="J171">
        <v>13.14</v>
      </c>
      <c r="K171">
        <v>9.9</v>
      </c>
      <c r="L171">
        <v>25.02</v>
      </c>
      <c r="M171">
        <v>16.649999999999999</v>
      </c>
      <c r="N171">
        <v>27.99</v>
      </c>
      <c r="O171">
        <v>4.59</v>
      </c>
      <c r="P171">
        <v>2.7</v>
      </c>
      <c r="Q171">
        <v>1.17</v>
      </c>
      <c r="R171">
        <v>3.96</v>
      </c>
      <c r="S171">
        <v>14.31</v>
      </c>
      <c r="T171">
        <v>8.1</v>
      </c>
      <c r="U171">
        <v>14.13</v>
      </c>
      <c r="V171">
        <v>106.2</v>
      </c>
      <c r="W171">
        <v>15.57</v>
      </c>
      <c r="X171">
        <v>12.42</v>
      </c>
      <c r="Y171">
        <v>29.79</v>
      </c>
      <c r="Z171">
        <v>20.34</v>
      </c>
      <c r="AA171">
        <v>32.85</v>
      </c>
      <c r="AB171">
        <v>8.2800000000000011</v>
      </c>
      <c r="AC171">
        <v>13.05</v>
      </c>
      <c r="AD171">
        <v>1.62</v>
      </c>
      <c r="AE171">
        <v>5.94</v>
      </c>
      <c r="AF171">
        <v>36.54</v>
      </c>
      <c r="AG171" s="5">
        <f>Tabla2[[#This Row],[Deforestation 2012]]/Tabla2[[#This Row],[Forest cover 2011]]</f>
        <v>4.0222564858885838E-4</v>
      </c>
      <c r="AH171" s="6">
        <f>Tabla2[[#This Row],[Deforestation 2013]]/Tabla2[[#This Row],[Forest cover 2011]]</f>
        <v>9.0500770932493125E-4</v>
      </c>
      <c r="AI171" s="6">
        <f>Tabla2[[#This Row],[Deforestation 2014]]/Tabla2[[#This Row],[Forest cover 2011]]</f>
        <v>2.5474291077294364E-3</v>
      </c>
      <c r="AJ171" s="6">
        <f>Tabla2[[#This Row],[Deforestation 2015]]/Tabla2[[#This Row],[Forest cover 2011]]</f>
        <v>1.2234363477911109E-3</v>
      </c>
      <c r="AK171" s="6">
        <f>Tabla2[[#This Row],[Deforestation 2016]]/Tabla2[[#This Row],[Forest cover 2011]]</f>
        <v>9.2176711134946707E-4</v>
      </c>
      <c r="AL171" s="6">
        <f>Tabla2[[#This Row],[Deforestation 2017]]/Tabla2[[#This Row],[Forest cover 2011]]</f>
        <v>2.3295568814104711E-3</v>
      </c>
      <c r="AM171" s="6">
        <f>Tabla2[[#This Row],[Deforestation 2018]]/Tabla2[[#This Row],[Forest cover 2011]]</f>
        <v>1.5502446872695582E-3</v>
      </c>
      <c r="AN171" s="6">
        <f>Tabla2[[#This Row],[Deforestation 2019]]/Tabla2[[#This Row],[Forest cover 2011]]</f>
        <v>2.6060870148153113E-3</v>
      </c>
      <c r="AO171" s="6">
        <f>Tabla2[[#This Row],[Deforestation 2020]]/Tabla2[[#This Row],[Forest cover 2011]]</f>
        <v>4.27364751625662E-4</v>
      </c>
      <c r="AP171" s="6">
        <f>Tabla2[[#This Row],[Deforestation 2021]]/Tabla2[[#This Row],[Forest cover 2011]]</f>
        <v>2.5139103036803649E-4</v>
      </c>
      <c r="AQ171" s="6">
        <f>Tabla2[[#This Row],[Deforestation 2022]]/Tabla2[[#This Row],[Forest cover 2011]]</f>
        <v>1.0893611315948246E-4</v>
      </c>
      <c r="AR171" s="6">
        <f>Tabla2[[#This Row],[Deforestation 2023]]/Tabla2[[#This Row],[Forest cover 2011]]</f>
        <v>3.6870684453978685E-4</v>
      </c>
      <c r="AS171" s="6">
        <f>Tabla2[[#This Row],[Deforestation 2024]]/Tabla2[[#This Row],[Forest cover 2011]]</f>
        <v>1.3323724609505933E-3</v>
      </c>
      <c r="AT171" s="6">
        <f>Tabla2[[#This Row],[Forest Loss 2012]]/Tabla2[[#This Row],[Forest cover 2011]]</f>
        <v>7.5417309110410941E-4</v>
      </c>
      <c r="AU171" s="6">
        <f>Tabla2[[#This Row],[Forest Loss 2013]]/Tabla2[[#This Row],[Forest cover 2011]]</f>
        <v>1.3156130589260576E-3</v>
      </c>
      <c r="AV171" s="6">
        <f>Tabla2[[#This Row],[Forest Loss 2014]]/Tabla2[[#This Row],[Forest cover 2011]]</f>
        <v>9.8880471944761024E-3</v>
      </c>
      <c r="AW171" s="6">
        <f>Tabla2[[#This Row],[Forest Loss 2015]]/Tabla2[[#This Row],[Forest cover 2011]]</f>
        <v>1.4496882751223437E-3</v>
      </c>
      <c r="AX171" s="6">
        <f>Tabla2[[#This Row],[Forest Loss 2016]]/Tabla2[[#This Row],[Forest cover 2011]]</f>
        <v>1.1563987396929678E-3</v>
      </c>
      <c r="AY171" s="6">
        <f>Tabla2[[#This Row],[Forest Loss 2017]]/Tabla2[[#This Row],[Forest cover 2011]]</f>
        <v>2.7736810350606688E-3</v>
      </c>
      <c r="AZ171" s="6">
        <f>Tabla2[[#This Row],[Forest Loss 2018]]/Tabla2[[#This Row],[Forest cover 2011]]</f>
        <v>1.8938124287725415E-3</v>
      </c>
      <c r="BA171" s="6">
        <f>Tabla2[[#This Row],[Forest Loss 2019]]/Tabla2[[#This Row],[Forest cover 2011]]</f>
        <v>3.058590869477777E-3</v>
      </c>
      <c r="BB171" s="6">
        <f>Tabla2[[#This Row],[Forest Loss 2020]]/Tabla2[[#This Row],[Forest cover 2011]]</f>
        <v>7.7093249312864534E-4</v>
      </c>
      <c r="BC171" s="6">
        <f>Tabla2[[#This Row],[Forest Loss 2021]]/Tabla2[[#This Row],[Forest cover 2011]]</f>
        <v>1.2150566467788431E-3</v>
      </c>
      <c r="BD171" s="6">
        <f>Tabla2[[#This Row],[Forest Loss 2022]]/Tabla2[[#This Row],[Forest cover 2011]]</f>
        <v>1.5083461822082189E-4</v>
      </c>
      <c r="BE171" s="6">
        <f>Tabla2[[#This Row],[Forest Loss 2023]]/Tabla2[[#This Row],[Forest cover 2011]]</f>
        <v>5.5306026680968033E-4</v>
      </c>
      <c r="BF171" s="6">
        <f>Tabla2[[#This Row],[Forest Loss 2024]]/Tabla2[[#This Row],[Forest cover 2011]]</f>
        <v>3.4021586109807601E-3</v>
      </c>
    </row>
    <row r="172" spans="1:58" x14ac:dyDescent="0.25">
      <c r="A172" s="2">
        <v>11001</v>
      </c>
      <c r="B172" s="3" t="s">
        <v>58</v>
      </c>
      <c r="C172" t="s">
        <v>85</v>
      </c>
      <c r="D172">
        <v>345973.68</v>
      </c>
      <c r="E172" s="4">
        <f>AVERAGE(Tabla2[[#This Row],[Deforestation 2012]:[Deforestation 2014]])</f>
        <v>817.01999999999987</v>
      </c>
      <c r="F172" s="4">
        <f>AVERAGE(Tabla2[[#This Row],[Deforestation 2022]:[Deforestation 2024]])</f>
        <v>1189.29</v>
      </c>
      <c r="G172">
        <v>605.16</v>
      </c>
      <c r="H172">
        <v>1157.58</v>
      </c>
      <c r="I172">
        <v>688.31999999999994</v>
      </c>
      <c r="J172">
        <v>385.92</v>
      </c>
      <c r="K172">
        <v>561.78</v>
      </c>
      <c r="L172">
        <v>597.96</v>
      </c>
      <c r="M172">
        <v>1020.15</v>
      </c>
      <c r="N172">
        <v>670.5</v>
      </c>
      <c r="O172">
        <v>685.17000000000007</v>
      </c>
      <c r="P172">
        <v>1112.76</v>
      </c>
      <c r="Q172">
        <v>338.58</v>
      </c>
      <c r="R172">
        <v>2304.1799999999998</v>
      </c>
      <c r="S172">
        <v>925.11</v>
      </c>
      <c r="T172">
        <v>677.97</v>
      </c>
      <c r="U172">
        <v>1210.5</v>
      </c>
      <c r="V172">
        <v>1082.52</v>
      </c>
      <c r="W172">
        <v>438.48</v>
      </c>
      <c r="X172">
        <v>616.77</v>
      </c>
      <c r="Y172">
        <v>649.79999999999995</v>
      </c>
      <c r="Z172">
        <v>1066.8599999999999</v>
      </c>
      <c r="AA172">
        <v>1153.44</v>
      </c>
      <c r="AB172">
        <v>750.6</v>
      </c>
      <c r="AC172">
        <v>1230.3900000000001</v>
      </c>
      <c r="AD172">
        <v>412.11</v>
      </c>
      <c r="AE172">
        <v>2467.17</v>
      </c>
      <c r="AF172">
        <v>1100.43</v>
      </c>
      <c r="AG172" s="5">
        <f>Tabla2[[#This Row],[Deforestation 2012]]/Tabla2[[#This Row],[Forest cover 2011]]</f>
        <v>1.7491503977990464E-3</v>
      </c>
      <c r="AH172" s="6">
        <f>Tabla2[[#This Row],[Deforestation 2013]]/Tabla2[[#This Row],[Forest cover 2011]]</f>
        <v>3.3458614539695619E-3</v>
      </c>
      <c r="AI172" s="6">
        <f>Tabla2[[#This Row],[Deforestation 2014]]/Tabla2[[#This Row],[Forest cover 2011]]</f>
        <v>1.9895155030290163E-3</v>
      </c>
      <c r="AJ172" s="6">
        <f>Tabla2[[#This Row],[Deforestation 2015]]/Tabla2[[#This Row],[Forest cover 2011]]</f>
        <v>1.1154605749200345E-3</v>
      </c>
      <c r="AK172" s="6">
        <f>Tabla2[[#This Row],[Deforestation 2016]]/Tabla2[[#This Row],[Forest cover 2011]]</f>
        <v>1.6237651372786508E-3</v>
      </c>
      <c r="AL172" s="6">
        <f>Tabla2[[#This Row],[Deforestation 2017]]/Tabla2[[#This Row],[Forest cover 2011]]</f>
        <v>1.7283395661774042E-3</v>
      </c>
      <c r="AM172" s="6">
        <f>Tabla2[[#This Row],[Deforestation 2018]]/Tabla2[[#This Row],[Forest cover 2011]]</f>
        <v>2.9486347053914621E-3</v>
      </c>
      <c r="AN172" s="6">
        <f>Tabla2[[#This Row],[Deforestation 2019]]/Tabla2[[#This Row],[Forest cover 2011]]</f>
        <v>1.9380086947654515E-3</v>
      </c>
      <c r="AO172" s="6">
        <f>Tabla2[[#This Row],[Deforestation 2020]]/Tabla2[[#This Row],[Forest cover 2011]]</f>
        <v>1.9804107641945481E-3</v>
      </c>
      <c r="AP172" s="6">
        <f>Tabla2[[#This Row],[Deforestation 2021]]/Tabla2[[#This Row],[Forest cover 2011]]</f>
        <v>3.216314027124838E-3</v>
      </c>
      <c r="AQ172" s="6">
        <f>Tabla2[[#This Row],[Deforestation 2022]]/Tabla2[[#This Row],[Forest cover 2011]]</f>
        <v>9.786293570077354E-4</v>
      </c>
      <c r="AR172" s="6">
        <f>Tabla2[[#This Row],[Deforestation 2023]]/Tabla2[[#This Row],[Forest cover 2011]]</f>
        <v>6.6599863897161193E-3</v>
      </c>
      <c r="AS172" s="6">
        <f>Tabla2[[#This Row],[Deforestation 2024]]/Tabla2[[#This Row],[Forest cover 2011]]</f>
        <v>2.673931727985782E-3</v>
      </c>
      <c r="AT172" s="6">
        <f>Tabla2[[#This Row],[Forest Loss 2012]]/Tabla2[[#This Row],[Forest cover 2011]]</f>
        <v>1.9595999325729059E-3</v>
      </c>
      <c r="AU172" s="6">
        <f>Tabla2[[#This Row],[Forest Loss 2013]]/Tabla2[[#This Row],[Forest cover 2011]]</f>
        <v>3.4988210663886342E-3</v>
      </c>
      <c r="AV172" s="6">
        <f>Tabla2[[#This Row],[Forest Loss 2014]]/Tabla2[[#This Row],[Forest cover 2011]]</f>
        <v>3.1289085343139396E-3</v>
      </c>
      <c r="AW172" s="6">
        <f>Tabla2[[#This Row],[Forest Loss 2015]]/Tabla2[[#This Row],[Forest cover 2011]]</f>
        <v>1.2673796457580242E-3</v>
      </c>
      <c r="AX172" s="6">
        <f>Tabla2[[#This Row],[Forest Loss 2016]]/Tabla2[[#This Row],[Forest cover 2011]]</f>
        <v>1.7827078637889448E-3</v>
      </c>
      <c r="AY172" s="6">
        <f>Tabla2[[#This Row],[Forest Loss 2017]]/Tabla2[[#This Row],[Forest cover 2011]]</f>
        <v>1.8781775538532295E-3</v>
      </c>
      <c r="AZ172" s="6">
        <f>Tabla2[[#This Row],[Forest Loss 2018]]/Tabla2[[#This Row],[Forest cover 2011]]</f>
        <v>3.0836449755368674E-3</v>
      </c>
      <c r="BA172" s="6">
        <f>Tabla2[[#This Row],[Forest Loss 2019]]/Tabla2[[#This Row],[Forest cover 2011]]</f>
        <v>3.3338952257871181E-3</v>
      </c>
      <c r="BB172" s="6">
        <f>Tabla2[[#This Row],[Forest Loss 2020]]/Tabla2[[#This Row],[Forest cover 2011]]</f>
        <v>2.1695291965562239E-3</v>
      </c>
      <c r="BC172" s="6">
        <f>Tabla2[[#This Row],[Forest Loss 2021]]/Tabla2[[#This Row],[Forest cover 2011]]</f>
        <v>3.5563109887434214E-3</v>
      </c>
      <c r="BD172" s="6">
        <f>Tabla2[[#This Row],[Forest Loss 2022]]/Tabla2[[#This Row],[Forest cover 2011]]</f>
        <v>1.1911599749437588E-3</v>
      </c>
      <c r="BE172" s="6">
        <f>Tabla2[[#This Row],[Forest Loss 2023]]/Tabla2[[#This Row],[Forest cover 2011]]</f>
        <v>7.1310915905510508E-3</v>
      </c>
      <c r="BF172" s="6">
        <f>Tabla2[[#This Row],[Forest Loss 2024]]/Tabla2[[#This Row],[Forest cover 2011]]</f>
        <v>3.1806754779727755E-3</v>
      </c>
    </row>
    <row r="173" spans="1:58" x14ac:dyDescent="0.25">
      <c r="A173" s="2">
        <v>70904</v>
      </c>
      <c r="B173" s="3" t="s">
        <v>310</v>
      </c>
      <c r="C173" t="s">
        <v>346</v>
      </c>
      <c r="D173">
        <v>22582.71</v>
      </c>
      <c r="E173" s="4">
        <f>AVERAGE(Tabla2[[#This Row],[Deforestation 2012]:[Deforestation 2014]])</f>
        <v>94.469999999999985</v>
      </c>
      <c r="F173" s="4">
        <f>AVERAGE(Tabla2[[#This Row],[Deforestation 2022]:[Deforestation 2024]])</f>
        <v>126.66000000000001</v>
      </c>
      <c r="G173">
        <v>79.650000000000006</v>
      </c>
      <c r="H173">
        <v>79.289999999999992</v>
      </c>
      <c r="I173">
        <v>124.47</v>
      </c>
      <c r="J173">
        <v>38.79</v>
      </c>
      <c r="K173">
        <v>54.54</v>
      </c>
      <c r="L173">
        <v>50.669999999999987</v>
      </c>
      <c r="M173">
        <v>62.01</v>
      </c>
      <c r="N173">
        <v>238.23</v>
      </c>
      <c r="O173">
        <v>34.47</v>
      </c>
      <c r="P173">
        <v>29.61</v>
      </c>
      <c r="Q173">
        <v>146.61000000000001</v>
      </c>
      <c r="R173">
        <v>162.44999999999999</v>
      </c>
      <c r="S173">
        <v>70.92</v>
      </c>
      <c r="T173">
        <v>104.22</v>
      </c>
      <c r="U173">
        <v>96.66</v>
      </c>
      <c r="V173">
        <v>194.13</v>
      </c>
      <c r="W173">
        <v>53.28</v>
      </c>
      <c r="X173">
        <v>74.34</v>
      </c>
      <c r="Y173">
        <v>71.37</v>
      </c>
      <c r="Z173">
        <v>77.040000000000006</v>
      </c>
      <c r="AA173">
        <v>246.69</v>
      </c>
      <c r="AB173">
        <v>44.1</v>
      </c>
      <c r="AC173">
        <v>61.739999999999988</v>
      </c>
      <c r="AD173">
        <v>151.47</v>
      </c>
      <c r="AE173">
        <v>171.72</v>
      </c>
      <c r="AF173">
        <v>71.28</v>
      </c>
      <c r="AG173" s="5">
        <f>Tabla2[[#This Row],[Deforestation 2012]]/Tabla2[[#This Row],[Forest cover 2011]]</f>
        <v>3.5270346207341816E-3</v>
      </c>
      <c r="AH173" s="6">
        <f>Tabla2[[#This Row],[Deforestation 2013]]/Tabla2[[#This Row],[Forest cover 2011]]</f>
        <v>3.5110932213184331E-3</v>
      </c>
      <c r="AI173" s="6">
        <f>Tabla2[[#This Row],[Deforestation 2014]]/Tabla2[[#This Row],[Forest cover 2011]]</f>
        <v>5.5117388479947712E-3</v>
      </c>
      <c r="AJ173" s="6">
        <f>Tabla2[[#This Row],[Deforestation 2015]]/Tabla2[[#This Row],[Forest cover 2011]]</f>
        <v>1.717685787046816E-3</v>
      </c>
      <c r="AK173" s="6">
        <f>Tabla2[[#This Row],[Deforestation 2016]]/Tabla2[[#This Row],[Forest cover 2011]]</f>
        <v>2.4151220114857785E-3</v>
      </c>
      <c r="AL173" s="6">
        <f>Tabla2[[#This Row],[Deforestation 2017]]/Tabla2[[#This Row],[Forest cover 2011]]</f>
        <v>2.2437519677664898E-3</v>
      </c>
      <c r="AM173" s="6">
        <f>Tabla2[[#This Row],[Deforestation 2018]]/Tabla2[[#This Row],[Forest cover 2011]]</f>
        <v>2.7459060493625433E-3</v>
      </c>
      <c r="AN173" s="6">
        <f>Tabla2[[#This Row],[Deforestation 2019]]/Tabla2[[#This Row],[Forest cover 2011]]</f>
        <v>1.0549221063371047E-2</v>
      </c>
      <c r="AO173" s="6">
        <f>Tabla2[[#This Row],[Deforestation 2020]]/Tabla2[[#This Row],[Forest cover 2011]]</f>
        <v>1.5263889940578435E-3</v>
      </c>
      <c r="AP173" s="6">
        <f>Tabla2[[#This Row],[Deforestation 2021]]/Tabla2[[#This Row],[Forest cover 2011]]</f>
        <v>1.3111801019452492E-3</v>
      </c>
      <c r="AQ173" s="6">
        <f>Tabla2[[#This Row],[Deforestation 2022]]/Tabla2[[#This Row],[Forest cover 2011]]</f>
        <v>6.4921349120632566E-3</v>
      </c>
      <c r="AR173" s="6">
        <f>Tabla2[[#This Row],[Deforestation 2023]]/Tabla2[[#This Row],[Forest cover 2011]]</f>
        <v>7.1935564863561544E-3</v>
      </c>
      <c r="AS173" s="6">
        <f>Tabla2[[#This Row],[Deforestation 2024]]/Tabla2[[#This Row],[Forest cover 2011]]</f>
        <v>3.1404556849022993E-3</v>
      </c>
      <c r="AT173" s="6">
        <f>Tabla2[[#This Row],[Forest Loss 2012]]/Tabla2[[#This Row],[Forest cover 2011]]</f>
        <v>4.6150351308589625E-3</v>
      </c>
      <c r="AU173" s="6">
        <f>Tabla2[[#This Row],[Forest Loss 2013]]/Tabla2[[#This Row],[Forest cover 2011]]</f>
        <v>4.2802657431282604E-3</v>
      </c>
      <c r="AV173" s="6">
        <f>Tabla2[[#This Row],[Forest Loss 2014]]/Tabla2[[#This Row],[Forest cover 2011]]</f>
        <v>8.5963996349419543E-3</v>
      </c>
      <c r="AW173" s="6">
        <f>Tabla2[[#This Row],[Forest Loss 2015]]/Tabla2[[#This Row],[Forest cover 2011]]</f>
        <v>2.3593271135306615E-3</v>
      </c>
      <c r="AX173" s="6">
        <f>Tabla2[[#This Row],[Forest Loss 2016]]/Tabla2[[#This Row],[Forest cover 2011]]</f>
        <v>3.2918989793519027E-3</v>
      </c>
      <c r="AY173" s="6">
        <f>Tabla2[[#This Row],[Forest Loss 2017]]/Tabla2[[#This Row],[Forest cover 2011]]</f>
        <v>3.1603824341719842E-3</v>
      </c>
      <c r="AZ173" s="6">
        <f>Tabla2[[#This Row],[Forest Loss 2018]]/Tabla2[[#This Row],[Forest cover 2011]]</f>
        <v>3.4114594749700107E-3</v>
      </c>
      <c r="BA173" s="6">
        <f>Tabla2[[#This Row],[Forest Loss 2019]]/Tabla2[[#This Row],[Forest cover 2011]]</f>
        <v>1.092384394964112E-2</v>
      </c>
      <c r="BB173" s="6">
        <f>Tabla2[[#This Row],[Forest Loss 2020]]/Tabla2[[#This Row],[Forest cover 2011]]</f>
        <v>1.9528214284290947E-3</v>
      </c>
      <c r="BC173" s="6">
        <f>Tabla2[[#This Row],[Forest Loss 2021]]/Tabla2[[#This Row],[Forest cover 2011]]</f>
        <v>2.7339499998007321E-3</v>
      </c>
      <c r="BD173" s="6">
        <f>Tabla2[[#This Row],[Forest Loss 2022]]/Tabla2[[#This Row],[Forest cover 2011]]</f>
        <v>6.7073438041758502E-3</v>
      </c>
      <c r="BE173" s="6">
        <f>Tabla2[[#This Row],[Forest Loss 2023]]/Tabla2[[#This Row],[Forest cover 2011]]</f>
        <v>7.6040475213116588E-3</v>
      </c>
      <c r="BF173" s="6">
        <f>Tabla2[[#This Row],[Forest Loss 2024]]/Tabla2[[#This Row],[Forest cover 2011]]</f>
        <v>3.1563970843180469E-3</v>
      </c>
    </row>
    <row r="174" spans="1:58" x14ac:dyDescent="0.25">
      <c r="A174" s="2">
        <v>31001</v>
      </c>
      <c r="B174" s="3" t="s">
        <v>176</v>
      </c>
      <c r="C174" t="s">
        <v>202</v>
      </c>
      <c r="D174">
        <v>1583.91</v>
      </c>
      <c r="E174" s="4">
        <f>AVERAGE(Tabla2[[#This Row],[Deforestation 2012]:[Deforestation 2014]])</f>
        <v>3.03</v>
      </c>
      <c r="F174" s="4">
        <f>AVERAGE(Tabla2[[#This Row],[Deforestation 2022]:[Deforestation 2024]])</f>
        <v>43.41</v>
      </c>
      <c r="G174">
        <v>1.8</v>
      </c>
      <c r="H174">
        <v>2.4300000000000002</v>
      </c>
      <c r="I174">
        <v>4.8599999999999994</v>
      </c>
      <c r="J174">
        <v>3.87</v>
      </c>
      <c r="K174">
        <v>4.5</v>
      </c>
      <c r="L174">
        <v>2.25</v>
      </c>
      <c r="M174">
        <v>2.52</v>
      </c>
      <c r="N174">
        <v>2.52</v>
      </c>
      <c r="O174">
        <v>17.100000000000001</v>
      </c>
      <c r="P174">
        <v>18.72</v>
      </c>
      <c r="Q174">
        <v>33.119999999999997</v>
      </c>
      <c r="R174">
        <v>93.51</v>
      </c>
      <c r="S174">
        <v>3.6</v>
      </c>
      <c r="T174">
        <v>12.42</v>
      </c>
      <c r="U174">
        <v>14.31</v>
      </c>
      <c r="V174">
        <v>38.43</v>
      </c>
      <c r="W174">
        <v>25.56</v>
      </c>
      <c r="X174">
        <v>15.84</v>
      </c>
      <c r="Y174">
        <v>45.54</v>
      </c>
      <c r="Z174">
        <v>47.07</v>
      </c>
      <c r="AA174">
        <v>71.460000000000008</v>
      </c>
      <c r="AB174">
        <v>51.12</v>
      </c>
      <c r="AC174">
        <v>20.43</v>
      </c>
      <c r="AD174">
        <v>44.46</v>
      </c>
      <c r="AE174">
        <v>184.23</v>
      </c>
      <c r="AF174">
        <v>4.41</v>
      </c>
      <c r="AG174" s="5">
        <f>Tabla2[[#This Row],[Deforestation 2012]]/Tabla2[[#This Row],[Forest cover 2011]]</f>
        <v>1.1364282061480766E-3</v>
      </c>
      <c r="AH174" s="6">
        <f>Tabla2[[#This Row],[Deforestation 2013]]/Tabla2[[#This Row],[Forest cover 2011]]</f>
        <v>1.5341780782999034E-3</v>
      </c>
      <c r="AI174" s="6">
        <f>Tabla2[[#This Row],[Deforestation 2014]]/Tabla2[[#This Row],[Forest cover 2011]]</f>
        <v>3.0683561565998064E-3</v>
      </c>
      <c r="AJ174" s="6">
        <f>Tabla2[[#This Row],[Deforestation 2015]]/Tabla2[[#This Row],[Forest cover 2011]]</f>
        <v>2.4433206432183645E-3</v>
      </c>
      <c r="AK174" s="6">
        <f>Tabla2[[#This Row],[Deforestation 2016]]/Tabla2[[#This Row],[Forest cover 2011]]</f>
        <v>2.8410705153701912E-3</v>
      </c>
      <c r="AL174" s="6">
        <f>Tabla2[[#This Row],[Deforestation 2017]]/Tabla2[[#This Row],[Forest cover 2011]]</f>
        <v>1.4205352576850956E-3</v>
      </c>
      <c r="AM174" s="6">
        <f>Tabla2[[#This Row],[Deforestation 2018]]/Tabla2[[#This Row],[Forest cover 2011]]</f>
        <v>1.5909994886073072E-3</v>
      </c>
      <c r="AN174" s="6">
        <f>Tabla2[[#This Row],[Deforestation 2019]]/Tabla2[[#This Row],[Forest cover 2011]]</f>
        <v>1.5909994886073072E-3</v>
      </c>
      <c r="AO174" s="6">
        <f>Tabla2[[#This Row],[Deforestation 2020]]/Tabla2[[#This Row],[Forest cover 2011]]</f>
        <v>1.0796067958406728E-2</v>
      </c>
      <c r="AP174" s="6">
        <f>Tabla2[[#This Row],[Deforestation 2021]]/Tabla2[[#This Row],[Forest cover 2011]]</f>
        <v>1.1818853343939995E-2</v>
      </c>
      <c r="AQ174" s="6">
        <f>Tabla2[[#This Row],[Deforestation 2022]]/Tabla2[[#This Row],[Forest cover 2011]]</f>
        <v>2.0910278993124608E-2</v>
      </c>
      <c r="AR174" s="6">
        <f>Tabla2[[#This Row],[Deforestation 2023]]/Tabla2[[#This Row],[Forest cover 2011]]</f>
        <v>5.9037445309392582E-2</v>
      </c>
      <c r="AS174" s="6">
        <f>Tabla2[[#This Row],[Deforestation 2024]]/Tabla2[[#This Row],[Forest cover 2011]]</f>
        <v>2.2728564122961531E-3</v>
      </c>
      <c r="AT174" s="6">
        <f>Tabla2[[#This Row],[Forest Loss 2012]]/Tabla2[[#This Row],[Forest cover 2011]]</f>
        <v>7.8413546224217288E-3</v>
      </c>
      <c r="AU174" s="6">
        <f>Tabla2[[#This Row],[Forest Loss 2013]]/Tabla2[[#This Row],[Forest cover 2011]]</f>
        <v>9.0346042388772096E-3</v>
      </c>
      <c r="AV174" s="6">
        <f>Tabla2[[#This Row],[Forest Loss 2014]]/Tabla2[[#This Row],[Forest cover 2011]]</f>
        <v>2.4262742201261435E-2</v>
      </c>
      <c r="AW174" s="6">
        <f>Tabla2[[#This Row],[Forest Loss 2015]]/Tabla2[[#This Row],[Forest cover 2011]]</f>
        <v>1.6137280527302685E-2</v>
      </c>
      <c r="AX174" s="6">
        <f>Tabla2[[#This Row],[Forest Loss 2016]]/Tabla2[[#This Row],[Forest cover 2011]]</f>
        <v>1.0000568214103073E-2</v>
      </c>
      <c r="AY174" s="6">
        <f>Tabla2[[#This Row],[Forest Loss 2017]]/Tabla2[[#This Row],[Forest cover 2011]]</f>
        <v>2.8751633615546335E-2</v>
      </c>
      <c r="AZ174" s="6">
        <f>Tabla2[[#This Row],[Forest Loss 2018]]/Tabla2[[#This Row],[Forest cover 2011]]</f>
        <v>2.97175975907722E-2</v>
      </c>
      <c r="BA174" s="6">
        <f>Tabla2[[#This Row],[Forest Loss 2019]]/Tabla2[[#This Row],[Forest cover 2011]]</f>
        <v>4.5116199784078645E-2</v>
      </c>
      <c r="BB174" s="6">
        <f>Tabla2[[#This Row],[Forest Loss 2020]]/Tabla2[[#This Row],[Forest cover 2011]]</f>
        <v>3.2274561054605369E-2</v>
      </c>
      <c r="BC174" s="6">
        <f>Tabla2[[#This Row],[Forest Loss 2021]]/Tabla2[[#This Row],[Forest cover 2011]]</f>
        <v>1.2898460139780668E-2</v>
      </c>
      <c r="BD174" s="6">
        <f>Tabla2[[#This Row],[Forest Loss 2022]]/Tabla2[[#This Row],[Forest cover 2011]]</f>
        <v>2.8069776691857493E-2</v>
      </c>
      <c r="BE174" s="6">
        <f>Tabla2[[#This Row],[Forest Loss 2023]]/Tabla2[[#This Row],[Forest cover 2011]]</f>
        <v>0.11631342689925563</v>
      </c>
      <c r="BF174" s="6">
        <f>Tabla2[[#This Row],[Forest Loss 2024]]/Tabla2[[#This Row],[Forest cover 2011]]</f>
        <v>2.7842491050627874E-3</v>
      </c>
    </row>
    <row r="175" spans="1:58" x14ac:dyDescent="0.25">
      <c r="A175" s="2">
        <v>70701</v>
      </c>
      <c r="B175" s="3" t="s">
        <v>310</v>
      </c>
      <c r="C175" t="s">
        <v>331</v>
      </c>
      <c r="D175">
        <v>95083.29</v>
      </c>
      <c r="E175" s="4">
        <f>AVERAGE(Tabla2[[#This Row],[Deforestation 2012]:[Deforestation 2014]])</f>
        <v>656.58</v>
      </c>
      <c r="F175" s="4">
        <f>AVERAGE(Tabla2[[#This Row],[Deforestation 2022]:[Deforestation 2024]])</f>
        <v>403.77</v>
      </c>
      <c r="G175">
        <v>726.30000000000007</v>
      </c>
      <c r="H175">
        <v>685.98</v>
      </c>
      <c r="I175">
        <v>557.46</v>
      </c>
      <c r="J175">
        <v>196.83</v>
      </c>
      <c r="K175">
        <v>295.74</v>
      </c>
      <c r="L175">
        <v>213.66</v>
      </c>
      <c r="M175">
        <v>409.5</v>
      </c>
      <c r="N175">
        <v>128.79</v>
      </c>
      <c r="O175">
        <v>293.04000000000002</v>
      </c>
      <c r="P175">
        <v>220.95</v>
      </c>
      <c r="Q175">
        <v>230.58</v>
      </c>
      <c r="R175">
        <v>720.9</v>
      </c>
      <c r="S175">
        <v>259.83</v>
      </c>
      <c r="T175">
        <v>744.03</v>
      </c>
      <c r="U175">
        <v>704.88</v>
      </c>
      <c r="V175">
        <v>604.79999999999995</v>
      </c>
      <c r="W175">
        <v>213.57</v>
      </c>
      <c r="X175">
        <v>304.47000000000003</v>
      </c>
      <c r="Y175">
        <v>220.86</v>
      </c>
      <c r="Z175">
        <v>415.71</v>
      </c>
      <c r="AA175">
        <v>167.13</v>
      </c>
      <c r="AB175">
        <v>314.91000000000003</v>
      </c>
      <c r="AC175">
        <v>258.39</v>
      </c>
      <c r="AD175">
        <v>234.27</v>
      </c>
      <c r="AE175">
        <v>731.69999999999993</v>
      </c>
      <c r="AF175">
        <v>264.06</v>
      </c>
      <c r="AG175" s="5">
        <f>Tabla2[[#This Row],[Deforestation 2012]]/Tabla2[[#This Row],[Forest cover 2011]]</f>
        <v>7.6385661455340903E-3</v>
      </c>
      <c r="AH175" s="6">
        <f>Tabla2[[#This Row],[Deforestation 2013]]/Tabla2[[#This Row],[Forest cover 2011]]</f>
        <v>7.2145168725230276E-3</v>
      </c>
      <c r="AI175" s="6">
        <f>Tabla2[[#This Row],[Deforestation 2014]]/Tabla2[[#This Row],[Forest cover 2011]]</f>
        <v>5.862859814800267E-3</v>
      </c>
      <c r="AJ175" s="6">
        <f>Tabla2[[#This Row],[Deforestation 2015]]/Tabla2[[#This Row],[Forest cover 2011]]</f>
        <v>2.0700798215964131E-3</v>
      </c>
      <c r="AK175" s="6">
        <f>Tabla2[[#This Row],[Deforestation 2016]]/Tabla2[[#This Row],[Forest cover 2011]]</f>
        <v>3.1103256944516751E-3</v>
      </c>
      <c r="AL175" s="6">
        <f>Tabla2[[#This Row],[Deforestation 2017]]/Tabla2[[#This Row],[Forest cover 2011]]</f>
        <v>2.2470825315362986E-3</v>
      </c>
      <c r="AM175" s="6">
        <f>Tabla2[[#This Row],[Deforestation 2018]]/Tabla2[[#This Row],[Forest cover 2011]]</f>
        <v>4.3067504290186008E-3</v>
      </c>
      <c r="AN175" s="6">
        <f>Tabla2[[#This Row],[Deforestation 2019]]/Tabla2[[#This Row],[Forest cover 2011]]</f>
        <v>1.3544966733902456E-3</v>
      </c>
      <c r="AO175" s="6">
        <f>Tabla2[[#This Row],[Deforestation 2020]]/Tabla2[[#This Row],[Forest cover 2011]]</f>
        <v>3.0819295377768276E-3</v>
      </c>
      <c r="AP175" s="6">
        <f>Tabla2[[#This Row],[Deforestation 2021]]/Tabla2[[#This Row],[Forest cover 2011]]</f>
        <v>2.3237521545583879E-3</v>
      </c>
      <c r="AQ175" s="6">
        <f>Tabla2[[#This Row],[Deforestation 2022]]/Tabla2[[#This Row],[Forest cover 2011]]</f>
        <v>2.4250317800320123E-3</v>
      </c>
      <c r="AR175" s="6">
        <f>Tabla2[[#This Row],[Deforestation 2023]]/Tabla2[[#This Row],[Forest cover 2011]]</f>
        <v>7.5817738321843934E-3</v>
      </c>
      <c r="AS175" s="6">
        <f>Tabla2[[#This Row],[Deforestation 2024]]/Tabla2[[#This Row],[Forest cover 2011]]</f>
        <v>2.7326568106761976E-3</v>
      </c>
      <c r="AT175" s="6">
        <f>Tabla2[[#This Row],[Forest Loss 2012]]/Tabla2[[#This Row],[Forest cover 2011]]</f>
        <v>7.8250342410322565E-3</v>
      </c>
      <c r="AU175" s="6">
        <f>Tabla2[[#This Row],[Forest Loss 2013]]/Tabla2[[#This Row],[Forest cover 2011]]</f>
        <v>7.4132899692469631E-3</v>
      </c>
      <c r="AV175" s="6">
        <f>Tabla2[[#This Row],[Forest Loss 2014]]/Tabla2[[#This Row],[Forest cover 2011]]</f>
        <v>6.3607390951659331E-3</v>
      </c>
      <c r="AW175" s="6">
        <f>Tabla2[[#This Row],[Forest Loss 2015]]/Tabla2[[#This Row],[Forest cover 2011]]</f>
        <v>2.2461359929804702E-3</v>
      </c>
      <c r="AX175" s="6">
        <f>Tabla2[[#This Row],[Forest Loss 2016]]/Tabla2[[#This Row],[Forest cover 2011]]</f>
        <v>3.202139934367017E-3</v>
      </c>
      <c r="AY175" s="6">
        <f>Tabla2[[#This Row],[Forest Loss 2017]]/Tabla2[[#This Row],[Forest cover 2011]]</f>
        <v>2.3228056160025596E-3</v>
      </c>
      <c r="AZ175" s="6">
        <f>Tabla2[[#This Row],[Forest Loss 2018]]/Tabla2[[#This Row],[Forest cover 2011]]</f>
        <v>4.372061589370751E-3</v>
      </c>
      <c r="BA175" s="6">
        <f>Tabla2[[#This Row],[Forest Loss 2019]]/Tabla2[[#This Row],[Forest cover 2011]]</f>
        <v>1.757722098173086E-3</v>
      </c>
      <c r="BB175" s="6">
        <f>Tabla2[[#This Row],[Forest Loss 2020]]/Tabla2[[#This Row],[Forest cover 2011]]</f>
        <v>3.3119384068430956E-3</v>
      </c>
      <c r="BC175" s="6">
        <f>Tabla2[[#This Row],[Forest Loss 2021]]/Tabla2[[#This Row],[Forest cover 2011]]</f>
        <v>2.7175121937829455E-3</v>
      </c>
      <c r="BD175" s="6">
        <f>Tabla2[[#This Row],[Forest Loss 2022]]/Tabla2[[#This Row],[Forest cover 2011]]</f>
        <v>2.4638398608209711E-3</v>
      </c>
      <c r="BE175" s="6">
        <f>Tabla2[[#This Row],[Forest Loss 2023]]/Tabla2[[#This Row],[Forest cover 2011]]</f>
        <v>7.6953584588837845E-3</v>
      </c>
      <c r="BF175" s="6">
        <f>Tabla2[[#This Row],[Forest Loss 2024]]/Tabla2[[#This Row],[Forest cover 2011]]</f>
        <v>2.7771441228001265E-3</v>
      </c>
    </row>
    <row r="176" spans="1:58" x14ac:dyDescent="0.25">
      <c r="A176" s="2">
        <v>30902</v>
      </c>
      <c r="B176" s="3" t="s">
        <v>176</v>
      </c>
      <c r="C176" t="s">
        <v>198</v>
      </c>
      <c r="D176">
        <v>1239.75</v>
      </c>
      <c r="E176" s="4">
        <f>AVERAGE(Tabla2[[#This Row],[Deforestation 2012]:[Deforestation 2014]])</f>
        <v>1.3499999999999999</v>
      </c>
      <c r="F176" s="4">
        <f>AVERAGE(Tabla2[[#This Row],[Deforestation 2022]:[Deforestation 2024]])</f>
        <v>47.13</v>
      </c>
      <c r="G176">
        <v>1.26</v>
      </c>
      <c r="H176">
        <v>1.17</v>
      </c>
      <c r="I176">
        <v>1.62</v>
      </c>
      <c r="J176">
        <v>3.33</v>
      </c>
      <c r="K176">
        <v>2.4300000000000002</v>
      </c>
      <c r="L176">
        <v>2.0699999999999998</v>
      </c>
      <c r="M176">
        <v>7.92</v>
      </c>
      <c r="N176">
        <v>7.74</v>
      </c>
      <c r="O176">
        <v>7.47</v>
      </c>
      <c r="P176">
        <v>9.36</v>
      </c>
      <c r="Q176">
        <v>71.28</v>
      </c>
      <c r="R176">
        <v>69.300000000000011</v>
      </c>
      <c r="S176">
        <v>0.81</v>
      </c>
      <c r="T176">
        <v>1.44</v>
      </c>
      <c r="U176">
        <v>3.24</v>
      </c>
      <c r="V176">
        <v>17.28</v>
      </c>
      <c r="W176">
        <v>5.13</v>
      </c>
      <c r="X176">
        <v>9.18</v>
      </c>
      <c r="Y176">
        <v>14.31</v>
      </c>
      <c r="Z176">
        <v>17.010000000000002</v>
      </c>
      <c r="AA176">
        <v>15.93</v>
      </c>
      <c r="AB176">
        <v>17.82</v>
      </c>
      <c r="AC176">
        <v>9.5399999999999991</v>
      </c>
      <c r="AD176">
        <v>72.449999999999989</v>
      </c>
      <c r="AE176">
        <v>75.42</v>
      </c>
      <c r="AF176">
        <v>3.42</v>
      </c>
      <c r="AG176" s="5">
        <f>Tabla2[[#This Row],[Deforestation 2012]]/Tabla2[[#This Row],[Forest cover 2011]]</f>
        <v>1.016333938294011E-3</v>
      </c>
      <c r="AH176" s="6">
        <f>Tabla2[[#This Row],[Deforestation 2013]]/Tabla2[[#This Row],[Forest cover 2011]]</f>
        <v>9.4373865698729579E-4</v>
      </c>
      <c r="AI176" s="6">
        <f>Tabla2[[#This Row],[Deforestation 2014]]/Tabla2[[#This Row],[Forest cover 2011]]</f>
        <v>1.3067150635208712E-3</v>
      </c>
      <c r="AJ176" s="6">
        <f>Tabla2[[#This Row],[Deforestation 2015]]/Tabla2[[#This Row],[Forest cover 2011]]</f>
        <v>2.6860254083484573E-3</v>
      </c>
      <c r="AK176" s="6">
        <f>Tabla2[[#This Row],[Deforestation 2016]]/Tabla2[[#This Row],[Forest cover 2011]]</f>
        <v>1.9600725952813067E-3</v>
      </c>
      <c r="AL176" s="6">
        <f>Tabla2[[#This Row],[Deforestation 2017]]/Tabla2[[#This Row],[Forest cover 2011]]</f>
        <v>1.6696914700544464E-3</v>
      </c>
      <c r="AM176" s="6">
        <f>Tabla2[[#This Row],[Deforestation 2018]]/Tabla2[[#This Row],[Forest cover 2011]]</f>
        <v>6.3883847549909252E-3</v>
      </c>
      <c r="AN176" s="6">
        <f>Tabla2[[#This Row],[Deforestation 2019]]/Tabla2[[#This Row],[Forest cover 2011]]</f>
        <v>6.2431941923774955E-3</v>
      </c>
      <c r="AO176" s="6">
        <f>Tabla2[[#This Row],[Deforestation 2020]]/Tabla2[[#This Row],[Forest cover 2011]]</f>
        <v>6.0254083484573501E-3</v>
      </c>
      <c r="AP176" s="6">
        <f>Tabla2[[#This Row],[Deforestation 2021]]/Tabla2[[#This Row],[Forest cover 2011]]</f>
        <v>7.5499092558983663E-3</v>
      </c>
      <c r="AQ176" s="6">
        <f>Tabla2[[#This Row],[Deforestation 2022]]/Tabla2[[#This Row],[Forest cover 2011]]</f>
        <v>5.749546279491833E-2</v>
      </c>
      <c r="AR176" s="6">
        <f>Tabla2[[#This Row],[Deforestation 2023]]/Tabla2[[#This Row],[Forest cover 2011]]</f>
        <v>5.5898366606170605E-2</v>
      </c>
      <c r="AS176" s="6">
        <f>Tabla2[[#This Row],[Deforestation 2024]]/Tabla2[[#This Row],[Forest cover 2011]]</f>
        <v>6.5335753176043562E-4</v>
      </c>
      <c r="AT176" s="6">
        <f>Tabla2[[#This Row],[Forest Loss 2012]]/Tabla2[[#This Row],[Forest cover 2011]]</f>
        <v>1.1615245009074409E-3</v>
      </c>
      <c r="AU176" s="6">
        <f>Tabla2[[#This Row],[Forest Loss 2013]]/Tabla2[[#This Row],[Forest cover 2011]]</f>
        <v>2.6134301270417425E-3</v>
      </c>
      <c r="AV176" s="6">
        <f>Tabla2[[#This Row],[Forest Loss 2014]]/Tabla2[[#This Row],[Forest cover 2011]]</f>
        <v>1.3938294010889293E-2</v>
      </c>
      <c r="AW176" s="6">
        <f>Tabla2[[#This Row],[Forest Loss 2015]]/Tabla2[[#This Row],[Forest cover 2011]]</f>
        <v>4.1379310344827587E-3</v>
      </c>
      <c r="AX176" s="6">
        <f>Tabla2[[#This Row],[Forest Loss 2016]]/Tabla2[[#This Row],[Forest cover 2011]]</f>
        <v>7.4047186932849366E-3</v>
      </c>
      <c r="AY176" s="6">
        <f>Tabla2[[#This Row],[Forest Loss 2017]]/Tabla2[[#This Row],[Forest cover 2011]]</f>
        <v>1.1542649727767695E-2</v>
      </c>
      <c r="AZ176" s="6">
        <f>Tabla2[[#This Row],[Forest Loss 2018]]/Tabla2[[#This Row],[Forest cover 2011]]</f>
        <v>1.3720508166969148E-2</v>
      </c>
      <c r="BA176" s="6">
        <f>Tabla2[[#This Row],[Forest Loss 2019]]/Tabla2[[#This Row],[Forest cover 2011]]</f>
        <v>1.2849364791288566E-2</v>
      </c>
      <c r="BB176" s="6">
        <f>Tabla2[[#This Row],[Forest Loss 2020]]/Tabla2[[#This Row],[Forest cover 2011]]</f>
        <v>1.4373865698729582E-2</v>
      </c>
      <c r="BC176" s="6">
        <f>Tabla2[[#This Row],[Forest Loss 2021]]/Tabla2[[#This Row],[Forest cover 2011]]</f>
        <v>7.6950998185117961E-3</v>
      </c>
      <c r="BD176" s="6">
        <f>Tabla2[[#This Row],[Forest Loss 2022]]/Tabla2[[#This Row],[Forest cover 2011]]</f>
        <v>5.843920145190562E-2</v>
      </c>
      <c r="BE176" s="6">
        <f>Tabla2[[#This Row],[Forest Loss 2023]]/Tabla2[[#This Row],[Forest cover 2011]]</f>
        <v>6.0834845735027225E-2</v>
      </c>
      <c r="BF176" s="6">
        <f>Tabla2[[#This Row],[Forest Loss 2024]]/Tabla2[[#This Row],[Forest cover 2011]]</f>
        <v>2.7586206896551722E-3</v>
      </c>
    </row>
    <row r="177" spans="1:58" x14ac:dyDescent="0.25">
      <c r="A177" s="2">
        <v>70901</v>
      </c>
      <c r="B177" s="3" t="s">
        <v>310</v>
      </c>
      <c r="C177" t="s">
        <v>343</v>
      </c>
      <c r="D177">
        <v>167194.07999999999</v>
      </c>
      <c r="E177" s="4">
        <f>AVERAGE(Tabla2[[#This Row],[Deforestation 2012]:[Deforestation 2014]])</f>
        <v>273.53999999999996</v>
      </c>
      <c r="F177" s="4">
        <f>AVERAGE(Tabla2[[#This Row],[Deforestation 2022]:[Deforestation 2024]])</f>
        <v>439.14000000000004</v>
      </c>
      <c r="G177">
        <v>221.85</v>
      </c>
      <c r="H177">
        <v>360.09</v>
      </c>
      <c r="I177">
        <v>238.68</v>
      </c>
      <c r="J177">
        <v>301.5</v>
      </c>
      <c r="K177">
        <v>314.55</v>
      </c>
      <c r="L177">
        <v>339.12</v>
      </c>
      <c r="M177">
        <v>355.59</v>
      </c>
      <c r="N177">
        <v>197.46</v>
      </c>
      <c r="O177">
        <v>277.92</v>
      </c>
      <c r="P177">
        <v>382.41</v>
      </c>
      <c r="Q177">
        <v>360</v>
      </c>
      <c r="R177">
        <v>519.48</v>
      </c>
      <c r="S177">
        <v>437.94</v>
      </c>
      <c r="T177">
        <v>352.62</v>
      </c>
      <c r="U177">
        <v>480.87</v>
      </c>
      <c r="V177">
        <v>530.19000000000005</v>
      </c>
      <c r="W177">
        <v>388.62</v>
      </c>
      <c r="X177">
        <v>415.98</v>
      </c>
      <c r="Y177">
        <v>449.37</v>
      </c>
      <c r="Z177">
        <v>420.39</v>
      </c>
      <c r="AA177">
        <v>287.55</v>
      </c>
      <c r="AB177">
        <v>354.87</v>
      </c>
      <c r="AC177">
        <v>522.45000000000005</v>
      </c>
      <c r="AD177">
        <v>393.48</v>
      </c>
      <c r="AE177">
        <v>662.4</v>
      </c>
      <c r="AF177">
        <v>457.65</v>
      </c>
      <c r="AG177" s="5">
        <f>Tabla2[[#This Row],[Deforestation 2012]]/Tabla2[[#This Row],[Forest cover 2011]]</f>
        <v>1.3269010481710836E-3</v>
      </c>
      <c r="AH177" s="6">
        <f>Tabla2[[#This Row],[Deforestation 2013]]/Tabla2[[#This Row],[Forest cover 2011]]</f>
        <v>2.1537245816359049E-3</v>
      </c>
      <c r="AI177" s="6">
        <f>Tabla2[[#This Row],[Deforestation 2014]]/Tabla2[[#This Row],[Forest cover 2011]]</f>
        <v>1.4275625069978556E-3</v>
      </c>
      <c r="AJ177" s="6">
        <f>Tabla2[[#This Row],[Deforestation 2015]]/Tabla2[[#This Row],[Forest cover 2011]]</f>
        <v>1.803293513741635E-3</v>
      </c>
      <c r="AK177" s="6">
        <f>Tabla2[[#This Row],[Deforestation 2016]]/Tabla2[[#This Row],[Forest cover 2011]]</f>
        <v>1.8813465165752282E-3</v>
      </c>
      <c r="AL177" s="6">
        <f>Tabla2[[#This Row],[Deforestation 2017]]/Tabla2[[#This Row],[Forest cover 2011]]</f>
        <v>2.02830148053089E-3</v>
      </c>
      <c r="AM177" s="6">
        <f>Tabla2[[#This Row],[Deforestation 2018]]/Tabla2[[#This Row],[Forest cover 2011]]</f>
        <v>2.1268097530725968E-3</v>
      </c>
      <c r="AN177" s="6">
        <f>Tabla2[[#This Row],[Deforestation 2019]]/Tabla2[[#This Row],[Forest cover 2011]]</f>
        <v>1.1810226773579543E-3</v>
      </c>
      <c r="AO177" s="6">
        <f>Tabla2[[#This Row],[Deforestation 2020]]/Tabla2[[#This Row],[Forest cover 2011]]</f>
        <v>1.6622598120699013E-3</v>
      </c>
      <c r="AP177" s="6">
        <f>Tabla2[[#This Row],[Deforestation 2021]]/Tabla2[[#This Row],[Forest cover 2011]]</f>
        <v>2.2872221313099128E-3</v>
      </c>
      <c r="AQ177" s="6">
        <f>Tabla2[[#This Row],[Deforestation 2022]]/Tabla2[[#This Row],[Forest cover 2011]]</f>
        <v>2.1531862850646386E-3</v>
      </c>
      <c r="AR177" s="6">
        <f>Tabla2[[#This Row],[Deforestation 2023]]/Tabla2[[#This Row],[Forest cover 2011]]</f>
        <v>3.1070478093482741E-3</v>
      </c>
      <c r="AS177" s="6">
        <f>Tabla2[[#This Row],[Deforestation 2024]]/Tabla2[[#This Row],[Forest cover 2011]]</f>
        <v>2.6193511157811332E-3</v>
      </c>
      <c r="AT177" s="6">
        <f>Tabla2[[#This Row],[Forest Loss 2012]]/Tabla2[[#This Row],[Forest cover 2011]]</f>
        <v>2.1090459662208138E-3</v>
      </c>
      <c r="AU177" s="6">
        <f>Tabla2[[#This Row],[Forest Loss 2013]]/Tabla2[[#This Row],[Forest cover 2011]]</f>
        <v>2.8761185802750914E-3</v>
      </c>
      <c r="AV177" s="6">
        <f>Tabla2[[#This Row],[Forest Loss 2014]]/Tabla2[[#This Row],[Forest cover 2011]]</f>
        <v>3.171105101328947E-3</v>
      </c>
      <c r="AW177" s="6">
        <f>Tabla2[[#This Row],[Forest Loss 2015]]/Tabla2[[#This Row],[Forest cover 2011]]</f>
        <v>2.3243645947272776E-3</v>
      </c>
      <c r="AX177" s="6">
        <f>Tabla2[[#This Row],[Forest Loss 2016]]/Tabla2[[#This Row],[Forest cover 2011]]</f>
        <v>2.4880067523921903E-3</v>
      </c>
      <c r="AY177" s="6">
        <f>Tabla2[[#This Row],[Forest Loss 2017]]/Tabla2[[#This Row],[Forest cover 2011]]</f>
        <v>2.6877147803319353E-3</v>
      </c>
      <c r="AZ177" s="6">
        <f>Tabla2[[#This Row],[Forest Loss 2018]]/Tabla2[[#This Row],[Forest cover 2011]]</f>
        <v>2.5143832843842317E-3</v>
      </c>
      <c r="BA177" s="6">
        <f>Tabla2[[#This Row],[Forest Loss 2019]]/Tabla2[[#This Row],[Forest cover 2011]]</f>
        <v>1.7198575451953804E-3</v>
      </c>
      <c r="BB177" s="6">
        <f>Tabla2[[#This Row],[Forest Loss 2020]]/Tabla2[[#This Row],[Forest cover 2011]]</f>
        <v>2.1225033805024676E-3</v>
      </c>
      <c r="BC177" s="6">
        <f>Tabla2[[#This Row],[Forest Loss 2021]]/Tabla2[[#This Row],[Forest cover 2011]]</f>
        <v>3.1248115962000575E-3</v>
      </c>
      <c r="BD177" s="6">
        <f>Tabla2[[#This Row],[Forest Loss 2022]]/Tabla2[[#This Row],[Forest cover 2011]]</f>
        <v>2.3534326095756503E-3</v>
      </c>
      <c r="BE177" s="6">
        <f>Tabla2[[#This Row],[Forest Loss 2023]]/Tabla2[[#This Row],[Forest cover 2011]]</f>
        <v>3.9618627645189352E-3</v>
      </c>
      <c r="BF177" s="6">
        <f>Tabla2[[#This Row],[Forest Loss 2024]]/Tabla2[[#This Row],[Forest cover 2011]]</f>
        <v>2.7372380648884218E-3</v>
      </c>
    </row>
    <row r="178" spans="1:58" x14ac:dyDescent="0.25">
      <c r="A178" s="2">
        <v>10201</v>
      </c>
      <c r="B178" s="3" t="s">
        <v>58</v>
      </c>
      <c r="C178" t="s">
        <v>62</v>
      </c>
      <c r="D178">
        <v>93727.26</v>
      </c>
      <c r="E178" s="4">
        <f>AVERAGE(Tabla2[[#This Row],[Deforestation 2012]:[Deforestation 2014]])</f>
        <v>62.129999999999995</v>
      </c>
      <c r="F178" s="4">
        <f>AVERAGE(Tabla2[[#This Row],[Deforestation 2022]:[Deforestation 2024]])</f>
        <v>284.28000000000003</v>
      </c>
      <c r="G178">
        <v>24.84</v>
      </c>
      <c r="H178">
        <v>57.96</v>
      </c>
      <c r="I178">
        <v>103.59</v>
      </c>
      <c r="J178">
        <v>61.38</v>
      </c>
      <c r="K178">
        <v>77.22</v>
      </c>
      <c r="L178">
        <v>143.91</v>
      </c>
      <c r="M178">
        <v>105.66</v>
      </c>
      <c r="N178">
        <v>82.35</v>
      </c>
      <c r="O178">
        <v>128.79</v>
      </c>
      <c r="P178">
        <v>47.25</v>
      </c>
      <c r="Q178">
        <v>95.58</v>
      </c>
      <c r="R178">
        <v>512.64</v>
      </c>
      <c r="S178">
        <v>244.62</v>
      </c>
      <c r="T178">
        <v>43.74</v>
      </c>
      <c r="U178">
        <v>80.460000000000008</v>
      </c>
      <c r="V178">
        <v>544.41</v>
      </c>
      <c r="W178">
        <v>75.86999999999999</v>
      </c>
      <c r="X178">
        <v>89.91</v>
      </c>
      <c r="Y178">
        <v>153.18</v>
      </c>
      <c r="Z178">
        <v>116.28</v>
      </c>
      <c r="AA178">
        <v>104.58</v>
      </c>
      <c r="AB178">
        <v>143.01</v>
      </c>
      <c r="AC178">
        <v>63.45</v>
      </c>
      <c r="AD178">
        <v>174.51</v>
      </c>
      <c r="AE178">
        <v>572.30999999999995</v>
      </c>
      <c r="AF178">
        <v>252.36</v>
      </c>
      <c r="AG178" s="5">
        <f>Tabla2[[#This Row],[Deforestation 2012]]/Tabla2[[#This Row],[Forest cover 2011]]</f>
        <v>2.6502428429039747E-4</v>
      </c>
      <c r="AH178" s="6">
        <f>Tabla2[[#This Row],[Deforestation 2013]]/Tabla2[[#This Row],[Forest cover 2011]]</f>
        <v>6.1838999667759419E-4</v>
      </c>
      <c r="AI178" s="6">
        <f>Tabla2[[#This Row],[Deforestation 2014]]/Tabla2[[#This Row],[Forest cover 2011]]</f>
        <v>1.1052280841240853E-3</v>
      </c>
      <c r="AJ178" s="6">
        <f>Tabla2[[#This Row],[Deforestation 2015]]/Tabla2[[#This Row],[Forest cover 2011]]</f>
        <v>6.5487884741322858E-4</v>
      </c>
      <c r="AK178" s="6">
        <f>Tabla2[[#This Row],[Deforestation 2016]]/Tabla2[[#This Row],[Forest cover 2011]]</f>
        <v>8.2387984029406178E-4</v>
      </c>
      <c r="AL178" s="6">
        <f>Tabla2[[#This Row],[Deforestation 2017]]/Tabla2[[#This Row],[Forest cover 2011]]</f>
        <v>1.5354124296389333E-3</v>
      </c>
      <c r="AM178" s="6">
        <f>Tabla2[[#This Row],[Deforestation 2018]]/Tabla2[[#This Row],[Forest cover 2011]]</f>
        <v>1.127313441148285E-3</v>
      </c>
      <c r="AN178" s="6">
        <f>Tabla2[[#This Row],[Deforestation 2019]]/Tabla2[[#This Row],[Forest cover 2011]]</f>
        <v>8.7861311639751336E-4</v>
      </c>
      <c r="AO178" s="6">
        <f>Tabla2[[#This Row],[Deforestation 2020]]/Tabla2[[#This Row],[Forest cover 2011]]</f>
        <v>1.3740933000708651E-3</v>
      </c>
      <c r="AP178" s="6">
        <f>Tabla2[[#This Row],[Deforestation 2021]]/Tabla2[[#This Row],[Forest cover 2011]]</f>
        <v>5.0412227990021268E-4</v>
      </c>
      <c r="AQ178" s="6">
        <f>Tabla2[[#This Row],[Deforestation 2022]]/Tabla2[[#This Row],[Forest cover 2011]]</f>
        <v>1.0197673547695729E-3</v>
      </c>
      <c r="AR178" s="6">
        <f>Tabla2[[#This Row],[Deforestation 2023]]/Tabla2[[#This Row],[Forest cover 2011]]</f>
        <v>5.4694866786887831E-3</v>
      </c>
      <c r="AS178" s="6">
        <f>Tabla2[[#This Row],[Deforestation 2024]]/Tabla2[[#This Row],[Forest cover 2011]]</f>
        <v>2.609913060511958E-3</v>
      </c>
      <c r="AT178" s="6">
        <f>Tabla2[[#This Row],[Forest Loss 2012]]/Tabla2[[#This Row],[Forest cover 2011]]</f>
        <v>4.6667319625048258E-4</v>
      </c>
      <c r="AU178" s="6">
        <f>Tabla2[[#This Row],[Forest Loss 2013]]/Tabla2[[#This Row],[Forest cover 2011]]</f>
        <v>8.5844822520150506E-4</v>
      </c>
      <c r="AV178" s="6">
        <f>Tabla2[[#This Row],[Forest Loss 2014]]/Tabla2[[#This Row],[Forest cover 2011]]</f>
        <v>5.8084488973645446E-3</v>
      </c>
      <c r="AW178" s="6">
        <f>Tabla2[[#This Row],[Forest Loss 2015]]/Tabla2[[#This Row],[Forest cover 2011]]</f>
        <v>8.0947634658262702E-4</v>
      </c>
      <c r="AX178" s="6">
        <f>Tabla2[[#This Row],[Forest Loss 2016]]/Tabla2[[#This Row],[Forest cover 2011]]</f>
        <v>9.5927268118154742E-4</v>
      </c>
      <c r="AY178" s="6">
        <f>Tabla2[[#This Row],[Forest Loss 2017]]/Tabla2[[#This Row],[Forest cover 2011]]</f>
        <v>1.6343164197907846E-3</v>
      </c>
      <c r="AZ178" s="6">
        <f>Tabla2[[#This Row],[Forest Loss 2018]]/Tabla2[[#This Row],[Forest cover 2011]]</f>
        <v>1.2406209250115708E-3</v>
      </c>
      <c r="BA178" s="6">
        <f>Tabla2[[#This Row],[Forest Loss 2019]]/Tabla2[[#This Row],[Forest cover 2011]]</f>
        <v>1.1157906461791373E-3</v>
      </c>
      <c r="BB178" s="6">
        <f>Tabla2[[#This Row],[Forest Loss 2020]]/Tabla2[[#This Row],[Forest cover 2011]]</f>
        <v>1.5258101004979768E-3</v>
      </c>
      <c r="BC178" s="6">
        <f>Tabla2[[#This Row],[Forest Loss 2021]]/Tabla2[[#This Row],[Forest cover 2011]]</f>
        <v>6.7696420443742842E-4</v>
      </c>
      <c r="BD178" s="6">
        <f>Tabla2[[#This Row],[Forest Loss 2022]]/Tabla2[[#This Row],[Forest cover 2011]]</f>
        <v>1.8618916204314519E-3</v>
      </c>
      <c r="BE178" s="6">
        <f>Tabla2[[#This Row],[Forest Loss 2023]]/Tabla2[[#This Row],[Forest cover 2011]]</f>
        <v>6.1061211007341935E-3</v>
      </c>
      <c r="BF178" s="6">
        <f>Tabla2[[#This Row],[Forest Loss 2024]]/Tabla2[[#This Row],[Forest cover 2011]]</f>
        <v>2.6924930911241835E-3</v>
      </c>
    </row>
    <row r="179" spans="1:58" x14ac:dyDescent="0.25">
      <c r="A179" s="2">
        <v>30701</v>
      </c>
      <c r="B179" s="3" t="s">
        <v>176</v>
      </c>
      <c r="C179" t="s">
        <v>191</v>
      </c>
      <c r="D179">
        <v>571.14</v>
      </c>
      <c r="E179" s="4">
        <f>AVERAGE(Tabla2[[#This Row],[Deforestation 2012]:[Deforestation 2014]])</f>
        <v>0.63</v>
      </c>
      <c r="F179" s="4">
        <f>AVERAGE(Tabla2[[#This Row],[Deforestation 2022]:[Deforestation 2024]])</f>
        <v>13.350000000000001</v>
      </c>
      <c r="G179">
        <v>0.27</v>
      </c>
      <c r="H179">
        <v>0.81</v>
      </c>
      <c r="I179">
        <v>0.81</v>
      </c>
      <c r="J179">
        <v>0.81</v>
      </c>
      <c r="K179">
        <v>0.9</v>
      </c>
      <c r="L179">
        <v>0.45</v>
      </c>
      <c r="M179">
        <v>6.75</v>
      </c>
      <c r="N179">
        <v>1.08</v>
      </c>
      <c r="O179">
        <v>12.06</v>
      </c>
      <c r="P179">
        <v>7.2</v>
      </c>
      <c r="Q179">
        <v>21.78</v>
      </c>
      <c r="R179">
        <v>17.010000000000002</v>
      </c>
      <c r="S179">
        <v>1.26</v>
      </c>
      <c r="T179">
        <v>0.81</v>
      </c>
      <c r="U179">
        <v>3.96</v>
      </c>
      <c r="V179">
        <v>10.71</v>
      </c>
      <c r="W179">
        <v>2.52</v>
      </c>
      <c r="X179">
        <v>6.48</v>
      </c>
      <c r="Y179">
        <v>8.370000000000001</v>
      </c>
      <c r="Z179">
        <v>14.4</v>
      </c>
      <c r="AA179">
        <v>22.59</v>
      </c>
      <c r="AB179">
        <v>24.84</v>
      </c>
      <c r="AC179">
        <v>7.2</v>
      </c>
      <c r="AD179">
        <v>22.32</v>
      </c>
      <c r="AE179">
        <v>19.260000000000002</v>
      </c>
      <c r="AF179">
        <v>1.53</v>
      </c>
      <c r="AG179" s="5">
        <f>Tabla2[[#This Row],[Deforestation 2012]]/Tabla2[[#This Row],[Forest cover 2011]]</f>
        <v>4.7273873306019544E-4</v>
      </c>
      <c r="AH179" s="6">
        <f>Tabla2[[#This Row],[Deforestation 2013]]/Tabla2[[#This Row],[Forest cover 2011]]</f>
        <v>1.4182161991805862E-3</v>
      </c>
      <c r="AI179" s="6">
        <f>Tabla2[[#This Row],[Deforestation 2014]]/Tabla2[[#This Row],[Forest cover 2011]]</f>
        <v>1.4182161991805862E-3</v>
      </c>
      <c r="AJ179" s="6">
        <f>Tabla2[[#This Row],[Deforestation 2015]]/Tabla2[[#This Row],[Forest cover 2011]]</f>
        <v>1.4182161991805862E-3</v>
      </c>
      <c r="AK179" s="6">
        <f>Tabla2[[#This Row],[Deforestation 2016]]/Tabla2[[#This Row],[Forest cover 2011]]</f>
        <v>1.5757957768673181E-3</v>
      </c>
      <c r="AL179" s="6">
        <f>Tabla2[[#This Row],[Deforestation 2017]]/Tabla2[[#This Row],[Forest cover 2011]]</f>
        <v>7.8789788843365907E-4</v>
      </c>
      <c r="AM179" s="6">
        <f>Tabla2[[#This Row],[Deforestation 2018]]/Tabla2[[#This Row],[Forest cover 2011]]</f>
        <v>1.1818468326504886E-2</v>
      </c>
      <c r="AN179" s="6">
        <f>Tabla2[[#This Row],[Deforestation 2019]]/Tabla2[[#This Row],[Forest cover 2011]]</f>
        <v>1.8909549322407818E-3</v>
      </c>
      <c r="AO179" s="6">
        <f>Tabla2[[#This Row],[Deforestation 2020]]/Tabla2[[#This Row],[Forest cover 2011]]</f>
        <v>2.1115663410022061E-2</v>
      </c>
      <c r="AP179" s="6">
        <f>Tabla2[[#This Row],[Deforestation 2021]]/Tabla2[[#This Row],[Forest cover 2011]]</f>
        <v>1.2606366214938545E-2</v>
      </c>
      <c r="AQ179" s="6">
        <f>Tabla2[[#This Row],[Deforestation 2022]]/Tabla2[[#This Row],[Forest cover 2011]]</f>
        <v>3.81342578001891E-2</v>
      </c>
      <c r="AR179" s="6">
        <f>Tabla2[[#This Row],[Deforestation 2023]]/Tabla2[[#This Row],[Forest cover 2011]]</f>
        <v>2.9782540182792312E-2</v>
      </c>
      <c r="AS179" s="6">
        <f>Tabla2[[#This Row],[Deforestation 2024]]/Tabla2[[#This Row],[Forest cover 2011]]</f>
        <v>2.2061140876142452E-3</v>
      </c>
      <c r="AT179" s="6">
        <f>Tabla2[[#This Row],[Forest Loss 2012]]/Tabla2[[#This Row],[Forest cover 2011]]</f>
        <v>1.4182161991805862E-3</v>
      </c>
      <c r="AU179" s="6">
        <f>Tabla2[[#This Row],[Forest Loss 2013]]/Tabla2[[#This Row],[Forest cover 2011]]</f>
        <v>6.9335014182161994E-3</v>
      </c>
      <c r="AV179" s="6">
        <f>Tabla2[[#This Row],[Forest Loss 2014]]/Tabla2[[#This Row],[Forest cover 2011]]</f>
        <v>1.8751969744721087E-2</v>
      </c>
      <c r="AW179" s="6">
        <f>Tabla2[[#This Row],[Forest Loss 2015]]/Tabla2[[#This Row],[Forest cover 2011]]</f>
        <v>4.4122281752284904E-3</v>
      </c>
      <c r="AX179" s="6">
        <f>Tabla2[[#This Row],[Forest Loss 2016]]/Tabla2[[#This Row],[Forest cover 2011]]</f>
        <v>1.134572959344469E-2</v>
      </c>
      <c r="AY179" s="6">
        <f>Tabla2[[#This Row],[Forest Loss 2017]]/Tabla2[[#This Row],[Forest cover 2011]]</f>
        <v>1.465490072486606E-2</v>
      </c>
      <c r="AZ179" s="6">
        <f>Tabla2[[#This Row],[Forest Loss 2018]]/Tabla2[[#This Row],[Forest cover 2011]]</f>
        <v>2.521273242987709E-2</v>
      </c>
      <c r="BA179" s="6">
        <f>Tabla2[[#This Row],[Forest Loss 2019]]/Tabla2[[#This Row],[Forest cover 2011]]</f>
        <v>3.9552473999369682E-2</v>
      </c>
      <c r="BB179" s="6">
        <f>Tabla2[[#This Row],[Forest Loss 2020]]/Tabla2[[#This Row],[Forest cover 2011]]</f>
        <v>4.3491963441537974E-2</v>
      </c>
      <c r="BC179" s="6">
        <f>Tabla2[[#This Row],[Forest Loss 2021]]/Tabla2[[#This Row],[Forest cover 2011]]</f>
        <v>1.2606366214938545E-2</v>
      </c>
      <c r="BD179" s="6">
        <f>Tabla2[[#This Row],[Forest Loss 2022]]/Tabla2[[#This Row],[Forest cover 2011]]</f>
        <v>3.9079735266309486E-2</v>
      </c>
      <c r="BE179" s="6">
        <f>Tabla2[[#This Row],[Forest Loss 2023]]/Tabla2[[#This Row],[Forest cover 2011]]</f>
        <v>3.3722029624960612E-2</v>
      </c>
      <c r="BF179" s="6">
        <f>Tabla2[[#This Row],[Forest Loss 2024]]/Tabla2[[#This Row],[Forest cover 2011]]</f>
        <v>2.6788528206744405E-3</v>
      </c>
    </row>
    <row r="180" spans="1:58" x14ac:dyDescent="0.25">
      <c r="A180" s="2">
        <v>21402</v>
      </c>
      <c r="B180" s="3" t="s">
        <v>88</v>
      </c>
      <c r="C180" t="s">
        <v>161</v>
      </c>
      <c r="D180">
        <v>59270.67</v>
      </c>
      <c r="E180" s="4">
        <f>AVERAGE(Tabla2[[#This Row],[Deforestation 2012]:[Deforestation 2014]])</f>
        <v>75.899999999999991</v>
      </c>
      <c r="F180" s="4">
        <f>AVERAGE(Tabla2[[#This Row],[Deforestation 2022]:[Deforestation 2024]])</f>
        <v>420.12000000000006</v>
      </c>
      <c r="G180">
        <v>67.86</v>
      </c>
      <c r="H180">
        <v>36.72</v>
      </c>
      <c r="I180">
        <v>123.12</v>
      </c>
      <c r="J180">
        <v>97.02000000000001</v>
      </c>
      <c r="K180">
        <v>54.989999999999988</v>
      </c>
      <c r="L180">
        <v>26.46</v>
      </c>
      <c r="M180">
        <v>66.240000000000009</v>
      </c>
      <c r="N180">
        <v>55.17</v>
      </c>
      <c r="O180">
        <v>96.39</v>
      </c>
      <c r="P180">
        <v>53.64</v>
      </c>
      <c r="Q180">
        <v>45.900000000000013</v>
      </c>
      <c r="R180">
        <v>1124.19</v>
      </c>
      <c r="S180">
        <v>90.27000000000001</v>
      </c>
      <c r="T180">
        <v>78.209999999999994</v>
      </c>
      <c r="U180">
        <v>41.58</v>
      </c>
      <c r="V180">
        <v>149.85</v>
      </c>
      <c r="W180">
        <v>101.43</v>
      </c>
      <c r="X180">
        <v>58.86</v>
      </c>
      <c r="Y180">
        <v>28.53</v>
      </c>
      <c r="Z180">
        <v>69.3</v>
      </c>
      <c r="AA180">
        <v>58.59</v>
      </c>
      <c r="AB180">
        <v>99.72</v>
      </c>
      <c r="AC180">
        <v>60.84</v>
      </c>
      <c r="AD180">
        <v>46.53</v>
      </c>
      <c r="AE180">
        <v>1142.19</v>
      </c>
      <c r="AF180">
        <v>155.79</v>
      </c>
      <c r="AG180" s="5">
        <f>Tabla2[[#This Row],[Deforestation 2012]]/Tabla2[[#This Row],[Forest cover 2011]]</f>
        <v>1.1449170390683959E-3</v>
      </c>
      <c r="AH180" s="6">
        <f>Tabla2[[#This Row],[Deforestation 2013]]/Tabla2[[#This Row],[Forest cover 2011]]</f>
        <v>6.1953070549059083E-4</v>
      </c>
      <c r="AI180" s="6">
        <f>Tabla2[[#This Row],[Deforestation 2014]]/Tabla2[[#This Row],[Forest cover 2011]]</f>
        <v>2.0772500125272753E-3</v>
      </c>
      <c r="AJ180" s="6">
        <f>Tabla2[[#This Row],[Deforestation 2015]]/Tabla2[[#This Row],[Forest cover 2011]]</f>
        <v>1.6368973051932771E-3</v>
      </c>
      <c r="AK180" s="6">
        <f>Tabla2[[#This Row],[Deforestation 2016]]/Tabla2[[#This Row],[Forest cover 2011]]</f>
        <v>9.277776006243896E-4</v>
      </c>
      <c r="AL180" s="6">
        <f>Tabla2[[#This Row],[Deforestation 2017]]/Tabla2[[#This Row],[Forest cover 2011]]</f>
        <v>4.4642653777998465E-4</v>
      </c>
      <c r="AM180" s="6">
        <f>Tabla2[[#This Row],[Deforestation 2018]]/Tabla2[[#This Row],[Forest cover 2011]]</f>
        <v>1.1175848020614583E-3</v>
      </c>
      <c r="AN180" s="6">
        <f>Tabla2[[#This Row],[Deforestation 2019]]/Tabla2[[#This Row],[Forest cover 2011]]</f>
        <v>9.308145158473829E-4</v>
      </c>
      <c r="AO180" s="6">
        <f>Tabla2[[#This Row],[Deforestation 2020]]/Tabla2[[#This Row],[Forest cover 2011]]</f>
        <v>1.6262681019128011E-3</v>
      </c>
      <c r="AP180" s="6">
        <f>Tabla2[[#This Row],[Deforestation 2021]]/Tabla2[[#This Row],[Forest cover 2011]]</f>
        <v>9.0500073645194163E-4</v>
      </c>
      <c r="AQ180" s="6">
        <f>Tabla2[[#This Row],[Deforestation 2022]]/Tabla2[[#This Row],[Forest cover 2011]]</f>
        <v>7.7441338186323878E-4</v>
      </c>
      <c r="AR180" s="6">
        <f>Tabla2[[#This Row],[Deforestation 2023]]/Tabla2[[#This Row],[Forest cover 2011]]</f>
        <v>1.8967054025203361E-2</v>
      </c>
      <c r="AS180" s="6">
        <f>Tabla2[[#This Row],[Deforestation 2024]]/Tabla2[[#This Row],[Forest cover 2011]]</f>
        <v>1.5230129843310362E-3</v>
      </c>
      <c r="AT180" s="6">
        <f>Tabla2[[#This Row],[Forest Loss 2012]]/Tabla2[[#This Row],[Forest cover 2011]]</f>
        <v>1.3195396643904986E-3</v>
      </c>
      <c r="AU180" s="6">
        <f>Tabla2[[#This Row],[Forest Loss 2013]]/Tabla2[[#This Row],[Forest cover 2011]]</f>
        <v>7.0152741651140433E-4</v>
      </c>
      <c r="AV180" s="6">
        <f>Tabla2[[#This Row],[Forest Loss 2014]]/Tabla2[[#This Row],[Forest cover 2011]]</f>
        <v>2.5282319231417494E-3</v>
      </c>
      <c r="AW180" s="6">
        <f>Tabla2[[#This Row],[Forest Loss 2015]]/Tabla2[[#This Row],[Forest cover 2011]]</f>
        <v>1.7113017281566079E-3</v>
      </c>
      <c r="AX180" s="6">
        <f>Tabla2[[#This Row],[Forest Loss 2016]]/Tabla2[[#This Row],[Forest cover 2011]]</f>
        <v>9.9307127791874129E-4</v>
      </c>
      <c r="AY180" s="6">
        <f>Tabla2[[#This Row],[Forest Loss 2017]]/Tabla2[[#This Row],[Forest cover 2011]]</f>
        <v>4.8135106284440522E-4</v>
      </c>
      <c r="AZ180" s="6">
        <f>Tabla2[[#This Row],[Forest Loss 2018]]/Tabla2[[#This Row],[Forest cover 2011]]</f>
        <v>1.1692123608523406E-3</v>
      </c>
      <c r="BA180" s="6">
        <f>Tabla2[[#This Row],[Forest Loss 2019]]/Tabla2[[#This Row],[Forest cover 2011]]</f>
        <v>9.8851590508425161E-4</v>
      </c>
      <c r="BB180" s="6">
        <f>Tabla2[[#This Row],[Forest Loss 2020]]/Tabla2[[#This Row],[Forest cover 2011]]</f>
        <v>1.6824510335381733E-3</v>
      </c>
      <c r="BC180" s="6">
        <f>Tabla2[[#This Row],[Forest Loss 2021]]/Tabla2[[#This Row],[Forest cover 2011]]</f>
        <v>1.0264773453716653E-3</v>
      </c>
      <c r="BD180" s="6">
        <f>Tabla2[[#This Row],[Forest Loss 2022]]/Tabla2[[#This Row],[Forest cover 2011]]</f>
        <v>7.8504258514371442E-4</v>
      </c>
      <c r="BE180" s="6">
        <f>Tabla2[[#This Row],[Forest Loss 2023]]/Tabla2[[#This Row],[Forest cover 2011]]</f>
        <v>1.9270745547502671E-2</v>
      </c>
      <c r="BF180" s="6">
        <f>Tabla2[[#This Row],[Forest Loss 2024]]/Tabla2[[#This Row],[Forest cover 2011]]</f>
        <v>2.6284501255005215E-3</v>
      </c>
    </row>
    <row r="181" spans="1:58" x14ac:dyDescent="0.25">
      <c r="A181" s="2">
        <v>71402</v>
      </c>
      <c r="B181" s="3" t="s">
        <v>310</v>
      </c>
      <c r="C181" t="s">
        <v>361</v>
      </c>
      <c r="D181">
        <v>102474.54</v>
      </c>
      <c r="E181" s="4">
        <f>AVERAGE(Tabla2[[#This Row],[Deforestation 2012]:[Deforestation 2014]])</f>
        <v>147.51000000000002</v>
      </c>
      <c r="F181" s="4">
        <f>AVERAGE(Tabla2[[#This Row],[Deforestation 2022]:[Deforestation 2024]])</f>
        <v>135.17999999999998</v>
      </c>
      <c r="G181">
        <v>193.59</v>
      </c>
      <c r="H181">
        <v>160.83000000000001</v>
      </c>
      <c r="I181">
        <v>88.11</v>
      </c>
      <c r="J181">
        <v>57.510000000000012</v>
      </c>
      <c r="K181">
        <v>119.88</v>
      </c>
      <c r="L181">
        <v>106.47</v>
      </c>
      <c r="M181">
        <v>80.19</v>
      </c>
      <c r="N181">
        <v>93.06</v>
      </c>
      <c r="O181">
        <v>284.67</v>
      </c>
      <c r="P181">
        <v>341.19</v>
      </c>
      <c r="Q181">
        <v>70.38</v>
      </c>
      <c r="R181">
        <v>136.88999999999999</v>
      </c>
      <c r="S181">
        <v>198.27</v>
      </c>
      <c r="T181">
        <v>366.12</v>
      </c>
      <c r="U181">
        <v>228.87</v>
      </c>
      <c r="V181">
        <v>225.9</v>
      </c>
      <c r="W181">
        <v>145.16999999999999</v>
      </c>
      <c r="X181">
        <v>218.43</v>
      </c>
      <c r="Y181">
        <v>135</v>
      </c>
      <c r="Z181">
        <v>173.16</v>
      </c>
      <c r="AA181">
        <v>352.44</v>
      </c>
      <c r="AB181">
        <v>338.94</v>
      </c>
      <c r="AC181">
        <v>880.02</v>
      </c>
      <c r="AD181">
        <v>80.010000000000005</v>
      </c>
      <c r="AE181">
        <v>174.69</v>
      </c>
      <c r="AF181">
        <v>269.01</v>
      </c>
      <c r="AG181" s="5">
        <f>Tabla2[[#This Row],[Deforestation 2012]]/Tabla2[[#This Row],[Forest cover 2011]]</f>
        <v>1.8891521737984872E-3</v>
      </c>
      <c r="AH181" s="6">
        <f>Tabla2[[#This Row],[Deforestation 2013]]/Tabla2[[#This Row],[Forest cover 2011]]</f>
        <v>1.5694630100315651E-3</v>
      </c>
      <c r="AI181" s="6">
        <f>Tabla2[[#This Row],[Deforestation 2014]]/Tabla2[[#This Row],[Forest cover 2011]]</f>
        <v>8.5982332782367219E-4</v>
      </c>
      <c r="AJ181" s="6">
        <f>Tabla2[[#This Row],[Deforestation 2015]]/Tabla2[[#This Row],[Forest cover 2011]]</f>
        <v>5.6121257045896485E-4</v>
      </c>
      <c r="AK181" s="6">
        <f>Tabla2[[#This Row],[Deforestation 2016]]/Tabla2[[#This Row],[Forest cover 2011]]</f>
        <v>1.1698515553229124E-3</v>
      </c>
      <c r="AL181" s="6">
        <f>Tabla2[[#This Row],[Deforestation 2017]]/Tabla2[[#This Row],[Forest cover 2011]]</f>
        <v>1.0389897822424966E-3</v>
      </c>
      <c r="AM181" s="6">
        <f>Tabla2[[#This Row],[Deforestation 2018]]/Tabla2[[#This Row],[Forest cover 2011]]</f>
        <v>7.8253583768221841E-4</v>
      </c>
      <c r="AN181" s="6">
        <f>Tabla2[[#This Row],[Deforestation 2019]]/Tabla2[[#This Row],[Forest cover 2011]]</f>
        <v>9.0812800916208072E-4</v>
      </c>
      <c r="AO181" s="6">
        <f>Tabla2[[#This Row],[Deforestation 2020]]/Tabla2[[#This Row],[Forest cover 2011]]</f>
        <v>2.7779583104252043E-3</v>
      </c>
      <c r="AP181" s="6">
        <f>Tabla2[[#This Row],[Deforestation 2021]]/Tabla2[[#This Row],[Forest cover 2011]]</f>
        <v>3.3295099446164875E-3</v>
      </c>
      <c r="AQ181" s="6">
        <f>Tabla2[[#This Row],[Deforestation 2022]]/Tabla2[[#This Row],[Forest cover 2011]]</f>
        <v>6.8680474193882695E-4</v>
      </c>
      <c r="AR181" s="6">
        <f>Tabla2[[#This Row],[Deforestation 2023]]/Tabla2[[#This Row],[Forest cover 2011]]</f>
        <v>1.3358440057403527E-3</v>
      </c>
      <c r="AS181" s="6">
        <f>Tabla2[[#This Row],[Deforestation 2024]]/Tabla2[[#This Row],[Forest cover 2011]]</f>
        <v>1.9348220543366189E-3</v>
      </c>
      <c r="AT181" s="6">
        <f>Tabla2[[#This Row],[Forest Loss 2012]]/Tabla2[[#This Row],[Forest cover 2011]]</f>
        <v>3.5727898851753816E-3</v>
      </c>
      <c r="AU181" s="6">
        <f>Tabla2[[#This Row],[Forest Loss 2013]]/Tabla2[[#This Row],[Forest cover 2011]]</f>
        <v>2.233432811701326E-3</v>
      </c>
      <c r="AV181" s="6">
        <f>Tabla2[[#This Row],[Forest Loss 2014]]/Tabla2[[#This Row],[Forest cover 2011]]</f>
        <v>2.2044500028982812E-3</v>
      </c>
      <c r="AW181" s="6">
        <f>Tabla2[[#This Row],[Forest Loss 2015]]/Tabla2[[#This Row],[Forest cover 2011]]</f>
        <v>1.4166445636155088E-3</v>
      </c>
      <c r="AX181" s="6">
        <f>Tabla2[[#This Row],[Forest Loss 2016]]/Tabla2[[#This Row],[Forest cover 2011]]</f>
        <v>2.1315538474239557E-3</v>
      </c>
      <c r="AY181" s="6">
        <f>Tabla2[[#This Row],[Forest Loss 2017]]/Tabla2[[#This Row],[Forest cover 2011]]</f>
        <v>1.3174004001384148E-3</v>
      </c>
      <c r="AZ181" s="6">
        <f>Tabla2[[#This Row],[Forest Loss 2018]]/Tabla2[[#This Row],[Forest cover 2011]]</f>
        <v>1.6897855799108735E-3</v>
      </c>
      <c r="BA181" s="6">
        <f>Tabla2[[#This Row],[Forest Loss 2019]]/Tabla2[[#This Row],[Forest cover 2011]]</f>
        <v>3.4392933112946888E-3</v>
      </c>
      <c r="BB181" s="6">
        <f>Tabla2[[#This Row],[Forest Loss 2020]]/Tabla2[[#This Row],[Forest cover 2011]]</f>
        <v>3.3075532712808471E-3</v>
      </c>
      <c r="BC181" s="6">
        <f>Tabla2[[#This Row],[Forest Loss 2021]]/Tabla2[[#This Row],[Forest cover 2011]]</f>
        <v>8.5876940750356148E-3</v>
      </c>
      <c r="BD181" s="6">
        <f>Tabla2[[#This Row],[Forest Loss 2022]]/Tabla2[[#This Row],[Forest cover 2011]]</f>
        <v>7.8077930381536729E-4</v>
      </c>
      <c r="BE181" s="6">
        <f>Tabla2[[#This Row],[Forest Loss 2023]]/Tabla2[[#This Row],[Forest cover 2011]]</f>
        <v>1.7047161177791089E-3</v>
      </c>
      <c r="BF181" s="6">
        <f>Tabla2[[#This Row],[Forest Loss 2024]]/Tabla2[[#This Row],[Forest cover 2011]]</f>
        <v>2.6251398640091479E-3</v>
      </c>
    </row>
    <row r="182" spans="1:58" x14ac:dyDescent="0.25">
      <c r="A182" s="2">
        <v>90202</v>
      </c>
      <c r="B182" s="3" t="s">
        <v>384</v>
      </c>
      <c r="C182" t="s">
        <v>274</v>
      </c>
      <c r="D182">
        <v>240183.99</v>
      </c>
      <c r="E182" s="4">
        <f>AVERAGE(Tabla2[[#This Row],[Deforestation 2012]:[Deforestation 2014]])</f>
        <v>249.09</v>
      </c>
      <c r="F182" s="4">
        <f>AVERAGE(Tabla2[[#This Row],[Deforestation 2022]:[Deforestation 2024]])</f>
        <v>137.34</v>
      </c>
      <c r="G182">
        <v>351</v>
      </c>
      <c r="H182">
        <v>283.77</v>
      </c>
      <c r="I182">
        <v>112.5</v>
      </c>
      <c r="J182">
        <v>74.61</v>
      </c>
      <c r="K182">
        <v>95.850000000000009</v>
      </c>
      <c r="L182">
        <v>226.35</v>
      </c>
      <c r="M182">
        <v>120.87</v>
      </c>
      <c r="N182">
        <v>88.740000000000009</v>
      </c>
      <c r="O182">
        <v>248.49</v>
      </c>
      <c r="P182">
        <v>576.54</v>
      </c>
      <c r="Q182">
        <v>32.04</v>
      </c>
      <c r="R182">
        <v>138.33000000000001</v>
      </c>
      <c r="S182">
        <v>241.65</v>
      </c>
      <c r="T182">
        <v>1624.5</v>
      </c>
      <c r="U182">
        <v>1045.6199999999999</v>
      </c>
      <c r="V182">
        <v>1617.93</v>
      </c>
      <c r="W182">
        <v>1006.92</v>
      </c>
      <c r="X182">
        <v>502.29</v>
      </c>
      <c r="Y182">
        <v>685.08</v>
      </c>
      <c r="Z182">
        <v>509.13</v>
      </c>
      <c r="AA182">
        <v>566.91</v>
      </c>
      <c r="AB182">
        <v>821.25</v>
      </c>
      <c r="AC182">
        <v>931.05</v>
      </c>
      <c r="AD182">
        <v>254.88</v>
      </c>
      <c r="AE182">
        <v>944.1</v>
      </c>
      <c r="AF182">
        <v>621.18000000000006</v>
      </c>
      <c r="AG182" s="5">
        <f>Tabla2[[#This Row],[Deforestation 2012]]/Tabla2[[#This Row],[Forest cover 2011]]</f>
        <v>1.4613796698106315E-3</v>
      </c>
      <c r="AH182" s="6">
        <f>Tabla2[[#This Row],[Deforestation 2013]]/Tabla2[[#This Row],[Forest cover 2011]]</f>
        <v>1.1814692561315182E-3</v>
      </c>
      <c r="AI182" s="6">
        <f>Tabla2[[#This Row],[Deforestation 2014]]/Tabla2[[#This Row],[Forest cover 2011]]</f>
        <v>4.6839091981109985E-4</v>
      </c>
      <c r="AJ182" s="6">
        <f>Tabla2[[#This Row],[Deforestation 2015]]/Tabla2[[#This Row],[Forest cover 2011]]</f>
        <v>3.1063685801872143E-4</v>
      </c>
      <c r="AK182" s="6">
        <f>Tabla2[[#This Row],[Deforestation 2016]]/Tabla2[[#This Row],[Forest cover 2011]]</f>
        <v>3.9906906367905709E-4</v>
      </c>
      <c r="AL182" s="6">
        <f>Tabla2[[#This Row],[Deforestation 2017]]/Tabla2[[#This Row],[Forest cover 2011]]</f>
        <v>9.4240253065993283E-4</v>
      </c>
      <c r="AM182" s="6">
        <f>Tabla2[[#This Row],[Deforestation 2018]]/Tabla2[[#This Row],[Forest cover 2011]]</f>
        <v>5.0323920424504573E-4</v>
      </c>
      <c r="AN182" s="6">
        <f>Tabla2[[#This Row],[Deforestation 2019]]/Tabla2[[#This Row],[Forest cover 2011]]</f>
        <v>3.6946675754699561E-4</v>
      </c>
      <c r="AO182" s="6">
        <f>Tabla2[[#This Row],[Deforestation 2020]]/Tabla2[[#This Row],[Forest cover 2011]]</f>
        <v>1.0345818636787573E-3</v>
      </c>
      <c r="AP182" s="6">
        <f>Tabla2[[#This Row],[Deforestation 2021]]/Tabla2[[#This Row],[Forest cover 2011]]</f>
        <v>2.4004097858479241E-3</v>
      </c>
      <c r="AQ182" s="6">
        <f>Tabla2[[#This Row],[Deforestation 2022]]/Tabla2[[#This Row],[Forest cover 2011]]</f>
        <v>1.3339773396220123E-4</v>
      </c>
      <c r="AR182" s="6">
        <f>Tabla2[[#This Row],[Deforestation 2023]]/Tabla2[[#This Row],[Forest cover 2011]]</f>
        <v>5.759334749997284E-4</v>
      </c>
      <c r="AS182" s="6">
        <f>Tabla2[[#This Row],[Deforestation 2024]]/Tabla2[[#This Row],[Forest cover 2011]]</f>
        <v>1.0061036957542424E-3</v>
      </c>
      <c r="AT182" s="6">
        <f>Tabla2[[#This Row],[Forest Loss 2012]]/Tabla2[[#This Row],[Forest cover 2011]]</f>
        <v>6.7635648820722812E-3</v>
      </c>
      <c r="AU182" s="6">
        <f>Tabla2[[#This Row],[Forest Loss 2013]]/Tabla2[[#This Row],[Forest cover 2011]]</f>
        <v>4.3534125650922855E-3</v>
      </c>
      <c r="AV182" s="6">
        <f>Tabla2[[#This Row],[Forest Loss 2014]]/Tabla2[[#This Row],[Forest cover 2011]]</f>
        <v>6.7362108523553134E-3</v>
      </c>
      <c r="AW182" s="6">
        <f>Tabla2[[#This Row],[Forest Loss 2015]]/Tabla2[[#This Row],[Forest cover 2011]]</f>
        <v>4.1922860886772677E-3</v>
      </c>
      <c r="AX182" s="6">
        <f>Tabla2[[#This Row],[Forest Loss 2016]]/Tabla2[[#This Row],[Forest cover 2011]]</f>
        <v>2.0912717787725985E-3</v>
      </c>
      <c r="AY182" s="6">
        <f>Tabla2[[#This Row],[Forest Loss 2017]]/Tabla2[[#This Row],[Forest cover 2011]]</f>
        <v>2.8523133452816739E-3</v>
      </c>
      <c r="AZ182" s="6">
        <f>Tabla2[[#This Row],[Forest Loss 2018]]/Tabla2[[#This Row],[Forest cover 2011]]</f>
        <v>2.1197499466971133E-3</v>
      </c>
      <c r="BA182" s="6">
        <f>Tabla2[[#This Row],[Forest Loss 2019]]/Tabla2[[#This Row],[Forest cover 2011]]</f>
        <v>2.360315523112094E-3</v>
      </c>
      <c r="BB182" s="6">
        <f>Tabla2[[#This Row],[Forest Loss 2020]]/Tabla2[[#This Row],[Forest cover 2011]]</f>
        <v>3.4192537146210287E-3</v>
      </c>
      <c r="BC182" s="6">
        <f>Tabla2[[#This Row],[Forest Loss 2021]]/Tabla2[[#This Row],[Forest cover 2011]]</f>
        <v>3.8764032523566621E-3</v>
      </c>
      <c r="BD182" s="6">
        <f>Tabla2[[#This Row],[Forest Loss 2022]]/Tabla2[[#This Row],[Forest cover 2011]]</f>
        <v>1.0611864679240279E-3</v>
      </c>
      <c r="BE182" s="6">
        <f>Tabla2[[#This Row],[Forest Loss 2023]]/Tabla2[[#This Row],[Forest cover 2011]]</f>
        <v>3.93073659905475E-3</v>
      </c>
      <c r="BF182" s="6">
        <f>Tabla2[[#This Row],[Forest Loss 2024]]/Tabla2[[#This Row],[Forest cover 2011]]</f>
        <v>2.5862673028289691E-3</v>
      </c>
    </row>
    <row r="183" spans="1:58" x14ac:dyDescent="0.25">
      <c r="A183" s="2">
        <v>70803</v>
      </c>
      <c r="B183" s="3" t="s">
        <v>310</v>
      </c>
      <c r="C183" t="s">
        <v>340</v>
      </c>
      <c r="D183">
        <v>40236.75</v>
      </c>
      <c r="E183" s="4">
        <f>AVERAGE(Tabla2[[#This Row],[Deforestation 2012]:[Deforestation 2014]])</f>
        <v>30.09</v>
      </c>
      <c r="F183" s="4">
        <f>AVERAGE(Tabla2[[#This Row],[Deforestation 2022]:[Deforestation 2024]])</f>
        <v>208.74</v>
      </c>
      <c r="G183">
        <v>27.27</v>
      </c>
      <c r="H183">
        <v>30.06</v>
      </c>
      <c r="I183">
        <v>32.94</v>
      </c>
      <c r="J183">
        <v>26.28</v>
      </c>
      <c r="K183">
        <v>39.69</v>
      </c>
      <c r="L183">
        <v>31.41</v>
      </c>
      <c r="M183">
        <v>45.09</v>
      </c>
      <c r="N183">
        <v>36.630000000000003</v>
      </c>
      <c r="O183">
        <v>44.19</v>
      </c>
      <c r="P183">
        <v>47.61</v>
      </c>
      <c r="Q183">
        <v>117</v>
      </c>
      <c r="R183">
        <v>412.2</v>
      </c>
      <c r="S183">
        <v>97.02</v>
      </c>
      <c r="T183">
        <v>46.26</v>
      </c>
      <c r="U183">
        <v>46.98</v>
      </c>
      <c r="V183">
        <v>928.43999999999994</v>
      </c>
      <c r="W183">
        <v>66.150000000000006</v>
      </c>
      <c r="X183">
        <v>60.57</v>
      </c>
      <c r="Y183">
        <v>42.93</v>
      </c>
      <c r="Z183">
        <v>55.44</v>
      </c>
      <c r="AA183">
        <v>208.98</v>
      </c>
      <c r="AB183">
        <v>86.04</v>
      </c>
      <c r="AC183">
        <v>48.239999999999988</v>
      </c>
      <c r="AD183">
        <v>330.3</v>
      </c>
      <c r="AE183">
        <v>468.36</v>
      </c>
      <c r="AF183">
        <v>102.51</v>
      </c>
      <c r="AG183" s="5">
        <f>Tabla2[[#This Row],[Deforestation 2012]]/Tabla2[[#This Row],[Forest cover 2011]]</f>
        <v>6.7773863445730581E-4</v>
      </c>
      <c r="AH183" s="6">
        <f>Tabla2[[#This Row],[Deforestation 2013]]/Tabla2[[#This Row],[Forest cover 2011]]</f>
        <v>7.4707823072191464E-4</v>
      </c>
      <c r="AI183" s="6">
        <f>Tabla2[[#This Row],[Deforestation 2014]]/Tabla2[[#This Row],[Forest cover 2011]]</f>
        <v>8.1865458815634951E-4</v>
      </c>
      <c r="AJ183" s="6">
        <f>Tabla2[[#This Row],[Deforestation 2015]]/Tabla2[[#This Row],[Forest cover 2011]]</f>
        <v>6.531342615892188E-4</v>
      </c>
      <c r="AK183" s="6">
        <f>Tabla2[[#This Row],[Deforestation 2016]]/Tabla2[[#This Row],[Forest cover 2011]]</f>
        <v>9.8641167589330636E-4</v>
      </c>
      <c r="AL183" s="6">
        <f>Tabla2[[#This Row],[Deforestation 2017]]/Tabla2[[#This Row],[Forest cover 2011]]</f>
        <v>7.806296482693061E-4</v>
      </c>
      <c r="AM183" s="6">
        <f>Tabla2[[#This Row],[Deforestation 2018]]/Tabla2[[#This Row],[Forest cover 2011]]</f>
        <v>1.1206173460828722E-3</v>
      </c>
      <c r="AN183" s="6">
        <f>Tabla2[[#This Row],[Deforestation 2019]]/Tabla2[[#This Row],[Forest cover 2011]]</f>
        <v>9.1036179611921942E-4</v>
      </c>
      <c r="AO183" s="6">
        <f>Tabla2[[#This Row],[Deforestation 2020]]/Tabla2[[#This Row],[Forest cover 2011]]</f>
        <v>1.098249734384611E-3</v>
      </c>
      <c r="AP183" s="6">
        <f>Tabla2[[#This Row],[Deforestation 2021]]/Tabla2[[#This Row],[Forest cover 2011]]</f>
        <v>1.1832466588380026E-3</v>
      </c>
      <c r="AQ183" s="6">
        <f>Tabla2[[#This Row],[Deforestation 2022]]/Tabla2[[#This Row],[Forest cover 2011]]</f>
        <v>2.9077895207739192E-3</v>
      </c>
      <c r="AR183" s="6">
        <f>Tabla2[[#This Row],[Deforestation 2023]]/Tabla2[[#This Row],[Forest cover 2011]]</f>
        <v>1.0244366157803501E-2</v>
      </c>
      <c r="AS183" s="6">
        <f>Tabla2[[#This Row],[Deforestation 2024]]/Tabla2[[#This Row],[Forest cover 2011]]</f>
        <v>2.4112285410725267E-3</v>
      </c>
      <c r="AT183" s="6">
        <f>Tabla2[[#This Row],[Forest Loss 2012]]/Tabla2[[#This Row],[Forest cover 2011]]</f>
        <v>1.1496952412906112E-3</v>
      </c>
      <c r="AU183" s="6">
        <f>Tabla2[[#This Row],[Forest Loss 2013]]/Tabla2[[#This Row],[Forest cover 2011]]</f>
        <v>1.1675893306492199E-3</v>
      </c>
      <c r="AV183" s="6">
        <f>Tabla2[[#This Row],[Forest Loss 2014]]/Tabla2[[#This Row],[Forest cover 2011]]</f>
        <v>2.307442822792596E-2</v>
      </c>
      <c r="AW183" s="6">
        <f>Tabla2[[#This Row],[Forest Loss 2015]]/Tabla2[[#This Row],[Forest cover 2011]]</f>
        <v>1.6440194598221775E-3</v>
      </c>
      <c r="AX183" s="6">
        <f>Tabla2[[#This Row],[Forest Loss 2016]]/Tabla2[[#This Row],[Forest cover 2011]]</f>
        <v>1.5053402672929599E-3</v>
      </c>
      <c r="AY183" s="6">
        <f>Tabla2[[#This Row],[Forest Loss 2017]]/Tabla2[[#This Row],[Forest cover 2011]]</f>
        <v>1.0669350780070459E-3</v>
      </c>
      <c r="AZ183" s="6">
        <f>Tabla2[[#This Row],[Forest Loss 2018]]/Tabla2[[#This Row],[Forest cover 2011]]</f>
        <v>1.3778448806128726E-3</v>
      </c>
      <c r="BA183" s="6">
        <f>Tabla2[[#This Row],[Forest Loss 2019]]/Tabla2[[#This Row],[Forest cover 2011]]</f>
        <v>5.1937594363361851E-3</v>
      </c>
      <c r="BB183" s="6">
        <f>Tabla2[[#This Row],[Forest Loss 2020]]/Tabla2[[#This Row],[Forest cover 2011]]</f>
        <v>2.1383436783537439E-3</v>
      </c>
      <c r="BC183" s="6">
        <f>Tabla2[[#This Row],[Forest Loss 2021]]/Tabla2[[#This Row],[Forest cover 2011]]</f>
        <v>1.1989039870267848E-3</v>
      </c>
      <c r="BD183" s="6">
        <f>Tabla2[[#This Row],[Forest Loss 2022]]/Tabla2[[#This Row],[Forest cover 2011]]</f>
        <v>8.2089134932617578E-3</v>
      </c>
      <c r="BE183" s="6">
        <f>Tabla2[[#This Row],[Forest Loss 2023]]/Tabla2[[#This Row],[Forest cover 2011]]</f>
        <v>1.1640105127774983E-2</v>
      </c>
      <c r="BF183" s="6">
        <f>Tabla2[[#This Row],[Forest Loss 2024]]/Tabla2[[#This Row],[Forest cover 2011]]</f>
        <v>2.5476709724319186E-3</v>
      </c>
    </row>
    <row r="184" spans="1:58" x14ac:dyDescent="0.25">
      <c r="A184" s="2">
        <v>71301</v>
      </c>
      <c r="B184" s="3" t="s">
        <v>310</v>
      </c>
      <c r="C184" t="s">
        <v>358</v>
      </c>
      <c r="D184">
        <v>254941.2</v>
      </c>
      <c r="E184" s="4">
        <f>AVERAGE(Tabla2[[#This Row],[Deforestation 2012]:[Deforestation 2014]])</f>
        <v>240.92999999999998</v>
      </c>
      <c r="F184" s="4">
        <f>AVERAGE(Tabla2[[#This Row],[Deforestation 2022]:[Deforestation 2024]])</f>
        <v>815.25</v>
      </c>
      <c r="G184">
        <v>286.38</v>
      </c>
      <c r="H184">
        <v>201.87</v>
      </c>
      <c r="I184">
        <v>234.54</v>
      </c>
      <c r="J184">
        <v>185.94</v>
      </c>
      <c r="K184">
        <v>218.61</v>
      </c>
      <c r="L184">
        <v>200.43</v>
      </c>
      <c r="M184">
        <v>350.28</v>
      </c>
      <c r="N184">
        <v>262.62</v>
      </c>
      <c r="O184">
        <v>303.02999999999997</v>
      </c>
      <c r="P184">
        <v>291.33</v>
      </c>
      <c r="Q184">
        <v>586.53</v>
      </c>
      <c r="R184">
        <v>1245.42</v>
      </c>
      <c r="S184">
        <v>613.79999999999995</v>
      </c>
      <c r="T184">
        <v>712.8</v>
      </c>
      <c r="U184">
        <v>754.82999999999993</v>
      </c>
      <c r="V184">
        <v>1662.84</v>
      </c>
      <c r="W184">
        <v>597.32999999999993</v>
      </c>
      <c r="X184">
        <v>533.06999999999994</v>
      </c>
      <c r="Y184">
        <v>619.82999999999993</v>
      </c>
      <c r="Z184">
        <v>845.91</v>
      </c>
      <c r="AA184">
        <v>832.86</v>
      </c>
      <c r="AB184">
        <v>576.45000000000005</v>
      </c>
      <c r="AC184">
        <v>1772.01</v>
      </c>
      <c r="AD184">
        <v>848.61</v>
      </c>
      <c r="AE184">
        <v>1421.64</v>
      </c>
      <c r="AF184">
        <v>646.29</v>
      </c>
      <c r="AG184" s="5">
        <f>Tabla2[[#This Row],[Deforestation 2012]]/Tabla2[[#This Row],[Forest cover 2011]]</f>
        <v>1.1233178474095201E-3</v>
      </c>
      <c r="AH184" s="6">
        <f>Tabla2[[#This Row],[Deforestation 2013]]/Tabla2[[#This Row],[Forest cover 2011]]</f>
        <v>7.9182964542412135E-4</v>
      </c>
      <c r="AI184" s="6">
        <f>Tabla2[[#This Row],[Deforestation 2014]]/Tabla2[[#This Row],[Forest cover 2011]]</f>
        <v>9.1997684171879631E-4</v>
      </c>
      <c r="AJ184" s="6">
        <f>Tabla2[[#This Row],[Deforestation 2015]]/Tabla2[[#This Row],[Forest cover 2011]]</f>
        <v>7.2934464888374257E-4</v>
      </c>
      <c r="AK184" s="6">
        <f>Tabla2[[#This Row],[Deforestation 2016]]/Tabla2[[#This Row],[Forest cover 2011]]</f>
        <v>8.5749184517841764E-4</v>
      </c>
      <c r="AL184" s="6">
        <f>Tabla2[[#This Row],[Deforestation 2017]]/Tabla2[[#This Row],[Forest cover 2011]]</f>
        <v>7.8618128415493455E-4</v>
      </c>
      <c r="AM184" s="6">
        <f>Tabla2[[#This Row],[Deforestation 2018]]/Tabla2[[#This Row],[Forest cover 2011]]</f>
        <v>1.3739638787296834E-3</v>
      </c>
      <c r="AN184" s="6">
        <f>Tabla2[[#This Row],[Deforestation 2019]]/Tabla2[[#This Row],[Forest cover 2011]]</f>
        <v>1.0301198864679385E-3</v>
      </c>
      <c r="AO184" s="6">
        <f>Tabla2[[#This Row],[Deforestation 2020]]/Tabla2[[#This Row],[Forest cover 2011]]</f>
        <v>1.1886270245844923E-3</v>
      </c>
      <c r="AP184" s="6">
        <f>Tabla2[[#This Row],[Deforestation 2021]]/Tabla2[[#This Row],[Forest cover 2011]]</f>
        <v>1.1427340892723498E-3</v>
      </c>
      <c r="AQ184" s="6">
        <f>Tabla2[[#This Row],[Deforestation 2022]]/Tabla2[[#This Row],[Forest cover 2011]]</f>
        <v>2.300648149455639E-3</v>
      </c>
      <c r="AR184" s="6">
        <f>Tabla2[[#This Row],[Deforestation 2023]]/Tabla2[[#This Row],[Forest cover 2011]]</f>
        <v>4.8851264526879141E-3</v>
      </c>
      <c r="AS184" s="6">
        <f>Tabla2[[#This Row],[Deforestation 2024]]/Tabla2[[#This Row],[Forest cover 2011]]</f>
        <v>2.4076139909908634E-3</v>
      </c>
      <c r="AT184" s="6">
        <f>Tabla2[[#This Row],[Forest Loss 2012]]/Tabla2[[#This Row],[Forest cover 2011]]</f>
        <v>2.7959388282474545E-3</v>
      </c>
      <c r="AU184" s="6">
        <f>Tabla2[[#This Row],[Forest Loss 2013]]/Tabla2[[#This Row],[Forest cover 2011]]</f>
        <v>2.9608003727918434E-3</v>
      </c>
      <c r="AV184" s="6">
        <f>Tabla2[[#This Row],[Forest Loss 2014]]/Tabla2[[#This Row],[Forest cover 2011]]</f>
        <v>6.5224451755934304E-3</v>
      </c>
      <c r="AW184" s="6">
        <f>Tabla2[[#This Row],[Forest Loss 2015]]/Tabla2[[#This Row],[Forest cover 2011]]</f>
        <v>2.3430108589745395E-3</v>
      </c>
      <c r="AX184" s="6">
        <f>Tabla2[[#This Row],[Forest Loss 2016]]/Tabla2[[#This Row],[Forest cover 2011]]</f>
        <v>2.0909527373370799E-3</v>
      </c>
      <c r="AY184" s="6">
        <f>Tabla2[[#This Row],[Forest Loss 2017]]/Tabla2[[#This Row],[Forest cover 2011]]</f>
        <v>2.4312665038055828E-3</v>
      </c>
      <c r="AZ184" s="6">
        <f>Tabla2[[#This Row],[Forest Loss 2018]]/Tabla2[[#This Row],[Forest cover 2011]]</f>
        <v>3.318059223067907E-3</v>
      </c>
      <c r="BA184" s="6">
        <f>Tabla2[[#This Row],[Forest Loss 2019]]/Tabla2[[#This Row],[Forest cover 2011]]</f>
        <v>3.2668709490659021E-3</v>
      </c>
      <c r="BB184" s="6">
        <f>Tabla2[[#This Row],[Forest Loss 2020]]/Tabla2[[#This Row],[Forest cover 2011]]</f>
        <v>2.261109620571332E-3</v>
      </c>
      <c r="BC184" s="6">
        <f>Tabla2[[#This Row],[Forest Loss 2021]]/Tabla2[[#This Row],[Forest cover 2011]]</f>
        <v>6.9506615643136534E-3</v>
      </c>
      <c r="BD184" s="6">
        <f>Tabla2[[#This Row],[Forest Loss 2022]]/Tabla2[[#This Row],[Forest cover 2011]]</f>
        <v>3.3286499004476326E-3</v>
      </c>
      <c r="BE184" s="6">
        <f>Tabla2[[#This Row],[Forest Loss 2023]]/Tabla2[[#This Row],[Forest cover 2011]]</f>
        <v>5.5763446630046455E-3</v>
      </c>
      <c r="BF184" s="6">
        <f>Tabla2[[#This Row],[Forest Loss 2024]]/Tabla2[[#This Row],[Forest cover 2011]]</f>
        <v>2.5350551421268902E-3</v>
      </c>
    </row>
    <row r="185" spans="1:58" x14ac:dyDescent="0.25">
      <c r="A185" s="2">
        <v>10401</v>
      </c>
      <c r="B185" s="3" t="s">
        <v>58</v>
      </c>
      <c r="C185" t="s">
        <v>68</v>
      </c>
      <c r="D185">
        <v>117418.41</v>
      </c>
      <c r="E185" s="4">
        <f>AVERAGE(Tabla2[[#This Row],[Deforestation 2012]:[Deforestation 2014]])</f>
        <v>208.23000000000002</v>
      </c>
      <c r="F185" s="4">
        <f>AVERAGE(Tabla2[[#This Row],[Deforestation 2022]:[Deforestation 2024]])</f>
        <v>498.54</v>
      </c>
      <c r="G185">
        <v>212.49</v>
      </c>
      <c r="H185">
        <v>262.62</v>
      </c>
      <c r="I185">
        <v>149.58000000000001</v>
      </c>
      <c r="J185">
        <v>124.65</v>
      </c>
      <c r="K185">
        <v>183.42</v>
      </c>
      <c r="L185">
        <v>226.89</v>
      </c>
      <c r="M185">
        <v>379.71</v>
      </c>
      <c r="N185">
        <v>160.91999999999999</v>
      </c>
      <c r="O185">
        <v>446.94</v>
      </c>
      <c r="P185">
        <v>225.09</v>
      </c>
      <c r="Q185">
        <v>182.88</v>
      </c>
      <c r="R185">
        <v>1026.9000000000001</v>
      </c>
      <c r="S185">
        <v>285.83999999999997</v>
      </c>
      <c r="T185">
        <v>289.89</v>
      </c>
      <c r="U185">
        <v>340.65</v>
      </c>
      <c r="V185">
        <v>488.52</v>
      </c>
      <c r="W185">
        <v>158.04</v>
      </c>
      <c r="X185">
        <v>224.91</v>
      </c>
      <c r="Y185">
        <v>274.5</v>
      </c>
      <c r="Z185">
        <v>434.7</v>
      </c>
      <c r="AA185">
        <v>251.64</v>
      </c>
      <c r="AB185">
        <v>518.22</v>
      </c>
      <c r="AC185">
        <v>333.99</v>
      </c>
      <c r="AD185">
        <v>247.32</v>
      </c>
      <c r="AE185">
        <v>1132.29</v>
      </c>
      <c r="AF185">
        <v>291.42</v>
      </c>
      <c r="AG185" s="5">
        <f>Tabla2[[#This Row],[Deforestation 2012]]/Tabla2[[#This Row],[Forest cover 2011]]</f>
        <v>1.8096821443928596E-3</v>
      </c>
      <c r="AH185" s="6">
        <f>Tabla2[[#This Row],[Deforestation 2013]]/Tabla2[[#This Row],[Forest cover 2011]]</f>
        <v>2.2366168984914716E-3</v>
      </c>
      <c r="AI185" s="6">
        <f>Tabla2[[#This Row],[Deforestation 2014]]/Tabla2[[#This Row],[Forest cover 2011]]</f>
        <v>1.2739058551380488E-3</v>
      </c>
      <c r="AJ185" s="6">
        <f>Tabla2[[#This Row],[Deforestation 2015]]/Tabla2[[#This Row],[Forest cover 2011]]</f>
        <v>1.0615882126150406E-3</v>
      </c>
      <c r="AK185" s="6">
        <f>Tabla2[[#This Row],[Deforestation 2016]]/Tabla2[[#This Row],[Forest cover 2011]]</f>
        <v>1.5621059763967166E-3</v>
      </c>
      <c r="AL185" s="6">
        <f>Tabla2[[#This Row],[Deforestation 2017]]/Tabla2[[#This Row],[Forest cover 2011]]</f>
        <v>1.9323204938646332E-3</v>
      </c>
      <c r="AM185" s="6">
        <f>Tabla2[[#This Row],[Deforestation 2018]]/Tabla2[[#This Row],[Forest cover 2011]]</f>
        <v>3.2338199776338309E-3</v>
      </c>
      <c r="AN185" s="6">
        <f>Tabla2[[#This Row],[Deforestation 2019]]/Tabla2[[#This Row],[Forest cover 2011]]</f>
        <v>1.3704835553470702E-3</v>
      </c>
      <c r="AO185" s="6">
        <f>Tabla2[[#This Row],[Deforestation 2020]]/Tabla2[[#This Row],[Forest cover 2011]]</f>
        <v>3.8063877717301742E-3</v>
      </c>
      <c r="AP185" s="6">
        <f>Tabla2[[#This Row],[Deforestation 2021]]/Tabla2[[#This Row],[Forest cover 2011]]</f>
        <v>1.9169907001806616E-3</v>
      </c>
      <c r="AQ185" s="6">
        <f>Tabla2[[#This Row],[Deforestation 2022]]/Tabla2[[#This Row],[Forest cover 2011]]</f>
        <v>1.557507038291525E-3</v>
      </c>
      <c r="AR185" s="6">
        <f>Tabla2[[#This Row],[Deforestation 2023]]/Tabla2[[#This Row],[Forest cover 2011]]</f>
        <v>8.7456472967058583E-3</v>
      </c>
      <c r="AS185" s="6">
        <f>Tabla2[[#This Row],[Deforestation 2024]]/Tabla2[[#This Row],[Forest cover 2011]]</f>
        <v>2.4343712370147063E-3</v>
      </c>
      <c r="AT185" s="6">
        <f>Tabla2[[#This Row],[Forest Loss 2012]]/Tabla2[[#This Row],[Forest cover 2011]]</f>
        <v>2.4688632728036429E-3</v>
      </c>
      <c r="AU185" s="6">
        <f>Tabla2[[#This Row],[Forest Loss 2013]]/Tabla2[[#This Row],[Forest cover 2011]]</f>
        <v>2.9011634546916446E-3</v>
      </c>
      <c r="AV185" s="6">
        <f>Tabla2[[#This Row],[Forest Loss 2014]]/Tabla2[[#This Row],[Forest cover 2011]]</f>
        <v>4.1605060058299203E-3</v>
      </c>
      <c r="AW185" s="6">
        <f>Tabla2[[#This Row],[Forest Loss 2015]]/Tabla2[[#This Row],[Forest cover 2011]]</f>
        <v>1.3459558854527155E-3</v>
      </c>
      <c r="AX185" s="6">
        <f>Tabla2[[#This Row],[Forest Loss 2016]]/Tabla2[[#This Row],[Forest cover 2011]]</f>
        <v>1.9154577208122644E-3</v>
      </c>
      <c r="AY185" s="6">
        <f>Tabla2[[#This Row],[Forest Loss 2017]]/Tabla2[[#This Row],[Forest cover 2011]]</f>
        <v>2.3377935368056849E-3</v>
      </c>
      <c r="AZ185" s="6">
        <f>Tabla2[[#This Row],[Forest Loss 2018]]/Tabla2[[#This Row],[Forest cover 2011]]</f>
        <v>3.7021451746791665E-3</v>
      </c>
      <c r="BA185" s="6">
        <f>Tabla2[[#This Row],[Forest Loss 2019]]/Tabla2[[#This Row],[Forest cover 2011]]</f>
        <v>2.1431051570192441E-3</v>
      </c>
      <c r="BB185" s="6">
        <f>Tabla2[[#This Row],[Forest Loss 2020]]/Tabla2[[#This Row],[Forest cover 2011]]</f>
        <v>4.4134476016154537E-3</v>
      </c>
      <c r="BC185" s="6">
        <f>Tabla2[[#This Row],[Forest Loss 2021]]/Tabla2[[#This Row],[Forest cover 2011]]</f>
        <v>2.8444432180609498E-3</v>
      </c>
      <c r="BD185" s="6">
        <f>Tabla2[[#This Row],[Forest Loss 2022]]/Tabla2[[#This Row],[Forest cover 2011]]</f>
        <v>2.1063136521777119E-3</v>
      </c>
      <c r="BE185" s="6">
        <f>Tabla2[[#This Row],[Forest Loss 2023]]/Tabla2[[#This Row],[Forest cover 2011]]</f>
        <v>9.6432067169023999E-3</v>
      </c>
      <c r="BF185" s="6">
        <f>Tabla2[[#This Row],[Forest Loss 2024]]/Tabla2[[#This Row],[Forest cover 2011]]</f>
        <v>2.4818935974350192E-3</v>
      </c>
    </row>
    <row r="186" spans="1:58" x14ac:dyDescent="0.25">
      <c r="A186" s="2">
        <v>90203</v>
      </c>
      <c r="B186" s="3" t="s">
        <v>384</v>
      </c>
      <c r="C186" t="s">
        <v>390</v>
      </c>
      <c r="D186">
        <v>1144670.3999999999</v>
      </c>
      <c r="E186" s="4">
        <f>AVERAGE(Tabla2[[#This Row],[Deforestation 2012]:[Deforestation 2014]])</f>
        <v>1225.05</v>
      </c>
      <c r="F186" s="4">
        <f>AVERAGE(Tabla2[[#This Row],[Deforestation 2022]:[Deforestation 2024]])</f>
        <v>1494.0900000000001</v>
      </c>
      <c r="G186">
        <v>1237.5</v>
      </c>
      <c r="H186">
        <v>1163.1600000000001</v>
      </c>
      <c r="I186">
        <v>1274.49</v>
      </c>
      <c r="J186">
        <v>1031.58</v>
      </c>
      <c r="K186">
        <v>1504.89</v>
      </c>
      <c r="L186">
        <v>1506.69</v>
      </c>
      <c r="M186">
        <v>1235.25</v>
      </c>
      <c r="N186">
        <v>1031.94</v>
      </c>
      <c r="O186">
        <v>1720.53</v>
      </c>
      <c r="P186">
        <v>1949.31</v>
      </c>
      <c r="Q186">
        <v>397.8</v>
      </c>
      <c r="R186">
        <v>1661.85</v>
      </c>
      <c r="S186">
        <v>2422.62</v>
      </c>
      <c r="T186">
        <v>2373.12</v>
      </c>
      <c r="U186">
        <v>1731.6</v>
      </c>
      <c r="V186">
        <v>1939.59</v>
      </c>
      <c r="W186">
        <v>1656.99</v>
      </c>
      <c r="X186">
        <v>1783.08</v>
      </c>
      <c r="Y186">
        <v>1720.89</v>
      </c>
      <c r="Z186">
        <v>1474.92</v>
      </c>
      <c r="AA186">
        <v>1199.8800000000001</v>
      </c>
      <c r="AB186">
        <v>2027.52</v>
      </c>
      <c r="AC186">
        <v>2128.86</v>
      </c>
      <c r="AD186">
        <v>598.04999999999995</v>
      </c>
      <c r="AE186">
        <v>2015.55</v>
      </c>
      <c r="AF186">
        <v>2797.47</v>
      </c>
      <c r="AG186" s="5">
        <f>Tabla2[[#This Row],[Deforestation 2012]]/Tabla2[[#This Row],[Forest cover 2011]]</f>
        <v>1.0810972311330843E-3</v>
      </c>
      <c r="AH186" s="6">
        <f>Tabla2[[#This Row],[Deforestation 2013]]/Tabla2[[#This Row],[Forest cover 2011]]</f>
        <v>1.0161527720119259E-3</v>
      </c>
      <c r="AI186" s="6">
        <f>Tabla2[[#This Row],[Deforestation 2014]]/Tabla2[[#This Row],[Forest cover 2011]]</f>
        <v>1.1134122101873168E-3</v>
      </c>
      <c r="AJ186" s="6">
        <f>Tabla2[[#This Row],[Deforestation 2015]]/Tabla2[[#This Row],[Forest cover 2011]]</f>
        <v>9.0120265187253906E-4</v>
      </c>
      <c r="AK186" s="6">
        <f>Tabla2[[#This Row],[Deforestation 2016]]/Tabla2[[#This Row],[Forest cover 2011]]</f>
        <v>1.314692858311004E-3</v>
      </c>
      <c r="AL186" s="6">
        <f>Tabla2[[#This Row],[Deforestation 2017]]/Tabla2[[#This Row],[Forest cover 2011]]</f>
        <v>1.3162653633744703E-3</v>
      </c>
      <c r="AM186" s="6">
        <f>Tabla2[[#This Row],[Deforestation 2018]]/Tabla2[[#This Row],[Forest cover 2011]]</f>
        <v>1.0791315998037515E-3</v>
      </c>
      <c r="AN186" s="6">
        <f>Tabla2[[#This Row],[Deforestation 2019]]/Tabla2[[#This Row],[Forest cover 2011]]</f>
        <v>9.0151715288523237E-4</v>
      </c>
      <c r="AO186" s="6">
        <f>Tabla2[[#This Row],[Deforestation 2020]]/Tabla2[[#This Row],[Forest cover 2011]]</f>
        <v>1.5030789649142671E-3</v>
      </c>
      <c r="AP186" s="6">
        <f>Tabla2[[#This Row],[Deforestation 2021]]/Tabla2[[#This Row],[Forest cover 2011]]</f>
        <v>1.7029443584808345E-3</v>
      </c>
      <c r="AQ186" s="6">
        <f>Tabla2[[#This Row],[Deforestation 2022]]/Tabla2[[#This Row],[Forest cover 2011]]</f>
        <v>3.4752361902605332E-4</v>
      </c>
      <c r="AR186" s="6">
        <f>Tabla2[[#This Row],[Deforestation 2023]]/Tabla2[[#This Row],[Forest cover 2011]]</f>
        <v>1.4518152998452656E-3</v>
      </c>
      <c r="AS186" s="6">
        <f>Tabla2[[#This Row],[Deforestation 2024]]/Tabla2[[#This Row],[Forest cover 2011]]</f>
        <v>2.1164345649192992E-3</v>
      </c>
      <c r="AT186" s="6">
        <f>Tabla2[[#This Row],[Forest Loss 2012]]/Tabla2[[#This Row],[Forest cover 2011]]</f>
        <v>2.0731906756739759E-3</v>
      </c>
      <c r="AU186" s="6">
        <f>Tabla2[[#This Row],[Forest Loss 2013]]/Tabla2[[#This Row],[Forest cover 2011]]</f>
        <v>1.5127498710545849E-3</v>
      </c>
      <c r="AV186" s="6">
        <f>Tabla2[[#This Row],[Forest Loss 2014]]/Tabla2[[#This Row],[Forest cover 2011]]</f>
        <v>1.6944528311381164E-3</v>
      </c>
      <c r="AW186" s="6">
        <f>Tabla2[[#This Row],[Forest Loss 2015]]/Tabla2[[#This Row],[Forest cover 2011]]</f>
        <v>1.4475695361739066E-3</v>
      </c>
      <c r="AX186" s="6">
        <f>Tabla2[[#This Row],[Forest Loss 2016]]/Tabla2[[#This Row],[Forest cover 2011]]</f>
        <v>1.5577235158697211E-3</v>
      </c>
      <c r="AY186" s="6">
        <f>Tabla2[[#This Row],[Forest Loss 2017]]/Tabla2[[#This Row],[Forest cover 2011]]</f>
        <v>1.5033934659269604E-3</v>
      </c>
      <c r="AZ186" s="6">
        <f>Tabla2[[#This Row],[Forest Loss 2018]]/Tabla2[[#This Row],[Forest cover 2011]]</f>
        <v>1.2885106490042901E-3</v>
      </c>
      <c r="BA186" s="6">
        <f>Tabla2[[#This Row],[Forest Loss 2019]]/Tabla2[[#This Row],[Forest cover 2011]]</f>
        <v>1.0482318753066387E-3</v>
      </c>
      <c r="BB186" s="6">
        <f>Tabla2[[#This Row],[Forest Loss 2020]]/Tabla2[[#This Row],[Forest cover 2011]]</f>
        <v>1.7712697034884455E-3</v>
      </c>
      <c r="BC186" s="6">
        <f>Tabla2[[#This Row],[Forest Loss 2021]]/Tabla2[[#This Row],[Forest cover 2011]]</f>
        <v>1.8598017385615985E-3</v>
      </c>
      <c r="BD186" s="6">
        <f>Tabla2[[#This Row],[Forest Loss 2022]]/Tabla2[[#This Row],[Forest cover 2011]]</f>
        <v>5.2246480733667965E-4</v>
      </c>
      <c r="BE186" s="6">
        <f>Tabla2[[#This Row],[Forest Loss 2023]]/Tabla2[[#This Row],[Forest cover 2011]]</f>
        <v>1.7608125448163943E-3</v>
      </c>
      <c r="BF186" s="6">
        <f>Tabla2[[#This Row],[Forest Loss 2024]]/Tabla2[[#This Row],[Forest cover 2011]]</f>
        <v>2.4439087443861572E-3</v>
      </c>
    </row>
    <row r="187" spans="1:58" x14ac:dyDescent="0.25">
      <c r="A187" s="2">
        <v>30904</v>
      </c>
      <c r="B187" s="3" t="s">
        <v>176</v>
      </c>
      <c r="C187" t="s">
        <v>200</v>
      </c>
      <c r="D187">
        <v>1631.61</v>
      </c>
      <c r="E187" s="4">
        <f>AVERAGE(Tabla2[[#This Row],[Deforestation 2012]:[Deforestation 2014]])</f>
        <v>4.53</v>
      </c>
      <c r="F187" s="4">
        <f>AVERAGE(Tabla2[[#This Row],[Deforestation 2022]:[Deforestation 2024]])</f>
        <v>86.850000000000009</v>
      </c>
      <c r="G187">
        <v>2.16</v>
      </c>
      <c r="H187">
        <v>6.0299999999999994</v>
      </c>
      <c r="I187">
        <v>5.4</v>
      </c>
      <c r="J187">
        <v>13.77</v>
      </c>
      <c r="K187">
        <v>12.96</v>
      </c>
      <c r="L187">
        <v>30.15</v>
      </c>
      <c r="M187">
        <v>11.52</v>
      </c>
      <c r="N187">
        <v>7.3800000000000008</v>
      </c>
      <c r="O187">
        <v>10.44</v>
      </c>
      <c r="P187">
        <v>35.19</v>
      </c>
      <c r="Q187">
        <v>138.96</v>
      </c>
      <c r="R187">
        <v>118.17</v>
      </c>
      <c r="S187">
        <v>3.42</v>
      </c>
      <c r="T187">
        <v>2.97</v>
      </c>
      <c r="U187">
        <v>12.06</v>
      </c>
      <c r="V187">
        <v>24.12</v>
      </c>
      <c r="W187">
        <v>16.739999999999998</v>
      </c>
      <c r="X187">
        <v>18.36</v>
      </c>
      <c r="Y187">
        <v>44.82</v>
      </c>
      <c r="Z187">
        <v>15.3</v>
      </c>
      <c r="AA187">
        <v>18.899999999999999</v>
      </c>
      <c r="AB187">
        <v>21.33</v>
      </c>
      <c r="AC187">
        <v>35.64</v>
      </c>
      <c r="AD187">
        <v>140.94</v>
      </c>
      <c r="AE187">
        <v>133.91999999999999</v>
      </c>
      <c r="AF187">
        <v>3.87</v>
      </c>
      <c r="AG187" s="5">
        <f>Tabla2[[#This Row],[Deforestation 2012]]/Tabla2[[#This Row],[Forest cover 2011]]</f>
        <v>1.323845771967566E-3</v>
      </c>
      <c r="AH187" s="6">
        <f>Tabla2[[#This Row],[Deforestation 2013]]/Tabla2[[#This Row],[Forest cover 2011]]</f>
        <v>3.6957361134094544E-3</v>
      </c>
      <c r="AI187" s="6">
        <f>Tabla2[[#This Row],[Deforestation 2014]]/Tabla2[[#This Row],[Forest cover 2011]]</f>
        <v>3.3096144299189149E-3</v>
      </c>
      <c r="AJ187" s="6">
        <f>Tabla2[[#This Row],[Deforestation 2015]]/Tabla2[[#This Row],[Forest cover 2011]]</f>
        <v>8.4395167962932321E-3</v>
      </c>
      <c r="AK187" s="6">
        <f>Tabla2[[#This Row],[Deforestation 2016]]/Tabla2[[#This Row],[Forest cover 2011]]</f>
        <v>7.9430746318053958E-3</v>
      </c>
      <c r="AL187" s="6">
        <f>Tabla2[[#This Row],[Deforestation 2017]]/Tabla2[[#This Row],[Forest cover 2011]]</f>
        <v>1.8478680567047271E-2</v>
      </c>
      <c r="AM187" s="6">
        <f>Tabla2[[#This Row],[Deforestation 2018]]/Tabla2[[#This Row],[Forest cover 2011]]</f>
        <v>7.0605107838270179E-3</v>
      </c>
      <c r="AN187" s="6">
        <f>Tabla2[[#This Row],[Deforestation 2019]]/Tabla2[[#This Row],[Forest cover 2011]]</f>
        <v>4.5231397208891841E-3</v>
      </c>
      <c r="AO187" s="6">
        <f>Tabla2[[#This Row],[Deforestation 2020]]/Tabla2[[#This Row],[Forest cover 2011]]</f>
        <v>6.3985878978432345E-3</v>
      </c>
      <c r="AP187" s="6">
        <f>Tabla2[[#This Row],[Deforestation 2021]]/Tabla2[[#This Row],[Forest cover 2011]]</f>
        <v>2.1567654034971594E-2</v>
      </c>
      <c r="AQ187" s="6">
        <f>Tabla2[[#This Row],[Deforestation 2022]]/Tabla2[[#This Row],[Forest cover 2011]]</f>
        <v>8.5167411329913414E-2</v>
      </c>
      <c r="AR187" s="6">
        <f>Tabla2[[#This Row],[Deforestation 2023]]/Tabla2[[#This Row],[Forest cover 2011]]</f>
        <v>7.2425395774725579E-2</v>
      </c>
      <c r="AS187" s="6">
        <f>Tabla2[[#This Row],[Deforestation 2024]]/Tabla2[[#This Row],[Forest cover 2011]]</f>
        <v>2.0960891389486458E-3</v>
      </c>
      <c r="AT187" s="6">
        <f>Tabla2[[#This Row],[Forest Loss 2012]]/Tabla2[[#This Row],[Forest cover 2011]]</f>
        <v>1.8202879364554031E-3</v>
      </c>
      <c r="AU187" s="6">
        <f>Tabla2[[#This Row],[Forest Loss 2013]]/Tabla2[[#This Row],[Forest cover 2011]]</f>
        <v>7.3914722268189096E-3</v>
      </c>
      <c r="AV187" s="6">
        <f>Tabla2[[#This Row],[Forest Loss 2014]]/Tabla2[[#This Row],[Forest cover 2011]]</f>
        <v>1.4782944453637819E-2</v>
      </c>
      <c r="AW187" s="6">
        <f>Tabla2[[#This Row],[Forest Loss 2015]]/Tabla2[[#This Row],[Forest cover 2011]]</f>
        <v>1.0259804732748635E-2</v>
      </c>
      <c r="AX187" s="6">
        <f>Tabla2[[#This Row],[Forest Loss 2016]]/Tabla2[[#This Row],[Forest cover 2011]]</f>
        <v>1.1252689061724309E-2</v>
      </c>
      <c r="AY187" s="6">
        <f>Tabla2[[#This Row],[Forest Loss 2017]]/Tabla2[[#This Row],[Forest cover 2011]]</f>
        <v>2.7469799768326992E-2</v>
      </c>
      <c r="AZ187" s="6">
        <f>Tabla2[[#This Row],[Forest Loss 2018]]/Tabla2[[#This Row],[Forest cover 2011]]</f>
        <v>9.377240884770259E-3</v>
      </c>
      <c r="BA187" s="6">
        <f>Tabla2[[#This Row],[Forest Loss 2019]]/Tabla2[[#This Row],[Forest cover 2011]]</f>
        <v>1.15836505047162E-2</v>
      </c>
      <c r="BB187" s="6">
        <f>Tabla2[[#This Row],[Forest Loss 2020]]/Tabla2[[#This Row],[Forest cover 2011]]</f>
        <v>1.3072976998179713E-2</v>
      </c>
      <c r="BC187" s="6">
        <f>Tabla2[[#This Row],[Forest Loss 2021]]/Tabla2[[#This Row],[Forest cover 2011]]</f>
        <v>2.1843455237464837E-2</v>
      </c>
      <c r="BD187" s="6">
        <f>Tabla2[[#This Row],[Forest Loss 2022]]/Tabla2[[#This Row],[Forest cover 2011]]</f>
        <v>8.6380936620883669E-2</v>
      </c>
      <c r="BE187" s="6">
        <f>Tabla2[[#This Row],[Forest Loss 2023]]/Tabla2[[#This Row],[Forest cover 2011]]</f>
        <v>8.2078437861989081E-2</v>
      </c>
      <c r="BF187" s="6">
        <f>Tabla2[[#This Row],[Forest Loss 2024]]/Tabla2[[#This Row],[Forest cover 2011]]</f>
        <v>2.3718903414418888E-3</v>
      </c>
    </row>
    <row r="188" spans="1:58" x14ac:dyDescent="0.25">
      <c r="A188" s="2">
        <v>11002</v>
      </c>
      <c r="B188" s="3" t="s">
        <v>58</v>
      </c>
      <c r="C188" t="s">
        <v>86</v>
      </c>
      <c r="D188">
        <v>121391.55</v>
      </c>
      <c r="E188" s="4">
        <f>AVERAGE(Tabla2[[#This Row],[Deforestation 2012]:[Deforestation 2014]])</f>
        <v>58.26</v>
      </c>
      <c r="F188" s="4">
        <f>AVERAGE(Tabla2[[#This Row],[Deforestation 2022]:[Deforestation 2024]])</f>
        <v>120.45</v>
      </c>
      <c r="G188">
        <v>36.630000000000003</v>
      </c>
      <c r="H188">
        <v>79.739999999999995</v>
      </c>
      <c r="I188">
        <v>58.41</v>
      </c>
      <c r="J188">
        <v>28.35</v>
      </c>
      <c r="K188">
        <v>77.489999999999995</v>
      </c>
      <c r="L188">
        <v>112.86</v>
      </c>
      <c r="M188">
        <v>159.47999999999999</v>
      </c>
      <c r="N188">
        <v>49.05</v>
      </c>
      <c r="O188">
        <v>72</v>
      </c>
      <c r="P188">
        <v>291.42</v>
      </c>
      <c r="Q188">
        <v>63.72</v>
      </c>
      <c r="R188">
        <v>65.97</v>
      </c>
      <c r="S188">
        <v>231.66</v>
      </c>
      <c r="T188">
        <v>67.5</v>
      </c>
      <c r="U188">
        <v>98.01</v>
      </c>
      <c r="V188">
        <v>118.44</v>
      </c>
      <c r="W188">
        <v>42.3</v>
      </c>
      <c r="X188">
        <v>101.88</v>
      </c>
      <c r="Y188">
        <v>132.75</v>
      </c>
      <c r="Z188">
        <v>169.02</v>
      </c>
      <c r="AA188">
        <v>61.38</v>
      </c>
      <c r="AB188">
        <v>87.210000000000008</v>
      </c>
      <c r="AC188">
        <v>366.48</v>
      </c>
      <c r="AD188">
        <v>82.62</v>
      </c>
      <c r="AE188">
        <v>168.12</v>
      </c>
      <c r="AF188">
        <v>277.38</v>
      </c>
      <c r="AG188" s="5">
        <f>Tabla2[[#This Row],[Deforestation 2012]]/Tabla2[[#This Row],[Forest cover 2011]]</f>
        <v>3.0175082203003425E-4</v>
      </c>
      <c r="AH188" s="6">
        <f>Tabla2[[#This Row],[Deforestation 2013]]/Tabla2[[#This Row],[Forest cover 2011]]</f>
        <v>6.5688262486145036E-4</v>
      </c>
      <c r="AI188" s="6">
        <f>Tabla2[[#This Row],[Deforestation 2014]]/Tabla2[[#This Row],[Forest cover 2011]]</f>
        <v>4.8117022972356802E-4</v>
      </c>
      <c r="AJ188" s="6">
        <f>Tabla2[[#This Row],[Deforestation 2015]]/Tabla2[[#This Row],[Forest cover 2011]]</f>
        <v>2.3354179100604615E-4</v>
      </c>
      <c r="AK188" s="6">
        <f>Tabla2[[#This Row],[Deforestation 2016]]/Tabla2[[#This Row],[Forest cover 2011]]</f>
        <v>6.3834756208319275E-4</v>
      </c>
      <c r="AL188" s="6">
        <f>Tabla2[[#This Row],[Deforestation 2017]]/Tabla2[[#This Row],[Forest cover 2011]]</f>
        <v>9.2971874895740267E-4</v>
      </c>
      <c r="AM188" s="6">
        <f>Tabla2[[#This Row],[Deforestation 2018]]/Tabla2[[#This Row],[Forest cover 2011]]</f>
        <v>1.3137652497229007E-3</v>
      </c>
      <c r="AN188" s="6">
        <f>Tabla2[[#This Row],[Deforestation 2019]]/Tabla2[[#This Row],[Forest cover 2011]]</f>
        <v>4.0406436856601629E-4</v>
      </c>
      <c r="AO188" s="6">
        <f>Tabla2[[#This Row],[Deforestation 2020]]/Tabla2[[#This Row],[Forest cover 2011]]</f>
        <v>5.9312200890424417E-4</v>
      </c>
      <c r="AP188" s="6">
        <f>Tabla2[[#This Row],[Deforestation 2021]]/Tabla2[[#This Row],[Forest cover 2011]]</f>
        <v>2.4006613310399282E-3</v>
      </c>
      <c r="AQ188" s="6">
        <f>Tabla2[[#This Row],[Deforestation 2022]]/Tabla2[[#This Row],[Forest cover 2011]]</f>
        <v>5.2491297788025604E-4</v>
      </c>
      <c r="AR188" s="6">
        <f>Tabla2[[#This Row],[Deforestation 2023]]/Tabla2[[#This Row],[Forest cover 2011]]</f>
        <v>5.4344804065851364E-4</v>
      </c>
      <c r="AS188" s="6">
        <f>Tabla2[[#This Row],[Deforestation 2024]]/Tabla2[[#This Row],[Forest cover 2011]]</f>
        <v>1.9083700636494056E-3</v>
      </c>
      <c r="AT188" s="6">
        <f>Tabla2[[#This Row],[Forest Loss 2012]]/Tabla2[[#This Row],[Forest cover 2011]]</f>
        <v>5.5605188334772885E-4</v>
      </c>
      <c r="AU188" s="6">
        <f>Tabla2[[#This Row],[Forest Loss 2013]]/Tabla2[[#This Row],[Forest cover 2011]]</f>
        <v>8.073873346209024E-4</v>
      </c>
      <c r="AV188" s="6">
        <f>Tabla2[[#This Row],[Forest Loss 2014]]/Tabla2[[#This Row],[Forest cover 2011]]</f>
        <v>9.7568570464748165E-4</v>
      </c>
      <c r="AW188" s="6">
        <f>Tabla2[[#This Row],[Forest Loss 2015]]/Tabla2[[#This Row],[Forest cover 2011]]</f>
        <v>3.4845918023124341E-4</v>
      </c>
      <c r="AX188" s="6">
        <f>Tabla2[[#This Row],[Forest Loss 2016]]/Tabla2[[#This Row],[Forest cover 2011]]</f>
        <v>8.3926764259950539E-4</v>
      </c>
      <c r="AY188" s="6">
        <f>Tabla2[[#This Row],[Forest Loss 2017]]/Tabla2[[#This Row],[Forest cover 2011]]</f>
        <v>1.0935687039172002E-3</v>
      </c>
      <c r="AZ188" s="6">
        <f>Tabla2[[#This Row],[Forest Loss 2018]]/Tabla2[[#This Row],[Forest cover 2011]]</f>
        <v>1.3923539159027133E-3</v>
      </c>
      <c r="BA188" s="6">
        <f>Tabla2[[#This Row],[Forest Loss 2019]]/Tabla2[[#This Row],[Forest cover 2011]]</f>
        <v>5.0563651259086814E-4</v>
      </c>
      <c r="BB188" s="6">
        <f>Tabla2[[#This Row],[Forest Loss 2020]]/Tabla2[[#This Row],[Forest cover 2011]]</f>
        <v>7.184190332852658E-4</v>
      </c>
      <c r="BC188" s="6">
        <f>Tabla2[[#This Row],[Forest Loss 2021]]/Tabla2[[#This Row],[Forest cover 2011]]</f>
        <v>3.0189910253226029E-3</v>
      </c>
      <c r="BD188" s="6">
        <f>Tabla2[[#This Row],[Forest Loss 2022]]/Tabla2[[#This Row],[Forest cover 2011]]</f>
        <v>6.8060750521762019E-4</v>
      </c>
      <c r="BE188" s="6">
        <f>Tabla2[[#This Row],[Forest Loss 2023]]/Tabla2[[#This Row],[Forest cover 2011]]</f>
        <v>1.3849398907914102E-3</v>
      </c>
      <c r="BF188" s="6">
        <f>Tabla2[[#This Row],[Forest Loss 2024]]/Tabla2[[#This Row],[Forest cover 2011]]</f>
        <v>2.2850025393036004E-3</v>
      </c>
    </row>
    <row r="189" spans="1:58" x14ac:dyDescent="0.25">
      <c r="A189" s="2">
        <v>80201</v>
      </c>
      <c r="B189" s="3" t="s">
        <v>365</v>
      </c>
      <c r="C189" t="s">
        <v>367</v>
      </c>
      <c r="D189">
        <v>1063728</v>
      </c>
      <c r="E189" s="4">
        <f>AVERAGE(Tabla2[[#This Row],[Deforestation 2012]:[Deforestation 2014]])</f>
        <v>2381.4</v>
      </c>
      <c r="F189" s="4">
        <f>AVERAGE(Tabla2[[#This Row],[Deforestation 2022]:[Deforestation 2024]])</f>
        <v>1482.36</v>
      </c>
      <c r="G189">
        <v>3663.09</v>
      </c>
      <c r="H189">
        <v>2020.77</v>
      </c>
      <c r="I189">
        <v>1460.34</v>
      </c>
      <c r="J189">
        <v>1342.35</v>
      </c>
      <c r="K189">
        <v>2236.0500000000002</v>
      </c>
      <c r="L189">
        <v>2471.7600000000002</v>
      </c>
      <c r="M189">
        <v>1556.37</v>
      </c>
      <c r="N189">
        <v>1363.77</v>
      </c>
      <c r="O189">
        <v>1750.59</v>
      </c>
      <c r="P189">
        <v>3444.03</v>
      </c>
      <c r="Q189">
        <v>1208.43</v>
      </c>
      <c r="R189">
        <v>1871.46</v>
      </c>
      <c r="S189">
        <v>1367.19</v>
      </c>
      <c r="T189">
        <v>6211.98</v>
      </c>
      <c r="U189">
        <v>3331.26</v>
      </c>
      <c r="V189">
        <v>5851.89</v>
      </c>
      <c r="W189">
        <v>2274.5700000000002</v>
      </c>
      <c r="X189">
        <v>2996.01</v>
      </c>
      <c r="Y189">
        <v>3051.45</v>
      </c>
      <c r="Z189">
        <v>2088</v>
      </c>
      <c r="AA189">
        <v>2156.4899999999998</v>
      </c>
      <c r="AB189">
        <v>2376.9899999999998</v>
      </c>
      <c r="AC189">
        <v>3754.44</v>
      </c>
      <c r="AD189">
        <v>1397.43</v>
      </c>
      <c r="AE189">
        <v>2820.15</v>
      </c>
      <c r="AF189">
        <v>2405.25</v>
      </c>
      <c r="AG189" s="5">
        <f>Tabla2[[#This Row],[Deforestation 2012]]/Tabla2[[#This Row],[Forest cover 2011]]</f>
        <v>3.4436340869094355E-3</v>
      </c>
      <c r="AH189" s="6">
        <f>Tabla2[[#This Row],[Deforestation 2013]]/Tabla2[[#This Row],[Forest cover 2011]]</f>
        <v>1.8997055638283471E-3</v>
      </c>
      <c r="AI189" s="6">
        <f>Tabla2[[#This Row],[Deforestation 2014]]/Tabla2[[#This Row],[Forest cover 2011]]</f>
        <v>1.3728509543793148E-3</v>
      </c>
      <c r="AJ189" s="6">
        <f>Tabla2[[#This Row],[Deforestation 2015]]/Tabla2[[#This Row],[Forest cover 2011]]</f>
        <v>1.2619297414376606E-3</v>
      </c>
      <c r="AK189" s="6">
        <f>Tabla2[[#This Row],[Deforestation 2016]]/Tabla2[[#This Row],[Forest cover 2011]]</f>
        <v>2.1020881277920675E-3</v>
      </c>
      <c r="AL189" s="6">
        <f>Tabla2[[#This Row],[Deforestation 2017]]/Tabla2[[#This Row],[Forest cover 2011]]</f>
        <v>2.3236767293894683E-3</v>
      </c>
      <c r="AM189" s="6">
        <f>Tabla2[[#This Row],[Deforestation 2018]]/Tabla2[[#This Row],[Forest cover 2011]]</f>
        <v>1.4631277920671448E-3</v>
      </c>
      <c r="AN189" s="6">
        <f>Tabla2[[#This Row],[Deforestation 2019]]/Tabla2[[#This Row],[Forest cover 2011]]</f>
        <v>1.2820664681196697E-3</v>
      </c>
      <c r="AO189" s="6">
        <f>Tabla2[[#This Row],[Deforestation 2020]]/Tabla2[[#This Row],[Forest cover 2011]]</f>
        <v>1.6457120617300663E-3</v>
      </c>
      <c r="AP189" s="6">
        <f>Tabla2[[#This Row],[Deforestation 2021]]/Tabla2[[#This Row],[Forest cover 2011]]</f>
        <v>3.2376979829430081E-3</v>
      </c>
      <c r="AQ189" s="6">
        <f>Tabla2[[#This Row],[Deforestation 2022]]/Tabla2[[#This Row],[Forest cover 2011]]</f>
        <v>1.1360328956274536E-3</v>
      </c>
      <c r="AR189" s="6">
        <f>Tabla2[[#This Row],[Deforestation 2023]]/Tabla2[[#This Row],[Forest cover 2011]]</f>
        <v>1.7593407337214025E-3</v>
      </c>
      <c r="AS189" s="6">
        <f>Tabla2[[#This Row],[Deforestation 2024]]/Tabla2[[#This Row],[Forest cover 2011]]</f>
        <v>1.2852815757411669E-3</v>
      </c>
      <c r="AT189" s="6">
        <f>Tabla2[[#This Row],[Forest Loss 2012]]/Tabla2[[#This Row],[Forest cover 2011]]</f>
        <v>5.839819953973196E-3</v>
      </c>
      <c r="AU189" s="6">
        <f>Tabla2[[#This Row],[Forest Loss 2013]]/Tabla2[[#This Row],[Forest cover 2011]]</f>
        <v>3.1316840395289023E-3</v>
      </c>
      <c r="AV189" s="6">
        <f>Tabla2[[#This Row],[Forest Loss 2014]]/Tabla2[[#This Row],[Forest cover 2011]]</f>
        <v>5.5013029646676596E-3</v>
      </c>
      <c r="AW189" s="6">
        <f>Tabla2[[#This Row],[Forest Loss 2015]]/Tabla2[[#This Row],[Forest cover 2011]]</f>
        <v>2.1383003925815624E-3</v>
      </c>
      <c r="AX189" s="6">
        <f>Tabla2[[#This Row],[Forest Loss 2016]]/Tabla2[[#This Row],[Forest cover 2011]]</f>
        <v>2.8165188845268719E-3</v>
      </c>
      <c r="AY189" s="6">
        <f>Tabla2[[#This Row],[Forest Loss 2017]]/Tabla2[[#This Row],[Forest cover 2011]]</f>
        <v>2.8686374712332476E-3</v>
      </c>
      <c r="AZ189" s="6">
        <f>Tabla2[[#This Row],[Forest Loss 2018]]/Tabla2[[#This Row],[Forest cover 2011]]</f>
        <v>1.9629078110193583E-3</v>
      </c>
      <c r="BA189" s="6">
        <f>Tabla2[[#This Row],[Forest Loss 2019]]/Tabla2[[#This Row],[Forest cover 2011]]</f>
        <v>2.0272945715446053E-3</v>
      </c>
      <c r="BB189" s="6">
        <f>Tabla2[[#This Row],[Forest Loss 2020]]/Tabla2[[#This Row],[Forest cover 2011]]</f>
        <v>2.2345844050358737E-3</v>
      </c>
      <c r="BC189" s="6">
        <f>Tabla2[[#This Row],[Forest Loss 2021]]/Tabla2[[#This Row],[Forest cover 2011]]</f>
        <v>3.5295113036415324E-3</v>
      </c>
      <c r="BD189" s="6">
        <f>Tabla2[[#This Row],[Forest Loss 2022]]/Tabla2[[#This Row],[Forest cover 2011]]</f>
        <v>1.3137098957628267E-3</v>
      </c>
      <c r="BE189" s="6">
        <f>Tabla2[[#This Row],[Forest Loss 2023]]/Tabla2[[#This Row],[Forest cover 2011]]</f>
        <v>2.651194666305672E-3</v>
      </c>
      <c r="BF189" s="6">
        <f>Tabla2[[#This Row],[Forest Loss 2024]]/Tabla2[[#This Row],[Forest cover 2011]]</f>
        <v>2.261151346960877E-3</v>
      </c>
    </row>
    <row r="190" spans="1:58" x14ac:dyDescent="0.25">
      <c r="A190" s="2">
        <v>70802</v>
      </c>
      <c r="B190" s="3" t="s">
        <v>310</v>
      </c>
      <c r="C190" t="s">
        <v>339</v>
      </c>
      <c r="D190">
        <v>24363.9</v>
      </c>
      <c r="E190" s="4">
        <f>AVERAGE(Tabla2[[#This Row],[Deforestation 2012]:[Deforestation 2014]])</f>
        <v>61.199999999999996</v>
      </c>
      <c r="F190" s="4">
        <f>AVERAGE(Tabla2[[#This Row],[Deforestation 2022]:[Deforestation 2024]])</f>
        <v>137.66999999999999</v>
      </c>
      <c r="G190">
        <v>59.67</v>
      </c>
      <c r="H190">
        <v>74.34</v>
      </c>
      <c r="I190">
        <v>49.59</v>
      </c>
      <c r="J190">
        <v>59.67</v>
      </c>
      <c r="K190">
        <v>109.62</v>
      </c>
      <c r="L190">
        <v>101.79</v>
      </c>
      <c r="M190">
        <v>69.209999999999994</v>
      </c>
      <c r="N190">
        <v>52.92</v>
      </c>
      <c r="O190">
        <v>34.65</v>
      </c>
      <c r="P190">
        <v>37.53</v>
      </c>
      <c r="Q190">
        <v>125.64</v>
      </c>
      <c r="R190">
        <v>239.85</v>
      </c>
      <c r="S190">
        <v>47.52</v>
      </c>
      <c r="T190">
        <v>108.81</v>
      </c>
      <c r="U190">
        <v>111.96</v>
      </c>
      <c r="V190">
        <v>193.05</v>
      </c>
      <c r="W190">
        <v>85.59</v>
      </c>
      <c r="X190">
        <v>123.12</v>
      </c>
      <c r="Y190">
        <v>133.47</v>
      </c>
      <c r="Z190">
        <v>88.83</v>
      </c>
      <c r="AA190">
        <v>77.759999999999991</v>
      </c>
      <c r="AB190">
        <v>46.62</v>
      </c>
      <c r="AC190">
        <v>63.09</v>
      </c>
      <c r="AD190">
        <v>157.77000000000001</v>
      </c>
      <c r="AE190">
        <v>269.27999999999997</v>
      </c>
      <c r="AF190">
        <v>48.69</v>
      </c>
      <c r="AG190" s="5">
        <f>Tabla2[[#This Row],[Deforestation 2012]]/Tabla2[[#This Row],[Forest cover 2011]]</f>
        <v>2.449115289424107E-3</v>
      </c>
      <c r="AH190" s="6">
        <f>Tabla2[[#This Row],[Deforestation 2013]]/Tabla2[[#This Row],[Forest cover 2011]]</f>
        <v>3.0512356396143474E-3</v>
      </c>
      <c r="AI190" s="6">
        <f>Tabla2[[#This Row],[Deforestation 2014]]/Tabla2[[#This Row],[Forest cover 2011]]</f>
        <v>2.035388423035721E-3</v>
      </c>
      <c r="AJ190" s="6">
        <f>Tabla2[[#This Row],[Deforestation 2015]]/Tabla2[[#This Row],[Forest cover 2011]]</f>
        <v>2.449115289424107E-3</v>
      </c>
      <c r="AK190" s="6">
        <f>Tabla2[[#This Row],[Deforestation 2016]]/Tabla2[[#This Row],[Forest cover 2011]]</f>
        <v>4.499279671973699E-3</v>
      </c>
      <c r="AL190" s="6">
        <f>Tabla2[[#This Row],[Deforestation 2017]]/Tabla2[[#This Row],[Forest cover 2011]]</f>
        <v>4.1779025525470062E-3</v>
      </c>
      <c r="AM190" s="6">
        <f>Tabla2[[#This Row],[Deforestation 2018]]/Tabla2[[#This Row],[Forest cover 2011]]</f>
        <v>2.8406782165416862E-3</v>
      </c>
      <c r="AN190" s="6">
        <f>Tabla2[[#This Row],[Deforestation 2019]]/Tabla2[[#This Row],[Forest cover 2011]]</f>
        <v>2.1720660485390268E-3</v>
      </c>
      <c r="AO190" s="6">
        <f>Tabla2[[#This Row],[Deforestation 2020]]/Tabla2[[#This Row],[Forest cover 2011]]</f>
        <v>1.422186103210077E-3</v>
      </c>
      <c r="AP190" s="6">
        <f>Tabla2[[#This Row],[Deforestation 2021]]/Tabla2[[#This Row],[Forest cover 2011]]</f>
        <v>1.5403937793210447E-3</v>
      </c>
      <c r="AQ190" s="6">
        <f>Tabla2[[#This Row],[Deforestation 2022]]/Tabla2[[#This Row],[Forest cover 2011]]</f>
        <v>5.1568098703409547E-3</v>
      </c>
      <c r="AR190" s="6">
        <f>Tabla2[[#This Row],[Deforestation 2023]]/Tabla2[[#This Row],[Forest cover 2011]]</f>
        <v>9.8444830261165076E-3</v>
      </c>
      <c r="AS190" s="6">
        <f>Tabla2[[#This Row],[Deforestation 2024]]/Tabla2[[#This Row],[Forest cover 2011]]</f>
        <v>1.950426655830963E-3</v>
      </c>
      <c r="AT190" s="6">
        <f>Tabla2[[#This Row],[Forest Loss 2012]]/Tabla2[[#This Row],[Forest cover 2011]]</f>
        <v>4.4660337630674889E-3</v>
      </c>
      <c r="AU190" s="6">
        <f>Tabla2[[#This Row],[Forest Loss 2013]]/Tabla2[[#This Row],[Forest cover 2011]]</f>
        <v>4.5953234088138596E-3</v>
      </c>
      <c r="AV190" s="6">
        <f>Tabla2[[#This Row],[Forest Loss 2014]]/Tabla2[[#This Row],[Forest cover 2011]]</f>
        <v>7.9236082893132873E-3</v>
      </c>
      <c r="AW190" s="6">
        <f>Tabla2[[#This Row],[Forest Loss 2015]]/Tabla2[[#This Row],[Forest cover 2011]]</f>
        <v>3.5129843744228142E-3</v>
      </c>
      <c r="AX190" s="6">
        <f>Tabla2[[#This Row],[Forest Loss 2016]]/Tabla2[[#This Row],[Forest cover 2011]]</f>
        <v>5.0533781537438587E-3</v>
      </c>
      <c r="AY190" s="6">
        <f>Tabla2[[#This Row],[Forest Loss 2017]]/Tabla2[[#This Row],[Forest cover 2011]]</f>
        <v>5.4781869897676475E-3</v>
      </c>
      <c r="AZ190" s="6">
        <f>Tabla2[[#This Row],[Forest Loss 2018]]/Tabla2[[#This Row],[Forest cover 2011]]</f>
        <v>3.6459680100476522E-3</v>
      </c>
      <c r="BA190" s="6">
        <f>Tabla2[[#This Row],[Forest Loss 2019]]/Tabla2[[#This Row],[Forest cover 2011]]</f>
        <v>3.191607254996121E-3</v>
      </c>
      <c r="BB190" s="6">
        <f>Tabla2[[#This Row],[Forest Loss 2020]]/Tabla2[[#This Row],[Forest cover 2011]]</f>
        <v>1.9134867570462855E-3</v>
      </c>
      <c r="BC190" s="6">
        <f>Tabla2[[#This Row],[Forest Loss 2021]]/Tabla2[[#This Row],[Forest cover 2011]]</f>
        <v>2.5894869048058806E-3</v>
      </c>
      <c r="BD190" s="6">
        <f>Tabla2[[#This Row],[Forest Loss 2022]]/Tabla2[[#This Row],[Forest cover 2011]]</f>
        <v>6.4755642569539361E-3</v>
      </c>
      <c r="BE190" s="6">
        <f>Tabla2[[#This Row],[Forest Loss 2023]]/Tabla2[[#This Row],[Forest cover 2011]]</f>
        <v>1.1052417716375456E-2</v>
      </c>
      <c r="BF190" s="6">
        <f>Tabla2[[#This Row],[Forest Loss 2024]]/Tabla2[[#This Row],[Forest cover 2011]]</f>
        <v>1.9984485242510435E-3</v>
      </c>
    </row>
    <row r="191" spans="1:58" x14ac:dyDescent="0.25">
      <c r="A191" s="2">
        <v>30202</v>
      </c>
      <c r="B191" s="3" t="s">
        <v>176</v>
      </c>
      <c r="C191" t="s">
        <v>178</v>
      </c>
      <c r="D191">
        <v>73071.45</v>
      </c>
      <c r="E191" s="4">
        <f>AVERAGE(Tabla2[[#This Row],[Deforestation 2012]:[Deforestation 2014]])</f>
        <v>19.919999999999998</v>
      </c>
      <c r="F191" s="4">
        <f>AVERAGE(Tabla2[[#This Row],[Deforestation 2022]:[Deforestation 2024]])</f>
        <v>79.86</v>
      </c>
      <c r="G191">
        <v>16.47</v>
      </c>
      <c r="H191">
        <v>11.61</v>
      </c>
      <c r="I191">
        <v>31.68</v>
      </c>
      <c r="J191">
        <v>10.62</v>
      </c>
      <c r="K191">
        <v>10.53</v>
      </c>
      <c r="L191">
        <v>5.4</v>
      </c>
      <c r="M191">
        <v>12.78</v>
      </c>
      <c r="N191">
        <v>9.09</v>
      </c>
      <c r="O191">
        <v>15.21</v>
      </c>
      <c r="P191">
        <v>2.25</v>
      </c>
      <c r="Q191">
        <v>17.46</v>
      </c>
      <c r="R191">
        <v>108.54</v>
      </c>
      <c r="S191">
        <v>113.58</v>
      </c>
      <c r="T191">
        <v>106.2</v>
      </c>
      <c r="U191">
        <v>161.28</v>
      </c>
      <c r="V191">
        <v>1041.3</v>
      </c>
      <c r="W191">
        <v>98.1</v>
      </c>
      <c r="X191">
        <v>81.36</v>
      </c>
      <c r="Y191">
        <v>81.72</v>
      </c>
      <c r="Z191">
        <v>66.87</v>
      </c>
      <c r="AA191">
        <v>218.79</v>
      </c>
      <c r="AB191">
        <v>244.26</v>
      </c>
      <c r="AC191">
        <v>3.06</v>
      </c>
      <c r="AD191">
        <v>43.83</v>
      </c>
      <c r="AE191">
        <v>282.24</v>
      </c>
      <c r="AF191">
        <v>142.74</v>
      </c>
      <c r="AG191" s="5">
        <f>Tabla2[[#This Row],[Deforestation 2012]]/Tabla2[[#This Row],[Forest cover 2011]]</f>
        <v>2.253958283296691E-4</v>
      </c>
      <c r="AH191" s="6">
        <f>Tabla2[[#This Row],[Deforestation 2013]]/Tabla2[[#This Row],[Forest cover 2011]]</f>
        <v>1.5888558390452084E-4</v>
      </c>
      <c r="AI191" s="6">
        <f>Tabla2[[#This Row],[Deforestation 2014]]/Tabla2[[#This Row],[Forest cover 2011]]</f>
        <v>4.3354825995652204E-4</v>
      </c>
      <c r="AJ191" s="6">
        <f>Tabla2[[#This Row],[Deforestation 2015]]/Tabla2[[#This Row],[Forest cover 2011]]</f>
        <v>1.4533720078087952E-4</v>
      </c>
      <c r="AK191" s="6">
        <f>Tabla2[[#This Row],[Deforestation 2016]]/Tabla2[[#This Row],[Forest cover 2011]]</f>
        <v>1.4410552958782125E-4</v>
      </c>
      <c r="AL191" s="6">
        <f>Tabla2[[#This Row],[Deforestation 2017]]/Tabla2[[#This Row],[Forest cover 2011]]</f>
        <v>7.3900271583498075E-5</v>
      </c>
      <c r="AM191" s="6">
        <f>Tabla2[[#This Row],[Deforestation 2018]]/Tabla2[[#This Row],[Forest cover 2011]]</f>
        <v>1.7489730941427876E-4</v>
      </c>
      <c r="AN191" s="6">
        <f>Tabla2[[#This Row],[Deforestation 2019]]/Tabla2[[#This Row],[Forest cover 2011]]</f>
        <v>1.2439879049888842E-4</v>
      </c>
      <c r="AO191" s="6">
        <f>Tabla2[[#This Row],[Deforestation 2020]]/Tabla2[[#This Row],[Forest cover 2011]]</f>
        <v>2.0815243162685291E-4</v>
      </c>
      <c r="AP191" s="6">
        <f>Tabla2[[#This Row],[Deforestation 2021]]/Tabla2[[#This Row],[Forest cover 2011]]</f>
        <v>3.0791779826457529E-5</v>
      </c>
      <c r="AQ191" s="6">
        <f>Tabla2[[#This Row],[Deforestation 2022]]/Tabla2[[#This Row],[Forest cover 2011]]</f>
        <v>2.3894421145331045E-4</v>
      </c>
      <c r="AR191" s="6">
        <f>Tabla2[[#This Row],[Deforestation 2023]]/Tabla2[[#This Row],[Forest cover 2011]]</f>
        <v>1.4853954588283113E-3</v>
      </c>
      <c r="AS191" s="6">
        <f>Tabla2[[#This Row],[Deforestation 2024]]/Tabla2[[#This Row],[Forest cover 2011]]</f>
        <v>1.554369045639576E-3</v>
      </c>
      <c r="AT191" s="6">
        <f>Tabla2[[#This Row],[Forest Loss 2012]]/Tabla2[[#This Row],[Forest cover 2011]]</f>
        <v>1.4533720078087954E-3</v>
      </c>
      <c r="AU191" s="6">
        <f>Tabla2[[#This Row],[Forest Loss 2013]]/Tabla2[[#This Row],[Forest cover 2011]]</f>
        <v>2.2071547779604758E-3</v>
      </c>
      <c r="AV191" s="6">
        <f>Tabla2[[#This Row],[Forest Loss 2014]]/Tabla2[[#This Row],[Forest cover 2011]]</f>
        <v>1.4250435703684543E-2</v>
      </c>
      <c r="AW191" s="6">
        <f>Tabla2[[#This Row],[Forest Loss 2015]]/Tabla2[[#This Row],[Forest cover 2011]]</f>
        <v>1.3425216004335483E-3</v>
      </c>
      <c r="AX191" s="6">
        <f>Tabla2[[#This Row],[Forest Loss 2016]]/Tabla2[[#This Row],[Forest cover 2011]]</f>
        <v>1.1134307585247043E-3</v>
      </c>
      <c r="AY191" s="6">
        <f>Tabla2[[#This Row],[Forest Loss 2017]]/Tabla2[[#This Row],[Forest cover 2011]]</f>
        <v>1.1183574432969375E-3</v>
      </c>
      <c r="AZ191" s="6">
        <f>Tabla2[[#This Row],[Forest Loss 2018]]/Tabla2[[#This Row],[Forest cover 2011]]</f>
        <v>9.151316964423179E-4</v>
      </c>
      <c r="BA191" s="6">
        <f>Tabla2[[#This Row],[Forest Loss 2019]]/Tabla2[[#This Row],[Forest cover 2011]]</f>
        <v>2.9941926703247303E-3</v>
      </c>
      <c r="BB191" s="6">
        <f>Tabla2[[#This Row],[Forest Loss 2020]]/Tabla2[[#This Row],[Forest cover 2011]]</f>
        <v>3.3427556179602292E-3</v>
      </c>
      <c r="BC191" s="6">
        <f>Tabla2[[#This Row],[Forest Loss 2021]]/Tabla2[[#This Row],[Forest cover 2011]]</f>
        <v>4.1876820563982244E-5</v>
      </c>
      <c r="BD191" s="6">
        <f>Tabla2[[#This Row],[Forest Loss 2022]]/Tabla2[[#This Row],[Forest cover 2011]]</f>
        <v>5.9982387101939266E-4</v>
      </c>
      <c r="BE191" s="6">
        <f>Tabla2[[#This Row],[Forest Loss 2023]]/Tabla2[[#This Row],[Forest cover 2011]]</f>
        <v>3.8625208614308328E-3</v>
      </c>
      <c r="BF191" s="6">
        <f>Tabla2[[#This Row],[Forest Loss 2024]]/Tabla2[[#This Row],[Forest cover 2011]]</f>
        <v>1.9534305121904657E-3</v>
      </c>
    </row>
    <row r="192" spans="1:58" x14ac:dyDescent="0.25">
      <c r="A192" s="2">
        <v>90302</v>
      </c>
      <c r="B192" s="3" t="s">
        <v>384</v>
      </c>
      <c r="C192" t="s">
        <v>308</v>
      </c>
      <c r="D192">
        <v>286931.43</v>
      </c>
      <c r="E192" s="4">
        <f>AVERAGE(Tabla2[[#This Row],[Deforestation 2012]:[Deforestation 2014]])</f>
        <v>299.45999999999998</v>
      </c>
      <c r="F192" s="4">
        <f>AVERAGE(Tabla2[[#This Row],[Deforestation 2022]:[Deforestation 2024]])</f>
        <v>221.18999999999997</v>
      </c>
      <c r="G192">
        <v>276.57</v>
      </c>
      <c r="H192">
        <v>280.52999999999997</v>
      </c>
      <c r="I192">
        <v>341.28</v>
      </c>
      <c r="J192">
        <v>250.56</v>
      </c>
      <c r="K192">
        <v>248.49</v>
      </c>
      <c r="L192">
        <v>545.13</v>
      </c>
      <c r="M192">
        <v>328.23</v>
      </c>
      <c r="N192">
        <v>237.33</v>
      </c>
      <c r="O192">
        <v>476.18999999999988</v>
      </c>
      <c r="P192">
        <v>637.20000000000005</v>
      </c>
      <c r="Q192">
        <v>152.28</v>
      </c>
      <c r="R192">
        <v>240.48</v>
      </c>
      <c r="S192">
        <v>270.81</v>
      </c>
      <c r="T192">
        <v>1417.59</v>
      </c>
      <c r="U192">
        <v>926.18999999999994</v>
      </c>
      <c r="V192">
        <v>2246.04</v>
      </c>
      <c r="W192">
        <v>790.47</v>
      </c>
      <c r="X192">
        <v>587.79</v>
      </c>
      <c r="Y192">
        <v>820.53</v>
      </c>
      <c r="Z192">
        <v>556.20000000000005</v>
      </c>
      <c r="AA192">
        <v>585.09</v>
      </c>
      <c r="AB192">
        <v>764.81999999999994</v>
      </c>
      <c r="AC192">
        <v>885.24</v>
      </c>
      <c r="AD192">
        <v>270.36</v>
      </c>
      <c r="AE192">
        <v>738.36</v>
      </c>
      <c r="AF192">
        <v>528.93000000000006</v>
      </c>
      <c r="AG192" s="5">
        <f>Tabla2[[#This Row],[Deforestation 2012]]/Tabla2[[#This Row],[Forest cover 2011]]</f>
        <v>9.6388882876999565E-4</v>
      </c>
      <c r="AH192" s="6">
        <f>Tabla2[[#This Row],[Deforestation 2013]]/Tabla2[[#This Row],[Forest cover 2011]]</f>
        <v>9.7769003556006382E-4</v>
      </c>
      <c r="AI192" s="6">
        <f>Tabla2[[#This Row],[Deforestation 2014]]/Tabla2[[#This Row],[Forest cover 2011]]</f>
        <v>1.1894130942713386E-3</v>
      </c>
      <c r="AJ192" s="6">
        <f>Tabla2[[#This Row],[Deforestation 2015]]/Tabla2[[#This Row],[Forest cover 2011]]</f>
        <v>8.7323999326250181E-4</v>
      </c>
      <c r="AK192" s="6">
        <f>Tabla2[[#This Row],[Deforestation 2016]]/Tabla2[[#This Row],[Forest cover 2011]]</f>
        <v>8.6602572607678428E-4</v>
      </c>
      <c r="AL192" s="6">
        <f>Tabla2[[#This Row],[Deforestation 2017]]/Tabla2[[#This Row],[Forest cover 2011]]</f>
        <v>1.8998615801691715E-3</v>
      </c>
      <c r="AM192" s="6">
        <f>Tabla2[[#This Row],[Deforestation 2018]]/Tabla2[[#This Row],[Forest cover 2011]]</f>
        <v>1.1439318446222501E-3</v>
      </c>
      <c r="AN192" s="6">
        <f>Tabla2[[#This Row],[Deforestation 2019]]/Tabla2[[#This Row],[Forest cover 2011]]</f>
        <v>8.2713141603204642E-4</v>
      </c>
      <c r="AO192" s="6">
        <f>Tabla2[[#This Row],[Deforestation 2020]]/Tabla2[[#This Row],[Forest cover 2011]]</f>
        <v>1.6595951165057096E-3</v>
      </c>
      <c r="AP192" s="6">
        <f>Tabla2[[#This Row],[Deforestation 2021]]/Tabla2[[#This Row],[Forest cover 2011]]</f>
        <v>2.2207396380382592E-3</v>
      </c>
      <c r="AQ192" s="6">
        <f>Tabla2[[#This Row],[Deforestation 2022]]/Tabla2[[#This Row],[Forest cover 2011]]</f>
        <v>5.3071913383626187E-4</v>
      </c>
      <c r="AR192" s="6">
        <f>Tabla2[[#This Row],[Deforestation 2023]]/Tabla2[[#This Row],[Forest cover 2011]]</f>
        <v>8.3810964870596435E-4</v>
      </c>
      <c r="AS192" s="6">
        <f>Tabla2[[#This Row],[Deforestation 2024]]/Tabla2[[#This Row],[Forest cover 2011]]</f>
        <v>9.4381434616626E-4</v>
      </c>
      <c r="AT192" s="6">
        <f>Tabla2[[#This Row],[Forest Loss 2012]]/Tabla2[[#This Row],[Forest cover 2011]]</f>
        <v>4.9405183670537586E-3</v>
      </c>
      <c r="AU192" s="6">
        <f>Tabla2[[#This Row],[Forest Loss 2013]]/Tabla2[[#This Row],[Forest cover 2011]]</f>
        <v>3.2279140699225596E-3</v>
      </c>
      <c r="AV192" s="6">
        <f>Tabla2[[#This Row],[Forest Loss 2014]]/Tabla2[[#This Row],[Forest cover 2011]]</f>
        <v>7.8277935602941787E-3</v>
      </c>
      <c r="AW192" s="6">
        <f>Tabla2[[#This Row],[Forest Loss 2015]]/Tabla2[[#This Row],[Forest cover 2011]]</f>
        <v>2.754909073572038E-3</v>
      </c>
      <c r="AX192" s="6">
        <f>Tabla2[[#This Row],[Forest Loss 2016]]/Tabla2[[#This Row],[Forest cover 2011]]</f>
        <v>2.0485382169530887E-3</v>
      </c>
      <c r="AY192" s="6">
        <f>Tabla2[[#This Row],[Forest Loss 2017]]/Tabla2[[#This Row],[Forest cover 2011]]</f>
        <v>2.8596727796602831E-3</v>
      </c>
      <c r="AZ192" s="6">
        <f>Tabla2[[#This Row],[Forest Loss 2018]]/Tabla2[[#This Row],[Forest cover 2011]]</f>
        <v>1.9384422264232262E-3</v>
      </c>
      <c r="BA192" s="6">
        <f>Tabla2[[#This Row],[Forest Loss 2019]]/Tabla2[[#This Row],[Forest cover 2011]]</f>
        <v>2.0391283032325878E-3</v>
      </c>
      <c r="BB192" s="6">
        <f>Tabla2[[#This Row],[Forest Loss 2020]]/Tabla2[[#This Row],[Forest cover 2011]]</f>
        <v>2.6655148932272772E-3</v>
      </c>
      <c r="BC192" s="6">
        <f>Tabla2[[#This Row],[Forest Loss 2021]]/Tabla2[[#This Row],[Forest cover 2011]]</f>
        <v>3.0851970451616262E-3</v>
      </c>
      <c r="BD192" s="6">
        <f>Tabla2[[#This Row],[Forest Loss 2022]]/Tabla2[[#This Row],[Forest cover 2011]]</f>
        <v>9.4224602721284319E-4</v>
      </c>
      <c r="BE192" s="6">
        <f>Tabla2[[#This Row],[Forest Loss 2023]]/Tabla2[[#This Row],[Forest cover 2011]]</f>
        <v>2.5732977387663667E-3</v>
      </c>
      <c r="BF192" s="6">
        <f>Tabla2[[#This Row],[Forest Loss 2024]]/Tabla2[[#This Row],[Forest cover 2011]]</f>
        <v>1.843402097846165E-3</v>
      </c>
    </row>
    <row r="193" spans="1:58" x14ac:dyDescent="0.25">
      <c r="A193" s="2">
        <v>10405</v>
      </c>
      <c r="B193" s="3" t="s">
        <v>58</v>
      </c>
      <c r="C193" t="s">
        <v>72</v>
      </c>
      <c r="D193">
        <v>50038.29</v>
      </c>
      <c r="E193" s="4">
        <f>AVERAGE(Tabla2[[#This Row],[Deforestation 2012]:[Deforestation 2014]])</f>
        <v>46.04999999999999</v>
      </c>
      <c r="F193" s="4">
        <f>AVERAGE(Tabla2[[#This Row],[Deforestation 2022]:[Deforestation 2024]])</f>
        <v>144</v>
      </c>
      <c r="G193">
        <v>25.74</v>
      </c>
      <c r="H193">
        <v>59.58</v>
      </c>
      <c r="I193">
        <v>52.83</v>
      </c>
      <c r="J193">
        <v>29.34</v>
      </c>
      <c r="K193">
        <v>35.19</v>
      </c>
      <c r="L193">
        <v>30.33</v>
      </c>
      <c r="M193">
        <v>59.04</v>
      </c>
      <c r="N193">
        <v>43.47</v>
      </c>
      <c r="O193">
        <v>58.86</v>
      </c>
      <c r="P193">
        <v>37.26</v>
      </c>
      <c r="Q193">
        <v>39.6</v>
      </c>
      <c r="R193">
        <v>309.06</v>
      </c>
      <c r="S193">
        <v>83.34</v>
      </c>
      <c r="T193">
        <v>55.8</v>
      </c>
      <c r="U193">
        <v>89.1</v>
      </c>
      <c r="V193">
        <v>444.15</v>
      </c>
      <c r="W193">
        <v>46.35</v>
      </c>
      <c r="X193">
        <v>50.85</v>
      </c>
      <c r="Y193">
        <v>41.58</v>
      </c>
      <c r="Z193">
        <v>73.17</v>
      </c>
      <c r="AA193">
        <v>95.399999999999991</v>
      </c>
      <c r="AB193">
        <v>76.949999999999989</v>
      </c>
      <c r="AC193">
        <v>84.24</v>
      </c>
      <c r="AD193">
        <v>100.8</v>
      </c>
      <c r="AE193">
        <v>365.31</v>
      </c>
      <c r="AF193">
        <v>91.08</v>
      </c>
      <c r="AG193" s="5">
        <f>Tabla2[[#This Row],[Deforestation 2012]]/Tabla2[[#This Row],[Forest cover 2011]]</f>
        <v>5.1440606783325325E-4</v>
      </c>
      <c r="AH193" s="6">
        <f>Tabla2[[#This Row],[Deforestation 2013]]/Tabla2[[#This Row],[Forest cover 2011]]</f>
        <v>1.1906881709986491E-3</v>
      </c>
      <c r="AI193" s="6">
        <f>Tabla2[[#This Row],[Deforestation 2014]]/Tabla2[[#This Row],[Forest cover 2011]]</f>
        <v>1.0557914748885303E-3</v>
      </c>
      <c r="AJ193" s="6">
        <f>Tabla2[[#This Row],[Deforestation 2015]]/Tabla2[[#This Row],[Forest cover 2011]]</f>
        <v>5.8635097242531672E-4</v>
      </c>
      <c r="AK193" s="6">
        <f>Tabla2[[#This Row],[Deforestation 2016]]/Tabla2[[#This Row],[Forest cover 2011]]</f>
        <v>7.0326144238741961E-4</v>
      </c>
      <c r="AL193" s="6">
        <f>Tabla2[[#This Row],[Deforestation 2017]]/Tabla2[[#This Row],[Forest cover 2011]]</f>
        <v>6.0613582118813404E-4</v>
      </c>
      <c r="AM193" s="6">
        <f>Tabla2[[#This Row],[Deforestation 2018]]/Tabla2[[#This Row],[Forest cover 2011]]</f>
        <v>1.1798964353098398E-3</v>
      </c>
      <c r="AN193" s="6">
        <f>Tabla2[[#This Row],[Deforestation 2019]]/Tabla2[[#This Row],[Forest cover 2011]]</f>
        <v>8.6873472294916551E-4</v>
      </c>
      <c r="AO193" s="6">
        <f>Tabla2[[#This Row],[Deforestation 2020]]/Tabla2[[#This Row],[Forest cover 2011]]</f>
        <v>1.1762991900802365E-3</v>
      </c>
      <c r="AP193" s="6">
        <f>Tabla2[[#This Row],[Deforestation 2021]]/Tabla2[[#This Row],[Forest cover 2011]]</f>
        <v>7.4462976252785609E-4</v>
      </c>
      <c r="AQ193" s="6">
        <f>Tabla2[[#This Row],[Deforestation 2022]]/Tabla2[[#This Row],[Forest cover 2011]]</f>
        <v>7.9139395051269735E-4</v>
      </c>
      <c r="AR193" s="6">
        <f>Tabla2[[#This Row],[Deforestation 2023]]/Tabla2[[#This Row],[Forest cover 2011]]</f>
        <v>6.1764700592286427E-3</v>
      </c>
      <c r="AS193" s="6">
        <f>Tabla2[[#This Row],[Deforestation 2024]]/Tabla2[[#This Row],[Forest cover 2011]]</f>
        <v>1.6655245413062676E-3</v>
      </c>
      <c r="AT193" s="6">
        <f>Tabla2[[#This Row],[Forest Loss 2012]]/Tabla2[[#This Row],[Forest cover 2011]]</f>
        <v>1.1151460211769825E-3</v>
      </c>
      <c r="AU193" s="6">
        <f>Tabla2[[#This Row],[Forest Loss 2013]]/Tabla2[[#This Row],[Forest cover 2011]]</f>
        <v>1.7806363886535689E-3</v>
      </c>
      <c r="AV193" s="6">
        <f>Tabla2[[#This Row],[Forest Loss 2014]]/Tabla2[[#This Row],[Forest cover 2011]]</f>
        <v>8.8762026040458217E-3</v>
      </c>
      <c r="AW193" s="6">
        <f>Tabla2[[#This Row],[Forest Loss 2015]]/Tabla2[[#This Row],[Forest cover 2011]]</f>
        <v>9.2629064662281624E-4</v>
      </c>
      <c r="AX193" s="6">
        <f>Tabla2[[#This Row],[Forest Loss 2016]]/Tabla2[[#This Row],[Forest cover 2011]]</f>
        <v>1.0162217773628955E-3</v>
      </c>
      <c r="AY193" s="6">
        <f>Tabla2[[#This Row],[Forest Loss 2017]]/Tabla2[[#This Row],[Forest cover 2011]]</f>
        <v>8.3096364803833219E-4</v>
      </c>
      <c r="AZ193" s="6">
        <f>Tabla2[[#This Row],[Forest Loss 2018]]/Tabla2[[#This Row],[Forest cover 2011]]</f>
        <v>1.4622801858336885E-3</v>
      </c>
      <c r="BA193" s="6">
        <f>Tabla2[[#This Row],[Forest Loss 2019]]/Tabla2[[#This Row],[Forest cover 2011]]</f>
        <v>1.9065399716896797E-3</v>
      </c>
      <c r="BB193" s="6">
        <f>Tabla2[[#This Row],[Forest Loss 2020]]/Tabla2[[#This Row],[Forest cover 2011]]</f>
        <v>1.537822335655355E-3</v>
      </c>
      <c r="BC193" s="6">
        <f>Tabla2[[#This Row],[Forest Loss 2021]]/Tabla2[[#This Row],[Forest cover 2011]]</f>
        <v>1.6835107674542833E-3</v>
      </c>
      <c r="BD193" s="6">
        <f>Tabla2[[#This Row],[Forest Loss 2022]]/Tabla2[[#This Row],[Forest cover 2011]]</f>
        <v>2.0144573285777751E-3</v>
      </c>
      <c r="BE193" s="6">
        <f>Tabla2[[#This Row],[Forest Loss 2023]]/Tabla2[[#This Row],[Forest cover 2011]]</f>
        <v>7.3006091934796329E-3</v>
      </c>
      <c r="BF193" s="6">
        <f>Tabla2[[#This Row],[Forest Loss 2024]]/Tabla2[[#This Row],[Forest cover 2011]]</f>
        <v>1.820206086179204E-3</v>
      </c>
    </row>
    <row r="194" spans="1:58" x14ac:dyDescent="0.25">
      <c r="A194" s="2">
        <v>21602</v>
      </c>
      <c r="B194" s="3" t="s">
        <v>88</v>
      </c>
      <c r="C194" t="s">
        <v>165</v>
      </c>
      <c r="D194">
        <v>8584.74</v>
      </c>
      <c r="E194" s="4">
        <f>AVERAGE(Tabla2[[#This Row],[Deforestation 2012]:[Deforestation 2014]])</f>
        <v>0.42</v>
      </c>
      <c r="F194" s="4">
        <f>AVERAGE(Tabla2[[#This Row],[Deforestation 2022]:[Deforestation 2024]])</f>
        <v>7.080000000000001</v>
      </c>
      <c r="G194">
        <v>0</v>
      </c>
      <c r="H194">
        <v>0.99</v>
      </c>
      <c r="I194">
        <v>0.27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0.09</v>
      </c>
      <c r="P194">
        <v>0</v>
      </c>
      <c r="Q194">
        <v>0.45</v>
      </c>
      <c r="R194">
        <v>14.31</v>
      </c>
      <c r="S194">
        <v>6.48</v>
      </c>
      <c r="T194">
        <v>83.7</v>
      </c>
      <c r="U194">
        <v>97.74</v>
      </c>
      <c r="V194">
        <v>57.6</v>
      </c>
      <c r="W194">
        <v>46.44</v>
      </c>
      <c r="X194">
        <v>28.26</v>
      </c>
      <c r="Y194">
        <v>43.29</v>
      </c>
      <c r="Z194">
        <v>48.87</v>
      </c>
      <c r="AA194">
        <v>44.55</v>
      </c>
      <c r="AB194">
        <v>23.76</v>
      </c>
      <c r="AC194">
        <v>64.08</v>
      </c>
      <c r="AD194">
        <v>14.94</v>
      </c>
      <c r="AE194">
        <v>15.21</v>
      </c>
      <c r="AF194">
        <v>15.48</v>
      </c>
      <c r="AG194" s="5">
        <f>Tabla2[[#This Row],[Deforestation 2012]]/Tabla2[[#This Row],[Forest cover 2011]]</f>
        <v>0</v>
      </c>
      <c r="AH194" s="6">
        <f>Tabla2[[#This Row],[Deforestation 2013]]/Tabla2[[#This Row],[Forest cover 2011]]</f>
        <v>1.153209066320005E-4</v>
      </c>
      <c r="AI194" s="6">
        <f>Tabla2[[#This Row],[Deforestation 2014]]/Tabla2[[#This Row],[Forest cover 2011]]</f>
        <v>3.1451156354181956E-5</v>
      </c>
      <c r="AJ194" s="6">
        <f>Tabla2[[#This Row],[Deforestation 2015]]/Tabla2[[#This Row],[Forest cover 2011]]</f>
        <v>0</v>
      </c>
      <c r="AK194" s="6">
        <f>Tabla2[[#This Row],[Deforestation 2016]]/Tabla2[[#This Row],[Forest cover 2011]]</f>
        <v>0</v>
      </c>
      <c r="AL194" s="6">
        <f>Tabla2[[#This Row],[Deforestation 2017]]/Tabla2[[#This Row],[Forest cover 2011]]</f>
        <v>0</v>
      </c>
      <c r="AM194" s="6">
        <f>Tabla2[[#This Row],[Deforestation 2018]]/Tabla2[[#This Row],[Forest cover 2011]]</f>
        <v>0</v>
      </c>
      <c r="AN194" s="6">
        <f>Tabla2[[#This Row],[Deforestation 2019]]/Tabla2[[#This Row],[Forest cover 2011]]</f>
        <v>0</v>
      </c>
      <c r="AO194" s="6">
        <f>Tabla2[[#This Row],[Deforestation 2020]]/Tabla2[[#This Row],[Forest cover 2011]]</f>
        <v>1.0483718784727318E-5</v>
      </c>
      <c r="AP194" s="6">
        <f>Tabla2[[#This Row],[Deforestation 2021]]/Tabla2[[#This Row],[Forest cover 2011]]</f>
        <v>0</v>
      </c>
      <c r="AQ194" s="6">
        <f>Tabla2[[#This Row],[Deforestation 2022]]/Tabla2[[#This Row],[Forest cover 2011]]</f>
        <v>5.2418593923636595E-5</v>
      </c>
      <c r="AR194" s="6">
        <f>Tabla2[[#This Row],[Deforestation 2023]]/Tabla2[[#This Row],[Forest cover 2011]]</f>
        <v>1.6669112867716438E-3</v>
      </c>
      <c r="AS194" s="6">
        <f>Tabla2[[#This Row],[Deforestation 2024]]/Tabla2[[#This Row],[Forest cover 2011]]</f>
        <v>7.5482775250036705E-4</v>
      </c>
      <c r="AT194" s="6">
        <f>Tabla2[[#This Row],[Forest Loss 2012]]/Tabla2[[#This Row],[Forest cover 2011]]</f>
        <v>9.7498584697964068E-3</v>
      </c>
      <c r="AU194" s="6">
        <f>Tabla2[[#This Row],[Forest Loss 2013]]/Tabla2[[#This Row],[Forest cover 2011]]</f>
        <v>1.1385318600213868E-2</v>
      </c>
      <c r="AV194" s="6">
        <f>Tabla2[[#This Row],[Forest Loss 2014]]/Tabla2[[#This Row],[Forest cover 2011]]</f>
        <v>6.7095800222254842E-3</v>
      </c>
      <c r="AW194" s="6">
        <f>Tabla2[[#This Row],[Forest Loss 2015]]/Tabla2[[#This Row],[Forest cover 2011]]</f>
        <v>5.4095988929192965E-3</v>
      </c>
      <c r="AX194" s="6">
        <f>Tabla2[[#This Row],[Forest Loss 2016]]/Tabla2[[#This Row],[Forest cover 2011]]</f>
        <v>3.2918876984043785E-3</v>
      </c>
      <c r="AY194" s="6">
        <f>Tabla2[[#This Row],[Forest Loss 2017]]/Tabla2[[#This Row],[Forest cover 2011]]</f>
        <v>5.0426687354538403E-3</v>
      </c>
      <c r="AZ194" s="6">
        <f>Tabla2[[#This Row],[Forest Loss 2018]]/Tabla2[[#This Row],[Forest cover 2011]]</f>
        <v>5.6926593001069342E-3</v>
      </c>
      <c r="BA194" s="6">
        <f>Tabla2[[#This Row],[Forest Loss 2019]]/Tabla2[[#This Row],[Forest cover 2011]]</f>
        <v>5.1894407984400225E-3</v>
      </c>
      <c r="BB194" s="6">
        <f>Tabla2[[#This Row],[Forest Loss 2020]]/Tabla2[[#This Row],[Forest cover 2011]]</f>
        <v>2.7677017591680123E-3</v>
      </c>
      <c r="BC194" s="6">
        <f>Tabla2[[#This Row],[Forest Loss 2021]]/Tabla2[[#This Row],[Forest cover 2011]]</f>
        <v>7.4644077747258505E-3</v>
      </c>
      <c r="BD194" s="6">
        <f>Tabla2[[#This Row],[Forest Loss 2022]]/Tabla2[[#This Row],[Forest cover 2011]]</f>
        <v>1.7402973182647349E-3</v>
      </c>
      <c r="BE194" s="6">
        <f>Tabla2[[#This Row],[Forest Loss 2023]]/Tabla2[[#This Row],[Forest cover 2011]]</f>
        <v>1.7717484746189169E-3</v>
      </c>
      <c r="BF194" s="6">
        <f>Tabla2[[#This Row],[Forest Loss 2024]]/Tabla2[[#This Row],[Forest cover 2011]]</f>
        <v>1.803199630973099E-3</v>
      </c>
    </row>
    <row r="195" spans="1:58" x14ac:dyDescent="0.25">
      <c r="A195" s="2">
        <v>31203</v>
      </c>
      <c r="B195" s="3" t="s">
        <v>176</v>
      </c>
      <c r="C195" t="s">
        <v>208</v>
      </c>
      <c r="D195">
        <v>10098.81</v>
      </c>
      <c r="E195" s="4">
        <f>AVERAGE(Tabla2[[#This Row],[Deforestation 2012]:[Deforestation 2014]])</f>
        <v>0.72000000000000008</v>
      </c>
      <c r="F195" s="4">
        <f>AVERAGE(Tabla2[[#This Row],[Deforestation 2022]:[Deforestation 2024]])</f>
        <v>47.610000000000007</v>
      </c>
      <c r="G195">
        <v>0.72</v>
      </c>
      <c r="H195">
        <v>0.63</v>
      </c>
      <c r="I195">
        <v>0.81</v>
      </c>
      <c r="J195">
        <v>0.27</v>
      </c>
      <c r="K195">
        <v>0.72</v>
      </c>
      <c r="L195">
        <v>3.69</v>
      </c>
      <c r="M195">
        <v>2.25</v>
      </c>
      <c r="N195">
        <v>0.27</v>
      </c>
      <c r="O195">
        <v>1.62</v>
      </c>
      <c r="P195">
        <v>4.68</v>
      </c>
      <c r="Q195">
        <v>18.18</v>
      </c>
      <c r="R195">
        <v>109.53</v>
      </c>
      <c r="S195">
        <v>15.12</v>
      </c>
      <c r="T195">
        <v>22.95</v>
      </c>
      <c r="U195">
        <v>19.079999999999998</v>
      </c>
      <c r="V195">
        <v>167.85</v>
      </c>
      <c r="W195">
        <v>20.52</v>
      </c>
      <c r="X195">
        <v>9.7200000000000006</v>
      </c>
      <c r="Y195">
        <v>30.78</v>
      </c>
      <c r="Z195">
        <v>62.46</v>
      </c>
      <c r="AA195">
        <v>73.98</v>
      </c>
      <c r="AB195">
        <v>29.88</v>
      </c>
      <c r="AC195">
        <v>5.58</v>
      </c>
      <c r="AD195">
        <v>32.31</v>
      </c>
      <c r="AE195">
        <v>322.02</v>
      </c>
      <c r="AF195">
        <v>17.91</v>
      </c>
      <c r="AG195" s="5">
        <f>Tabla2[[#This Row],[Deforestation 2012]]/Tabla2[[#This Row],[Forest cover 2011]]</f>
        <v>7.1295528879145164E-5</v>
      </c>
      <c r="AH195" s="6">
        <f>Tabla2[[#This Row],[Deforestation 2013]]/Tabla2[[#This Row],[Forest cover 2011]]</f>
        <v>6.2383587769252027E-5</v>
      </c>
      <c r="AI195" s="6">
        <f>Tabla2[[#This Row],[Deforestation 2014]]/Tabla2[[#This Row],[Forest cover 2011]]</f>
        <v>8.0207469989038328E-5</v>
      </c>
      <c r="AJ195" s="6">
        <f>Tabla2[[#This Row],[Deforestation 2015]]/Tabla2[[#This Row],[Forest cover 2011]]</f>
        <v>2.6735823329679442E-5</v>
      </c>
      <c r="AK195" s="6">
        <f>Tabla2[[#This Row],[Deforestation 2016]]/Tabla2[[#This Row],[Forest cover 2011]]</f>
        <v>7.1295528879145164E-5</v>
      </c>
      <c r="AL195" s="6">
        <f>Tabla2[[#This Row],[Deforestation 2017]]/Tabla2[[#This Row],[Forest cover 2011]]</f>
        <v>3.6538958550561901E-4</v>
      </c>
      <c r="AM195" s="6">
        <f>Tabla2[[#This Row],[Deforestation 2018]]/Tabla2[[#This Row],[Forest cover 2011]]</f>
        <v>2.2279852774732866E-4</v>
      </c>
      <c r="AN195" s="6">
        <f>Tabla2[[#This Row],[Deforestation 2019]]/Tabla2[[#This Row],[Forest cover 2011]]</f>
        <v>2.6735823329679442E-5</v>
      </c>
      <c r="AO195" s="6">
        <f>Tabla2[[#This Row],[Deforestation 2020]]/Tabla2[[#This Row],[Forest cover 2011]]</f>
        <v>1.6041493997807666E-4</v>
      </c>
      <c r="AP195" s="6">
        <f>Tabla2[[#This Row],[Deforestation 2021]]/Tabla2[[#This Row],[Forest cover 2011]]</f>
        <v>4.6342093771444356E-4</v>
      </c>
      <c r="AQ195" s="6">
        <f>Tabla2[[#This Row],[Deforestation 2022]]/Tabla2[[#This Row],[Forest cover 2011]]</f>
        <v>1.8002121041984156E-3</v>
      </c>
      <c r="AR195" s="6">
        <f>Tabla2[[#This Row],[Deforestation 2023]]/Tabla2[[#This Row],[Forest cover 2011]]</f>
        <v>1.0845832330739959E-2</v>
      </c>
      <c r="AS195" s="6">
        <f>Tabla2[[#This Row],[Deforestation 2024]]/Tabla2[[#This Row],[Forest cover 2011]]</f>
        <v>1.4972061064620484E-3</v>
      </c>
      <c r="AT195" s="6">
        <f>Tabla2[[#This Row],[Forest Loss 2012]]/Tabla2[[#This Row],[Forest cover 2011]]</f>
        <v>2.2725449830227522E-3</v>
      </c>
      <c r="AU195" s="6">
        <f>Tabla2[[#This Row],[Forest Loss 2013]]/Tabla2[[#This Row],[Forest cover 2011]]</f>
        <v>1.8893315152973468E-3</v>
      </c>
      <c r="AV195" s="6">
        <f>Tabla2[[#This Row],[Forest Loss 2014]]/Tabla2[[#This Row],[Forest cover 2011]]</f>
        <v>1.6620770169950717E-2</v>
      </c>
      <c r="AW195" s="6">
        <f>Tabla2[[#This Row],[Forest Loss 2015]]/Tabla2[[#This Row],[Forest cover 2011]]</f>
        <v>2.0319225730556375E-3</v>
      </c>
      <c r="AX195" s="6">
        <f>Tabla2[[#This Row],[Forest Loss 2016]]/Tabla2[[#This Row],[Forest cover 2011]]</f>
        <v>9.6248963986845983E-4</v>
      </c>
      <c r="AY195" s="6">
        <f>Tabla2[[#This Row],[Forest Loss 2017]]/Tabla2[[#This Row],[Forest cover 2011]]</f>
        <v>3.047883859583456E-3</v>
      </c>
      <c r="AZ195" s="6">
        <f>Tabla2[[#This Row],[Forest Loss 2018]]/Tabla2[[#This Row],[Forest cover 2011]]</f>
        <v>6.1848871302658433E-3</v>
      </c>
      <c r="BA195" s="6">
        <f>Tabla2[[#This Row],[Forest Loss 2019]]/Tabla2[[#This Row],[Forest cover 2011]]</f>
        <v>7.3256155923321666E-3</v>
      </c>
      <c r="BB195" s="6">
        <f>Tabla2[[#This Row],[Forest Loss 2020]]/Tabla2[[#This Row],[Forest cover 2011]]</f>
        <v>2.9587644484845243E-3</v>
      </c>
      <c r="BC195" s="6">
        <f>Tabla2[[#This Row],[Forest Loss 2021]]/Tabla2[[#This Row],[Forest cover 2011]]</f>
        <v>5.5254034881337512E-4</v>
      </c>
      <c r="BD195" s="6">
        <f>Tabla2[[#This Row],[Forest Loss 2022]]/Tabla2[[#This Row],[Forest cover 2011]]</f>
        <v>3.1993868584516399E-3</v>
      </c>
      <c r="BE195" s="6">
        <f>Tabla2[[#This Row],[Forest Loss 2023]]/Tabla2[[#This Row],[Forest cover 2011]]</f>
        <v>3.1886925291197674E-2</v>
      </c>
      <c r="BF195" s="6">
        <f>Tabla2[[#This Row],[Forest Loss 2024]]/Tabla2[[#This Row],[Forest cover 2011]]</f>
        <v>1.7734762808687362E-3</v>
      </c>
    </row>
    <row r="196" spans="1:58" x14ac:dyDescent="0.25">
      <c r="A196" s="2">
        <v>20702</v>
      </c>
      <c r="B196" s="3" t="s">
        <v>88</v>
      </c>
      <c r="C196" t="s">
        <v>125</v>
      </c>
      <c r="D196">
        <v>56334.15</v>
      </c>
      <c r="E196" s="4">
        <f>AVERAGE(Tabla2[[#This Row],[Deforestation 2012]:[Deforestation 2014]])</f>
        <v>0.77999999999999992</v>
      </c>
      <c r="F196" s="4">
        <f>AVERAGE(Tabla2[[#This Row],[Deforestation 2022]:[Deforestation 2024]])</f>
        <v>52.44</v>
      </c>
      <c r="G196">
        <v>0.72</v>
      </c>
      <c r="H196">
        <v>0.89999999999999991</v>
      </c>
      <c r="I196">
        <v>0.72</v>
      </c>
      <c r="J196">
        <v>2.25</v>
      </c>
      <c r="K196">
        <v>0.36</v>
      </c>
      <c r="L196">
        <v>0.36</v>
      </c>
      <c r="M196">
        <v>1.62</v>
      </c>
      <c r="N196">
        <v>0.63</v>
      </c>
      <c r="O196">
        <v>1.98</v>
      </c>
      <c r="P196">
        <v>0.36</v>
      </c>
      <c r="Q196">
        <v>12.06</v>
      </c>
      <c r="R196">
        <v>62.1</v>
      </c>
      <c r="S196">
        <v>83.16</v>
      </c>
      <c r="T196">
        <v>331.65</v>
      </c>
      <c r="U196">
        <v>457.47</v>
      </c>
      <c r="V196">
        <v>302.67</v>
      </c>
      <c r="W196">
        <v>271.70999999999998</v>
      </c>
      <c r="X196">
        <v>176.58</v>
      </c>
      <c r="Y196">
        <v>179.1</v>
      </c>
      <c r="Z196">
        <v>241.11</v>
      </c>
      <c r="AA196">
        <v>285.75</v>
      </c>
      <c r="AB196">
        <v>167.49</v>
      </c>
      <c r="AC196">
        <v>298.62</v>
      </c>
      <c r="AD196">
        <v>118.8</v>
      </c>
      <c r="AE196">
        <v>79.56</v>
      </c>
      <c r="AF196">
        <v>90.63000000000001</v>
      </c>
      <c r="AG196" s="5">
        <f>Tabla2[[#This Row],[Deforestation 2012]]/Tabla2[[#This Row],[Forest cover 2011]]</f>
        <v>1.2780879803813493E-5</v>
      </c>
      <c r="AH196" s="6">
        <f>Tabla2[[#This Row],[Deforestation 2013]]/Tabla2[[#This Row],[Forest cover 2011]]</f>
        <v>1.5976099754766866E-5</v>
      </c>
      <c r="AI196" s="6">
        <f>Tabla2[[#This Row],[Deforestation 2014]]/Tabla2[[#This Row],[Forest cover 2011]]</f>
        <v>1.2780879803813493E-5</v>
      </c>
      <c r="AJ196" s="6">
        <f>Tabla2[[#This Row],[Deforestation 2015]]/Tabla2[[#This Row],[Forest cover 2011]]</f>
        <v>3.9940249386917171E-5</v>
      </c>
      <c r="AK196" s="6">
        <f>Tabla2[[#This Row],[Deforestation 2016]]/Tabla2[[#This Row],[Forest cover 2011]]</f>
        <v>6.3904399019067467E-6</v>
      </c>
      <c r="AL196" s="6">
        <f>Tabla2[[#This Row],[Deforestation 2017]]/Tabla2[[#This Row],[Forest cover 2011]]</f>
        <v>6.3904399019067467E-6</v>
      </c>
      <c r="AM196" s="6">
        <f>Tabla2[[#This Row],[Deforestation 2018]]/Tabla2[[#This Row],[Forest cover 2011]]</f>
        <v>2.8756979558580365E-5</v>
      </c>
      <c r="AN196" s="6">
        <f>Tabla2[[#This Row],[Deforestation 2019]]/Tabla2[[#This Row],[Forest cover 2011]]</f>
        <v>1.1183269828336808E-5</v>
      </c>
      <c r="AO196" s="6">
        <f>Tabla2[[#This Row],[Deforestation 2020]]/Tabla2[[#This Row],[Forest cover 2011]]</f>
        <v>3.5147419460487111E-5</v>
      </c>
      <c r="AP196" s="6">
        <f>Tabla2[[#This Row],[Deforestation 2021]]/Tabla2[[#This Row],[Forest cover 2011]]</f>
        <v>6.3904399019067467E-6</v>
      </c>
      <c r="AQ196" s="6">
        <f>Tabla2[[#This Row],[Deforestation 2022]]/Tabla2[[#This Row],[Forest cover 2011]]</f>
        <v>2.1407973671387604E-4</v>
      </c>
      <c r="AR196" s="6">
        <f>Tabla2[[#This Row],[Deforestation 2023]]/Tabla2[[#This Row],[Forest cover 2011]]</f>
        <v>1.102350883078914E-3</v>
      </c>
      <c r="AS196" s="6">
        <f>Tabla2[[#This Row],[Deforestation 2024]]/Tabla2[[#This Row],[Forest cover 2011]]</f>
        <v>1.4761916173404587E-3</v>
      </c>
      <c r="AT196" s="6">
        <f>Tabla2[[#This Row],[Forest Loss 2012]]/Tabla2[[#This Row],[Forest cover 2011]]</f>
        <v>5.8871927596315906E-3</v>
      </c>
      <c r="AU196" s="6">
        <f>Tabla2[[#This Row],[Forest Loss 2013]]/Tabla2[[#This Row],[Forest cover 2011]]</f>
        <v>8.1206515053479991E-3</v>
      </c>
      <c r="AV196" s="6">
        <f>Tabla2[[#This Row],[Forest Loss 2014]]/Tabla2[[#This Row],[Forest cover 2011]]</f>
        <v>5.372762347528098E-3</v>
      </c>
      <c r="AW196" s="6">
        <f>Tabla2[[#This Row],[Forest Loss 2015]]/Tabla2[[#This Row],[Forest cover 2011]]</f>
        <v>4.8231845159641172E-3</v>
      </c>
      <c r="AX196" s="6">
        <f>Tabla2[[#This Row],[Forest Loss 2016]]/Tabla2[[#This Row],[Forest cover 2011]]</f>
        <v>3.1345107718852598E-3</v>
      </c>
      <c r="AY196" s="6">
        <f>Tabla2[[#This Row],[Forest Loss 2017]]/Tabla2[[#This Row],[Forest cover 2011]]</f>
        <v>3.1792438511986068E-3</v>
      </c>
      <c r="AZ196" s="6">
        <f>Tabla2[[#This Row],[Forest Loss 2018]]/Tabla2[[#This Row],[Forest cover 2011]]</f>
        <v>4.2799971243020441E-3</v>
      </c>
      <c r="BA196" s="6">
        <f>Tabla2[[#This Row],[Forest Loss 2019]]/Tabla2[[#This Row],[Forest cover 2011]]</f>
        <v>5.0724116721384809E-3</v>
      </c>
      <c r="BB196" s="6">
        <f>Tabla2[[#This Row],[Forest Loss 2020]]/Tabla2[[#This Row],[Forest cover 2011]]</f>
        <v>2.9731521643621144E-3</v>
      </c>
      <c r="BC196" s="6">
        <f>Tabla2[[#This Row],[Forest Loss 2021]]/Tabla2[[#This Row],[Forest cover 2011]]</f>
        <v>5.3008698986316471E-3</v>
      </c>
      <c r="BD196" s="6">
        <f>Tabla2[[#This Row],[Forest Loss 2022]]/Tabla2[[#This Row],[Forest cover 2011]]</f>
        <v>2.1088451676292267E-3</v>
      </c>
      <c r="BE196" s="6">
        <f>Tabla2[[#This Row],[Forest Loss 2023]]/Tabla2[[#This Row],[Forest cover 2011]]</f>
        <v>1.4122872183213913E-3</v>
      </c>
      <c r="BF196" s="6">
        <f>Tabla2[[#This Row],[Forest Loss 2024]]/Tabla2[[#This Row],[Forest cover 2011]]</f>
        <v>1.6087932453050238E-3</v>
      </c>
    </row>
    <row r="197" spans="1:58" x14ac:dyDescent="0.25">
      <c r="A197" s="2">
        <v>30905</v>
      </c>
      <c r="B197" s="3" t="s">
        <v>176</v>
      </c>
      <c r="C197" t="s">
        <v>201</v>
      </c>
      <c r="D197">
        <v>340.92</v>
      </c>
      <c r="E197" s="4">
        <f>AVERAGE(Tabla2[[#This Row],[Deforestation 2012]:[Deforestation 2014]])</f>
        <v>3.06</v>
      </c>
      <c r="F197" s="4">
        <f>AVERAGE(Tabla2[[#This Row],[Deforestation 2022]:[Deforestation 2024]])</f>
        <v>54.449999999999996</v>
      </c>
      <c r="G197">
        <v>1.53</v>
      </c>
      <c r="H197">
        <v>3.87</v>
      </c>
      <c r="I197">
        <v>3.78</v>
      </c>
      <c r="J197">
        <v>7.38</v>
      </c>
      <c r="K197">
        <v>5.13</v>
      </c>
      <c r="L197">
        <v>17.64</v>
      </c>
      <c r="M197">
        <v>93.6</v>
      </c>
      <c r="N197">
        <v>7.4700000000000006</v>
      </c>
      <c r="O197">
        <v>11.16</v>
      </c>
      <c r="P197">
        <v>13.95</v>
      </c>
      <c r="Q197">
        <v>82.350000000000009</v>
      </c>
      <c r="R197">
        <v>80.459999999999994</v>
      </c>
      <c r="S197">
        <v>0.54</v>
      </c>
      <c r="T197">
        <v>1.53</v>
      </c>
      <c r="U197">
        <v>3.87</v>
      </c>
      <c r="V197">
        <v>3.87</v>
      </c>
      <c r="W197">
        <v>7.38</v>
      </c>
      <c r="X197">
        <v>5.13</v>
      </c>
      <c r="Y197">
        <v>17.64</v>
      </c>
      <c r="Z197">
        <v>94.140000000000015</v>
      </c>
      <c r="AA197">
        <v>7.4700000000000006</v>
      </c>
      <c r="AB197">
        <v>11.16</v>
      </c>
      <c r="AC197">
        <v>14.76</v>
      </c>
      <c r="AD197">
        <v>82.62</v>
      </c>
      <c r="AE197">
        <v>80.55</v>
      </c>
      <c r="AF197">
        <v>0.54</v>
      </c>
      <c r="AG197" s="5">
        <f>Tabla2[[#This Row],[Deforestation 2012]]/Tabla2[[#This Row],[Forest cover 2011]]</f>
        <v>4.4878563885955647E-3</v>
      </c>
      <c r="AH197" s="6">
        <f>Tabla2[[#This Row],[Deforestation 2013]]/Tabla2[[#This Row],[Forest cover 2011]]</f>
        <v>1.1351636747624076E-2</v>
      </c>
      <c r="AI197" s="6">
        <f>Tabla2[[#This Row],[Deforestation 2014]]/Tabla2[[#This Row],[Forest cover 2011]]</f>
        <v>1.1087645195353747E-2</v>
      </c>
      <c r="AJ197" s="6">
        <f>Tabla2[[#This Row],[Deforestation 2015]]/Tabla2[[#This Row],[Forest cover 2011]]</f>
        <v>2.1647307286166841E-2</v>
      </c>
      <c r="AK197" s="6">
        <f>Tabla2[[#This Row],[Deforestation 2016]]/Tabla2[[#This Row],[Forest cover 2011]]</f>
        <v>1.5047518479408658E-2</v>
      </c>
      <c r="AL197" s="6">
        <f>Tabla2[[#This Row],[Deforestation 2017]]/Tabla2[[#This Row],[Forest cover 2011]]</f>
        <v>5.1742344244984161E-2</v>
      </c>
      <c r="AM197" s="6">
        <f>Tabla2[[#This Row],[Deforestation 2018]]/Tabla2[[#This Row],[Forest cover 2011]]</f>
        <v>0.27455121436114044</v>
      </c>
      <c r="AN197" s="6">
        <f>Tabla2[[#This Row],[Deforestation 2019]]/Tabla2[[#This Row],[Forest cover 2011]]</f>
        <v>2.191129883843717E-2</v>
      </c>
      <c r="AO197" s="6">
        <f>Tabla2[[#This Row],[Deforestation 2020]]/Tabla2[[#This Row],[Forest cover 2011]]</f>
        <v>3.2734952481520592E-2</v>
      </c>
      <c r="AP197" s="6">
        <f>Tabla2[[#This Row],[Deforestation 2021]]/Tabla2[[#This Row],[Forest cover 2011]]</f>
        <v>4.0918690601900738E-2</v>
      </c>
      <c r="AQ197" s="6">
        <f>Tabla2[[#This Row],[Deforestation 2022]]/Tabla2[[#This Row],[Forest cover 2011]]</f>
        <v>0.24155227032734955</v>
      </c>
      <c r="AR197" s="6">
        <f>Tabla2[[#This Row],[Deforestation 2023]]/Tabla2[[#This Row],[Forest cover 2011]]</f>
        <v>0.23600844772967261</v>
      </c>
      <c r="AS197" s="6">
        <f>Tabla2[[#This Row],[Deforestation 2024]]/Tabla2[[#This Row],[Forest cover 2011]]</f>
        <v>1.5839493136219642E-3</v>
      </c>
      <c r="AT197" s="6">
        <f>Tabla2[[#This Row],[Forest Loss 2012]]/Tabla2[[#This Row],[Forest cover 2011]]</f>
        <v>4.4878563885955647E-3</v>
      </c>
      <c r="AU197" s="6">
        <f>Tabla2[[#This Row],[Forest Loss 2013]]/Tabla2[[#This Row],[Forest cover 2011]]</f>
        <v>1.1351636747624076E-2</v>
      </c>
      <c r="AV197" s="6">
        <f>Tabla2[[#This Row],[Forest Loss 2014]]/Tabla2[[#This Row],[Forest cover 2011]]</f>
        <v>1.1351636747624076E-2</v>
      </c>
      <c r="AW197" s="6">
        <f>Tabla2[[#This Row],[Forest Loss 2015]]/Tabla2[[#This Row],[Forest cover 2011]]</f>
        <v>2.1647307286166841E-2</v>
      </c>
      <c r="AX197" s="6">
        <f>Tabla2[[#This Row],[Forest Loss 2016]]/Tabla2[[#This Row],[Forest cover 2011]]</f>
        <v>1.5047518479408658E-2</v>
      </c>
      <c r="AY197" s="6">
        <f>Tabla2[[#This Row],[Forest Loss 2017]]/Tabla2[[#This Row],[Forest cover 2011]]</f>
        <v>5.1742344244984161E-2</v>
      </c>
      <c r="AZ197" s="6">
        <f>Tabla2[[#This Row],[Forest Loss 2018]]/Tabla2[[#This Row],[Forest cover 2011]]</f>
        <v>0.27613516367476243</v>
      </c>
      <c r="BA197" s="6">
        <f>Tabla2[[#This Row],[Forest Loss 2019]]/Tabla2[[#This Row],[Forest cover 2011]]</f>
        <v>2.191129883843717E-2</v>
      </c>
      <c r="BB197" s="6">
        <f>Tabla2[[#This Row],[Forest Loss 2020]]/Tabla2[[#This Row],[Forest cover 2011]]</f>
        <v>3.2734952481520592E-2</v>
      </c>
      <c r="BC197" s="6">
        <f>Tabla2[[#This Row],[Forest Loss 2021]]/Tabla2[[#This Row],[Forest cover 2011]]</f>
        <v>4.3294614572333683E-2</v>
      </c>
      <c r="BD197" s="6">
        <f>Tabla2[[#This Row],[Forest Loss 2022]]/Tabla2[[#This Row],[Forest cover 2011]]</f>
        <v>0.24234424498416052</v>
      </c>
      <c r="BE197" s="6">
        <f>Tabla2[[#This Row],[Forest Loss 2023]]/Tabla2[[#This Row],[Forest cover 2011]]</f>
        <v>0.23627243928194297</v>
      </c>
      <c r="BF197" s="6">
        <f>Tabla2[[#This Row],[Forest Loss 2024]]/Tabla2[[#This Row],[Forest cover 2011]]</f>
        <v>1.5839493136219642E-3</v>
      </c>
    </row>
    <row r="198" spans="1:58" x14ac:dyDescent="0.25">
      <c r="A198" s="2">
        <v>10404</v>
      </c>
      <c r="B198" s="3" t="s">
        <v>58</v>
      </c>
      <c r="C198" t="s">
        <v>71</v>
      </c>
      <c r="D198">
        <v>8220.8700000000008</v>
      </c>
      <c r="E198" s="4">
        <f>AVERAGE(Tabla2[[#This Row],[Deforestation 2012]:[Deforestation 2014]])</f>
        <v>1.26</v>
      </c>
      <c r="F198" s="4">
        <f>AVERAGE(Tabla2[[#This Row],[Deforestation 2022]:[Deforestation 2024]])</f>
        <v>15.57</v>
      </c>
      <c r="G198">
        <v>1.17</v>
      </c>
      <c r="H198">
        <v>0.54</v>
      </c>
      <c r="I198">
        <v>2.0699999999999998</v>
      </c>
      <c r="J198">
        <v>0.54</v>
      </c>
      <c r="K198">
        <v>0.18</v>
      </c>
      <c r="L198">
        <v>1.35</v>
      </c>
      <c r="M198">
        <v>0.09</v>
      </c>
      <c r="N198">
        <v>0.63</v>
      </c>
      <c r="O198">
        <v>1.53</v>
      </c>
      <c r="P198">
        <v>1.17</v>
      </c>
      <c r="Q198">
        <v>0.27</v>
      </c>
      <c r="R198">
        <v>35.01</v>
      </c>
      <c r="S198">
        <v>11.43</v>
      </c>
      <c r="T198">
        <v>3.6</v>
      </c>
      <c r="U198">
        <v>3.96</v>
      </c>
      <c r="V198">
        <v>79.38</v>
      </c>
      <c r="W198">
        <v>2.79</v>
      </c>
      <c r="X198">
        <v>1.8</v>
      </c>
      <c r="Y198">
        <v>3.6</v>
      </c>
      <c r="Z198">
        <v>6.21</v>
      </c>
      <c r="AA198">
        <v>10.89</v>
      </c>
      <c r="AB198">
        <v>32.4</v>
      </c>
      <c r="AC198">
        <v>1.17</v>
      </c>
      <c r="AD198">
        <v>14.58</v>
      </c>
      <c r="AE198">
        <v>75.330000000000013</v>
      </c>
      <c r="AF198">
        <v>12.69</v>
      </c>
      <c r="AG198" s="5">
        <f>Tabla2[[#This Row],[Deforestation 2012]]/Tabla2[[#This Row],[Forest cover 2011]]</f>
        <v>1.4232070328322913E-4</v>
      </c>
      <c r="AH198" s="6">
        <f>Tabla2[[#This Row],[Deforestation 2013]]/Tabla2[[#This Row],[Forest cover 2011]]</f>
        <v>6.5686478438413447E-5</v>
      </c>
      <c r="AI198" s="6">
        <f>Tabla2[[#This Row],[Deforestation 2014]]/Tabla2[[#This Row],[Forest cover 2011]]</f>
        <v>2.5179816734725153E-4</v>
      </c>
      <c r="AJ198" s="6">
        <f>Tabla2[[#This Row],[Deforestation 2015]]/Tabla2[[#This Row],[Forest cover 2011]]</f>
        <v>6.5686478438413447E-5</v>
      </c>
      <c r="AK198" s="6">
        <f>Tabla2[[#This Row],[Deforestation 2016]]/Tabla2[[#This Row],[Forest cover 2011]]</f>
        <v>2.189549281280448E-5</v>
      </c>
      <c r="AL198" s="6">
        <f>Tabla2[[#This Row],[Deforestation 2017]]/Tabla2[[#This Row],[Forest cover 2011]]</f>
        <v>1.6421619609603363E-4</v>
      </c>
      <c r="AM198" s="6">
        <f>Tabla2[[#This Row],[Deforestation 2018]]/Tabla2[[#This Row],[Forest cover 2011]]</f>
        <v>1.094774640640224E-5</v>
      </c>
      <c r="AN198" s="6">
        <f>Tabla2[[#This Row],[Deforestation 2019]]/Tabla2[[#This Row],[Forest cover 2011]]</f>
        <v>7.6634224844815684E-5</v>
      </c>
      <c r="AO198" s="6">
        <f>Tabla2[[#This Row],[Deforestation 2020]]/Tabla2[[#This Row],[Forest cover 2011]]</f>
        <v>1.861116889088381E-4</v>
      </c>
      <c r="AP198" s="6">
        <f>Tabla2[[#This Row],[Deforestation 2021]]/Tabla2[[#This Row],[Forest cover 2011]]</f>
        <v>1.4232070328322913E-4</v>
      </c>
      <c r="AQ198" s="6">
        <f>Tabla2[[#This Row],[Deforestation 2022]]/Tabla2[[#This Row],[Forest cover 2011]]</f>
        <v>3.2843239219206724E-5</v>
      </c>
      <c r="AR198" s="6">
        <f>Tabla2[[#This Row],[Deforestation 2023]]/Tabla2[[#This Row],[Forest cover 2011]]</f>
        <v>4.2586733520904715E-3</v>
      </c>
      <c r="AS198" s="6">
        <f>Tabla2[[#This Row],[Deforestation 2024]]/Tabla2[[#This Row],[Forest cover 2011]]</f>
        <v>1.3903637936130847E-3</v>
      </c>
      <c r="AT198" s="6">
        <f>Tabla2[[#This Row],[Forest Loss 2012]]/Tabla2[[#This Row],[Forest cover 2011]]</f>
        <v>4.3790985625608963E-4</v>
      </c>
      <c r="AU198" s="6">
        <f>Tabla2[[#This Row],[Forest Loss 2013]]/Tabla2[[#This Row],[Forest cover 2011]]</f>
        <v>4.8170084188169858E-4</v>
      </c>
      <c r="AV198" s="6">
        <f>Tabla2[[#This Row],[Forest Loss 2014]]/Tabla2[[#This Row],[Forest cover 2011]]</f>
        <v>9.6559123304467767E-3</v>
      </c>
      <c r="AW198" s="6">
        <f>Tabla2[[#This Row],[Forest Loss 2015]]/Tabla2[[#This Row],[Forest cover 2011]]</f>
        <v>3.3938013859846947E-4</v>
      </c>
      <c r="AX198" s="6">
        <f>Tabla2[[#This Row],[Forest Loss 2016]]/Tabla2[[#This Row],[Forest cover 2011]]</f>
        <v>2.1895492812804482E-4</v>
      </c>
      <c r="AY198" s="6">
        <f>Tabla2[[#This Row],[Forest Loss 2017]]/Tabla2[[#This Row],[Forest cover 2011]]</f>
        <v>4.3790985625608963E-4</v>
      </c>
      <c r="AZ198" s="6">
        <f>Tabla2[[#This Row],[Forest Loss 2018]]/Tabla2[[#This Row],[Forest cover 2011]]</f>
        <v>7.5539450204175458E-4</v>
      </c>
      <c r="BA198" s="6">
        <f>Tabla2[[#This Row],[Forest Loss 2019]]/Tabla2[[#This Row],[Forest cover 2011]]</f>
        <v>1.3246773151746713E-3</v>
      </c>
      <c r="BB198" s="6">
        <f>Tabla2[[#This Row],[Forest Loss 2020]]/Tabla2[[#This Row],[Forest cover 2011]]</f>
        <v>3.9411887063048063E-3</v>
      </c>
      <c r="BC198" s="6">
        <f>Tabla2[[#This Row],[Forest Loss 2021]]/Tabla2[[#This Row],[Forest cover 2011]]</f>
        <v>1.4232070328322913E-4</v>
      </c>
      <c r="BD198" s="6">
        <f>Tabla2[[#This Row],[Forest Loss 2022]]/Tabla2[[#This Row],[Forest cover 2011]]</f>
        <v>1.773534917837163E-3</v>
      </c>
      <c r="BE198" s="6">
        <f>Tabla2[[#This Row],[Forest Loss 2023]]/Tabla2[[#This Row],[Forest cover 2011]]</f>
        <v>9.1632637421586779E-3</v>
      </c>
      <c r="BF198" s="6">
        <f>Tabla2[[#This Row],[Forest Loss 2024]]/Tabla2[[#This Row],[Forest cover 2011]]</f>
        <v>1.5436322433027159E-3</v>
      </c>
    </row>
    <row r="199" spans="1:58" x14ac:dyDescent="0.25">
      <c r="A199" s="2">
        <v>30502</v>
      </c>
      <c r="B199" s="3" t="s">
        <v>176</v>
      </c>
      <c r="C199" t="s">
        <v>188</v>
      </c>
      <c r="D199">
        <v>529.38</v>
      </c>
      <c r="E199" s="4">
        <f>AVERAGE(Tabla2[[#This Row],[Deforestation 2012]:[Deforestation 2014]])</f>
        <v>0.06</v>
      </c>
      <c r="F199" s="4">
        <f>AVERAGE(Tabla2[[#This Row],[Deforestation 2022]:[Deforestation 2024]])</f>
        <v>8.4299999999999979</v>
      </c>
      <c r="G199">
        <v>0</v>
      </c>
      <c r="H199">
        <v>0.18</v>
      </c>
      <c r="I199">
        <v>0</v>
      </c>
      <c r="J199">
        <v>0</v>
      </c>
      <c r="K199">
        <v>0.18</v>
      </c>
      <c r="L199">
        <v>0.09</v>
      </c>
      <c r="M199">
        <v>1.08</v>
      </c>
      <c r="N199">
        <v>0.63</v>
      </c>
      <c r="O199">
        <v>0</v>
      </c>
      <c r="P199">
        <v>3.06</v>
      </c>
      <c r="Q199">
        <v>15.12</v>
      </c>
      <c r="R199">
        <v>9.5399999999999991</v>
      </c>
      <c r="S199">
        <v>0.63</v>
      </c>
      <c r="T199">
        <v>1.17</v>
      </c>
      <c r="U199">
        <v>1.17</v>
      </c>
      <c r="V199">
        <v>7.38</v>
      </c>
      <c r="W199">
        <v>1.17</v>
      </c>
      <c r="X199">
        <v>0.45</v>
      </c>
      <c r="Y199">
        <v>1.17</v>
      </c>
      <c r="Z199">
        <v>12.69</v>
      </c>
      <c r="AA199">
        <v>16.29</v>
      </c>
      <c r="AB199">
        <v>3.33</v>
      </c>
      <c r="AC199">
        <v>3.51</v>
      </c>
      <c r="AD199">
        <v>16.649999999999999</v>
      </c>
      <c r="AE199">
        <v>49.68</v>
      </c>
      <c r="AF199">
        <v>0.80999999999999994</v>
      </c>
      <c r="AG199" s="5">
        <f>Tabla2[[#This Row],[Deforestation 2012]]/Tabla2[[#This Row],[Forest cover 2011]]</f>
        <v>0</v>
      </c>
      <c r="AH199" s="6">
        <f>Tabla2[[#This Row],[Deforestation 2013]]/Tabla2[[#This Row],[Forest cover 2011]]</f>
        <v>3.4002040122407346E-4</v>
      </c>
      <c r="AI199" s="6">
        <f>Tabla2[[#This Row],[Deforestation 2014]]/Tabla2[[#This Row],[Forest cover 2011]]</f>
        <v>0</v>
      </c>
      <c r="AJ199" s="6">
        <f>Tabla2[[#This Row],[Deforestation 2015]]/Tabla2[[#This Row],[Forest cover 2011]]</f>
        <v>0</v>
      </c>
      <c r="AK199" s="6">
        <f>Tabla2[[#This Row],[Deforestation 2016]]/Tabla2[[#This Row],[Forest cover 2011]]</f>
        <v>3.4002040122407346E-4</v>
      </c>
      <c r="AL199" s="6">
        <f>Tabla2[[#This Row],[Deforestation 2017]]/Tabla2[[#This Row],[Forest cover 2011]]</f>
        <v>1.7001020061203673E-4</v>
      </c>
      <c r="AM199" s="6">
        <f>Tabla2[[#This Row],[Deforestation 2018]]/Tabla2[[#This Row],[Forest cover 2011]]</f>
        <v>2.0401224073444408E-3</v>
      </c>
      <c r="AN199" s="6">
        <f>Tabla2[[#This Row],[Deforestation 2019]]/Tabla2[[#This Row],[Forest cover 2011]]</f>
        <v>1.1900714042842571E-3</v>
      </c>
      <c r="AO199" s="6">
        <f>Tabla2[[#This Row],[Deforestation 2020]]/Tabla2[[#This Row],[Forest cover 2011]]</f>
        <v>0</v>
      </c>
      <c r="AP199" s="6">
        <f>Tabla2[[#This Row],[Deforestation 2021]]/Tabla2[[#This Row],[Forest cover 2011]]</f>
        <v>5.7803468208092491E-3</v>
      </c>
      <c r="AQ199" s="6">
        <f>Tabla2[[#This Row],[Deforestation 2022]]/Tabla2[[#This Row],[Forest cover 2011]]</f>
        <v>2.8561713702822168E-2</v>
      </c>
      <c r="AR199" s="6">
        <f>Tabla2[[#This Row],[Deforestation 2023]]/Tabla2[[#This Row],[Forest cover 2011]]</f>
        <v>1.802108126487589E-2</v>
      </c>
      <c r="AS199" s="6">
        <f>Tabla2[[#This Row],[Deforestation 2024]]/Tabla2[[#This Row],[Forest cover 2011]]</f>
        <v>1.1900714042842571E-3</v>
      </c>
      <c r="AT199" s="6">
        <f>Tabla2[[#This Row],[Forest Loss 2012]]/Tabla2[[#This Row],[Forest cover 2011]]</f>
        <v>2.2101326079564773E-3</v>
      </c>
      <c r="AU199" s="6">
        <f>Tabla2[[#This Row],[Forest Loss 2013]]/Tabla2[[#This Row],[Forest cover 2011]]</f>
        <v>2.2101326079564773E-3</v>
      </c>
      <c r="AV199" s="6">
        <f>Tabla2[[#This Row],[Forest Loss 2014]]/Tabla2[[#This Row],[Forest cover 2011]]</f>
        <v>1.3940836450187011E-2</v>
      </c>
      <c r="AW199" s="6">
        <f>Tabla2[[#This Row],[Forest Loss 2015]]/Tabla2[[#This Row],[Forest cover 2011]]</f>
        <v>2.2101326079564773E-3</v>
      </c>
      <c r="AX199" s="6">
        <f>Tabla2[[#This Row],[Forest Loss 2016]]/Tabla2[[#This Row],[Forest cover 2011]]</f>
        <v>8.5005100306018361E-4</v>
      </c>
      <c r="AY199" s="6">
        <f>Tabla2[[#This Row],[Forest Loss 2017]]/Tabla2[[#This Row],[Forest cover 2011]]</f>
        <v>2.2101326079564773E-3</v>
      </c>
      <c r="AZ199" s="6">
        <f>Tabla2[[#This Row],[Forest Loss 2018]]/Tabla2[[#This Row],[Forest cover 2011]]</f>
        <v>2.3971438286297178E-2</v>
      </c>
      <c r="BA199" s="6">
        <f>Tabla2[[#This Row],[Forest Loss 2019]]/Tabla2[[#This Row],[Forest cover 2011]]</f>
        <v>3.0771846310778644E-2</v>
      </c>
      <c r="BB199" s="6">
        <f>Tabla2[[#This Row],[Forest Loss 2020]]/Tabla2[[#This Row],[Forest cover 2011]]</f>
        <v>6.2903774226453586E-3</v>
      </c>
      <c r="BC199" s="6">
        <f>Tabla2[[#This Row],[Forest Loss 2021]]/Tabla2[[#This Row],[Forest cover 2011]]</f>
        <v>6.6303978238694316E-3</v>
      </c>
      <c r="BD199" s="6">
        <f>Tabla2[[#This Row],[Forest Loss 2022]]/Tabla2[[#This Row],[Forest cover 2011]]</f>
        <v>3.1451887113226794E-2</v>
      </c>
      <c r="BE199" s="6">
        <f>Tabla2[[#This Row],[Forest Loss 2023]]/Tabla2[[#This Row],[Forest cover 2011]]</f>
        <v>9.3845630737844271E-2</v>
      </c>
      <c r="BF199" s="6">
        <f>Tabla2[[#This Row],[Forest Loss 2024]]/Tabla2[[#This Row],[Forest cover 2011]]</f>
        <v>1.5300918055083303E-3</v>
      </c>
    </row>
    <row r="200" spans="1:58" x14ac:dyDescent="0.25">
      <c r="A200" s="2">
        <v>31304</v>
      </c>
      <c r="B200" s="3" t="s">
        <v>176</v>
      </c>
      <c r="C200" t="s">
        <v>215</v>
      </c>
      <c r="D200">
        <v>10414.530000000001</v>
      </c>
      <c r="E200" s="4">
        <f>AVERAGE(Tabla2[[#This Row],[Deforestation 2012]:[Deforestation 2014]])</f>
        <v>0</v>
      </c>
      <c r="F200" s="4">
        <f>AVERAGE(Tabla2[[#This Row],[Deforestation 2022]:[Deforestation 2024]])</f>
        <v>0.38999999999999996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0.36</v>
      </c>
      <c r="M200">
        <v>0</v>
      </c>
      <c r="N200">
        <v>0</v>
      </c>
      <c r="O200">
        <v>0.45</v>
      </c>
      <c r="P200">
        <v>0</v>
      </c>
      <c r="Q200">
        <v>0</v>
      </c>
      <c r="R200">
        <v>0.81</v>
      </c>
      <c r="S200">
        <v>0.36</v>
      </c>
      <c r="T200">
        <v>9</v>
      </c>
      <c r="U200">
        <v>11.52</v>
      </c>
      <c r="V200">
        <v>93.69</v>
      </c>
      <c r="W200">
        <v>7.74</v>
      </c>
      <c r="X200">
        <v>4.32</v>
      </c>
      <c r="Y200">
        <v>8.01</v>
      </c>
      <c r="Z200">
        <v>8.19</v>
      </c>
      <c r="AA200">
        <v>27.36</v>
      </c>
      <c r="AB200">
        <v>65.25</v>
      </c>
      <c r="AC200">
        <v>0.81</v>
      </c>
      <c r="AD200">
        <v>0.36</v>
      </c>
      <c r="AE200">
        <v>9.99</v>
      </c>
      <c r="AF200">
        <v>14.94</v>
      </c>
      <c r="AG200" s="5">
        <f>Tabla2[[#This Row],[Deforestation 2012]]/Tabla2[[#This Row],[Forest cover 2011]]</f>
        <v>0</v>
      </c>
      <c r="AH200" s="6">
        <f>Tabla2[[#This Row],[Deforestation 2013]]/Tabla2[[#This Row],[Forest cover 2011]]</f>
        <v>0</v>
      </c>
      <c r="AI200" s="6">
        <f>Tabla2[[#This Row],[Deforestation 2014]]/Tabla2[[#This Row],[Forest cover 2011]]</f>
        <v>0</v>
      </c>
      <c r="AJ200" s="6">
        <f>Tabla2[[#This Row],[Deforestation 2015]]/Tabla2[[#This Row],[Forest cover 2011]]</f>
        <v>0</v>
      </c>
      <c r="AK200" s="6">
        <f>Tabla2[[#This Row],[Deforestation 2016]]/Tabla2[[#This Row],[Forest cover 2011]]</f>
        <v>0</v>
      </c>
      <c r="AL200" s="6">
        <f>Tabla2[[#This Row],[Deforestation 2017]]/Tabla2[[#This Row],[Forest cover 2011]]</f>
        <v>3.4567090401583168E-5</v>
      </c>
      <c r="AM200" s="6">
        <f>Tabla2[[#This Row],[Deforestation 2018]]/Tabla2[[#This Row],[Forest cover 2011]]</f>
        <v>0</v>
      </c>
      <c r="AN200" s="6">
        <f>Tabla2[[#This Row],[Deforestation 2019]]/Tabla2[[#This Row],[Forest cover 2011]]</f>
        <v>0</v>
      </c>
      <c r="AO200" s="6">
        <f>Tabla2[[#This Row],[Deforestation 2020]]/Tabla2[[#This Row],[Forest cover 2011]]</f>
        <v>4.3208863001978965E-5</v>
      </c>
      <c r="AP200" s="6">
        <f>Tabla2[[#This Row],[Deforestation 2021]]/Tabla2[[#This Row],[Forest cover 2011]]</f>
        <v>0</v>
      </c>
      <c r="AQ200" s="6">
        <f>Tabla2[[#This Row],[Deforestation 2022]]/Tabla2[[#This Row],[Forest cover 2011]]</f>
        <v>0</v>
      </c>
      <c r="AR200" s="6">
        <f>Tabla2[[#This Row],[Deforestation 2023]]/Tabla2[[#This Row],[Forest cover 2011]]</f>
        <v>7.7775953403562133E-5</v>
      </c>
      <c r="AS200" s="6">
        <f>Tabla2[[#This Row],[Deforestation 2024]]/Tabla2[[#This Row],[Forest cover 2011]]</f>
        <v>3.4567090401583168E-5</v>
      </c>
      <c r="AT200" s="6">
        <f>Tabla2[[#This Row],[Forest Loss 2012]]/Tabla2[[#This Row],[Forest cover 2011]]</f>
        <v>8.6417726003957921E-4</v>
      </c>
      <c r="AU200" s="6">
        <f>Tabla2[[#This Row],[Forest Loss 2013]]/Tabla2[[#This Row],[Forest cover 2011]]</f>
        <v>1.1061468928506614E-3</v>
      </c>
      <c r="AV200" s="6">
        <f>Tabla2[[#This Row],[Forest Loss 2014]]/Tabla2[[#This Row],[Forest cover 2011]]</f>
        <v>8.9960852770120201E-3</v>
      </c>
      <c r="AW200" s="6">
        <f>Tabla2[[#This Row],[Forest Loss 2015]]/Tabla2[[#This Row],[Forest cover 2011]]</f>
        <v>7.4319244363403819E-4</v>
      </c>
      <c r="AX200" s="6">
        <f>Tabla2[[#This Row],[Forest Loss 2016]]/Tabla2[[#This Row],[Forest cover 2011]]</f>
        <v>4.1480508481899809E-4</v>
      </c>
      <c r="AY200" s="6">
        <f>Tabla2[[#This Row],[Forest Loss 2017]]/Tabla2[[#This Row],[Forest cover 2011]]</f>
        <v>7.6911776143522557E-4</v>
      </c>
      <c r="AZ200" s="6">
        <f>Tabla2[[#This Row],[Forest Loss 2018]]/Tabla2[[#This Row],[Forest cover 2011]]</f>
        <v>7.8640130663601708E-4</v>
      </c>
      <c r="BA200" s="6">
        <f>Tabla2[[#This Row],[Forest Loss 2019]]/Tabla2[[#This Row],[Forest cover 2011]]</f>
        <v>2.6270988705203208E-3</v>
      </c>
      <c r="BB200" s="6">
        <f>Tabla2[[#This Row],[Forest Loss 2020]]/Tabla2[[#This Row],[Forest cover 2011]]</f>
        <v>6.2652851352869498E-3</v>
      </c>
      <c r="BC200" s="6">
        <f>Tabla2[[#This Row],[Forest Loss 2021]]/Tabla2[[#This Row],[Forest cover 2011]]</f>
        <v>7.7775953403562133E-5</v>
      </c>
      <c r="BD200" s="6">
        <f>Tabla2[[#This Row],[Forest Loss 2022]]/Tabla2[[#This Row],[Forest cover 2011]]</f>
        <v>3.4567090401583168E-5</v>
      </c>
      <c r="BE200" s="6">
        <f>Tabla2[[#This Row],[Forest Loss 2023]]/Tabla2[[#This Row],[Forest cover 2011]]</f>
        <v>9.5923675864393297E-4</v>
      </c>
      <c r="BF200" s="6">
        <f>Tabla2[[#This Row],[Forest Loss 2024]]/Tabla2[[#This Row],[Forest cover 2011]]</f>
        <v>1.4345342516657016E-3</v>
      </c>
    </row>
    <row r="201" spans="1:58" x14ac:dyDescent="0.25">
      <c r="A201" s="2">
        <v>31201</v>
      </c>
      <c r="B201" s="3" t="s">
        <v>176</v>
      </c>
      <c r="C201" t="s">
        <v>206</v>
      </c>
      <c r="D201">
        <v>112411.35</v>
      </c>
      <c r="E201" s="4">
        <f>AVERAGE(Tabla2[[#This Row],[Deforestation 2012]:[Deforestation 2014]])</f>
        <v>81.27</v>
      </c>
      <c r="F201" s="4">
        <f>AVERAGE(Tabla2[[#This Row],[Deforestation 2022]:[Deforestation 2024]])</f>
        <v>237.36</v>
      </c>
      <c r="G201">
        <v>111.24</v>
      </c>
      <c r="H201">
        <v>57.69</v>
      </c>
      <c r="I201">
        <v>74.88</v>
      </c>
      <c r="J201">
        <v>100.17</v>
      </c>
      <c r="K201">
        <v>92.52000000000001</v>
      </c>
      <c r="L201">
        <v>114.48</v>
      </c>
      <c r="M201">
        <v>191.34</v>
      </c>
      <c r="N201">
        <v>257.85000000000002</v>
      </c>
      <c r="O201">
        <v>230.22</v>
      </c>
      <c r="P201">
        <v>291.69</v>
      </c>
      <c r="Q201">
        <v>147.41999999999999</v>
      </c>
      <c r="R201">
        <v>416.79</v>
      </c>
      <c r="S201">
        <v>147.87</v>
      </c>
      <c r="T201">
        <v>555.39</v>
      </c>
      <c r="U201">
        <v>316.8</v>
      </c>
      <c r="V201">
        <v>531.18000000000006</v>
      </c>
      <c r="W201">
        <v>302.04000000000002</v>
      </c>
      <c r="X201">
        <v>215.64</v>
      </c>
      <c r="Y201">
        <v>336.05999999999989</v>
      </c>
      <c r="Z201">
        <v>472.86</v>
      </c>
      <c r="AA201">
        <v>588.69000000000005</v>
      </c>
      <c r="AB201">
        <v>389.7</v>
      </c>
      <c r="AC201">
        <v>443.97</v>
      </c>
      <c r="AD201">
        <v>253.35</v>
      </c>
      <c r="AE201">
        <v>780.12</v>
      </c>
      <c r="AF201">
        <v>157.77000000000001</v>
      </c>
      <c r="AG201" s="5">
        <f>Tabla2[[#This Row],[Deforestation 2012]]/Tabla2[[#This Row],[Forest cover 2011]]</f>
        <v>9.8957978887363241E-4</v>
      </c>
      <c r="AH201" s="6">
        <f>Tabla2[[#This Row],[Deforestation 2013]]/Tabla2[[#This Row],[Forest cover 2011]]</f>
        <v>5.1320440507119606E-4</v>
      </c>
      <c r="AI201" s="6">
        <f>Tabla2[[#This Row],[Deforestation 2014]]/Tabla2[[#This Row],[Forest cover 2011]]</f>
        <v>6.6612490642626383E-4</v>
      </c>
      <c r="AJ201" s="6">
        <f>Tabla2[[#This Row],[Deforestation 2015]]/Tabla2[[#This Row],[Forest cover 2011]]</f>
        <v>8.9110218852455735E-4</v>
      </c>
      <c r="AK201" s="6">
        <f>Tabla2[[#This Row],[Deforestation 2016]]/Tabla2[[#This Row],[Forest cover 2011]]</f>
        <v>8.2304856226706651E-4</v>
      </c>
      <c r="AL201" s="6">
        <f>Tabla2[[#This Row],[Deforestation 2017]]/Tabla2[[#This Row],[Forest cover 2011]]</f>
        <v>1.0184025011709228E-3</v>
      </c>
      <c r="AM201" s="6">
        <f>Tabla2[[#This Row],[Deforestation 2018]]/Tabla2[[#This Row],[Forest cover 2011]]</f>
        <v>1.7021412873344194E-3</v>
      </c>
      <c r="AN201" s="6">
        <f>Tabla2[[#This Row],[Deforestation 2019]]/Tabla2[[#This Row],[Forest cover 2011]]</f>
        <v>2.2938075203260168E-3</v>
      </c>
      <c r="AO201" s="6">
        <f>Tabla2[[#This Row],[Deforestation 2020]]/Tabla2[[#This Row],[Forest cover 2011]]</f>
        <v>2.0480138349019024E-3</v>
      </c>
      <c r="AP201" s="6">
        <f>Tabla2[[#This Row],[Deforestation 2021]]/Tabla2[[#This Row],[Forest cover 2011]]</f>
        <v>2.5948447376532707E-3</v>
      </c>
      <c r="AQ201" s="6">
        <f>Tabla2[[#This Row],[Deforestation 2022]]/Tabla2[[#This Row],[Forest cover 2011]]</f>
        <v>1.3114334095267069E-3</v>
      </c>
      <c r="AR201" s="6">
        <f>Tabla2[[#This Row],[Deforestation 2023]]/Tabla2[[#This Row],[Forest cover 2011]]</f>
        <v>3.7077216846875339E-3</v>
      </c>
      <c r="AS201" s="6">
        <f>Tabla2[[#This Row],[Deforestation 2024]]/Tabla2[[#This Row],[Forest cover 2011]]</f>
        <v>1.3154365640124417E-3</v>
      </c>
      <c r="AT201" s="6">
        <f>Tabla2[[#This Row],[Forest Loss 2012]]/Tabla2[[#This Row],[Forest cover 2011]]</f>
        <v>4.9406932662938389E-3</v>
      </c>
      <c r="AU201" s="6">
        <f>Tabla2[[#This Row],[Forest Loss 2013]]/Tabla2[[#This Row],[Forest cover 2011]]</f>
        <v>2.8182207579572705E-3</v>
      </c>
      <c r="AV201" s="6">
        <f>Tabla2[[#This Row],[Forest Loss 2014]]/Tabla2[[#This Row],[Forest cover 2011]]</f>
        <v>4.7253235549613096E-3</v>
      </c>
      <c r="AW201" s="6">
        <f>Tabla2[[#This Row],[Forest Loss 2015]]/Tabla2[[#This Row],[Forest cover 2011]]</f>
        <v>2.6869172908251704E-3</v>
      </c>
      <c r="AX201" s="6">
        <f>Tabla2[[#This Row],[Forest Loss 2016]]/Tabla2[[#This Row],[Forest cover 2011]]</f>
        <v>1.9183116295640962E-3</v>
      </c>
      <c r="AY201" s="6">
        <f>Tabla2[[#This Row],[Forest Loss 2017]]/Tabla2[[#This Row],[Forest cover 2011]]</f>
        <v>2.9895557699467167E-3</v>
      </c>
      <c r="AZ201" s="6">
        <f>Tabla2[[#This Row],[Forest Loss 2018]]/Tabla2[[#This Row],[Forest cover 2011]]</f>
        <v>4.2065147336100847E-3</v>
      </c>
      <c r="BA201" s="6">
        <f>Tabla2[[#This Row],[Forest Loss 2019]]/Tabla2[[#This Row],[Forest cover 2011]]</f>
        <v>5.2369266982382123E-3</v>
      </c>
      <c r="BB201" s="6">
        <f>Tabla2[[#This Row],[Forest Loss 2020]]/Tabla2[[#This Row],[Forest cover 2011]]</f>
        <v>3.4667317846463009E-3</v>
      </c>
      <c r="BC201" s="6">
        <f>Tabla2[[#This Row],[Forest Loss 2021]]/Tabla2[[#This Row],[Forest cover 2011]]</f>
        <v>3.9495122156259135E-3</v>
      </c>
      <c r="BD201" s="6">
        <f>Tabla2[[#This Row],[Forest Loss 2022]]/Tabla2[[#This Row],[Forest cover 2011]]</f>
        <v>2.2537759754686693E-3</v>
      </c>
      <c r="BE201" s="6">
        <f>Tabla2[[#This Row],[Forest Loss 2023]]/Tabla2[[#This Row],[Forest cover 2011]]</f>
        <v>6.9398686164697781E-3</v>
      </c>
      <c r="BF201" s="6">
        <f>Tabla2[[#This Row],[Forest Loss 2024]]/Tabla2[[#This Row],[Forest cover 2011]]</f>
        <v>1.4035059626986066E-3</v>
      </c>
    </row>
    <row r="202" spans="1:58" x14ac:dyDescent="0.25">
      <c r="A202" s="2">
        <v>30203</v>
      </c>
      <c r="B202" s="3" t="s">
        <v>176</v>
      </c>
      <c r="C202" t="s">
        <v>179</v>
      </c>
      <c r="D202">
        <v>13046.13</v>
      </c>
      <c r="E202" s="4">
        <f>AVERAGE(Tabla2[[#This Row],[Deforestation 2012]:[Deforestation 2014]])</f>
        <v>0.38999999999999996</v>
      </c>
      <c r="F202" s="4">
        <f>AVERAGE(Tabla2[[#This Row],[Deforestation 2022]:[Deforestation 2024]])</f>
        <v>17.790000000000003</v>
      </c>
      <c r="G202">
        <v>0.63</v>
      </c>
      <c r="H202">
        <v>0.27</v>
      </c>
      <c r="I202">
        <v>0.27</v>
      </c>
      <c r="J202">
        <v>0.18</v>
      </c>
      <c r="K202">
        <v>0.36</v>
      </c>
      <c r="L202">
        <v>0.09</v>
      </c>
      <c r="M202">
        <v>0.27</v>
      </c>
      <c r="N202">
        <v>0.63</v>
      </c>
      <c r="O202">
        <v>0.54</v>
      </c>
      <c r="P202">
        <v>3.24</v>
      </c>
      <c r="Q202">
        <v>23.85</v>
      </c>
      <c r="R202">
        <v>13.05</v>
      </c>
      <c r="S202">
        <v>16.47</v>
      </c>
      <c r="T202">
        <v>5.49</v>
      </c>
      <c r="U202">
        <v>11.07</v>
      </c>
      <c r="V202">
        <v>147.96</v>
      </c>
      <c r="W202">
        <v>6.93</v>
      </c>
      <c r="X202">
        <v>3.51</v>
      </c>
      <c r="Y202">
        <v>4.59</v>
      </c>
      <c r="Z202">
        <v>5.31</v>
      </c>
      <c r="AA202">
        <v>4.68</v>
      </c>
      <c r="AB202">
        <v>5.13</v>
      </c>
      <c r="AC202">
        <v>3.42</v>
      </c>
      <c r="AD202">
        <v>27.63</v>
      </c>
      <c r="AE202">
        <v>39.15</v>
      </c>
      <c r="AF202">
        <v>18.09</v>
      </c>
      <c r="AG202" s="5">
        <f>Tabla2[[#This Row],[Deforestation 2012]]/Tabla2[[#This Row],[Forest cover 2011]]</f>
        <v>4.8290182605876228E-5</v>
      </c>
      <c r="AH202" s="6">
        <f>Tabla2[[#This Row],[Deforestation 2013]]/Tabla2[[#This Row],[Forest cover 2011]]</f>
        <v>2.0695792545375527E-5</v>
      </c>
      <c r="AI202" s="6">
        <f>Tabla2[[#This Row],[Deforestation 2014]]/Tabla2[[#This Row],[Forest cover 2011]]</f>
        <v>2.0695792545375527E-5</v>
      </c>
      <c r="AJ202" s="6">
        <f>Tabla2[[#This Row],[Deforestation 2015]]/Tabla2[[#This Row],[Forest cover 2011]]</f>
        <v>1.3797195030250351E-5</v>
      </c>
      <c r="AK202" s="6">
        <f>Tabla2[[#This Row],[Deforestation 2016]]/Tabla2[[#This Row],[Forest cover 2011]]</f>
        <v>2.7594390060500701E-5</v>
      </c>
      <c r="AL202" s="6">
        <f>Tabla2[[#This Row],[Deforestation 2017]]/Tabla2[[#This Row],[Forest cover 2011]]</f>
        <v>6.8985975151251753E-6</v>
      </c>
      <c r="AM202" s="6">
        <f>Tabla2[[#This Row],[Deforestation 2018]]/Tabla2[[#This Row],[Forest cover 2011]]</f>
        <v>2.0695792545375527E-5</v>
      </c>
      <c r="AN202" s="6">
        <f>Tabla2[[#This Row],[Deforestation 2019]]/Tabla2[[#This Row],[Forest cover 2011]]</f>
        <v>4.8290182605876228E-5</v>
      </c>
      <c r="AO202" s="6">
        <f>Tabla2[[#This Row],[Deforestation 2020]]/Tabla2[[#This Row],[Forest cover 2011]]</f>
        <v>4.1391585090751053E-5</v>
      </c>
      <c r="AP202" s="6">
        <f>Tabla2[[#This Row],[Deforestation 2021]]/Tabla2[[#This Row],[Forest cover 2011]]</f>
        <v>2.4834951054450633E-4</v>
      </c>
      <c r="AQ202" s="6">
        <f>Tabla2[[#This Row],[Deforestation 2022]]/Tabla2[[#This Row],[Forest cover 2011]]</f>
        <v>1.8281283415081716E-3</v>
      </c>
      <c r="AR202" s="6">
        <f>Tabla2[[#This Row],[Deforestation 2023]]/Tabla2[[#This Row],[Forest cover 2011]]</f>
        <v>1.0002966396931506E-3</v>
      </c>
      <c r="AS202" s="6">
        <f>Tabla2[[#This Row],[Deforestation 2024]]/Tabla2[[#This Row],[Forest cover 2011]]</f>
        <v>1.262443345267907E-3</v>
      </c>
      <c r="AT202" s="6">
        <f>Tabla2[[#This Row],[Forest Loss 2012]]/Tabla2[[#This Row],[Forest cover 2011]]</f>
        <v>4.2081444842263571E-4</v>
      </c>
      <c r="AU202" s="6">
        <f>Tabla2[[#This Row],[Forest Loss 2013]]/Tabla2[[#This Row],[Forest cover 2011]]</f>
        <v>8.4852749436039666E-4</v>
      </c>
      <c r="AV202" s="6">
        <f>Tabla2[[#This Row],[Forest Loss 2014]]/Tabla2[[#This Row],[Forest cover 2011]]</f>
        <v>1.134129431486579E-2</v>
      </c>
      <c r="AW202" s="6">
        <f>Tabla2[[#This Row],[Forest Loss 2015]]/Tabla2[[#This Row],[Forest cover 2011]]</f>
        <v>5.3119200866463844E-4</v>
      </c>
      <c r="AX202" s="6">
        <f>Tabla2[[#This Row],[Forest Loss 2016]]/Tabla2[[#This Row],[Forest cover 2011]]</f>
        <v>2.6904530308988184E-4</v>
      </c>
      <c r="AY202" s="6">
        <f>Tabla2[[#This Row],[Forest Loss 2017]]/Tabla2[[#This Row],[Forest cover 2011]]</f>
        <v>3.5182847327138394E-4</v>
      </c>
      <c r="AZ202" s="6">
        <f>Tabla2[[#This Row],[Forest Loss 2018]]/Tabla2[[#This Row],[Forest cover 2011]]</f>
        <v>4.0701725339238533E-4</v>
      </c>
      <c r="BA202" s="6">
        <f>Tabla2[[#This Row],[Forest Loss 2019]]/Tabla2[[#This Row],[Forest cover 2011]]</f>
        <v>3.5872707078650912E-4</v>
      </c>
      <c r="BB202" s="6">
        <f>Tabla2[[#This Row],[Forest Loss 2020]]/Tabla2[[#This Row],[Forest cover 2011]]</f>
        <v>3.9322005836213501E-4</v>
      </c>
      <c r="BC202" s="6">
        <f>Tabla2[[#This Row],[Forest Loss 2021]]/Tabla2[[#This Row],[Forest cover 2011]]</f>
        <v>2.6214670557475665E-4</v>
      </c>
      <c r="BD202" s="6">
        <f>Tabla2[[#This Row],[Forest Loss 2022]]/Tabla2[[#This Row],[Forest cover 2011]]</f>
        <v>2.1178694371434287E-3</v>
      </c>
      <c r="BE202" s="6">
        <f>Tabla2[[#This Row],[Forest Loss 2023]]/Tabla2[[#This Row],[Forest cover 2011]]</f>
        <v>3.0008899190794511E-3</v>
      </c>
      <c r="BF202" s="6">
        <f>Tabla2[[#This Row],[Forest Loss 2024]]/Tabla2[[#This Row],[Forest cover 2011]]</f>
        <v>1.3866181005401602E-3</v>
      </c>
    </row>
    <row r="203" spans="1:58" x14ac:dyDescent="0.25">
      <c r="A203" s="2">
        <v>30404</v>
      </c>
      <c r="B203" s="3" t="s">
        <v>176</v>
      </c>
      <c r="C203" t="s">
        <v>186</v>
      </c>
      <c r="D203">
        <v>130.68</v>
      </c>
      <c r="E203" s="4">
        <f>AVERAGE(Tabla2[[#This Row],[Deforestation 2012]:[Deforestation 2014]])</f>
        <v>0.03</v>
      </c>
      <c r="F203" s="4">
        <f>AVERAGE(Tabla2[[#This Row],[Deforestation 2022]:[Deforestation 2024]])</f>
        <v>0.75</v>
      </c>
      <c r="G203">
        <v>0</v>
      </c>
      <c r="H203">
        <v>0.09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0.81</v>
      </c>
      <c r="Q203">
        <v>0.81</v>
      </c>
      <c r="R203">
        <v>1.35</v>
      </c>
      <c r="S203">
        <v>0.09</v>
      </c>
      <c r="T203">
        <v>0.81</v>
      </c>
      <c r="U203">
        <v>0.63</v>
      </c>
      <c r="V203">
        <v>1.8</v>
      </c>
      <c r="W203">
        <v>0.18</v>
      </c>
      <c r="X203">
        <v>0.72</v>
      </c>
      <c r="Y203">
        <v>4.5</v>
      </c>
      <c r="Z203">
        <v>9.7200000000000006</v>
      </c>
      <c r="AA203">
        <v>4.59</v>
      </c>
      <c r="AB203">
        <v>0.81</v>
      </c>
      <c r="AC203">
        <v>0.99</v>
      </c>
      <c r="AD203">
        <v>0.9</v>
      </c>
      <c r="AE203">
        <v>9.6300000000000008</v>
      </c>
      <c r="AF203">
        <v>0.18</v>
      </c>
      <c r="AG203" s="5">
        <f>Tabla2[[#This Row],[Deforestation 2012]]/Tabla2[[#This Row],[Forest cover 2011]]</f>
        <v>0</v>
      </c>
      <c r="AH203" s="6">
        <f>Tabla2[[#This Row],[Deforestation 2013]]/Tabla2[[#This Row],[Forest cover 2011]]</f>
        <v>6.8870523415977953E-4</v>
      </c>
      <c r="AI203" s="6">
        <f>Tabla2[[#This Row],[Deforestation 2014]]/Tabla2[[#This Row],[Forest cover 2011]]</f>
        <v>0</v>
      </c>
      <c r="AJ203" s="6">
        <f>Tabla2[[#This Row],[Deforestation 2015]]/Tabla2[[#This Row],[Forest cover 2011]]</f>
        <v>0</v>
      </c>
      <c r="AK203" s="6">
        <f>Tabla2[[#This Row],[Deforestation 2016]]/Tabla2[[#This Row],[Forest cover 2011]]</f>
        <v>0</v>
      </c>
      <c r="AL203" s="6">
        <f>Tabla2[[#This Row],[Deforestation 2017]]/Tabla2[[#This Row],[Forest cover 2011]]</f>
        <v>0</v>
      </c>
      <c r="AM203" s="6">
        <f>Tabla2[[#This Row],[Deforestation 2018]]/Tabla2[[#This Row],[Forest cover 2011]]</f>
        <v>0</v>
      </c>
      <c r="AN203" s="6">
        <f>Tabla2[[#This Row],[Deforestation 2019]]/Tabla2[[#This Row],[Forest cover 2011]]</f>
        <v>0</v>
      </c>
      <c r="AO203" s="6">
        <f>Tabla2[[#This Row],[Deforestation 2020]]/Tabla2[[#This Row],[Forest cover 2011]]</f>
        <v>0</v>
      </c>
      <c r="AP203" s="6">
        <f>Tabla2[[#This Row],[Deforestation 2021]]/Tabla2[[#This Row],[Forest cover 2011]]</f>
        <v>6.1983471074380167E-3</v>
      </c>
      <c r="AQ203" s="6">
        <f>Tabla2[[#This Row],[Deforestation 2022]]/Tabla2[[#This Row],[Forest cover 2011]]</f>
        <v>6.1983471074380167E-3</v>
      </c>
      <c r="AR203" s="6">
        <f>Tabla2[[#This Row],[Deforestation 2023]]/Tabla2[[#This Row],[Forest cover 2011]]</f>
        <v>1.0330578512396695E-2</v>
      </c>
      <c r="AS203" s="6">
        <f>Tabla2[[#This Row],[Deforestation 2024]]/Tabla2[[#This Row],[Forest cover 2011]]</f>
        <v>6.8870523415977953E-4</v>
      </c>
      <c r="AT203" s="6">
        <f>Tabla2[[#This Row],[Forest Loss 2012]]/Tabla2[[#This Row],[Forest cover 2011]]</f>
        <v>6.1983471074380167E-3</v>
      </c>
      <c r="AU203" s="6">
        <f>Tabla2[[#This Row],[Forest Loss 2013]]/Tabla2[[#This Row],[Forest cover 2011]]</f>
        <v>4.8209366391184574E-3</v>
      </c>
      <c r="AV203" s="6">
        <f>Tabla2[[#This Row],[Forest Loss 2014]]/Tabla2[[#This Row],[Forest cover 2011]]</f>
        <v>1.3774104683195593E-2</v>
      </c>
      <c r="AW203" s="6">
        <f>Tabla2[[#This Row],[Forest Loss 2015]]/Tabla2[[#This Row],[Forest cover 2011]]</f>
        <v>1.3774104683195591E-3</v>
      </c>
      <c r="AX203" s="6">
        <f>Tabla2[[#This Row],[Forest Loss 2016]]/Tabla2[[#This Row],[Forest cover 2011]]</f>
        <v>5.5096418732782362E-3</v>
      </c>
      <c r="AY203" s="6">
        <f>Tabla2[[#This Row],[Forest Loss 2017]]/Tabla2[[#This Row],[Forest cover 2011]]</f>
        <v>3.4435261707988982E-2</v>
      </c>
      <c r="AZ203" s="6">
        <f>Tabla2[[#This Row],[Forest Loss 2018]]/Tabla2[[#This Row],[Forest cover 2011]]</f>
        <v>7.43801652892562E-2</v>
      </c>
      <c r="BA203" s="6">
        <f>Tabla2[[#This Row],[Forest Loss 2019]]/Tabla2[[#This Row],[Forest cover 2011]]</f>
        <v>3.5123966942148754E-2</v>
      </c>
      <c r="BB203" s="6">
        <f>Tabla2[[#This Row],[Forest Loss 2020]]/Tabla2[[#This Row],[Forest cover 2011]]</f>
        <v>6.1983471074380167E-3</v>
      </c>
      <c r="BC203" s="6">
        <f>Tabla2[[#This Row],[Forest Loss 2021]]/Tabla2[[#This Row],[Forest cover 2011]]</f>
        <v>7.5757575757575751E-3</v>
      </c>
      <c r="BD203" s="6">
        <f>Tabla2[[#This Row],[Forest Loss 2022]]/Tabla2[[#This Row],[Forest cover 2011]]</f>
        <v>6.8870523415977963E-3</v>
      </c>
      <c r="BE203" s="6">
        <f>Tabla2[[#This Row],[Forest Loss 2023]]/Tabla2[[#This Row],[Forest cover 2011]]</f>
        <v>7.3691460055096428E-2</v>
      </c>
      <c r="BF203" s="6">
        <f>Tabla2[[#This Row],[Forest Loss 2024]]/Tabla2[[#This Row],[Forest cover 2011]]</f>
        <v>1.3774104683195591E-3</v>
      </c>
    </row>
    <row r="204" spans="1:58" x14ac:dyDescent="0.25">
      <c r="A204" s="2">
        <v>90201</v>
      </c>
      <c r="B204" s="3" t="s">
        <v>384</v>
      </c>
      <c r="C204" t="s">
        <v>389</v>
      </c>
      <c r="D204">
        <v>493769.52</v>
      </c>
      <c r="E204" s="4">
        <f>AVERAGE(Tabla2[[#This Row],[Deforestation 2012]:[Deforestation 2014]])</f>
        <v>390.69000000000005</v>
      </c>
      <c r="F204" s="4">
        <f>AVERAGE(Tabla2[[#This Row],[Deforestation 2022]:[Deforestation 2024]])</f>
        <v>235.43999999999997</v>
      </c>
      <c r="G204">
        <v>505.17</v>
      </c>
      <c r="H204">
        <v>359.55</v>
      </c>
      <c r="I204">
        <v>307.35000000000002</v>
      </c>
      <c r="J204">
        <v>437.94</v>
      </c>
      <c r="K204">
        <v>352.26</v>
      </c>
      <c r="L204">
        <v>1748.07</v>
      </c>
      <c r="M204">
        <v>387.80999999999989</v>
      </c>
      <c r="N204">
        <v>236.88</v>
      </c>
      <c r="O204">
        <v>451.71</v>
      </c>
      <c r="P204">
        <v>962.28</v>
      </c>
      <c r="Q204">
        <v>96.66</v>
      </c>
      <c r="R204">
        <v>254.88</v>
      </c>
      <c r="S204">
        <v>354.78</v>
      </c>
      <c r="T204">
        <v>2741.13</v>
      </c>
      <c r="U204">
        <v>1685.88</v>
      </c>
      <c r="V204">
        <v>1121.58</v>
      </c>
      <c r="W204">
        <v>887.12999999999988</v>
      </c>
      <c r="X204">
        <v>707.67000000000007</v>
      </c>
      <c r="Y204">
        <v>2116.71</v>
      </c>
      <c r="Z204">
        <v>726.03</v>
      </c>
      <c r="AA204">
        <v>561.15000000000009</v>
      </c>
      <c r="AB204">
        <v>1167.93</v>
      </c>
      <c r="AC204">
        <v>1174.68</v>
      </c>
      <c r="AD204">
        <v>216.18</v>
      </c>
      <c r="AE204">
        <v>623.43000000000006</v>
      </c>
      <c r="AF204">
        <v>627.93000000000006</v>
      </c>
      <c r="AG204" s="5">
        <f>Tabla2[[#This Row],[Deforestation 2012]]/Tabla2[[#This Row],[Forest cover 2011]]</f>
        <v>1.0230886669553843E-3</v>
      </c>
      <c r="AH204" s="6">
        <f>Tabla2[[#This Row],[Deforestation 2013]]/Tabla2[[#This Row],[Forest cover 2011]]</f>
        <v>7.2817374389573498E-4</v>
      </c>
      <c r="AI204" s="6">
        <f>Tabla2[[#This Row],[Deforestation 2014]]/Tabla2[[#This Row],[Forest cover 2011]]</f>
        <v>6.2245640435642927E-4</v>
      </c>
      <c r="AJ204" s="6">
        <f>Tabla2[[#This Row],[Deforestation 2015]]/Tabla2[[#This Row],[Forest cover 2011]]</f>
        <v>8.8693202447976132E-4</v>
      </c>
      <c r="AK204" s="6">
        <f>Tabla2[[#This Row],[Deforestation 2016]]/Tabla2[[#This Row],[Forest cover 2011]]</f>
        <v>7.1340977061524569E-4</v>
      </c>
      <c r="AL204" s="6">
        <f>Tabla2[[#This Row],[Deforestation 2017]]/Tabla2[[#This Row],[Forest cover 2011]]</f>
        <v>3.5402549756412666E-3</v>
      </c>
      <c r="AM204" s="6">
        <f>Tabla2[[#This Row],[Deforestation 2018]]/Tabla2[[#This Row],[Forest cover 2011]]</f>
        <v>7.8540692426701405E-4</v>
      </c>
      <c r="AN204" s="6">
        <f>Tabla2[[#This Row],[Deforestation 2019]]/Tabla2[[#This Row],[Forest cover 2011]]</f>
        <v>4.7973799597836656E-4</v>
      </c>
      <c r="AO204" s="6">
        <f>Tabla2[[#This Row],[Deforestation 2020]]/Tabla2[[#This Row],[Forest cover 2011]]</f>
        <v>9.148195295651298E-4</v>
      </c>
      <c r="AP204" s="6">
        <f>Tabla2[[#This Row],[Deforestation 2021]]/Tabla2[[#This Row],[Forest cover 2011]]</f>
        <v>1.9488444730245801E-3</v>
      </c>
      <c r="AQ204" s="6">
        <f>Tabla2[[#This Row],[Deforestation 2022]]/Tabla2[[#This Row],[Forest cover 2011]]</f>
        <v>1.9575934942278332E-4</v>
      </c>
      <c r="AR204" s="6">
        <f>Tabla2[[#This Row],[Deforestation 2023]]/Tabla2[[#This Row],[Forest cover 2011]]</f>
        <v>5.1619225099192023E-4</v>
      </c>
      <c r="AS204" s="6">
        <f>Tabla2[[#This Row],[Deforestation 2024]]/Tabla2[[#This Row],[Forest cover 2011]]</f>
        <v>7.1851336631714323E-4</v>
      </c>
      <c r="AT204" s="6">
        <f>Tabla2[[#This Row],[Forest Loss 2012]]/Tabla2[[#This Row],[Forest cover 2011]]</f>
        <v>5.5514362247390241E-3</v>
      </c>
      <c r="AU204" s="6">
        <f>Tabla2[[#This Row],[Forest Loss 2013]]/Tabla2[[#This Row],[Forest cover 2011]]</f>
        <v>3.414305524569439E-3</v>
      </c>
      <c r="AV204" s="6">
        <f>Tabla2[[#This Row],[Forest Loss 2014]]/Tabla2[[#This Row],[Forest cover 2011]]</f>
        <v>2.2714646298945301E-3</v>
      </c>
      <c r="AW204" s="6">
        <f>Tabla2[[#This Row],[Forest Loss 2015]]/Tabla2[[#This Row],[Forest cover 2011]]</f>
        <v>1.7966479583429935E-3</v>
      </c>
      <c r="AX204" s="6">
        <f>Tabla2[[#This Row],[Forest Loss 2016]]/Tabla2[[#This Row],[Forest cover 2011]]</f>
        <v>1.4331990358578636E-3</v>
      </c>
      <c r="AY204" s="6">
        <f>Tabla2[[#This Row],[Forest Loss 2017]]/Tabla2[[#This Row],[Forest cover 2011]]</f>
        <v>4.2868381183188463E-3</v>
      </c>
      <c r="AZ204" s="6">
        <f>Tabla2[[#This Row],[Forest Loss 2018]]/Tabla2[[#This Row],[Forest cover 2011]]</f>
        <v>1.4703823759716881E-3</v>
      </c>
      <c r="BA204" s="6">
        <f>Tabla2[[#This Row],[Forest Loss 2019]]/Tabla2[[#This Row],[Forest cover 2011]]</f>
        <v>1.1364614000475364E-3</v>
      </c>
      <c r="BB204" s="6">
        <f>Tabla2[[#This Row],[Forest Loss 2020]]/Tabla2[[#This Row],[Forest cover 2011]]</f>
        <v>2.3653343365544312E-3</v>
      </c>
      <c r="BC204" s="6">
        <f>Tabla2[[#This Row],[Forest Loss 2021]]/Tabla2[[#This Row],[Forest cover 2011]]</f>
        <v>2.3790046821845138E-3</v>
      </c>
      <c r="BD204" s="6">
        <f>Tabla2[[#This Row],[Forest Loss 2022]]/Tabla2[[#This Row],[Forest cover 2011]]</f>
        <v>4.3781560271277984E-4</v>
      </c>
      <c r="BE204" s="6">
        <f>Tabla2[[#This Row],[Forest Loss 2023]]/Tabla2[[#This Row],[Forest cover 2011]]</f>
        <v>1.2625931223944323E-3</v>
      </c>
      <c r="BF204" s="6">
        <f>Tabla2[[#This Row],[Forest Loss 2024]]/Tabla2[[#This Row],[Forest cover 2011]]</f>
        <v>1.2717066861478207E-3</v>
      </c>
    </row>
    <row r="205" spans="1:58" x14ac:dyDescent="0.25">
      <c r="A205" s="2">
        <v>30901</v>
      </c>
      <c r="B205" s="3" t="s">
        <v>176</v>
      </c>
      <c r="C205" t="s">
        <v>197</v>
      </c>
      <c r="D205">
        <v>1477.98</v>
      </c>
      <c r="E205" s="4">
        <f>AVERAGE(Tabla2[[#This Row],[Deforestation 2012]:[Deforestation 2014]])</f>
        <v>7.32</v>
      </c>
      <c r="F205" s="4">
        <f>AVERAGE(Tabla2[[#This Row],[Deforestation 2022]:[Deforestation 2024]])</f>
        <v>97.350000000000009</v>
      </c>
      <c r="G205">
        <v>5.8500000000000014</v>
      </c>
      <c r="H205">
        <v>8.73</v>
      </c>
      <c r="I205">
        <v>7.38</v>
      </c>
      <c r="J205">
        <v>18.72</v>
      </c>
      <c r="K205">
        <v>14.67</v>
      </c>
      <c r="L205">
        <v>35.729999999999997</v>
      </c>
      <c r="M205">
        <v>30.78</v>
      </c>
      <c r="N205">
        <v>5.49</v>
      </c>
      <c r="O205">
        <v>12.51</v>
      </c>
      <c r="P205">
        <v>24.84</v>
      </c>
      <c r="Q205">
        <v>153.18</v>
      </c>
      <c r="R205">
        <v>138.06</v>
      </c>
      <c r="S205">
        <v>0.81</v>
      </c>
      <c r="T205">
        <v>7.47</v>
      </c>
      <c r="U205">
        <v>9.7200000000000006</v>
      </c>
      <c r="V205">
        <v>22.05</v>
      </c>
      <c r="W205">
        <v>20.43</v>
      </c>
      <c r="X205">
        <v>16.11</v>
      </c>
      <c r="Y205">
        <v>46.98</v>
      </c>
      <c r="Z205">
        <v>35.28</v>
      </c>
      <c r="AA205">
        <v>17.55</v>
      </c>
      <c r="AB205">
        <v>21.06</v>
      </c>
      <c r="AC205">
        <v>24.93</v>
      </c>
      <c r="AD205">
        <v>154.26</v>
      </c>
      <c r="AE205">
        <v>149.49</v>
      </c>
      <c r="AF205">
        <v>1.8</v>
      </c>
      <c r="AG205" s="5">
        <f>Tabla2[[#This Row],[Deforestation 2012]]/Tabla2[[#This Row],[Forest cover 2011]]</f>
        <v>3.9581049811228848E-3</v>
      </c>
      <c r="AH205" s="6">
        <f>Tabla2[[#This Row],[Deforestation 2013]]/Tabla2[[#This Row],[Forest cover 2011]]</f>
        <v>5.9067105102910732E-3</v>
      </c>
      <c r="AI205" s="6">
        <f>Tabla2[[#This Row],[Deforestation 2014]]/Tabla2[[#This Row],[Forest cover 2011]]</f>
        <v>4.993301668493484E-3</v>
      </c>
      <c r="AJ205" s="6">
        <f>Tabla2[[#This Row],[Deforestation 2015]]/Tabla2[[#This Row],[Forest cover 2011]]</f>
        <v>1.2665935939593228E-2</v>
      </c>
      <c r="AK205" s="6">
        <f>Tabla2[[#This Row],[Deforestation 2016]]/Tabla2[[#This Row],[Forest cover 2011]]</f>
        <v>9.9257094142004634E-3</v>
      </c>
      <c r="AL205" s="6">
        <f>Tabla2[[#This Row],[Deforestation 2017]]/Tabla2[[#This Row],[Forest cover 2011]]</f>
        <v>2.4174887346242842E-2</v>
      </c>
      <c r="AM205" s="6">
        <f>Tabla2[[#This Row],[Deforestation 2018]]/Tabla2[[#This Row],[Forest cover 2011]]</f>
        <v>2.0825721592985021E-2</v>
      </c>
      <c r="AN205" s="6">
        <f>Tabla2[[#This Row],[Deforestation 2019]]/Tabla2[[#This Row],[Forest cover 2011]]</f>
        <v>3.7145292899768605E-3</v>
      </c>
      <c r="AO205" s="6">
        <f>Tabla2[[#This Row],[Deforestation 2020]]/Tabla2[[#This Row],[Forest cover 2011]]</f>
        <v>8.4642552673243211E-3</v>
      </c>
      <c r="AP205" s="6">
        <f>Tabla2[[#This Row],[Deforestation 2021]]/Tabla2[[#This Row],[Forest cover 2011]]</f>
        <v>1.680672268907563E-2</v>
      </c>
      <c r="AQ205" s="6">
        <f>Tabla2[[#This Row],[Deforestation 2022]]/Tabla2[[#This Row],[Forest cover 2011]]</f>
        <v>0.10364145658263306</v>
      </c>
      <c r="AR205" s="6">
        <f>Tabla2[[#This Row],[Deforestation 2023]]/Tabla2[[#This Row],[Forest cover 2011]]</f>
        <v>9.3411277554500058E-2</v>
      </c>
      <c r="AS205" s="6">
        <f>Tabla2[[#This Row],[Deforestation 2024]]/Tabla2[[#This Row],[Forest cover 2011]]</f>
        <v>5.4804530507855317E-4</v>
      </c>
      <c r="AT205" s="6">
        <f>Tabla2[[#This Row],[Forest Loss 2012]]/Tabla2[[#This Row],[Forest cover 2011]]</f>
        <v>5.0541955912799903E-3</v>
      </c>
      <c r="AU205" s="6">
        <f>Tabla2[[#This Row],[Forest Loss 2013]]/Tabla2[[#This Row],[Forest cover 2011]]</f>
        <v>6.5765436609426381E-3</v>
      </c>
      <c r="AV205" s="6">
        <f>Tabla2[[#This Row],[Forest Loss 2014]]/Tabla2[[#This Row],[Forest cover 2011]]</f>
        <v>1.4919011082693948E-2</v>
      </c>
      <c r="AW205" s="6">
        <f>Tabla2[[#This Row],[Forest Loss 2015]]/Tabla2[[#This Row],[Forest cover 2011]]</f>
        <v>1.382292047253684E-2</v>
      </c>
      <c r="AX205" s="6">
        <f>Tabla2[[#This Row],[Forest Loss 2016]]/Tabla2[[#This Row],[Forest cover 2011]]</f>
        <v>1.0900012178784557E-2</v>
      </c>
      <c r="AY205" s="6">
        <f>Tabla2[[#This Row],[Forest Loss 2017]]/Tabla2[[#This Row],[Forest cover 2011]]</f>
        <v>3.1786627694556084E-2</v>
      </c>
      <c r="AZ205" s="6">
        <f>Tabla2[[#This Row],[Forest Loss 2018]]/Tabla2[[#This Row],[Forest cover 2011]]</f>
        <v>2.3870417732310314E-2</v>
      </c>
      <c r="BA205" s="6">
        <f>Tabla2[[#This Row],[Forest Loss 2019]]/Tabla2[[#This Row],[Forest cover 2011]]</f>
        <v>1.1874314943368653E-2</v>
      </c>
      <c r="BB205" s="6">
        <f>Tabla2[[#This Row],[Forest Loss 2020]]/Tabla2[[#This Row],[Forest cover 2011]]</f>
        <v>1.4249177932042381E-2</v>
      </c>
      <c r="BC205" s="6">
        <f>Tabla2[[#This Row],[Forest Loss 2021]]/Tabla2[[#This Row],[Forest cover 2011]]</f>
        <v>1.6867616611862136E-2</v>
      </c>
      <c r="BD205" s="6">
        <f>Tabla2[[#This Row],[Forest Loss 2022]]/Tabla2[[#This Row],[Forest cover 2011]]</f>
        <v>0.10437218365607112</v>
      </c>
      <c r="BE205" s="6">
        <f>Tabla2[[#This Row],[Forest Loss 2023]]/Tabla2[[#This Row],[Forest cover 2011]]</f>
        <v>0.10114480574838632</v>
      </c>
      <c r="BF205" s="6">
        <f>Tabla2[[#This Row],[Forest Loss 2024]]/Tabla2[[#This Row],[Forest cover 2011]]</f>
        <v>1.2178784557301181E-3</v>
      </c>
    </row>
    <row r="206" spans="1:58" x14ac:dyDescent="0.25">
      <c r="A206" s="2">
        <v>10303</v>
      </c>
      <c r="B206" s="3" t="s">
        <v>58</v>
      </c>
      <c r="C206" t="s">
        <v>66</v>
      </c>
      <c r="D206">
        <v>30785.4</v>
      </c>
      <c r="E206" s="4">
        <f>AVERAGE(Tabla2[[#This Row],[Deforestation 2012]:[Deforestation 2014]])</f>
        <v>1.38</v>
      </c>
      <c r="F206" s="4">
        <f>AVERAGE(Tabla2[[#This Row],[Deforestation 2022]:[Deforestation 2024]])</f>
        <v>33.69</v>
      </c>
      <c r="G206">
        <v>0.72</v>
      </c>
      <c r="H206">
        <v>2.25</v>
      </c>
      <c r="I206">
        <v>1.17</v>
      </c>
      <c r="J206">
        <v>0.54</v>
      </c>
      <c r="K206">
        <v>2.16</v>
      </c>
      <c r="L206">
        <v>1.44</v>
      </c>
      <c r="M206">
        <v>1.89</v>
      </c>
      <c r="N206">
        <v>1.98</v>
      </c>
      <c r="O206">
        <v>1.08</v>
      </c>
      <c r="P206">
        <v>0</v>
      </c>
      <c r="Q206">
        <v>27.99</v>
      </c>
      <c r="R206">
        <v>38.07</v>
      </c>
      <c r="S206">
        <v>35.01</v>
      </c>
      <c r="T206">
        <v>16.739999999999998</v>
      </c>
      <c r="U206">
        <v>17.100000000000001</v>
      </c>
      <c r="V206">
        <v>283.58999999999997</v>
      </c>
      <c r="W206">
        <v>9.99</v>
      </c>
      <c r="X206">
        <v>31.5</v>
      </c>
      <c r="Y206">
        <v>13.14</v>
      </c>
      <c r="Z206">
        <v>36</v>
      </c>
      <c r="AA206">
        <v>57.96</v>
      </c>
      <c r="AB206">
        <v>151.47</v>
      </c>
      <c r="AC206">
        <v>0.27</v>
      </c>
      <c r="AD206">
        <v>54.09</v>
      </c>
      <c r="AE206">
        <v>116.73</v>
      </c>
      <c r="AF206">
        <v>36.72</v>
      </c>
      <c r="AG206" s="5">
        <f>Tabla2[[#This Row],[Deforestation 2012]]/Tabla2[[#This Row],[Forest cover 2011]]</f>
        <v>2.3387709758521895E-5</v>
      </c>
      <c r="AH206" s="6">
        <f>Tabla2[[#This Row],[Deforestation 2013]]/Tabla2[[#This Row],[Forest cover 2011]]</f>
        <v>7.3086592995380919E-5</v>
      </c>
      <c r="AI206" s="6">
        <f>Tabla2[[#This Row],[Deforestation 2014]]/Tabla2[[#This Row],[Forest cover 2011]]</f>
        <v>3.8005028357598075E-5</v>
      </c>
      <c r="AJ206" s="6">
        <f>Tabla2[[#This Row],[Deforestation 2015]]/Tabla2[[#This Row],[Forest cover 2011]]</f>
        <v>1.7540782318891422E-5</v>
      </c>
      <c r="AK206" s="6">
        <f>Tabla2[[#This Row],[Deforestation 2016]]/Tabla2[[#This Row],[Forest cover 2011]]</f>
        <v>7.0163129275565688E-5</v>
      </c>
      <c r="AL206" s="6">
        <f>Tabla2[[#This Row],[Deforestation 2017]]/Tabla2[[#This Row],[Forest cover 2011]]</f>
        <v>4.677541951704379E-5</v>
      </c>
      <c r="AM206" s="6">
        <f>Tabla2[[#This Row],[Deforestation 2018]]/Tabla2[[#This Row],[Forest cover 2011]]</f>
        <v>6.1392738116119967E-5</v>
      </c>
      <c r="AN206" s="6">
        <f>Tabla2[[#This Row],[Deforestation 2019]]/Tabla2[[#This Row],[Forest cover 2011]]</f>
        <v>6.4316201835935212E-5</v>
      </c>
      <c r="AO206" s="6">
        <f>Tabla2[[#This Row],[Deforestation 2020]]/Tabla2[[#This Row],[Forest cover 2011]]</f>
        <v>3.5081564637782844E-5</v>
      </c>
      <c r="AP206" s="6">
        <f>Tabla2[[#This Row],[Deforestation 2021]]/Tabla2[[#This Row],[Forest cover 2011]]</f>
        <v>0</v>
      </c>
      <c r="AQ206" s="6">
        <f>Tabla2[[#This Row],[Deforestation 2022]]/Tabla2[[#This Row],[Forest cover 2011]]</f>
        <v>9.091972168625386E-4</v>
      </c>
      <c r="AR206" s="6">
        <f>Tabla2[[#This Row],[Deforestation 2023]]/Tabla2[[#This Row],[Forest cover 2011]]</f>
        <v>1.2366251534818452E-3</v>
      </c>
      <c r="AS206" s="6">
        <f>Tabla2[[#This Row],[Deforestation 2024]]/Tabla2[[#This Row],[Forest cover 2011]]</f>
        <v>1.1372273870081271E-3</v>
      </c>
      <c r="AT206" s="6">
        <f>Tabla2[[#This Row],[Forest Loss 2012]]/Tabla2[[#This Row],[Forest cover 2011]]</f>
        <v>5.4376425188563406E-4</v>
      </c>
      <c r="AU206" s="6">
        <f>Tabla2[[#This Row],[Forest Loss 2013]]/Tabla2[[#This Row],[Forest cover 2011]]</f>
        <v>5.554581067648951E-4</v>
      </c>
      <c r="AV206" s="6">
        <f>Tabla2[[#This Row],[Forest Loss 2014]]/Tabla2[[#This Row],[Forest cover 2011]]</f>
        <v>9.2118341811378117E-3</v>
      </c>
      <c r="AW206" s="6">
        <f>Tabla2[[#This Row],[Forest Loss 2015]]/Tabla2[[#This Row],[Forest cover 2011]]</f>
        <v>3.245044728994913E-4</v>
      </c>
      <c r="AX206" s="6">
        <f>Tabla2[[#This Row],[Forest Loss 2016]]/Tabla2[[#This Row],[Forest cover 2011]]</f>
        <v>1.023212301935333E-3</v>
      </c>
      <c r="AY206" s="6">
        <f>Tabla2[[#This Row],[Forest Loss 2017]]/Tabla2[[#This Row],[Forest cover 2011]]</f>
        <v>4.2682570309302459E-4</v>
      </c>
      <c r="AZ206" s="6">
        <f>Tabla2[[#This Row],[Forest Loss 2018]]/Tabla2[[#This Row],[Forest cover 2011]]</f>
        <v>1.1693854879260947E-3</v>
      </c>
      <c r="BA206" s="6">
        <f>Tabla2[[#This Row],[Forest Loss 2019]]/Tabla2[[#This Row],[Forest cover 2011]]</f>
        <v>1.8827106355610126E-3</v>
      </c>
      <c r="BB206" s="6">
        <f>Tabla2[[#This Row],[Forest Loss 2020]]/Tabla2[[#This Row],[Forest cover 2011]]</f>
        <v>4.9201894404490437E-3</v>
      </c>
      <c r="BC206" s="6">
        <f>Tabla2[[#This Row],[Forest Loss 2021]]/Tabla2[[#This Row],[Forest cover 2011]]</f>
        <v>8.770391159445711E-6</v>
      </c>
      <c r="BD206" s="6">
        <f>Tabla2[[#This Row],[Forest Loss 2022]]/Tabla2[[#This Row],[Forest cover 2011]]</f>
        <v>1.7570016956089576E-3</v>
      </c>
      <c r="BE206" s="6">
        <f>Tabla2[[#This Row],[Forest Loss 2023]]/Tabla2[[#This Row],[Forest cover 2011]]</f>
        <v>3.7917324446003625E-3</v>
      </c>
      <c r="BF206" s="6">
        <f>Tabla2[[#This Row],[Forest Loss 2024]]/Tabla2[[#This Row],[Forest cover 2011]]</f>
        <v>1.1927731976846166E-3</v>
      </c>
    </row>
    <row r="207" spans="1:58" x14ac:dyDescent="0.25">
      <c r="A207" s="2">
        <v>70704</v>
      </c>
      <c r="B207" s="3" t="s">
        <v>310</v>
      </c>
      <c r="C207" t="s">
        <v>334</v>
      </c>
      <c r="D207">
        <v>71029.440000000002</v>
      </c>
      <c r="E207" s="4">
        <f>AVERAGE(Tabla2[[#This Row],[Deforestation 2012]:[Deforestation 2014]])</f>
        <v>104.28000000000002</v>
      </c>
      <c r="F207" s="4">
        <f>AVERAGE(Tabla2[[#This Row],[Deforestation 2022]:[Deforestation 2024]])</f>
        <v>211.65</v>
      </c>
      <c r="G207">
        <v>67.680000000000007</v>
      </c>
      <c r="H207">
        <v>92.34</v>
      </c>
      <c r="I207">
        <v>152.82</v>
      </c>
      <c r="J207">
        <v>86.22</v>
      </c>
      <c r="K207">
        <v>69.66</v>
      </c>
      <c r="L207">
        <v>190.8</v>
      </c>
      <c r="M207">
        <v>89.91</v>
      </c>
      <c r="N207">
        <v>52.29</v>
      </c>
      <c r="O207">
        <v>84.6</v>
      </c>
      <c r="P207">
        <v>271.44</v>
      </c>
      <c r="Q207">
        <v>77.849999999999994</v>
      </c>
      <c r="R207">
        <v>501.12</v>
      </c>
      <c r="S207">
        <v>55.98</v>
      </c>
      <c r="T207">
        <v>144.72</v>
      </c>
      <c r="U207">
        <v>124.02</v>
      </c>
      <c r="V207">
        <v>405.63</v>
      </c>
      <c r="W207">
        <v>116.73</v>
      </c>
      <c r="X207">
        <v>124.38</v>
      </c>
      <c r="Y207">
        <v>255.33</v>
      </c>
      <c r="Z207">
        <v>111.87</v>
      </c>
      <c r="AA207">
        <v>286.92</v>
      </c>
      <c r="AB207">
        <v>125.1</v>
      </c>
      <c r="AC207">
        <v>947.97</v>
      </c>
      <c r="AD207">
        <v>85.320000000000007</v>
      </c>
      <c r="AE207">
        <v>632.43000000000006</v>
      </c>
      <c r="AF207">
        <v>80.820000000000007</v>
      </c>
      <c r="AG207" s="5">
        <f>Tabla2[[#This Row],[Deforestation 2012]]/Tabla2[[#This Row],[Forest cover 2011]]</f>
        <v>9.5284434172647297E-4</v>
      </c>
      <c r="AH207" s="6">
        <f>Tabla2[[#This Row],[Deforestation 2013]]/Tabla2[[#This Row],[Forest cover 2011]]</f>
        <v>1.3000243279406398E-3</v>
      </c>
      <c r="AI207" s="6">
        <f>Tabla2[[#This Row],[Deforestation 2014]]/Tabla2[[#This Row],[Forest cover 2011]]</f>
        <v>2.1515022503345092E-3</v>
      </c>
      <c r="AJ207" s="6">
        <f>Tabla2[[#This Row],[Deforestation 2015]]/Tabla2[[#This Row],[Forest cover 2011]]</f>
        <v>1.2138628715079268E-3</v>
      </c>
      <c r="AK207" s="6">
        <f>Tabla2[[#This Row],[Deforestation 2016]]/Tabla2[[#This Row],[Forest cover 2011]]</f>
        <v>9.8072010704293878E-4</v>
      </c>
      <c r="AL207" s="6">
        <f>Tabla2[[#This Row],[Deforestation 2017]]/Tabla2[[#This Row],[Forest cover 2011]]</f>
        <v>2.6862101123139928E-3</v>
      </c>
      <c r="AM207" s="6">
        <f>Tabla2[[#This Row],[Deforestation 2018]]/Tabla2[[#This Row],[Forest cover 2011]]</f>
        <v>1.265813161415886E-3</v>
      </c>
      <c r="AN207" s="6">
        <f>Tabla2[[#This Row],[Deforestation 2019]]/Tabla2[[#This Row],[Forest cover 2011]]</f>
        <v>7.3617362040303289E-4</v>
      </c>
      <c r="AO207" s="6">
        <f>Tabla2[[#This Row],[Deforestation 2020]]/Tabla2[[#This Row],[Forest cover 2011]]</f>
        <v>1.1910554271580909E-3</v>
      </c>
      <c r="AP207" s="6">
        <f>Tabla2[[#This Row],[Deforestation 2021]]/Tabla2[[#This Row],[Forest cover 2011]]</f>
        <v>3.8215140088391514E-3</v>
      </c>
      <c r="AQ207" s="6">
        <f>Tabla2[[#This Row],[Deforestation 2022]]/Tabla2[[#This Row],[Forest cover 2011]]</f>
        <v>1.0960244090337751E-3</v>
      </c>
      <c r="AR207" s="6">
        <f>Tabla2[[#This Row],[Deforestation 2023]]/Tabla2[[#This Row],[Forest cover 2011]]</f>
        <v>7.0551027855492027E-3</v>
      </c>
      <c r="AS207" s="6">
        <f>Tabla2[[#This Row],[Deforestation 2024]]/Tabla2[[#This Row],[Forest cover 2011]]</f>
        <v>7.8812391031099212E-4</v>
      </c>
      <c r="AT207" s="6">
        <f>Tabla2[[#This Row],[Forest Loss 2012]]/Tabla2[[#This Row],[Forest cover 2011]]</f>
        <v>2.0374650285853303E-3</v>
      </c>
      <c r="AU207" s="6">
        <f>Tabla2[[#This Row],[Forest Loss 2013]]/Tabla2[[#This Row],[Forest cover 2011]]</f>
        <v>1.746036573004095E-3</v>
      </c>
      <c r="AV207" s="6">
        <f>Tabla2[[#This Row],[Forest Loss 2014]]/Tabla2[[#This Row],[Forest cover 2011]]</f>
        <v>5.7107306491505491E-3</v>
      </c>
      <c r="AW207" s="6">
        <f>Tabla2[[#This Row],[Forest Loss 2015]]/Tabla2[[#This Row],[Forest cover 2011]]</f>
        <v>1.6434030734298341E-3</v>
      </c>
      <c r="AX207" s="6">
        <f>Tabla2[[#This Row],[Forest Loss 2016]]/Tabla2[[#This Row],[Forest cover 2011]]</f>
        <v>1.7511048939707252E-3</v>
      </c>
      <c r="AY207" s="6">
        <f>Tabla2[[#This Row],[Forest Loss 2017]]/Tabla2[[#This Row],[Forest cover 2011]]</f>
        <v>3.5947066455824517E-3</v>
      </c>
      <c r="AZ207" s="6">
        <f>Tabla2[[#This Row],[Forest Loss 2018]]/Tabla2[[#This Row],[Forest cover 2011]]</f>
        <v>1.5749807403803268E-3</v>
      </c>
      <c r="BA207" s="6">
        <f>Tabla2[[#This Row],[Forest Loss 2019]]/Tabla2[[#This Row],[Forest cover 2011]]</f>
        <v>4.0394518104042492E-3</v>
      </c>
      <c r="BB207" s="6">
        <f>Tabla2[[#This Row],[Forest Loss 2020]]/Tabla2[[#This Row],[Forest cover 2011]]</f>
        <v>1.7612415359039857E-3</v>
      </c>
      <c r="BC207" s="6">
        <f>Tabla2[[#This Row],[Forest Loss 2021]]/Tabla2[[#This Row],[Forest cover 2011]]</f>
        <v>1.3346156185378908E-2</v>
      </c>
      <c r="BD207" s="6">
        <f>Tabla2[[#This Row],[Forest Loss 2022]]/Tabla2[[#This Row],[Forest cover 2011]]</f>
        <v>1.2011920690913516E-3</v>
      </c>
      <c r="BE207" s="6">
        <f>Tabla2[[#This Row],[Forest Loss 2023]]/Tabla2[[#This Row],[Forest cover 2011]]</f>
        <v>8.9037728581275594E-3</v>
      </c>
      <c r="BF207" s="6">
        <f>Tabla2[[#This Row],[Forest Loss 2024]]/Tabla2[[#This Row],[Forest cover 2011]]</f>
        <v>1.1378380570084743E-3</v>
      </c>
    </row>
    <row r="208" spans="1:58" x14ac:dyDescent="0.25">
      <c r="A208" s="2">
        <v>10202</v>
      </c>
      <c r="B208" s="3" t="s">
        <v>58</v>
      </c>
      <c r="C208" t="s">
        <v>63</v>
      </c>
      <c r="D208">
        <v>39639.24</v>
      </c>
      <c r="E208" s="4">
        <f>AVERAGE(Tabla2[[#This Row],[Deforestation 2012]:[Deforestation 2014]])</f>
        <v>15.329999999999998</v>
      </c>
      <c r="F208" s="4">
        <f>AVERAGE(Tabla2[[#This Row],[Deforestation 2022]:[Deforestation 2024]])</f>
        <v>59.31</v>
      </c>
      <c r="G208">
        <v>6.75</v>
      </c>
      <c r="H208">
        <v>17.91</v>
      </c>
      <c r="I208">
        <v>21.33</v>
      </c>
      <c r="J208">
        <v>18.36</v>
      </c>
      <c r="K208">
        <v>12.06</v>
      </c>
      <c r="L208">
        <v>34.020000000000003</v>
      </c>
      <c r="M208">
        <v>23.31</v>
      </c>
      <c r="N208">
        <v>47.16</v>
      </c>
      <c r="O208">
        <v>38.520000000000003</v>
      </c>
      <c r="P208">
        <v>23.94</v>
      </c>
      <c r="Q208">
        <v>3.78</v>
      </c>
      <c r="R208">
        <v>130.59</v>
      </c>
      <c r="S208">
        <v>43.56</v>
      </c>
      <c r="T208">
        <v>20.52</v>
      </c>
      <c r="U208">
        <v>43.11</v>
      </c>
      <c r="V208">
        <v>417.69</v>
      </c>
      <c r="W208">
        <v>44.1</v>
      </c>
      <c r="X208">
        <v>27.72</v>
      </c>
      <c r="Y208">
        <v>41.13</v>
      </c>
      <c r="Z208">
        <v>43.02</v>
      </c>
      <c r="AA208">
        <v>81.63</v>
      </c>
      <c r="AB208">
        <v>49.77</v>
      </c>
      <c r="AC208">
        <v>31.41</v>
      </c>
      <c r="AD208">
        <v>169.74</v>
      </c>
      <c r="AE208">
        <v>182.88</v>
      </c>
      <c r="AF208">
        <v>45</v>
      </c>
      <c r="AG208" s="5">
        <f>Tabla2[[#This Row],[Deforestation 2012]]/Tabla2[[#This Row],[Forest cover 2011]]</f>
        <v>1.7028580769964309E-4</v>
      </c>
      <c r="AH208" s="6">
        <f>Tabla2[[#This Row],[Deforestation 2013]]/Tabla2[[#This Row],[Forest cover 2011]]</f>
        <v>4.5182500976305299E-4</v>
      </c>
      <c r="AI208" s="6">
        <f>Tabla2[[#This Row],[Deforestation 2014]]/Tabla2[[#This Row],[Forest cover 2011]]</f>
        <v>5.3810315233087215E-4</v>
      </c>
      <c r="AJ208" s="6">
        <f>Tabla2[[#This Row],[Deforestation 2015]]/Tabla2[[#This Row],[Forest cover 2011]]</f>
        <v>4.6317739694302917E-4</v>
      </c>
      <c r="AK208" s="6">
        <f>Tabla2[[#This Row],[Deforestation 2016]]/Tabla2[[#This Row],[Forest cover 2011]]</f>
        <v>3.0424397642336235E-4</v>
      </c>
      <c r="AL208" s="6">
        <f>Tabla2[[#This Row],[Deforestation 2017]]/Tabla2[[#This Row],[Forest cover 2011]]</f>
        <v>8.5824047080620123E-4</v>
      </c>
      <c r="AM208" s="6">
        <f>Tabla2[[#This Row],[Deforestation 2018]]/Tabla2[[#This Row],[Forest cover 2011]]</f>
        <v>5.8805365592276744E-4</v>
      </c>
      <c r="AN208" s="6">
        <f>Tabla2[[#This Row],[Deforestation 2019]]/Tabla2[[#This Row],[Forest cover 2011]]</f>
        <v>1.1897301764615064E-3</v>
      </c>
      <c r="AO208" s="6">
        <f>Tabla2[[#This Row],[Deforestation 2020]]/Tabla2[[#This Row],[Forest cover 2011]]</f>
        <v>9.7176434260596331E-4</v>
      </c>
      <c r="AP208" s="6">
        <f>Tabla2[[#This Row],[Deforestation 2021]]/Tabla2[[#This Row],[Forest cover 2011]]</f>
        <v>6.0394699797473416E-4</v>
      </c>
      <c r="AQ208" s="6">
        <f>Tabla2[[#This Row],[Deforestation 2022]]/Tabla2[[#This Row],[Forest cover 2011]]</f>
        <v>9.5360052311800123E-5</v>
      </c>
      <c r="AR208" s="6">
        <f>Tabla2[[#This Row],[Deforestation 2023]]/Tabla2[[#This Row],[Forest cover 2011]]</f>
        <v>3.294462759629095E-3</v>
      </c>
      <c r="AS208" s="6">
        <f>Tabla2[[#This Row],[Deforestation 2024]]/Tabla2[[#This Row],[Forest cover 2011]]</f>
        <v>1.0989110790216969E-3</v>
      </c>
      <c r="AT208" s="6">
        <f>Tabla2[[#This Row],[Forest Loss 2012]]/Tabla2[[#This Row],[Forest cover 2011]]</f>
        <v>5.17668855406915E-4</v>
      </c>
      <c r="AU208" s="6">
        <f>Tabla2[[#This Row],[Forest Loss 2013]]/Tabla2[[#This Row],[Forest cover 2011]]</f>
        <v>1.0875586918417206E-3</v>
      </c>
      <c r="AV208" s="6">
        <f>Tabla2[[#This Row],[Forest Loss 2014]]/Tabla2[[#This Row],[Forest cover 2011]]</f>
        <v>1.0537285780453914E-2</v>
      </c>
      <c r="AW208" s="6">
        <f>Tabla2[[#This Row],[Forest Loss 2015]]/Tabla2[[#This Row],[Forest cover 2011]]</f>
        <v>1.1125339436376682E-3</v>
      </c>
      <c r="AX208" s="6">
        <f>Tabla2[[#This Row],[Forest Loss 2016]]/Tabla2[[#This Row],[Forest cover 2011]]</f>
        <v>6.993070502865343E-4</v>
      </c>
      <c r="AY208" s="6">
        <f>Tabla2[[#This Row],[Forest Loss 2017]]/Tabla2[[#This Row],[Forest cover 2011]]</f>
        <v>1.0376081882498252E-3</v>
      </c>
      <c r="AZ208" s="6">
        <f>Tabla2[[#This Row],[Forest Loss 2018]]/Tabla2[[#This Row],[Forest cover 2011]]</f>
        <v>1.0852882144057254E-3</v>
      </c>
      <c r="BA208" s="6">
        <f>Tabla2[[#This Row],[Forest Loss 2019]]/Tabla2[[#This Row],[Forest cover 2011]]</f>
        <v>2.0593230344476835E-3</v>
      </c>
      <c r="BB208" s="6">
        <f>Tabla2[[#This Row],[Forest Loss 2020]]/Tabla2[[#This Row],[Forest cover 2011]]</f>
        <v>1.2555740221053685E-3</v>
      </c>
      <c r="BC208" s="6">
        <f>Tabla2[[#This Row],[Forest Loss 2021]]/Tabla2[[#This Row],[Forest cover 2011]]</f>
        <v>7.9239662516233922E-4</v>
      </c>
      <c r="BD208" s="6">
        <f>Tabla2[[#This Row],[Forest Loss 2022]]/Tabla2[[#This Row],[Forest cover 2011]]</f>
        <v>4.2821204442870251E-3</v>
      </c>
      <c r="BE208" s="6">
        <f>Tabla2[[#This Row],[Forest Loss 2023]]/Tabla2[[#This Row],[Forest cover 2011]]</f>
        <v>4.61361014994233E-3</v>
      </c>
      <c r="BF208" s="6">
        <f>Tabla2[[#This Row],[Forest Loss 2024]]/Tabla2[[#This Row],[Forest cover 2011]]</f>
        <v>1.1352387179976206E-3</v>
      </c>
    </row>
    <row r="209" spans="1:58" x14ac:dyDescent="0.25">
      <c r="A209" s="2">
        <v>31601</v>
      </c>
      <c r="B209" s="3" t="s">
        <v>176</v>
      </c>
      <c r="C209" t="s">
        <v>222</v>
      </c>
      <c r="D209">
        <v>105730.2</v>
      </c>
      <c r="E209" s="4">
        <f>AVERAGE(Tabla2[[#This Row],[Deforestation 2012]:[Deforestation 2014]])</f>
        <v>23.459999999999997</v>
      </c>
      <c r="F209" s="4">
        <f>AVERAGE(Tabla2[[#This Row],[Deforestation 2022]:[Deforestation 2024]])</f>
        <v>165.9</v>
      </c>
      <c r="G209">
        <v>22.05</v>
      </c>
      <c r="H209">
        <v>21.42</v>
      </c>
      <c r="I209">
        <v>26.91</v>
      </c>
      <c r="J209">
        <v>28.17</v>
      </c>
      <c r="K209">
        <v>70.289999999999992</v>
      </c>
      <c r="L209">
        <v>47.52</v>
      </c>
      <c r="M209">
        <v>40.86</v>
      </c>
      <c r="N209">
        <v>21.51</v>
      </c>
      <c r="O209">
        <v>31.59</v>
      </c>
      <c r="P209">
        <v>26.73</v>
      </c>
      <c r="Q209">
        <v>50.31</v>
      </c>
      <c r="R209">
        <v>349.2</v>
      </c>
      <c r="S209">
        <v>98.19</v>
      </c>
      <c r="T209">
        <v>524.79</v>
      </c>
      <c r="U209">
        <v>279.27</v>
      </c>
      <c r="V209">
        <v>281.61</v>
      </c>
      <c r="W209">
        <v>356.04</v>
      </c>
      <c r="X209">
        <v>329.4</v>
      </c>
      <c r="Y209">
        <v>508.86</v>
      </c>
      <c r="Z209">
        <v>465.12</v>
      </c>
      <c r="AA209">
        <v>367.47</v>
      </c>
      <c r="AB209">
        <v>166.5</v>
      </c>
      <c r="AC209">
        <v>127.98</v>
      </c>
      <c r="AD209">
        <v>145.97999999999999</v>
      </c>
      <c r="AE209">
        <v>760.59</v>
      </c>
      <c r="AF209">
        <v>115.74</v>
      </c>
      <c r="AG209" s="5">
        <f>Tabla2[[#This Row],[Deforestation 2012]]/Tabla2[[#This Row],[Forest cover 2011]]</f>
        <v>2.0854968589863635E-4</v>
      </c>
      <c r="AH209" s="6">
        <f>Tabla2[[#This Row],[Deforestation 2013]]/Tabla2[[#This Row],[Forest cover 2011]]</f>
        <v>2.025911234443896E-4</v>
      </c>
      <c r="AI209" s="6">
        <f>Tabla2[[#This Row],[Deforestation 2014]]/Tabla2[[#This Row],[Forest cover 2011]]</f>
        <v>2.5451573911711129E-4</v>
      </c>
      <c r="AJ209" s="6">
        <f>Tabla2[[#This Row],[Deforestation 2015]]/Tabla2[[#This Row],[Forest cover 2011]]</f>
        <v>2.6643286402560479E-4</v>
      </c>
      <c r="AK209" s="6">
        <f>Tabla2[[#This Row],[Deforestation 2016]]/Tabla2[[#This Row],[Forest cover 2011]]</f>
        <v>6.6480532525238761E-4</v>
      </c>
      <c r="AL209" s="6">
        <f>Tabla2[[#This Row],[Deforestation 2017]]/Tabla2[[#This Row],[Forest cover 2011]]</f>
        <v>4.4944585369175507E-4</v>
      </c>
      <c r="AM209" s="6">
        <f>Tabla2[[#This Row],[Deforestation 2018]]/Tabla2[[#This Row],[Forest cover 2011]]</f>
        <v>3.8645533631828937E-4</v>
      </c>
      <c r="AN209" s="6">
        <f>Tabla2[[#This Row],[Deforestation 2019]]/Tabla2[[#This Row],[Forest cover 2011]]</f>
        <v>2.0344234665213914E-4</v>
      </c>
      <c r="AO209" s="6">
        <f>Tabla2[[#This Row],[Deforestation 2020]]/Tabla2[[#This Row],[Forest cover 2011]]</f>
        <v>2.9877934592008716E-4</v>
      </c>
      <c r="AP209" s="6">
        <f>Tabla2[[#This Row],[Deforestation 2021]]/Tabla2[[#This Row],[Forest cover 2011]]</f>
        <v>2.5281329270161225E-4</v>
      </c>
      <c r="AQ209" s="6">
        <f>Tabla2[[#This Row],[Deforestation 2022]]/Tabla2[[#This Row],[Forest cover 2011]]</f>
        <v>4.7583377313199072E-4</v>
      </c>
      <c r="AR209" s="6">
        <f>Tabla2[[#This Row],[Deforestation 2023]]/Tabla2[[#This Row],[Forest cover 2011]]</f>
        <v>3.3027460460682001E-3</v>
      </c>
      <c r="AS209" s="6">
        <f>Tabla2[[#This Row],[Deforestation 2024]]/Tabla2[[#This Row],[Forest cover 2011]]</f>
        <v>9.2868451965474387E-4</v>
      </c>
      <c r="AT209" s="6">
        <f>Tabla2[[#This Row],[Forest Loss 2012]]/Tabla2[[#This Row],[Forest cover 2011]]</f>
        <v>4.9634825243875446E-3</v>
      </c>
      <c r="AU209" s="6">
        <f>Tabla2[[#This Row],[Forest Loss 2013]]/Tabla2[[#This Row],[Forest cover 2011]]</f>
        <v>2.6413456136468103E-3</v>
      </c>
      <c r="AV209" s="6">
        <f>Tabla2[[#This Row],[Forest Loss 2014]]/Tabla2[[#This Row],[Forest cover 2011]]</f>
        <v>2.6634774170482987E-3</v>
      </c>
      <c r="AW209" s="6">
        <f>Tabla2[[#This Row],[Forest Loss 2015]]/Tabla2[[#This Row],[Forest cover 2011]]</f>
        <v>3.3674390098571648E-3</v>
      </c>
      <c r="AX209" s="6">
        <f>Tabla2[[#This Row],[Forest Loss 2016]]/Tabla2[[#This Row],[Forest cover 2011]]</f>
        <v>3.1154769403633018E-3</v>
      </c>
      <c r="AY209" s="6">
        <f>Tabla2[[#This Row],[Forest Loss 2017]]/Tabla2[[#This Row],[Forest cover 2011]]</f>
        <v>4.8128160166158772E-3</v>
      </c>
      <c r="AZ209" s="6">
        <f>Tabla2[[#This Row],[Forest Loss 2018]]/Tabla2[[#This Row],[Forest cover 2011]]</f>
        <v>4.3991215376496026E-3</v>
      </c>
      <c r="BA209" s="6">
        <f>Tabla2[[#This Row],[Forest Loss 2019]]/Tabla2[[#This Row],[Forest cover 2011]]</f>
        <v>3.475544357241356E-3</v>
      </c>
      <c r="BB209" s="6">
        <f>Tabla2[[#This Row],[Forest Loss 2020]]/Tabla2[[#This Row],[Forest cover 2011]]</f>
        <v>1.5747629343366419E-3</v>
      </c>
      <c r="BC209" s="6">
        <f>Tabla2[[#This Row],[Forest Loss 2021]]/Tabla2[[#This Row],[Forest cover 2011]]</f>
        <v>1.2104394014198403E-3</v>
      </c>
      <c r="BD209" s="6">
        <f>Tabla2[[#This Row],[Forest Loss 2022]]/Tabla2[[#This Row],[Forest cover 2011]]</f>
        <v>1.3806840429697474E-3</v>
      </c>
      <c r="BE209" s="6">
        <f>Tabla2[[#This Row],[Forest Loss 2023]]/Tabla2[[#This Row],[Forest cover 2011]]</f>
        <v>7.1936873286913301E-3</v>
      </c>
      <c r="BF209" s="6">
        <f>Tabla2[[#This Row],[Forest Loss 2024]]/Tabla2[[#This Row],[Forest cover 2011]]</f>
        <v>1.0946730451659034E-3</v>
      </c>
    </row>
    <row r="210" spans="1:58" x14ac:dyDescent="0.25">
      <c r="A210" s="2">
        <v>90303</v>
      </c>
      <c r="B210" s="3" t="s">
        <v>384</v>
      </c>
      <c r="C210" t="s">
        <v>392</v>
      </c>
      <c r="D210">
        <v>717293.34</v>
      </c>
      <c r="E210" s="4">
        <f>AVERAGE(Tabla2[[#This Row],[Deforestation 2012]:[Deforestation 2014]])</f>
        <v>336.57</v>
      </c>
      <c r="F210" s="4">
        <f>AVERAGE(Tabla2[[#This Row],[Deforestation 2022]:[Deforestation 2024]])</f>
        <v>359.34</v>
      </c>
      <c r="G210">
        <v>309.33</v>
      </c>
      <c r="H210">
        <v>364.32000000000011</v>
      </c>
      <c r="I210">
        <v>336.06</v>
      </c>
      <c r="J210">
        <v>250.92</v>
      </c>
      <c r="K210">
        <v>735.75</v>
      </c>
      <c r="L210">
        <v>822.32999999999993</v>
      </c>
      <c r="M210">
        <v>353.43</v>
      </c>
      <c r="N210">
        <v>523.53</v>
      </c>
      <c r="O210">
        <v>524.61</v>
      </c>
      <c r="P210">
        <v>1027.26</v>
      </c>
      <c r="Q210">
        <v>270.36</v>
      </c>
      <c r="R210">
        <v>315.72000000000003</v>
      </c>
      <c r="S210">
        <v>491.94</v>
      </c>
      <c r="T210">
        <v>1169.82</v>
      </c>
      <c r="U210">
        <v>959.67000000000007</v>
      </c>
      <c r="V210">
        <v>955.62</v>
      </c>
      <c r="W210">
        <v>455.31</v>
      </c>
      <c r="X210">
        <v>969.66</v>
      </c>
      <c r="Y210">
        <v>1007.19</v>
      </c>
      <c r="Z210">
        <v>469.53</v>
      </c>
      <c r="AA210">
        <v>634.95000000000005</v>
      </c>
      <c r="AB210">
        <v>736.56</v>
      </c>
      <c r="AC210">
        <v>1205.19</v>
      </c>
      <c r="AD210">
        <v>371.7</v>
      </c>
      <c r="AE210">
        <v>553.32000000000005</v>
      </c>
      <c r="AF210">
        <v>765.45</v>
      </c>
      <c r="AG210" s="5">
        <f>Tabla2[[#This Row],[Deforestation 2012]]/Tabla2[[#This Row],[Forest cover 2011]]</f>
        <v>4.3124616213500603E-4</v>
      </c>
      <c r="AH210" s="6">
        <f>Tabla2[[#This Row],[Deforestation 2013]]/Tabla2[[#This Row],[Forest cover 2011]]</f>
        <v>5.0790935825502034E-4</v>
      </c>
      <c r="AI210" s="6">
        <f>Tabla2[[#This Row],[Deforestation 2014]]/Tabla2[[#This Row],[Forest cover 2011]]</f>
        <v>4.685112509200211E-4</v>
      </c>
      <c r="AJ210" s="6">
        <f>Tabla2[[#This Row],[Deforestation 2015]]/Tabla2[[#This Row],[Forest cover 2011]]</f>
        <v>3.4981504219738047E-4</v>
      </c>
      <c r="AK210" s="6">
        <f>Tabla2[[#This Row],[Deforestation 2016]]/Tabla2[[#This Row],[Forest cover 2011]]</f>
        <v>1.0257309791834957E-3</v>
      </c>
      <c r="AL210" s="6">
        <f>Tabla2[[#This Row],[Deforestation 2017]]/Tabla2[[#This Row],[Forest cover 2011]]</f>
        <v>1.1464347347767093E-3</v>
      </c>
      <c r="AM210" s="6">
        <f>Tabla2[[#This Row],[Deforestation 2018]]/Tabla2[[#This Row],[Forest cover 2011]]</f>
        <v>4.9272728504631033E-4</v>
      </c>
      <c r="AN210" s="6">
        <f>Tabla2[[#This Row],[Deforestation 2019]]/Tabla2[[#This Row],[Forest cover 2011]]</f>
        <v>7.2986875913276983E-4</v>
      </c>
      <c r="AO210" s="6">
        <f>Tabla2[[#This Row],[Deforestation 2020]]/Tabla2[[#This Row],[Forest cover 2011]]</f>
        <v>7.3137441928569982E-4</v>
      </c>
      <c r="AP210" s="6">
        <f>Tabla2[[#This Row],[Deforestation 2021]]/Tabla2[[#This Row],[Forest cover 2011]]</f>
        <v>1.4321337487951582E-3</v>
      </c>
      <c r="AQ210" s="6">
        <f>Tabla2[[#This Row],[Deforestation 2022]]/Tabla2[[#This Row],[Forest cover 2011]]</f>
        <v>3.7691692495011876E-4</v>
      </c>
      <c r="AR210" s="6">
        <f>Tabla2[[#This Row],[Deforestation 2023]]/Tabla2[[#This Row],[Forest cover 2011]]</f>
        <v>4.4015465137317469E-4</v>
      </c>
      <c r="AS210" s="6">
        <f>Tabla2[[#This Row],[Deforestation 2024]]/Tabla2[[#This Row],[Forest cover 2011]]</f>
        <v>6.8582819965957022E-4</v>
      </c>
      <c r="AT210" s="6">
        <f>Tabla2[[#This Row],[Forest Loss 2012]]/Tabla2[[#This Row],[Forest cover 2011]]</f>
        <v>1.6308808889819051E-3</v>
      </c>
      <c r="AU210" s="6">
        <f>Tabla2[[#This Row],[Forest Loss 2013]]/Tabla2[[#This Row],[Forest cover 2011]]</f>
        <v>1.3379045175576287E-3</v>
      </c>
      <c r="AV210" s="6">
        <f>Tabla2[[#This Row],[Forest Loss 2014]]/Tabla2[[#This Row],[Forest cover 2011]]</f>
        <v>1.3322582919841415E-3</v>
      </c>
      <c r="AW210" s="6">
        <f>Tabla2[[#This Row],[Forest Loss 2015]]/Tabla2[[#This Row],[Forest cover 2011]]</f>
        <v>6.3476122613936447E-4</v>
      </c>
      <c r="AX210" s="6">
        <f>Tabla2[[#This Row],[Forest Loss 2016]]/Tabla2[[#This Row],[Forest cover 2011]]</f>
        <v>1.35183187397223E-3</v>
      </c>
      <c r="AY210" s="6">
        <f>Tabla2[[#This Row],[Forest Loss 2017]]/Tabla2[[#This Row],[Forest cover 2011]]</f>
        <v>1.4041535642865444E-3</v>
      </c>
      <c r="AZ210" s="6">
        <f>Tabla2[[#This Row],[Forest Loss 2018]]/Tabla2[[#This Row],[Forest cover 2011]]</f>
        <v>6.5458575148627475E-4</v>
      </c>
      <c r="BA210" s="6">
        <f>Tabla2[[#This Row],[Forest Loss 2019]]/Tabla2[[#This Row],[Forest cover 2011]]</f>
        <v>8.8520269824337151E-4</v>
      </c>
      <c r="BB210" s="6">
        <f>Tabla2[[#This Row],[Forest Loss 2020]]/Tabla2[[#This Row],[Forest cover 2011]]</f>
        <v>1.026860224298193E-3</v>
      </c>
      <c r="BC210" s="6">
        <f>Tabla2[[#This Row],[Forest Loss 2021]]/Tabla2[[#This Row],[Forest cover 2011]]</f>
        <v>1.6801912589903597E-3</v>
      </c>
      <c r="BD210" s="6">
        <f>Tabla2[[#This Row],[Forest Loss 2022]]/Tabla2[[#This Row],[Forest cover 2011]]</f>
        <v>5.181980359667079E-4</v>
      </c>
      <c r="BE210" s="6">
        <f>Tabla2[[#This Row],[Forest Loss 2023]]/Tabla2[[#This Row],[Forest cover 2011]]</f>
        <v>7.7139988501775307E-4</v>
      </c>
      <c r="BF210" s="6">
        <f>Tabla2[[#This Row],[Forest Loss 2024]]/Tabla2[[#This Row],[Forest cover 2011]]</f>
        <v>1.067136633389068E-3</v>
      </c>
    </row>
    <row r="211" spans="1:58" x14ac:dyDescent="0.25">
      <c r="A211" s="2">
        <v>30703</v>
      </c>
      <c r="B211" s="3" t="s">
        <v>176</v>
      </c>
      <c r="C211" t="s">
        <v>193</v>
      </c>
      <c r="D211">
        <v>84.42</v>
      </c>
      <c r="E211" s="4">
        <f>AVERAGE(Tabla2[[#This Row],[Deforestation 2012]:[Deforestation 2014]])</f>
        <v>0</v>
      </c>
      <c r="F211" s="4">
        <f>AVERAGE(Tabla2[[#This Row],[Deforestation 2022]:[Deforestation 2024]])</f>
        <v>0.39000000000000007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0.54</v>
      </c>
      <c r="P211">
        <v>0</v>
      </c>
      <c r="Q211">
        <v>0</v>
      </c>
      <c r="R211">
        <v>1.08</v>
      </c>
      <c r="S211">
        <v>0.09</v>
      </c>
      <c r="T211">
        <v>0</v>
      </c>
      <c r="U211">
        <v>0.18</v>
      </c>
      <c r="V211">
        <v>1.62</v>
      </c>
      <c r="W211">
        <v>0</v>
      </c>
      <c r="X211">
        <v>0</v>
      </c>
      <c r="Y211">
        <v>3.69</v>
      </c>
      <c r="Z211">
        <v>0.54</v>
      </c>
      <c r="AA211">
        <v>0.45</v>
      </c>
      <c r="AB211">
        <v>0.81</v>
      </c>
      <c r="AC211">
        <v>0.09</v>
      </c>
      <c r="AD211">
        <v>0.09</v>
      </c>
      <c r="AE211">
        <v>1.17</v>
      </c>
      <c r="AF211">
        <v>0.09</v>
      </c>
      <c r="AG211" s="5">
        <f>Tabla2[[#This Row],[Deforestation 2012]]/Tabla2[[#This Row],[Forest cover 2011]]</f>
        <v>0</v>
      </c>
      <c r="AH211" s="6">
        <f>Tabla2[[#This Row],[Deforestation 2013]]/Tabla2[[#This Row],[Forest cover 2011]]</f>
        <v>0</v>
      </c>
      <c r="AI211" s="6">
        <f>Tabla2[[#This Row],[Deforestation 2014]]/Tabla2[[#This Row],[Forest cover 2011]]</f>
        <v>0</v>
      </c>
      <c r="AJ211" s="6">
        <f>Tabla2[[#This Row],[Deforestation 2015]]/Tabla2[[#This Row],[Forest cover 2011]]</f>
        <v>0</v>
      </c>
      <c r="AK211" s="6">
        <f>Tabla2[[#This Row],[Deforestation 2016]]/Tabla2[[#This Row],[Forest cover 2011]]</f>
        <v>0</v>
      </c>
      <c r="AL211" s="6">
        <f>Tabla2[[#This Row],[Deforestation 2017]]/Tabla2[[#This Row],[Forest cover 2011]]</f>
        <v>0</v>
      </c>
      <c r="AM211" s="6">
        <f>Tabla2[[#This Row],[Deforestation 2018]]/Tabla2[[#This Row],[Forest cover 2011]]</f>
        <v>0</v>
      </c>
      <c r="AN211" s="6">
        <f>Tabla2[[#This Row],[Deforestation 2019]]/Tabla2[[#This Row],[Forest cover 2011]]</f>
        <v>0</v>
      </c>
      <c r="AO211" s="6">
        <f>Tabla2[[#This Row],[Deforestation 2020]]/Tabla2[[#This Row],[Forest cover 2011]]</f>
        <v>6.3965884861407248E-3</v>
      </c>
      <c r="AP211" s="6">
        <f>Tabla2[[#This Row],[Deforestation 2021]]/Tabla2[[#This Row],[Forest cover 2011]]</f>
        <v>0</v>
      </c>
      <c r="AQ211" s="6">
        <f>Tabla2[[#This Row],[Deforestation 2022]]/Tabla2[[#This Row],[Forest cover 2011]]</f>
        <v>0</v>
      </c>
      <c r="AR211" s="6">
        <f>Tabla2[[#This Row],[Deforestation 2023]]/Tabla2[[#This Row],[Forest cover 2011]]</f>
        <v>1.279317697228145E-2</v>
      </c>
      <c r="AS211" s="6">
        <f>Tabla2[[#This Row],[Deforestation 2024]]/Tabla2[[#This Row],[Forest cover 2011]]</f>
        <v>1.0660980810234541E-3</v>
      </c>
      <c r="AT211" s="6">
        <f>Tabla2[[#This Row],[Forest Loss 2012]]/Tabla2[[#This Row],[Forest cover 2011]]</f>
        <v>0</v>
      </c>
      <c r="AU211" s="6">
        <f>Tabla2[[#This Row],[Forest Loss 2013]]/Tabla2[[#This Row],[Forest cover 2011]]</f>
        <v>2.1321961620469083E-3</v>
      </c>
      <c r="AV211" s="6">
        <f>Tabla2[[#This Row],[Forest Loss 2014]]/Tabla2[[#This Row],[Forest cover 2011]]</f>
        <v>1.9189765458422176E-2</v>
      </c>
      <c r="AW211" s="6">
        <f>Tabla2[[#This Row],[Forest Loss 2015]]/Tabla2[[#This Row],[Forest cover 2011]]</f>
        <v>0</v>
      </c>
      <c r="AX211" s="6">
        <f>Tabla2[[#This Row],[Forest Loss 2016]]/Tabla2[[#This Row],[Forest cover 2011]]</f>
        <v>0</v>
      </c>
      <c r="AY211" s="6">
        <f>Tabla2[[#This Row],[Forest Loss 2017]]/Tabla2[[#This Row],[Forest cover 2011]]</f>
        <v>4.3710021321961619E-2</v>
      </c>
      <c r="AZ211" s="6">
        <f>Tabla2[[#This Row],[Forest Loss 2018]]/Tabla2[[#This Row],[Forest cover 2011]]</f>
        <v>6.3965884861407248E-3</v>
      </c>
      <c r="BA211" s="6">
        <f>Tabla2[[#This Row],[Forest Loss 2019]]/Tabla2[[#This Row],[Forest cover 2011]]</f>
        <v>5.3304904051172707E-3</v>
      </c>
      <c r="BB211" s="6">
        <f>Tabla2[[#This Row],[Forest Loss 2020]]/Tabla2[[#This Row],[Forest cover 2011]]</f>
        <v>9.5948827292110881E-3</v>
      </c>
      <c r="BC211" s="6">
        <f>Tabla2[[#This Row],[Forest Loss 2021]]/Tabla2[[#This Row],[Forest cover 2011]]</f>
        <v>1.0660980810234541E-3</v>
      </c>
      <c r="BD211" s="6">
        <f>Tabla2[[#This Row],[Forest Loss 2022]]/Tabla2[[#This Row],[Forest cover 2011]]</f>
        <v>1.0660980810234541E-3</v>
      </c>
      <c r="BE211" s="6">
        <f>Tabla2[[#This Row],[Forest Loss 2023]]/Tabla2[[#This Row],[Forest cover 2011]]</f>
        <v>1.3859275053304903E-2</v>
      </c>
      <c r="BF211" s="6">
        <f>Tabla2[[#This Row],[Forest Loss 2024]]/Tabla2[[#This Row],[Forest cover 2011]]</f>
        <v>1.0660980810234541E-3</v>
      </c>
    </row>
    <row r="212" spans="1:58" x14ac:dyDescent="0.25">
      <c r="A212" s="2">
        <v>90401</v>
      </c>
      <c r="B212" s="3" t="s">
        <v>384</v>
      </c>
      <c r="C212" t="s">
        <v>371</v>
      </c>
      <c r="D212">
        <v>434458.62</v>
      </c>
      <c r="E212" s="4">
        <f>AVERAGE(Tabla2[[#This Row],[Deforestation 2012]:[Deforestation 2014]])</f>
        <v>435.84</v>
      </c>
      <c r="F212" s="4">
        <f>AVERAGE(Tabla2[[#This Row],[Deforestation 2022]:[Deforestation 2024]])</f>
        <v>269.22000000000003</v>
      </c>
      <c r="G212">
        <v>359.1</v>
      </c>
      <c r="H212">
        <v>585.18000000000006</v>
      </c>
      <c r="I212">
        <v>363.24</v>
      </c>
      <c r="J212">
        <v>311.31</v>
      </c>
      <c r="K212">
        <v>501.93000000000012</v>
      </c>
      <c r="L212">
        <v>569.88</v>
      </c>
      <c r="M212">
        <v>199.53</v>
      </c>
      <c r="N212">
        <v>138.69</v>
      </c>
      <c r="O212">
        <v>495.72</v>
      </c>
      <c r="P212">
        <v>1002.33</v>
      </c>
      <c r="Q212">
        <v>156.96</v>
      </c>
      <c r="R212">
        <v>319.41000000000003</v>
      </c>
      <c r="S212">
        <v>331.29</v>
      </c>
      <c r="T212">
        <v>540.81000000000006</v>
      </c>
      <c r="U212">
        <v>742.68000000000006</v>
      </c>
      <c r="V212">
        <v>483.12</v>
      </c>
      <c r="W212">
        <v>377.37</v>
      </c>
      <c r="X212">
        <v>560.34</v>
      </c>
      <c r="Y212">
        <v>605.34</v>
      </c>
      <c r="Z212">
        <v>235.35</v>
      </c>
      <c r="AA212">
        <v>190.53</v>
      </c>
      <c r="AB212">
        <v>624.51</v>
      </c>
      <c r="AC212">
        <v>1069.6500000000001</v>
      </c>
      <c r="AD212">
        <v>218.88</v>
      </c>
      <c r="AE212">
        <v>445.23</v>
      </c>
      <c r="AF212">
        <v>420.39</v>
      </c>
      <c r="AG212" s="5">
        <f>Tabla2[[#This Row],[Deforestation 2012]]/Tabla2[[#This Row],[Forest cover 2011]]</f>
        <v>8.2654592052978492E-4</v>
      </c>
      <c r="AH212" s="6">
        <f>Tabla2[[#This Row],[Deforestation 2013]]/Tabla2[[#This Row],[Forest cover 2011]]</f>
        <v>1.3469176880412687E-3</v>
      </c>
      <c r="AI212" s="6">
        <f>Tabla2[[#This Row],[Deforestation 2014]]/Tabla2[[#This Row],[Forest cover 2011]]</f>
        <v>8.3607502136797286E-4</v>
      </c>
      <c r="AJ212" s="6">
        <f>Tabla2[[#This Row],[Deforestation 2015]]/Tabla2[[#This Row],[Forest cover 2011]]</f>
        <v>7.1654695215852778E-4</v>
      </c>
      <c r="AK212" s="6">
        <f>Tabla2[[#This Row],[Deforestation 2016]]/Tabla2[[#This Row],[Forest cover 2011]]</f>
        <v>1.155299899447271E-3</v>
      </c>
      <c r="AL212" s="6">
        <f>Tabla2[[#This Row],[Deforestation 2017]]/Tabla2[[#This Row],[Forest cover 2011]]</f>
        <v>1.3117014458131823E-3</v>
      </c>
      <c r="AM212" s="6">
        <f>Tabla2[[#This Row],[Deforestation 2018]]/Tabla2[[#This Row],[Forest cover 2011]]</f>
        <v>4.5926122952745187E-4</v>
      </c>
      <c r="AN212" s="6">
        <f>Tabla2[[#This Row],[Deforestation 2019]]/Tabla2[[#This Row],[Forest cover 2011]]</f>
        <v>3.1922487807929786E-4</v>
      </c>
      <c r="AO212" s="6">
        <f>Tabla2[[#This Row],[Deforestation 2020]]/Tabla2[[#This Row],[Forest cover 2011]]</f>
        <v>1.1410062481899887E-3</v>
      </c>
      <c r="AP212" s="6">
        <f>Tabla2[[#This Row],[Deforestation 2021]]/Tabla2[[#This Row],[Forest cover 2011]]</f>
        <v>2.307078174671733E-3</v>
      </c>
      <c r="AQ212" s="6">
        <f>Tabla2[[#This Row],[Deforestation 2022]]/Tabla2[[#This Row],[Forest cover 2011]]</f>
        <v>3.6127721438695363E-4</v>
      </c>
      <c r="AR212" s="6">
        <f>Tabla2[[#This Row],[Deforestation 2023]]/Tabla2[[#This Row],[Forest cover 2011]]</f>
        <v>7.3519084510280874E-4</v>
      </c>
      <c r="AS212" s="6">
        <f>Tabla2[[#This Row],[Deforestation 2024]]/Tabla2[[#This Row],[Forest cover 2011]]</f>
        <v>7.6253522142108725E-4</v>
      </c>
      <c r="AT212" s="6">
        <f>Tabla2[[#This Row],[Forest Loss 2012]]/Tabla2[[#This Row],[Forest cover 2011]]</f>
        <v>1.244790585579819E-3</v>
      </c>
      <c r="AU212" s="6">
        <f>Tabla2[[#This Row],[Forest Loss 2013]]/Tabla2[[#This Row],[Forest cover 2011]]</f>
        <v>1.7094378286245076E-3</v>
      </c>
      <c r="AV212" s="6">
        <f>Tabla2[[#This Row],[Forest Loss 2014]]/Tabla2[[#This Row],[Forest cover 2011]]</f>
        <v>1.1120046369433297E-3</v>
      </c>
      <c r="AW212" s="6">
        <f>Tabla2[[#This Row],[Forest Loss 2015]]/Tabla2[[#This Row],[Forest cover 2011]]</f>
        <v>8.6859825683744058E-4</v>
      </c>
      <c r="AX212" s="6">
        <f>Tabla2[[#This Row],[Forest Loss 2016]]/Tabla2[[#This Row],[Forest cover 2011]]</f>
        <v>1.2897430830121407E-3</v>
      </c>
      <c r="AY212" s="6">
        <f>Tabla2[[#This Row],[Forest Loss 2017]]/Tabla2[[#This Row],[Forest cover 2011]]</f>
        <v>1.3933202660359231E-3</v>
      </c>
      <c r="AZ212" s="6">
        <f>Tabla2[[#This Row],[Forest Loss 2018]]/Tabla2[[#This Row],[Forest cover 2011]]</f>
        <v>5.4170866721438282E-4</v>
      </c>
      <c r="BA212" s="6">
        <f>Tabla2[[#This Row],[Forest Loss 2019]]/Tabla2[[#This Row],[Forest cover 2011]]</f>
        <v>4.3854579292269537E-4</v>
      </c>
      <c r="BB212" s="6">
        <f>Tabla2[[#This Row],[Forest Loss 2020]]/Tabla2[[#This Row],[Forest cover 2011]]</f>
        <v>1.4374441460040545E-3</v>
      </c>
      <c r="BC212" s="6">
        <f>Tabla2[[#This Row],[Forest Loss 2021]]/Tabla2[[#This Row],[Forest cover 2011]]</f>
        <v>2.4620296404753118E-3</v>
      </c>
      <c r="BD212" s="6">
        <f>Tabla2[[#This Row],[Forest Loss 2022]]/Tabla2[[#This Row],[Forest cover 2011]]</f>
        <v>5.0379941822767838E-4</v>
      </c>
      <c r="BE212" s="6">
        <f>Tabla2[[#This Row],[Forest Loss 2023]]/Tabla2[[#This Row],[Forest cover 2011]]</f>
        <v>1.0247926488373047E-3</v>
      </c>
      <c r="BF212" s="6">
        <f>Tabla2[[#This Row],[Forest Loss 2024]]/Tabla2[[#This Row],[Forest cover 2011]]</f>
        <v>9.6761804380817665E-4</v>
      </c>
    </row>
    <row r="213" spans="1:58" x14ac:dyDescent="0.25">
      <c r="A213" s="2">
        <v>10402</v>
      </c>
      <c r="B213" s="3" t="s">
        <v>58</v>
      </c>
      <c r="C213" t="s">
        <v>69</v>
      </c>
      <c r="D213">
        <v>22272.39</v>
      </c>
      <c r="E213" s="4">
        <f>AVERAGE(Tabla2[[#This Row],[Deforestation 2012]:[Deforestation 2014]])</f>
        <v>2.67</v>
      </c>
      <c r="F213" s="4">
        <f>AVERAGE(Tabla2[[#This Row],[Deforestation 2022]:[Deforestation 2024]])</f>
        <v>22.8</v>
      </c>
      <c r="G213">
        <v>2.97</v>
      </c>
      <c r="H213">
        <v>2.52</v>
      </c>
      <c r="I213">
        <v>2.52</v>
      </c>
      <c r="J213">
        <v>1.35</v>
      </c>
      <c r="K213">
        <v>3.69</v>
      </c>
      <c r="L213">
        <v>1.26</v>
      </c>
      <c r="M213">
        <v>3.87</v>
      </c>
      <c r="N213">
        <v>2.16</v>
      </c>
      <c r="O213">
        <v>4.8599999999999994</v>
      </c>
      <c r="P213">
        <v>0.09</v>
      </c>
      <c r="Q213">
        <v>5.58</v>
      </c>
      <c r="R213">
        <v>43.11</v>
      </c>
      <c r="S213">
        <v>19.71</v>
      </c>
      <c r="T213">
        <v>16.559999999999999</v>
      </c>
      <c r="U213">
        <v>18.989999999999998</v>
      </c>
      <c r="V213">
        <v>294.66000000000003</v>
      </c>
      <c r="W213">
        <v>8.1</v>
      </c>
      <c r="X213">
        <v>18</v>
      </c>
      <c r="Y213">
        <v>11.97</v>
      </c>
      <c r="Z213">
        <v>24.03</v>
      </c>
      <c r="AA213">
        <v>32.130000000000003</v>
      </c>
      <c r="AB213">
        <v>47.79</v>
      </c>
      <c r="AC213">
        <v>0.18</v>
      </c>
      <c r="AD213">
        <v>40.049999999999997</v>
      </c>
      <c r="AE213">
        <v>133.47</v>
      </c>
      <c r="AF213">
        <v>20.79</v>
      </c>
      <c r="AG213" s="5">
        <f>Tabla2[[#This Row],[Deforestation 2012]]/Tabla2[[#This Row],[Forest cover 2011]]</f>
        <v>1.3334895805973225E-4</v>
      </c>
      <c r="AH213" s="6">
        <f>Tabla2[[#This Row],[Deforestation 2013]]/Tabla2[[#This Row],[Forest cover 2011]]</f>
        <v>1.1314457047492434E-4</v>
      </c>
      <c r="AI213" s="6">
        <f>Tabla2[[#This Row],[Deforestation 2014]]/Tabla2[[#This Row],[Forest cover 2011]]</f>
        <v>1.1314457047492434E-4</v>
      </c>
      <c r="AJ213" s="6">
        <f>Tabla2[[#This Row],[Deforestation 2015]]/Tabla2[[#This Row],[Forest cover 2011]]</f>
        <v>6.0613162754423759E-5</v>
      </c>
      <c r="AK213" s="6">
        <f>Tabla2[[#This Row],[Deforestation 2016]]/Tabla2[[#This Row],[Forest cover 2011]]</f>
        <v>1.6567597819542492E-4</v>
      </c>
      <c r="AL213" s="6">
        <f>Tabla2[[#This Row],[Deforestation 2017]]/Tabla2[[#This Row],[Forest cover 2011]]</f>
        <v>5.6572285237462169E-5</v>
      </c>
      <c r="AM213" s="6">
        <f>Tabla2[[#This Row],[Deforestation 2018]]/Tabla2[[#This Row],[Forest cover 2011]]</f>
        <v>1.7375773322934808E-4</v>
      </c>
      <c r="AN213" s="6">
        <f>Tabla2[[#This Row],[Deforestation 2019]]/Tabla2[[#This Row],[Forest cover 2011]]</f>
        <v>9.6981060407078006E-5</v>
      </c>
      <c r="AO213" s="6">
        <f>Tabla2[[#This Row],[Deforestation 2020]]/Tabla2[[#This Row],[Forest cover 2011]]</f>
        <v>2.1820738591592548E-4</v>
      </c>
      <c r="AP213" s="6">
        <f>Tabla2[[#This Row],[Deforestation 2021]]/Tabla2[[#This Row],[Forest cover 2011]]</f>
        <v>4.040877516961583E-6</v>
      </c>
      <c r="AQ213" s="6">
        <f>Tabla2[[#This Row],[Deforestation 2022]]/Tabla2[[#This Row],[Forest cover 2011]]</f>
        <v>2.5053440605161818E-4</v>
      </c>
      <c r="AR213" s="6">
        <f>Tabla2[[#This Row],[Deforestation 2023]]/Tabla2[[#This Row],[Forest cover 2011]]</f>
        <v>1.9355803306245986E-3</v>
      </c>
      <c r="AS213" s="6">
        <f>Tabla2[[#This Row],[Deforestation 2024]]/Tabla2[[#This Row],[Forest cover 2011]]</f>
        <v>8.8495217621458681E-4</v>
      </c>
      <c r="AT213" s="6">
        <f>Tabla2[[#This Row],[Forest Loss 2012]]/Tabla2[[#This Row],[Forest cover 2011]]</f>
        <v>7.4352146312093128E-4</v>
      </c>
      <c r="AU213" s="6">
        <f>Tabla2[[#This Row],[Forest Loss 2013]]/Tabla2[[#This Row],[Forest cover 2011]]</f>
        <v>8.5262515607889403E-4</v>
      </c>
      <c r="AV213" s="6">
        <f>Tabla2[[#This Row],[Forest Loss 2014]]/Tabla2[[#This Row],[Forest cover 2011]]</f>
        <v>1.3229832990532226E-2</v>
      </c>
      <c r="AW213" s="6">
        <f>Tabla2[[#This Row],[Forest Loss 2015]]/Tabla2[[#This Row],[Forest cover 2011]]</f>
        <v>3.636789765265425E-4</v>
      </c>
      <c r="AX213" s="6">
        <f>Tabla2[[#This Row],[Forest Loss 2016]]/Tabla2[[#This Row],[Forest cover 2011]]</f>
        <v>8.0817550339231672E-4</v>
      </c>
      <c r="AY213" s="6">
        <f>Tabla2[[#This Row],[Forest Loss 2017]]/Tabla2[[#This Row],[Forest cover 2011]]</f>
        <v>5.3743670975589064E-4</v>
      </c>
      <c r="AZ213" s="6">
        <f>Tabla2[[#This Row],[Forest Loss 2018]]/Tabla2[[#This Row],[Forest cover 2011]]</f>
        <v>1.0789142970287428E-3</v>
      </c>
      <c r="BA213" s="6">
        <f>Tabla2[[#This Row],[Forest Loss 2019]]/Tabla2[[#This Row],[Forest cover 2011]]</f>
        <v>1.4425932735552855E-3</v>
      </c>
      <c r="BB213" s="6">
        <f>Tabla2[[#This Row],[Forest Loss 2020]]/Tabla2[[#This Row],[Forest cover 2011]]</f>
        <v>2.1457059615066008E-3</v>
      </c>
      <c r="BC213" s="6">
        <f>Tabla2[[#This Row],[Forest Loss 2021]]/Tabla2[[#This Row],[Forest cover 2011]]</f>
        <v>8.0817550339231661E-6</v>
      </c>
      <c r="BD213" s="6">
        <f>Tabla2[[#This Row],[Forest Loss 2022]]/Tabla2[[#This Row],[Forest cover 2011]]</f>
        <v>1.7981904950479044E-3</v>
      </c>
      <c r="BE213" s="6">
        <f>Tabla2[[#This Row],[Forest Loss 2023]]/Tabla2[[#This Row],[Forest cover 2011]]</f>
        <v>5.992621357654028E-3</v>
      </c>
      <c r="BF213" s="6">
        <f>Tabla2[[#This Row],[Forest Loss 2024]]/Tabla2[[#This Row],[Forest cover 2011]]</f>
        <v>9.3344270641812575E-4</v>
      </c>
    </row>
    <row r="214" spans="1:58" x14ac:dyDescent="0.25">
      <c r="A214" s="2">
        <v>31202</v>
      </c>
      <c r="B214" s="3" t="s">
        <v>176</v>
      </c>
      <c r="C214" t="s">
        <v>207</v>
      </c>
      <c r="D214">
        <v>166000.68</v>
      </c>
      <c r="E214" s="4">
        <f>AVERAGE(Tabla2[[#This Row],[Deforestation 2012]:[Deforestation 2014]])</f>
        <v>92.82</v>
      </c>
      <c r="F214" s="4">
        <f>AVERAGE(Tabla2[[#This Row],[Deforestation 2022]:[Deforestation 2024]])</f>
        <v>216.51000000000002</v>
      </c>
      <c r="G214">
        <v>127.89</v>
      </c>
      <c r="H214">
        <v>73.89</v>
      </c>
      <c r="I214">
        <v>76.679999999999993</v>
      </c>
      <c r="J214">
        <v>106.47</v>
      </c>
      <c r="K214">
        <v>80.19</v>
      </c>
      <c r="L214">
        <v>148.13999999999999</v>
      </c>
      <c r="M214">
        <v>201.24</v>
      </c>
      <c r="N214">
        <v>156.69</v>
      </c>
      <c r="O214">
        <v>173.25</v>
      </c>
      <c r="P214">
        <v>87.210000000000008</v>
      </c>
      <c r="Q214">
        <v>157.68</v>
      </c>
      <c r="R214">
        <v>383.76</v>
      </c>
      <c r="S214">
        <v>108.09</v>
      </c>
      <c r="T214">
        <v>558.08999999999992</v>
      </c>
      <c r="U214">
        <v>357.21</v>
      </c>
      <c r="V214">
        <v>497.97</v>
      </c>
      <c r="W214">
        <v>341.82</v>
      </c>
      <c r="X214">
        <v>230.31</v>
      </c>
      <c r="Y214">
        <v>370.8</v>
      </c>
      <c r="Z214">
        <v>459.36</v>
      </c>
      <c r="AA214">
        <v>510.3</v>
      </c>
      <c r="AB214">
        <v>405.9</v>
      </c>
      <c r="AC214">
        <v>436.77</v>
      </c>
      <c r="AD214">
        <v>220.68</v>
      </c>
      <c r="AE214">
        <v>661.32</v>
      </c>
      <c r="AF214">
        <v>113.49</v>
      </c>
      <c r="AG214" s="5">
        <f>Tabla2[[#This Row],[Deforestation 2012]]/Tabla2[[#This Row],[Forest cover 2011]]</f>
        <v>7.7041853081565698E-4</v>
      </c>
      <c r="AH214" s="6">
        <f>Tabla2[[#This Row],[Deforestation 2013]]/Tabla2[[#This Row],[Forest cover 2011]]</f>
        <v>4.4511865855007346E-4</v>
      </c>
      <c r="AI214" s="6">
        <f>Tabla2[[#This Row],[Deforestation 2014]]/Tabla2[[#This Row],[Forest cover 2011]]</f>
        <v>4.6192581861712853E-4</v>
      </c>
      <c r="AJ214" s="6">
        <f>Tabla2[[#This Row],[Deforestation 2015]]/Tabla2[[#This Row],[Forest cover 2011]]</f>
        <v>6.4138291481697545E-4</v>
      </c>
      <c r="AK214" s="6">
        <f>Tabla2[[#This Row],[Deforestation 2016]]/Tabla2[[#This Row],[Forest cover 2011]]</f>
        <v>4.8307031031439147E-4</v>
      </c>
      <c r="AL214" s="6">
        <f>Tabla2[[#This Row],[Deforestation 2017]]/Tabla2[[#This Row],[Forest cover 2011]]</f>
        <v>8.9240598291525069E-4</v>
      </c>
      <c r="AM214" s="6">
        <f>Tabla2[[#This Row],[Deforestation 2018]]/Tabla2[[#This Row],[Forest cover 2011]]</f>
        <v>1.2122841906430746E-3</v>
      </c>
      <c r="AN214" s="6">
        <f>Tabla2[[#This Row],[Deforestation 2019]]/Tabla2[[#This Row],[Forest cover 2011]]</f>
        <v>9.4391179602396817E-4</v>
      </c>
      <c r="AO214" s="6">
        <f>Tabla2[[#This Row],[Deforestation 2020]]/Tabla2[[#This Row],[Forest cover 2011]]</f>
        <v>1.043670423518747E-3</v>
      </c>
      <c r="AP214" s="6">
        <f>Tabla2[[#This Row],[Deforestation 2021]]/Tabla2[[#This Row],[Forest cover 2011]]</f>
        <v>5.2535929370891741E-4</v>
      </c>
      <c r="AQ214" s="6">
        <f>Tabla2[[#This Row],[Deforestation 2022]]/Tabla2[[#This Row],[Forest cover 2011]]</f>
        <v>9.4987562701550384E-4</v>
      </c>
      <c r="AR214" s="6">
        <f>Tabla2[[#This Row],[Deforestation 2023]]/Tabla2[[#This Row],[Forest cover 2011]]</f>
        <v>2.3117977589007469E-3</v>
      </c>
      <c r="AS214" s="6">
        <f>Tabla2[[#This Row],[Deforestation 2024]]/Tabla2[[#This Row],[Forest cover 2011]]</f>
        <v>6.5114191098494302E-4</v>
      </c>
      <c r="AT214" s="6">
        <f>Tabla2[[#This Row],[Forest Loss 2012]]/Tabla2[[#This Row],[Forest cover 2011]]</f>
        <v>3.3619741798648051E-3</v>
      </c>
      <c r="AU214" s="6">
        <f>Tabla2[[#This Row],[Forest Loss 2013]]/Tabla2[[#This Row],[Forest cover 2011]]</f>
        <v>2.1518586550368347E-3</v>
      </c>
      <c r="AV214" s="6">
        <f>Tabla2[[#This Row],[Forest Loss 2014]]/Tabla2[[#This Row],[Forest cover 2011]]</f>
        <v>2.9998069887424562E-3</v>
      </c>
      <c r="AW214" s="6">
        <f>Tabla2[[#This Row],[Forest Loss 2015]]/Tabla2[[#This Row],[Forest cover 2011]]</f>
        <v>2.0591481914411435E-3</v>
      </c>
      <c r="AX214" s="6">
        <f>Tabla2[[#This Row],[Forest Loss 2016]]/Tabla2[[#This Row],[Forest cover 2011]]</f>
        <v>1.3874039552127136E-3</v>
      </c>
      <c r="AY214" s="6">
        <f>Tabla2[[#This Row],[Forest Loss 2017]]/Tabla2[[#This Row],[Forest cover 2011]]</f>
        <v>2.2337257895570068E-3</v>
      </c>
      <c r="AZ214" s="6">
        <f>Tabla2[[#This Row],[Forest Loss 2018]]/Tabla2[[#This Row],[Forest cover 2011]]</f>
        <v>2.767217580072564E-3</v>
      </c>
      <c r="BA214" s="6">
        <f>Tabla2[[#This Row],[Forest Loss 2019]]/Tabla2[[#This Row],[Forest cover 2011]]</f>
        <v>3.0740837929097643E-3</v>
      </c>
      <c r="BB214" s="6">
        <f>Tabla2[[#This Row],[Forest Loss 2020]]/Tabla2[[#This Row],[Forest cover 2011]]</f>
        <v>2.445170706529636E-3</v>
      </c>
      <c r="BC214" s="6">
        <f>Tabla2[[#This Row],[Forest Loss 2021]]/Tabla2[[#This Row],[Forest cover 2011]]</f>
        <v>2.6311338001747944E-3</v>
      </c>
      <c r="BD214" s="6">
        <f>Tabla2[[#This Row],[Forest Loss 2022]]/Tabla2[[#This Row],[Forest cover 2011]]</f>
        <v>1.3293921446586845E-3</v>
      </c>
      <c r="BE214" s="6">
        <f>Tabla2[[#This Row],[Forest Loss 2023]]/Tabla2[[#This Row],[Forest cover 2011]]</f>
        <v>3.9838391023458465E-3</v>
      </c>
      <c r="BF214" s="6">
        <f>Tabla2[[#This Row],[Forest Loss 2024]]/Tabla2[[#This Row],[Forest cover 2011]]</f>
        <v>6.8367189821150133E-4</v>
      </c>
    </row>
    <row r="215" spans="1:58" x14ac:dyDescent="0.25">
      <c r="A215" s="2">
        <v>90501</v>
      </c>
      <c r="B215" s="3" t="s">
        <v>384</v>
      </c>
      <c r="C215" t="s">
        <v>394</v>
      </c>
      <c r="D215">
        <v>359182.98</v>
      </c>
      <c r="E215" s="4">
        <f>AVERAGE(Tabla2[[#This Row],[Deforestation 2012]:[Deforestation 2014]])</f>
        <v>185.01</v>
      </c>
      <c r="F215" s="4">
        <f>AVERAGE(Tabla2[[#This Row],[Deforestation 2022]:[Deforestation 2024]])</f>
        <v>109.14</v>
      </c>
      <c r="G215">
        <v>137.69999999999999</v>
      </c>
      <c r="H215">
        <v>130.41</v>
      </c>
      <c r="I215">
        <v>286.92</v>
      </c>
      <c r="J215">
        <v>212.49</v>
      </c>
      <c r="K215">
        <v>300.06</v>
      </c>
      <c r="L215">
        <v>291.33</v>
      </c>
      <c r="M215">
        <v>234.72</v>
      </c>
      <c r="N215">
        <v>182.25</v>
      </c>
      <c r="O215">
        <v>147.87</v>
      </c>
      <c r="P215">
        <v>229.41</v>
      </c>
      <c r="Q215">
        <v>34.74</v>
      </c>
      <c r="R215">
        <v>174.15</v>
      </c>
      <c r="S215">
        <v>118.53</v>
      </c>
      <c r="T215">
        <v>195.03</v>
      </c>
      <c r="U215">
        <v>179.82</v>
      </c>
      <c r="V215">
        <v>1107.6300000000001</v>
      </c>
      <c r="W215">
        <v>421.11</v>
      </c>
      <c r="X215">
        <v>435.87</v>
      </c>
      <c r="Y215">
        <v>337.95</v>
      </c>
      <c r="Z215">
        <v>294.93</v>
      </c>
      <c r="AA215">
        <v>232.29</v>
      </c>
      <c r="AB215">
        <v>183.78</v>
      </c>
      <c r="AC215">
        <v>236.7</v>
      </c>
      <c r="AD215">
        <v>39.510000000000012</v>
      </c>
      <c r="AE215">
        <v>229.86</v>
      </c>
      <c r="AF215">
        <v>232.11</v>
      </c>
      <c r="AG215" s="5">
        <f>Tabla2[[#This Row],[Deforestation 2012]]/Tabla2[[#This Row],[Forest cover 2011]]</f>
        <v>3.8337005834741946E-4</v>
      </c>
      <c r="AH215" s="6">
        <f>Tabla2[[#This Row],[Deforestation 2013]]/Tabla2[[#This Row],[Forest cover 2011]]</f>
        <v>3.6307399643490903E-4</v>
      </c>
      <c r="AI215" s="6">
        <f>Tabla2[[#This Row],[Deforestation 2014]]/Tabla2[[#This Row],[Forest cover 2011]]</f>
        <v>7.9881290588991721E-4</v>
      </c>
      <c r="AJ215" s="6">
        <f>Tabla2[[#This Row],[Deforestation 2015]]/Tabla2[[#This Row],[Forest cover 2011]]</f>
        <v>5.9159261944984152E-4</v>
      </c>
      <c r="AK215" s="6">
        <f>Tabla2[[#This Row],[Deforestation 2016]]/Tabla2[[#This Row],[Forest cover 2011]]</f>
        <v>8.3539593106555328E-4</v>
      </c>
      <c r="AL215" s="6">
        <f>Tabla2[[#This Row],[Deforestation 2017]]/Tabla2[[#This Row],[Forest cover 2011]]</f>
        <v>8.1109077050365804E-4</v>
      </c>
      <c r="AM215" s="6">
        <f>Tabla2[[#This Row],[Deforestation 2018]]/Tabla2[[#This Row],[Forest cover 2011]]</f>
        <v>6.5348307984971902E-4</v>
      </c>
      <c r="AN215" s="6">
        <f>Tabla2[[#This Row],[Deforestation 2019]]/Tabla2[[#This Row],[Forest cover 2011]]</f>
        <v>5.0740154781276107E-4</v>
      </c>
      <c r="AO215" s="6">
        <f>Tabla2[[#This Row],[Deforestation 2020]]/Tabla2[[#This Row],[Forest cover 2011]]</f>
        <v>4.1168431755869949E-4</v>
      </c>
      <c r="AP215" s="6">
        <f>Tabla2[[#This Row],[Deforestation 2021]]/Tabla2[[#This Row],[Forest cover 2011]]</f>
        <v>6.3869952858011257E-4</v>
      </c>
      <c r="AQ215" s="6">
        <f>Tabla2[[#This Row],[Deforestation 2022]]/Tabla2[[#This Row],[Forest cover 2011]]</f>
        <v>9.6719504916407804E-5</v>
      </c>
      <c r="AR215" s="6">
        <f>Tabla2[[#This Row],[Deforestation 2023]]/Tabla2[[#This Row],[Forest cover 2011]]</f>
        <v>4.8485036790997174E-4</v>
      </c>
      <c r="AS215" s="6">
        <f>Tabla2[[#This Row],[Deforestation 2024]]/Tabla2[[#This Row],[Forest cover 2011]]</f>
        <v>3.299989325774846E-4</v>
      </c>
      <c r="AT215" s="6">
        <f>Tabla2[[#This Row],[Forest Loss 2012]]/Tabla2[[#This Row],[Forest cover 2011]]</f>
        <v>5.4298229832605105E-4</v>
      </c>
      <c r="AU215" s="6">
        <f>Tabla2[[#This Row],[Forest Loss 2013]]/Tabla2[[#This Row],[Forest cover 2011]]</f>
        <v>5.0063619384192422E-4</v>
      </c>
      <c r="AV215" s="6">
        <f>Tabla2[[#This Row],[Forest Loss 2014]]/Tabla2[[#This Row],[Forest cover 2011]]</f>
        <v>3.0837485673736549E-3</v>
      </c>
      <c r="AW215" s="6">
        <f>Tabla2[[#This Row],[Forest Loss 2015]]/Tabla2[[#This Row],[Forest cover 2011]]</f>
        <v>1.1724107862794613E-3</v>
      </c>
      <c r="AX215" s="6">
        <f>Tabla2[[#This Row],[Forest Loss 2016]]/Tabla2[[#This Row],[Forest cover 2011]]</f>
        <v>1.2135040474356552E-3</v>
      </c>
      <c r="AY215" s="6">
        <f>Tabla2[[#This Row],[Forest Loss 2017]]/Tabla2[[#This Row],[Forest cover 2011]]</f>
        <v>9.4088533927749025E-4</v>
      </c>
      <c r="AZ215" s="6">
        <f>Tabla2[[#This Row],[Forest Loss 2018]]/Tabla2[[#This Row],[Forest cover 2011]]</f>
        <v>8.2111351712712004E-4</v>
      </c>
      <c r="BA215" s="6">
        <f>Tabla2[[#This Row],[Forest Loss 2019]]/Tabla2[[#This Row],[Forest cover 2011]]</f>
        <v>6.4671772587888217E-4</v>
      </c>
      <c r="BB215" s="6">
        <f>Tabla2[[#This Row],[Forest Loss 2020]]/Tabla2[[#This Row],[Forest cover 2011]]</f>
        <v>5.1166121512773242E-4</v>
      </c>
      <c r="BC215" s="6">
        <f>Tabla2[[#This Row],[Forest Loss 2021]]/Tabla2[[#This Row],[Forest cover 2011]]</f>
        <v>6.5899559049262301E-4</v>
      </c>
      <c r="BD215" s="6">
        <f>Tabla2[[#This Row],[Forest Loss 2022]]/Tabla2[[#This Row],[Forest cover 2011]]</f>
        <v>1.0999964419249491E-4</v>
      </c>
      <c r="BE215" s="6">
        <f>Tabla2[[#This Row],[Forest Loss 2023]]/Tabla2[[#This Row],[Forest cover 2011]]</f>
        <v>6.3995237190804543E-4</v>
      </c>
      <c r="BF215" s="6">
        <f>Tabla2[[#This Row],[Forest Loss 2024]]/Tabla2[[#This Row],[Forest cover 2011]]</f>
        <v>6.4621658854770907E-4</v>
      </c>
    </row>
    <row r="216" spans="1:58" x14ac:dyDescent="0.25">
      <c r="A216" s="2">
        <v>10304</v>
      </c>
      <c r="B216" s="3" t="s">
        <v>58</v>
      </c>
      <c r="C216" t="s">
        <v>67</v>
      </c>
      <c r="D216">
        <v>2886.39</v>
      </c>
      <c r="E216" s="4">
        <f>AVERAGE(Tabla2[[#This Row],[Deforestation 2012]:[Deforestation 2014]])</f>
        <v>1.5599999999999998</v>
      </c>
      <c r="F216" s="4">
        <f>AVERAGE(Tabla2[[#This Row],[Deforestation 2022]:[Deforestation 2024]])</f>
        <v>0.93</v>
      </c>
      <c r="G216">
        <v>0.80999999999999994</v>
      </c>
      <c r="H216">
        <v>1.89</v>
      </c>
      <c r="I216">
        <v>1.98</v>
      </c>
      <c r="J216">
        <v>1.26</v>
      </c>
      <c r="K216">
        <v>0.89999999999999991</v>
      </c>
      <c r="L216">
        <v>1.44</v>
      </c>
      <c r="M216">
        <v>2.0699999999999998</v>
      </c>
      <c r="N216">
        <v>2.25</v>
      </c>
      <c r="O216">
        <v>0.36</v>
      </c>
      <c r="P216">
        <v>1.71</v>
      </c>
      <c r="Q216">
        <v>0</v>
      </c>
      <c r="R216">
        <v>1.35</v>
      </c>
      <c r="S216">
        <v>1.44</v>
      </c>
      <c r="T216">
        <v>4.8600000000000003</v>
      </c>
      <c r="U216">
        <v>5.49</v>
      </c>
      <c r="V216">
        <v>50.58</v>
      </c>
      <c r="W216">
        <v>2.61</v>
      </c>
      <c r="X216">
        <v>3.33</v>
      </c>
      <c r="Y216">
        <v>3.42</v>
      </c>
      <c r="Z216">
        <v>3.15</v>
      </c>
      <c r="AA216">
        <v>4.95</v>
      </c>
      <c r="AB216">
        <v>2.0699999999999998</v>
      </c>
      <c r="AC216">
        <v>5.22</v>
      </c>
      <c r="AD216">
        <v>0.81</v>
      </c>
      <c r="AE216">
        <v>2.79</v>
      </c>
      <c r="AF216">
        <v>1.62</v>
      </c>
      <c r="AG216" s="5">
        <f>Tabla2[[#This Row],[Deforestation 2012]]/Tabla2[[#This Row],[Forest cover 2011]]</f>
        <v>2.8062735804932807E-4</v>
      </c>
      <c r="AH216" s="6">
        <f>Tabla2[[#This Row],[Deforestation 2013]]/Tabla2[[#This Row],[Forest cover 2011]]</f>
        <v>6.547971687817654E-4</v>
      </c>
      <c r="AI216" s="6">
        <f>Tabla2[[#This Row],[Deforestation 2014]]/Tabla2[[#This Row],[Forest cover 2011]]</f>
        <v>6.8597798634280197E-4</v>
      </c>
      <c r="AJ216" s="6">
        <f>Tabla2[[#This Row],[Deforestation 2015]]/Tabla2[[#This Row],[Forest cover 2011]]</f>
        <v>4.3653144585451031E-4</v>
      </c>
      <c r="AK216" s="6">
        <f>Tabla2[[#This Row],[Deforestation 2016]]/Tabla2[[#This Row],[Forest cover 2011]]</f>
        <v>3.1180817561036447E-4</v>
      </c>
      <c r="AL216" s="6">
        <f>Tabla2[[#This Row],[Deforestation 2017]]/Tabla2[[#This Row],[Forest cover 2011]]</f>
        <v>4.9889308097658322E-4</v>
      </c>
      <c r="AM216" s="6">
        <f>Tabla2[[#This Row],[Deforestation 2018]]/Tabla2[[#This Row],[Forest cover 2011]]</f>
        <v>7.1715880390383832E-4</v>
      </c>
      <c r="AN216" s="6">
        <f>Tabla2[[#This Row],[Deforestation 2019]]/Tabla2[[#This Row],[Forest cover 2011]]</f>
        <v>7.7952043902591135E-4</v>
      </c>
      <c r="AO216" s="6">
        <f>Tabla2[[#This Row],[Deforestation 2020]]/Tabla2[[#This Row],[Forest cover 2011]]</f>
        <v>1.2472327024414581E-4</v>
      </c>
      <c r="AP216" s="6">
        <f>Tabla2[[#This Row],[Deforestation 2021]]/Tabla2[[#This Row],[Forest cover 2011]]</f>
        <v>5.924355336596926E-4</v>
      </c>
      <c r="AQ216" s="6">
        <f>Tabla2[[#This Row],[Deforestation 2022]]/Tabla2[[#This Row],[Forest cover 2011]]</f>
        <v>0</v>
      </c>
      <c r="AR216" s="6">
        <f>Tabla2[[#This Row],[Deforestation 2023]]/Tabla2[[#This Row],[Forest cover 2011]]</f>
        <v>4.6771226341554682E-4</v>
      </c>
      <c r="AS216" s="6">
        <f>Tabla2[[#This Row],[Deforestation 2024]]/Tabla2[[#This Row],[Forest cover 2011]]</f>
        <v>4.9889308097658322E-4</v>
      </c>
      <c r="AT216" s="6">
        <f>Tabla2[[#This Row],[Forest Loss 2012]]/Tabla2[[#This Row],[Forest cover 2011]]</f>
        <v>1.6837641482959685E-3</v>
      </c>
      <c r="AU216" s="6">
        <f>Tabla2[[#This Row],[Forest Loss 2013]]/Tabla2[[#This Row],[Forest cover 2011]]</f>
        <v>1.9020298712232237E-3</v>
      </c>
      <c r="AV216" s="6">
        <f>Tabla2[[#This Row],[Forest Loss 2014]]/Tabla2[[#This Row],[Forest cover 2011]]</f>
        <v>1.7523619469302486E-2</v>
      </c>
      <c r="AW216" s="6">
        <f>Tabla2[[#This Row],[Forest Loss 2015]]/Tabla2[[#This Row],[Forest cover 2011]]</f>
        <v>9.0424370927005707E-4</v>
      </c>
      <c r="AX216" s="6">
        <f>Tabla2[[#This Row],[Forest Loss 2016]]/Tabla2[[#This Row],[Forest cover 2011]]</f>
        <v>1.1536902497583487E-3</v>
      </c>
      <c r="AY216" s="6">
        <f>Tabla2[[#This Row],[Forest Loss 2017]]/Tabla2[[#This Row],[Forest cover 2011]]</f>
        <v>1.1848710673193852E-3</v>
      </c>
      <c r="AZ216" s="6">
        <f>Tabla2[[#This Row],[Forest Loss 2018]]/Tabla2[[#This Row],[Forest cover 2011]]</f>
        <v>1.0913286146362758E-3</v>
      </c>
      <c r="BA216" s="6">
        <f>Tabla2[[#This Row],[Forest Loss 2019]]/Tabla2[[#This Row],[Forest cover 2011]]</f>
        <v>1.714944965857005E-3</v>
      </c>
      <c r="BB216" s="6">
        <f>Tabla2[[#This Row],[Forest Loss 2020]]/Tabla2[[#This Row],[Forest cover 2011]]</f>
        <v>7.1715880390383832E-4</v>
      </c>
      <c r="BC216" s="6">
        <f>Tabla2[[#This Row],[Forest Loss 2021]]/Tabla2[[#This Row],[Forest cover 2011]]</f>
        <v>1.8084874185401141E-3</v>
      </c>
      <c r="BD216" s="6">
        <f>Tabla2[[#This Row],[Forest Loss 2022]]/Tabla2[[#This Row],[Forest cover 2011]]</f>
        <v>2.8062735804932807E-4</v>
      </c>
      <c r="BE216" s="6">
        <f>Tabla2[[#This Row],[Forest Loss 2023]]/Tabla2[[#This Row],[Forest cover 2011]]</f>
        <v>9.6660534439212999E-4</v>
      </c>
      <c r="BF216" s="6">
        <f>Tabla2[[#This Row],[Forest Loss 2024]]/Tabla2[[#This Row],[Forest cover 2011]]</f>
        <v>5.6125471609865614E-4</v>
      </c>
    </row>
    <row r="217" spans="1:58" x14ac:dyDescent="0.25">
      <c r="A217" s="2">
        <v>10601</v>
      </c>
      <c r="B217" s="3" t="s">
        <v>58</v>
      </c>
      <c r="C217" t="s">
        <v>75</v>
      </c>
      <c r="D217">
        <v>4594.5</v>
      </c>
      <c r="E217" s="4">
        <f>AVERAGE(Tabla2[[#This Row],[Deforestation 2012]:[Deforestation 2014]])</f>
        <v>1.26</v>
      </c>
      <c r="F217" s="4">
        <f>AVERAGE(Tabla2[[#This Row],[Deforestation 2022]:[Deforestation 2024]])</f>
        <v>3.9599999999999995</v>
      </c>
      <c r="G217">
        <v>0.18</v>
      </c>
      <c r="H217">
        <v>1.71</v>
      </c>
      <c r="I217">
        <v>1.89</v>
      </c>
      <c r="J217">
        <v>1.08</v>
      </c>
      <c r="K217">
        <v>0.18</v>
      </c>
      <c r="L217">
        <v>1.08</v>
      </c>
      <c r="M217">
        <v>0.36</v>
      </c>
      <c r="N217">
        <v>0.80999999999999994</v>
      </c>
      <c r="O217">
        <v>3.78</v>
      </c>
      <c r="P217">
        <v>0.27</v>
      </c>
      <c r="Q217">
        <v>2.34</v>
      </c>
      <c r="R217">
        <v>7.2</v>
      </c>
      <c r="S217">
        <v>2.34</v>
      </c>
      <c r="T217">
        <v>9.99</v>
      </c>
      <c r="U217">
        <v>9.629999999999999</v>
      </c>
      <c r="V217">
        <v>75.42</v>
      </c>
      <c r="W217">
        <v>2.52</v>
      </c>
      <c r="X217">
        <v>9.81</v>
      </c>
      <c r="Y217">
        <v>14.04</v>
      </c>
      <c r="Z217">
        <v>29.43</v>
      </c>
      <c r="AA217">
        <v>21.06</v>
      </c>
      <c r="AB217">
        <v>49.23</v>
      </c>
      <c r="AC217">
        <v>0.72</v>
      </c>
      <c r="AD217">
        <v>3.24</v>
      </c>
      <c r="AE217">
        <v>13.41</v>
      </c>
      <c r="AF217">
        <v>2.52</v>
      </c>
      <c r="AG217" s="5">
        <f>Tabla2[[#This Row],[Deforestation 2012]]/Tabla2[[#This Row],[Forest cover 2011]]</f>
        <v>3.917727717923604E-5</v>
      </c>
      <c r="AH217" s="6">
        <f>Tabla2[[#This Row],[Deforestation 2013]]/Tabla2[[#This Row],[Forest cover 2011]]</f>
        <v>3.7218413320274241E-4</v>
      </c>
      <c r="AI217" s="6">
        <f>Tabla2[[#This Row],[Deforestation 2014]]/Tabla2[[#This Row],[Forest cover 2011]]</f>
        <v>4.1136141038197841E-4</v>
      </c>
      <c r="AJ217" s="6">
        <f>Tabla2[[#This Row],[Deforestation 2015]]/Tabla2[[#This Row],[Forest cover 2011]]</f>
        <v>2.3506366307541628E-4</v>
      </c>
      <c r="AK217" s="6">
        <f>Tabla2[[#This Row],[Deforestation 2016]]/Tabla2[[#This Row],[Forest cover 2011]]</f>
        <v>3.917727717923604E-5</v>
      </c>
      <c r="AL217" s="6">
        <f>Tabla2[[#This Row],[Deforestation 2017]]/Tabla2[[#This Row],[Forest cover 2011]]</f>
        <v>2.3506366307541628E-4</v>
      </c>
      <c r="AM217" s="6">
        <f>Tabla2[[#This Row],[Deforestation 2018]]/Tabla2[[#This Row],[Forest cover 2011]]</f>
        <v>7.8354554358472079E-5</v>
      </c>
      <c r="AN217" s="6">
        <f>Tabla2[[#This Row],[Deforestation 2019]]/Tabla2[[#This Row],[Forest cover 2011]]</f>
        <v>1.7629774730656218E-4</v>
      </c>
      <c r="AO217" s="6">
        <f>Tabla2[[#This Row],[Deforestation 2020]]/Tabla2[[#This Row],[Forest cover 2011]]</f>
        <v>8.2272282076395681E-4</v>
      </c>
      <c r="AP217" s="6">
        <f>Tabla2[[#This Row],[Deforestation 2021]]/Tabla2[[#This Row],[Forest cover 2011]]</f>
        <v>5.876591576885407E-5</v>
      </c>
      <c r="AQ217" s="6">
        <f>Tabla2[[#This Row],[Deforestation 2022]]/Tabla2[[#This Row],[Forest cover 2011]]</f>
        <v>5.0930460333006855E-4</v>
      </c>
      <c r="AR217" s="6">
        <f>Tabla2[[#This Row],[Deforestation 2023]]/Tabla2[[#This Row],[Forest cover 2011]]</f>
        <v>1.5670910871694419E-3</v>
      </c>
      <c r="AS217" s="6">
        <f>Tabla2[[#This Row],[Deforestation 2024]]/Tabla2[[#This Row],[Forest cover 2011]]</f>
        <v>5.0930460333006855E-4</v>
      </c>
      <c r="AT217" s="6">
        <f>Tabla2[[#This Row],[Forest Loss 2012]]/Tabla2[[#This Row],[Forest cover 2011]]</f>
        <v>2.1743388834476003E-3</v>
      </c>
      <c r="AU217" s="6">
        <f>Tabla2[[#This Row],[Forest Loss 2013]]/Tabla2[[#This Row],[Forest cover 2011]]</f>
        <v>2.0959843290891283E-3</v>
      </c>
      <c r="AV217" s="6">
        <f>Tabla2[[#This Row],[Forest Loss 2014]]/Tabla2[[#This Row],[Forest cover 2011]]</f>
        <v>1.6415279138099901E-2</v>
      </c>
      <c r="AW217" s="6">
        <f>Tabla2[[#This Row],[Forest Loss 2015]]/Tabla2[[#This Row],[Forest cover 2011]]</f>
        <v>5.4848188050930465E-4</v>
      </c>
      <c r="AX217" s="6">
        <f>Tabla2[[#This Row],[Forest Loss 2016]]/Tabla2[[#This Row],[Forest cover 2011]]</f>
        <v>2.1351616062683645E-3</v>
      </c>
      <c r="AY217" s="6">
        <f>Tabla2[[#This Row],[Forest Loss 2017]]/Tabla2[[#This Row],[Forest cover 2011]]</f>
        <v>3.0558276199804113E-3</v>
      </c>
      <c r="AZ217" s="6">
        <f>Tabla2[[#This Row],[Forest Loss 2018]]/Tabla2[[#This Row],[Forest cover 2011]]</f>
        <v>6.4054848188050927E-3</v>
      </c>
      <c r="BA217" s="6">
        <f>Tabla2[[#This Row],[Forest Loss 2019]]/Tabla2[[#This Row],[Forest cover 2011]]</f>
        <v>4.583741429970617E-3</v>
      </c>
      <c r="BB217" s="6">
        <f>Tabla2[[#This Row],[Forest Loss 2020]]/Tabla2[[#This Row],[Forest cover 2011]]</f>
        <v>1.0714985308521057E-2</v>
      </c>
      <c r="BC217" s="6">
        <f>Tabla2[[#This Row],[Forest Loss 2021]]/Tabla2[[#This Row],[Forest cover 2011]]</f>
        <v>1.5670910871694416E-4</v>
      </c>
      <c r="BD217" s="6">
        <f>Tabla2[[#This Row],[Forest Loss 2022]]/Tabla2[[#This Row],[Forest cover 2011]]</f>
        <v>7.0519098922624884E-4</v>
      </c>
      <c r="BE217" s="6">
        <f>Tabla2[[#This Row],[Forest Loss 2023]]/Tabla2[[#This Row],[Forest cover 2011]]</f>
        <v>2.9187071498530852E-3</v>
      </c>
      <c r="BF217" s="6">
        <f>Tabla2[[#This Row],[Forest Loss 2024]]/Tabla2[[#This Row],[Forest cover 2011]]</f>
        <v>5.4848188050930465E-4</v>
      </c>
    </row>
    <row r="218" spans="1:58" x14ac:dyDescent="0.25">
      <c r="A218" s="2">
        <v>90502</v>
      </c>
      <c r="B218" s="3" t="s">
        <v>384</v>
      </c>
      <c r="C218" t="s">
        <v>395</v>
      </c>
      <c r="D218">
        <v>273027.06</v>
      </c>
      <c r="E218" s="4">
        <f>AVERAGE(Tabla2[[#This Row],[Deforestation 2012]:[Deforestation 2014]])</f>
        <v>127.67999999999999</v>
      </c>
      <c r="F218" s="4">
        <f>AVERAGE(Tabla2[[#This Row],[Deforestation 2022]:[Deforestation 2024]])</f>
        <v>125.06999999999998</v>
      </c>
      <c r="G218">
        <v>130.41</v>
      </c>
      <c r="H218">
        <v>122.85</v>
      </c>
      <c r="I218">
        <v>129.78</v>
      </c>
      <c r="J218">
        <v>361.35</v>
      </c>
      <c r="K218">
        <v>275.22000000000003</v>
      </c>
      <c r="L218">
        <v>202.68</v>
      </c>
      <c r="M218">
        <v>157.22999999999999</v>
      </c>
      <c r="N218">
        <v>179.73</v>
      </c>
      <c r="O218">
        <v>260.82</v>
      </c>
      <c r="P218">
        <v>314.01</v>
      </c>
      <c r="Q218">
        <v>44.28</v>
      </c>
      <c r="R218">
        <v>272.52</v>
      </c>
      <c r="S218">
        <v>58.41</v>
      </c>
      <c r="T218">
        <v>417.6</v>
      </c>
      <c r="U218">
        <v>245.97</v>
      </c>
      <c r="V218">
        <v>509.4</v>
      </c>
      <c r="W218">
        <v>494.73</v>
      </c>
      <c r="X218">
        <v>438.39</v>
      </c>
      <c r="Y218">
        <v>310.23</v>
      </c>
      <c r="Z218">
        <v>248.49</v>
      </c>
      <c r="AA218">
        <v>245.97</v>
      </c>
      <c r="AB218">
        <v>389.52</v>
      </c>
      <c r="AC218">
        <v>353.16</v>
      </c>
      <c r="AD218">
        <v>88.740000000000009</v>
      </c>
      <c r="AE218">
        <v>489.51</v>
      </c>
      <c r="AF218">
        <v>148.94999999999999</v>
      </c>
      <c r="AG218" s="5">
        <f>Tabla2[[#This Row],[Deforestation 2012]]/Tabla2[[#This Row],[Forest cover 2011]]</f>
        <v>4.7764496310365721E-4</v>
      </c>
      <c r="AH218" s="6">
        <f>Tabla2[[#This Row],[Deforestation 2013]]/Tabla2[[#This Row],[Forest cover 2011]]</f>
        <v>4.4995540002518429E-4</v>
      </c>
      <c r="AI218" s="6">
        <f>Tabla2[[#This Row],[Deforestation 2014]]/Tabla2[[#This Row],[Forest cover 2011]]</f>
        <v>4.7533749951378444E-4</v>
      </c>
      <c r="AJ218" s="6">
        <f>Tabla2[[#This Row],[Deforestation 2015]]/Tabla2[[#This Row],[Forest cover 2011]]</f>
        <v>1.3234951876198646E-3</v>
      </c>
      <c r="AK218" s="6">
        <f>Tabla2[[#This Row],[Deforestation 2016]]/Tabla2[[#This Row],[Forest cover 2011]]</f>
        <v>1.0080319511186913E-3</v>
      </c>
      <c r="AL218" s="6">
        <f>Tabla2[[#This Row],[Deforestation 2017]]/Tabla2[[#This Row],[Forest cover 2011]]</f>
        <v>7.4234400062763014E-4</v>
      </c>
      <c r="AM218" s="6">
        <f>Tabla2[[#This Row],[Deforestation 2018]]/Tabla2[[#This Row],[Forest cover 2011]]</f>
        <v>5.7587698450109665E-4</v>
      </c>
      <c r="AN218" s="6">
        <f>Tabla2[[#This Row],[Deforestation 2019]]/Tabla2[[#This Row],[Forest cover 2011]]</f>
        <v>6.5828639842512309E-4</v>
      </c>
      <c r="AO218" s="6">
        <f>Tabla2[[#This Row],[Deforestation 2020]]/Tabla2[[#This Row],[Forest cover 2011]]</f>
        <v>9.5528992620731441E-4</v>
      </c>
      <c r="AP218" s="6">
        <f>Tabla2[[#This Row],[Deforestation 2021]]/Tabla2[[#This Row],[Forest cover 2011]]</f>
        <v>1.1501057807237129E-3</v>
      </c>
      <c r="AQ218" s="6">
        <f>Tabla2[[#This Row],[Deforestation 2022]]/Tabla2[[#This Row],[Forest cover 2011]]</f>
        <v>1.6218172660248403E-4</v>
      </c>
      <c r="AR218" s="6">
        <f>Tabla2[[#This Row],[Deforestation 2023]]/Tabla2[[#This Row],[Forest cover 2011]]</f>
        <v>9.9814282144780803E-4</v>
      </c>
      <c r="AS218" s="6">
        <f>Tabla2[[#This Row],[Deforestation 2024]]/Tabla2[[#This Row],[Forest cover 2011]]</f>
        <v>2.1393483854677262E-4</v>
      </c>
      <c r="AT218" s="6">
        <f>Tabla2[[#This Row],[Forest Loss 2012]]/Tabla2[[#This Row],[Forest cover 2011]]</f>
        <v>1.5295187224299307E-3</v>
      </c>
      <c r="AU218" s="6">
        <f>Tabla2[[#This Row],[Forest Loss 2013]]/Tabla2[[#This Row],[Forest cover 2011]]</f>
        <v>9.0089971301745696E-4</v>
      </c>
      <c r="AV218" s="6">
        <f>Tabla2[[#This Row],[Forest Loss 2014]]/Tabla2[[#This Row],[Forest cover 2011]]</f>
        <v>1.8657491312399585E-3</v>
      </c>
      <c r="AW218" s="6">
        <f>Tabla2[[#This Row],[Forest Loss 2015]]/Tabla2[[#This Row],[Forest cover 2011]]</f>
        <v>1.8120181933614934E-3</v>
      </c>
      <c r="AX218" s="6">
        <f>Tabla2[[#This Row],[Forest Loss 2016]]/Tabla2[[#This Row],[Forest cover 2011]]</f>
        <v>1.6056650208957309E-3</v>
      </c>
      <c r="AY218" s="6">
        <f>Tabla2[[#This Row],[Forest Loss 2017]]/Tabla2[[#This Row],[Forest cover 2011]]</f>
        <v>1.1362609991844765E-3</v>
      </c>
      <c r="AZ218" s="6">
        <f>Tabla2[[#This Row],[Forest Loss 2018]]/Tabla2[[#This Row],[Forest cover 2011]]</f>
        <v>9.1012956737694791E-4</v>
      </c>
      <c r="BA218" s="6">
        <f>Tabla2[[#This Row],[Forest Loss 2019]]/Tabla2[[#This Row],[Forest cover 2011]]</f>
        <v>9.0089971301745696E-4</v>
      </c>
      <c r="BB218" s="6">
        <f>Tabla2[[#This Row],[Forest Loss 2020]]/Tabla2[[#This Row],[Forest cover 2011]]</f>
        <v>1.4266717738527456E-3</v>
      </c>
      <c r="BC218" s="6">
        <f>Tabla2[[#This Row],[Forest Loss 2021]]/Tabla2[[#This Row],[Forest cover 2011]]</f>
        <v>1.293498160951519E-3</v>
      </c>
      <c r="BD218" s="6">
        <f>Tabla2[[#This Row],[Forest Loss 2022]]/Tabla2[[#This Row],[Forest cover 2011]]</f>
        <v>3.2502272851636031E-4</v>
      </c>
      <c r="BE218" s="6">
        <f>Tabla2[[#This Row],[Forest Loss 2023]]/Tabla2[[#This Row],[Forest cover 2011]]</f>
        <v>1.792899209331119E-3</v>
      </c>
      <c r="BF218" s="6">
        <f>Tabla2[[#This Row],[Forest Loss 2024]]/Tabla2[[#This Row],[Forest cover 2011]]</f>
        <v>5.4555032017705491E-4</v>
      </c>
    </row>
    <row r="219" spans="1:58" x14ac:dyDescent="0.25">
      <c r="A219" s="2">
        <v>90402</v>
      </c>
      <c r="B219" s="3" t="s">
        <v>384</v>
      </c>
      <c r="C219" t="s">
        <v>393</v>
      </c>
      <c r="D219">
        <v>538625.16</v>
      </c>
      <c r="E219" s="4">
        <f>AVERAGE(Tabla2[[#This Row],[Deforestation 2012]:[Deforestation 2014]])</f>
        <v>230.34</v>
      </c>
      <c r="F219" s="4">
        <f>AVERAGE(Tabla2[[#This Row],[Deforestation 2022]:[Deforestation 2024]])</f>
        <v>112.56</v>
      </c>
      <c r="G219">
        <v>118.17</v>
      </c>
      <c r="H219">
        <v>226.62</v>
      </c>
      <c r="I219">
        <v>346.23</v>
      </c>
      <c r="J219">
        <v>121.14</v>
      </c>
      <c r="K219">
        <v>134.63999999999999</v>
      </c>
      <c r="L219">
        <v>237.69</v>
      </c>
      <c r="M219">
        <v>77.13</v>
      </c>
      <c r="N219">
        <v>98.72999999999999</v>
      </c>
      <c r="O219">
        <v>210.33</v>
      </c>
      <c r="P219">
        <v>424.44</v>
      </c>
      <c r="Q219">
        <v>52.02</v>
      </c>
      <c r="R219">
        <v>124.29</v>
      </c>
      <c r="S219">
        <v>161.37</v>
      </c>
      <c r="T219">
        <v>497.97</v>
      </c>
      <c r="U219">
        <v>356.31</v>
      </c>
      <c r="V219">
        <v>479.7</v>
      </c>
      <c r="W219">
        <v>237.87</v>
      </c>
      <c r="X219">
        <v>324.45</v>
      </c>
      <c r="Y219">
        <v>301.05</v>
      </c>
      <c r="Z219">
        <v>128.97</v>
      </c>
      <c r="AA219">
        <v>148.13999999999999</v>
      </c>
      <c r="AB219">
        <v>296.82</v>
      </c>
      <c r="AC219">
        <v>453.42</v>
      </c>
      <c r="AD219">
        <v>306.63</v>
      </c>
      <c r="AE219">
        <v>246.69</v>
      </c>
      <c r="AF219">
        <v>267.3</v>
      </c>
      <c r="AG219" s="5">
        <f>Tabla2[[#This Row],[Deforestation 2012]]/Tabla2[[#This Row],[Forest cover 2011]]</f>
        <v>2.1939190512377846E-4</v>
      </c>
      <c r="AH219" s="6">
        <f>Tabla2[[#This Row],[Deforestation 2013]]/Tabla2[[#This Row],[Forest cover 2011]]</f>
        <v>4.2073786527164824E-4</v>
      </c>
      <c r="AI219" s="6">
        <f>Tabla2[[#This Row],[Deforestation 2014]]/Tabla2[[#This Row],[Forest cover 2011]]</f>
        <v>6.4280324372519102E-4</v>
      </c>
      <c r="AJ219" s="6">
        <f>Tabla2[[#This Row],[Deforestation 2015]]/Tabla2[[#This Row],[Forest cover 2011]]</f>
        <v>2.2490594386641722E-4</v>
      </c>
      <c r="AK219" s="6">
        <f>Tabla2[[#This Row],[Deforestation 2016]]/Tabla2[[#This Row],[Forest cover 2011]]</f>
        <v>2.4996975633295699E-4</v>
      </c>
      <c r="AL219" s="6">
        <f>Tabla2[[#This Row],[Deforestation 2017]]/Tabla2[[#This Row],[Forest cover 2011]]</f>
        <v>4.4129019149421089E-4</v>
      </c>
      <c r="AM219" s="6">
        <f>Tabla2[[#This Row],[Deforestation 2018]]/Tabla2[[#This Row],[Forest cover 2011]]</f>
        <v>1.4319791522549743E-4</v>
      </c>
      <c r="AN219" s="6">
        <f>Tabla2[[#This Row],[Deforestation 2019]]/Tabla2[[#This Row],[Forest cover 2011]]</f>
        <v>1.8330001517196111E-4</v>
      </c>
      <c r="AO219" s="6">
        <f>Tabla2[[#This Row],[Deforestation 2020]]/Tabla2[[#This Row],[Forest cover 2011]]</f>
        <v>3.9049419822869026E-4</v>
      </c>
      <c r="AP219" s="6">
        <f>Tabla2[[#This Row],[Deforestation 2021]]/Tabla2[[#This Row],[Forest cover 2011]]</f>
        <v>7.8800626394801162E-4</v>
      </c>
      <c r="AQ219" s="6">
        <f>Tabla2[[#This Row],[Deforestation 2022]]/Tabla2[[#This Row],[Forest cover 2011]]</f>
        <v>9.6579224037733404E-5</v>
      </c>
      <c r="AR219" s="6">
        <f>Tabla2[[#This Row],[Deforestation 2023]]/Tabla2[[#This Row],[Forest cover 2011]]</f>
        <v>2.3075416677527651E-4</v>
      </c>
      <c r="AS219" s="6">
        <f>Tabla2[[#This Row],[Deforestation 2024]]/Tabla2[[#This Row],[Forest cover 2011]]</f>
        <v>2.9959610501670584E-4</v>
      </c>
      <c r="AT219" s="6">
        <f>Tabla2[[#This Row],[Forest Loss 2012]]/Tabla2[[#This Row],[Forest cover 2011]]</f>
        <v>9.2452049584909851E-4</v>
      </c>
      <c r="AU219" s="6">
        <f>Tabla2[[#This Row],[Forest Loss 2013]]/Tabla2[[#This Row],[Forest cover 2011]]</f>
        <v>6.6151755703354074E-4</v>
      </c>
      <c r="AV219" s="6">
        <f>Tabla2[[#This Row],[Forest Loss 2014]]/Tabla2[[#This Row],[Forest cover 2011]]</f>
        <v>8.9060080297771456E-4</v>
      </c>
      <c r="AW219" s="6">
        <f>Tabla2[[#This Row],[Forest Loss 2015]]/Tabla2[[#This Row],[Forest cover 2011]]</f>
        <v>4.4162437566043142E-4</v>
      </c>
      <c r="AX219" s="6">
        <f>Tabla2[[#This Row],[Forest Loss 2016]]/Tabla2[[#This Row],[Forest cover 2011]]</f>
        <v>6.0236695961250677E-4</v>
      </c>
      <c r="AY219" s="6">
        <f>Tabla2[[#This Row],[Forest Loss 2017]]/Tabla2[[#This Row],[Forest cover 2011]]</f>
        <v>5.589230180038378E-4</v>
      </c>
      <c r="AZ219" s="6">
        <f>Tabla2[[#This Row],[Forest Loss 2018]]/Tabla2[[#This Row],[Forest cover 2011]]</f>
        <v>2.394429550970103E-4</v>
      </c>
      <c r="BA219" s="6">
        <f>Tabla2[[#This Row],[Forest Loss 2019]]/Tabla2[[#This Row],[Forest cover 2011]]</f>
        <v>2.7503356879949681E-4</v>
      </c>
      <c r="BB219" s="6">
        <f>Tabla2[[#This Row],[Forest Loss 2020]]/Tabla2[[#This Row],[Forest cover 2011]]</f>
        <v>5.510696900976553E-4</v>
      </c>
      <c r="BC219" s="6">
        <f>Tabla2[[#This Row],[Forest Loss 2021]]/Tabla2[[#This Row],[Forest cover 2011]]</f>
        <v>8.4180991470951712E-4</v>
      </c>
      <c r="BD219" s="6">
        <f>Tabla2[[#This Row],[Forest Loss 2022]]/Tabla2[[#This Row],[Forest cover 2011]]</f>
        <v>5.6928272715667423E-4</v>
      </c>
      <c r="BE219" s="6">
        <f>Tabla2[[#This Row],[Forest Loss 2023]]/Tabla2[[#This Row],[Forest cover 2011]]</f>
        <v>4.5799939980523742E-4</v>
      </c>
      <c r="BF219" s="6">
        <f>Tabla2[[#This Row],[Forest Loss 2024]]/Tabla2[[#This Row],[Forest cover 2011]]</f>
        <v>4.9626348683748823E-4</v>
      </c>
    </row>
    <row r="220" spans="1:58" x14ac:dyDescent="0.25">
      <c r="A220" s="2">
        <v>31301</v>
      </c>
      <c r="B220" s="3" t="s">
        <v>176</v>
      </c>
      <c r="C220" t="s">
        <v>212</v>
      </c>
      <c r="D220">
        <v>18117.72</v>
      </c>
      <c r="E220" s="4">
        <f>AVERAGE(Tabla2[[#This Row],[Deforestation 2012]:[Deforestation 2014]])</f>
        <v>0.5099999999999999</v>
      </c>
      <c r="F220" s="4">
        <f>AVERAGE(Tabla2[[#This Row],[Deforestation 2022]:[Deforestation 2024]])</f>
        <v>9.0599999999999987</v>
      </c>
      <c r="G220">
        <v>0.99</v>
      </c>
      <c r="H220">
        <v>0.18</v>
      </c>
      <c r="I220">
        <v>0.36</v>
      </c>
      <c r="J220">
        <v>0.09</v>
      </c>
      <c r="K220">
        <v>0.09</v>
      </c>
      <c r="L220">
        <v>2.52</v>
      </c>
      <c r="M220">
        <v>0</v>
      </c>
      <c r="N220">
        <v>0.72</v>
      </c>
      <c r="O220">
        <v>3.69</v>
      </c>
      <c r="P220">
        <v>0.18</v>
      </c>
      <c r="Q220">
        <v>3.42</v>
      </c>
      <c r="R220">
        <v>16.739999999999998</v>
      </c>
      <c r="S220">
        <v>7.02</v>
      </c>
      <c r="T220">
        <v>20.25</v>
      </c>
      <c r="U220">
        <v>26.82</v>
      </c>
      <c r="V220">
        <v>246.15</v>
      </c>
      <c r="W220">
        <v>29.07</v>
      </c>
      <c r="X220">
        <v>11.61</v>
      </c>
      <c r="Y220">
        <v>49.5</v>
      </c>
      <c r="Z220">
        <v>81.72</v>
      </c>
      <c r="AA220">
        <v>121.77</v>
      </c>
      <c r="AB220">
        <v>123.39</v>
      </c>
      <c r="AC220">
        <v>1.98</v>
      </c>
      <c r="AD220">
        <v>8.2799999999999994</v>
      </c>
      <c r="AE220">
        <v>67.23</v>
      </c>
      <c r="AF220">
        <v>8.4600000000000009</v>
      </c>
      <c r="AG220" s="5">
        <f>Tabla2[[#This Row],[Deforestation 2012]]/Tabla2[[#This Row],[Forest cover 2011]]</f>
        <v>5.4642637153019252E-5</v>
      </c>
      <c r="AH220" s="6">
        <f>Tabla2[[#This Row],[Deforestation 2013]]/Tabla2[[#This Row],[Forest cover 2011]]</f>
        <v>9.9350249369125903E-6</v>
      </c>
      <c r="AI220" s="6">
        <f>Tabla2[[#This Row],[Deforestation 2014]]/Tabla2[[#This Row],[Forest cover 2011]]</f>
        <v>1.9870049873825181E-5</v>
      </c>
      <c r="AJ220" s="6">
        <f>Tabla2[[#This Row],[Deforestation 2015]]/Tabla2[[#This Row],[Forest cover 2011]]</f>
        <v>4.9675124684562952E-6</v>
      </c>
      <c r="AK220" s="6">
        <f>Tabla2[[#This Row],[Deforestation 2016]]/Tabla2[[#This Row],[Forest cover 2011]]</f>
        <v>4.9675124684562952E-6</v>
      </c>
      <c r="AL220" s="6">
        <f>Tabla2[[#This Row],[Deforestation 2017]]/Tabla2[[#This Row],[Forest cover 2011]]</f>
        <v>1.3909034911677628E-4</v>
      </c>
      <c r="AM220" s="6">
        <f>Tabla2[[#This Row],[Deforestation 2018]]/Tabla2[[#This Row],[Forest cover 2011]]</f>
        <v>0</v>
      </c>
      <c r="AN220" s="6">
        <f>Tabla2[[#This Row],[Deforestation 2019]]/Tabla2[[#This Row],[Forest cover 2011]]</f>
        <v>3.9740099747650361E-5</v>
      </c>
      <c r="AO220" s="6">
        <f>Tabla2[[#This Row],[Deforestation 2020]]/Tabla2[[#This Row],[Forest cover 2011]]</f>
        <v>2.0366801120670812E-4</v>
      </c>
      <c r="AP220" s="6">
        <f>Tabla2[[#This Row],[Deforestation 2021]]/Tabla2[[#This Row],[Forest cover 2011]]</f>
        <v>9.9350249369125903E-6</v>
      </c>
      <c r="AQ220" s="6">
        <f>Tabla2[[#This Row],[Deforestation 2022]]/Tabla2[[#This Row],[Forest cover 2011]]</f>
        <v>1.8876547380133923E-4</v>
      </c>
      <c r="AR220" s="6">
        <f>Tabla2[[#This Row],[Deforestation 2023]]/Tabla2[[#This Row],[Forest cover 2011]]</f>
        <v>9.2395731913287084E-4</v>
      </c>
      <c r="AS220" s="6">
        <f>Tabla2[[#This Row],[Deforestation 2024]]/Tabla2[[#This Row],[Forest cover 2011]]</f>
        <v>3.8746597253959105E-4</v>
      </c>
      <c r="AT220" s="6">
        <f>Tabla2[[#This Row],[Forest Loss 2012]]/Tabla2[[#This Row],[Forest cover 2011]]</f>
        <v>1.1176903054026664E-3</v>
      </c>
      <c r="AU220" s="6">
        <f>Tabla2[[#This Row],[Forest Loss 2013]]/Tabla2[[#This Row],[Forest cover 2011]]</f>
        <v>1.480318715599976E-3</v>
      </c>
      <c r="AV220" s="6">
        <f>Tabla2[[#This Row],[Forest Loss 2014]]/Tabla2[[#This Row],[Forest cover 2011]]</f>
        <v>1.3586146601227969E-2</v>
      </c>
      <c r="AW220" s="6">
        <f>Tabla2[[#This Row],[Forest Loss 2015]]/Tabla2[[#This Row],[Forest cover 2011]]</f>
        <v>1.6045065273113835E-3</v>
      </c>
      <c r="AX220" s="6">
        <f>Tabla2[[#This Row],[Forest Loss 2016]]/Tabla2[[#This Row],[Forest cover 2011]]</f>
        <v>6.4080910843086205E-4</v>
      </c>
      <c r="AY220" s="6">
        <f>Tabla2[[#This Row],[Forest Loss 2017]]/Tabla2[[#This Row],[Forest cover 2011]]</f>
        <v>2.7321318576509625E-3</v>
      </c>
      <c r="AZ220" s="6">
        <f>Tabla2[[#This Row],[Forest Loss 2018]]/Tabla2[[#This Row],[Forest cover 2011]]</f>
        <v>4.5105013213583159E-3</v>
      </c>
      <c r="BA220" s="6">
        <f>Tabla2[[#This Row],[Forest Loss 2019]]/Tabla2[[#This Row],[Forest cover 2011]]</f>
        <v>6.7210443698213678E-3</v>
      </c>
      <c r="BB220" s="6">
        <f>Tabla2[[#This Row],[Forest Loss 2020]]/Tabla2[[#This Row],[Forest cover 2011]]</f>
        <v>6.8104595942535808E-3</v>
      </c>
      <c r="BC220" s="6">
        <f>Tabla2[[#This Row],[Forest Loss 2021]]/Tabla2[[#This Row],[Forest cover 2011]]</f>
        <v>1.092852743060385E-4</v>
      </c>
      <c r="BD220" s="6">
        <f>Tabla2[[#This Row],[Forest Loss 2022]]/Tabla2[[#This Row],[Forest cover 2011]]</f>
        <v>4.5701114709797915E-4</v>
      </c>
      <c r="BE220" s="6">
        <f>Tabla2[[#This Row],[Forest Loss 2023]]/Tabla2[[#This Row],[Forest cover 2011]]</f>
        <v>3.7107318139368529E-3</v>
      </c>
      <c r="BF220" s="6">
        <f>Tabla2[[#This Row],[Forest Loss 2024]]/Tabla2[[#This Row],[Forest cover 2011]]</f>
        <v>4.6694617203489185E-4</v>
      </c>
    </row>
    <row r="221" spans="1:58" x14ac:dyDescent="0.25">
      <c r="A221" s="2">
        <v>10301</v>
      </c>
      <c r="B221" s="3" t="s">
        <v>58</v>
      </c>
      <c r="C221" t="s">
        <v>64</v>
      </c>
      <c r="D221">
        <v>9395.1</v>
      </c>
      <c r="E221" s="4">
        <f>AVERAGE(Tabla2[[#This Row],[Deforestation 2012]:[Deforestation 2014]])</f>
        <v>0.06</v>
      </c>
      <c r="F221" s="4">
        <f>AVERAGE(Tabla2[[#This Row],[Deforestation 2022]:[Deforestation 2024]])</f>
        <v>4.8299999999999992</v>
      </c>
      <c r="G221">
        <v>0.09</v>
      </c>
      <c r="H221">
        <v>0</v>
      </c>
      <c r="I221">
        <v>0.09</v>
      </c>
      <c r="J221">
        <v>0</v>
      </c>
      <c r="K221">
        <v>0.18</v>
      </c>
      <c r="L221">
        <v>0</v>
      </c>
      <c r="M221">
        <v>0.18</v>
      </c>
      <c r="N221">
        <v>0.63</v>
      </c>
      <c r="O221">
        <v>0.63</v>
      </c>
      <c r="P221">
        <v>0</v>
      </c>
      <c r="Q221">
        <v>0.09</v>
      </c>
      <c r="R221">
        <v>10.53</v>
      </c>
      <c r="S221">
        <v>3.87</v>
      </c>
      <c r="T221">
        <v>8.73</v>
      </c>
      <c r="U221">
        <v>6.93</v>
      </c>
      <c r="V221">
        <v>143.28</v>
      </c>
      <c r="W221">
        <v>1.26</v>
      </c>
      <c r="X221">
        <v>13.32</v>
      </c>
      <c r="Y221">
        <v>18.45</v>
      </c>
      <c r="Z221">
        <v>73.800000000000011</v>
      </c>
      <c r="AA221">
        <v>74.88</v>
      </c>
      <c r="AB221">
        <v>75.33</v>
      </c>
      <c r="AC221">
        <v>0.09</v>
      </c>
      <c r="AD221">
        <v>0.80999999999999994</v>
      </c>
      <c r="AE221">
        <v>39.15</v>
      </c>
      <c r="AF221">
        <v>4.32</v>
      </c>
      <c r="AG221" s="5">
        <f>Tabla2[[#This Row],[Deforestation 2012]]/Tabla2[[#This Row],[Forest cover 2011]]</f>
        <v>9.5794616342561537E-6</v>
      </c>
      <c r="AH221" s="6">
        <f>Tabla2[[#This Row],[Deforestation 2013]]/Tabla2[[#This Row],[Forest cover 2011]]</f>
        <v>0</v>
      </c>
      <c r="AI221" s="6">
        <f>Tabla2[[#This Row],[Deforestation 2014]]/Tabla2[[#This Row],[Forest cover 2011]]</f>
        <v>9.5794616342561537E-6</v>
      </c>
      <c r="AJ221" s="6">
        <f>Tabla2[[#This Row],[Deforestation 2015]]/Tabla2[[#This Row],[Forest cover 2011]]</f>
        <v>0</v>
      </c>
      <c r="AK221" s="6">
        <f>Tabla2[[#This Row],[Deforestation 2016]]/Tabla2[[#This Row],[Forest cover 2011]]</f>
        <v>1.9158923268512307E-5</v>
      </c>
      <c r="AL221" s="6">
        <f>Tabla2[[#This Row],[Deforestation 2017]]/Tabla2[[#This Row],[Forest cover 2011]]</f>
        <v>0</v>
      </c>
      <c r="AM221" s="6">
        <f>Tabla2[[#This Row],[Deforestation 2018]]/Tabla2[[#This Row],[Forest cover 2011]]</f>
        <v>1.9158923268512307E-5</v>
      </c>
      <c r="AN221" s="6">
        <f>Tabla2[[#This Row],[Deforestation 2019]]/Tabla2[[#This Row],[Forest cover 2011]]</f>
        <v>6.7056231439793087E-5</v>
      </c>
      <c r="AO221" s="6">
        <f>Tabla2[[#This Row],[Deforestation 2020]]/Tabla2[[#This Row],[Forest cover 2011]]</f>
        <v>6.7056231439793087E-5</v>
      </c>
      <c r="AP221" s="6">
        <f>Tabla2[[#This Row],[Deforestation 2021]]/Tabla2[[#This Row],[Forest cover 2011]]</f>
        <v>0</v>
      </c>
      <c r="AQ221" s="6">
        <f>Tabla2[[#This Row],[Deforestation 2022]]/Tabla2[[#This Row],[Forest cover 2011]]</f>
        <v>9.5794616342561537E-6</v>
      </c>
      <c r="AR221" s="6">
        <f>Tabla2[[#This Row],[Deforestation 2023]]/Tabla2[[#This Row],[Forest cover 2011]]</f>
        <v>1.1207970112079701E-3</v>
      </c>
      <c r="AS221" s="6">
        <f>Tabla2[[#This Row],[Deforestation 2024]]/Tabla2[[#This Row],[Forest cover 2011]]</f>
        <v>4.1191685027301467E-4</v>
      </c>
      <c r="AT221" s="6">
        <f>Tabla2[[#This Row],[Forest Loss 2012]]/Tabla2[[#This Row],[Forest cover 2011]]</f>
        <v>9.2920777852284703E-4</v>
      </c>
      <c r="AU221" s="6">
        <f>Tabla2[[#This Row],[Forest Loss 2013]]/Tabla2[[#This Row],[Forest cover 2011]]</f>
        <v>7.3761854583772387E-4</v>
      </c>
      <c r="AV221" s="6">
        <f>Tabla2[[#This Row],[Forest Loss 2014]]/Tabla2[[#This Row],[Forest cover 2011]]</f>
        <v>1.5250502921735798E-2</v>
      </c>
      <c r="AW221" s="6">
        <f>Tabla2[[#This Row],[Forest Loss 2015]]/Tabla2[[#This Row],[Forest cover 2011]]</f>
        <v>1.3411246287958617E-4</v>
      </c>
      <c r="AX221" s="6">
        <f>Tabla2[[#This Row],[Forest Loss 2016]]/Tabla2[[#This Row],[Forest cover 2011]]</f>
        <v>1.4177603218699108E-3</v>
      </c>
      <c r="AY221" s="6">
        <f>Tabla2[[#This Row],[Forest Loss 2017]]/Tabla2[[#This Row],[Forest cover 2011]]</f>
        <v>1.9637896350225116E-3</v>
      </c>
      <c r="AZ221" s="6">
        <f>Tabla2[[#This Row],[Forest Loss 2018]]/Tabla2[[#This Row],[Forest cover 2011]]</f>
        <v>7.8551585400900483E-3</v>
      </c>
      <c r="BA221" s="6">
        <f>Tabla2[[#This Row],[Forest Loss 2019]]/Tabla2[[#This Row],[Forest cover 2011]]</f>
        <v>7.9701120797011204E-3</v>
      </c>
      <c r="BB221" s="6">
        <f>Tabla2[[#This Row],[Forest Loss 2020]]/Tabla2[[#This Row],[Forest cover 2011]]</f>
        <v>8.0180093878724004E-3</v>
      </c>
      <c r="BC221" s="6">
        <f>Tabla2[[#This Row],[Forest Loss 2021]]/Tabla2[[#This Row],[Forest cover 2011]]</f>
        <v>9.5794616342561537E-6</v>
      </c>
      <c r="BD221" s="6">
        <f>Tabla2[[#This Row],[Forest Loss 2022]]/Tabla2[[#This Row],[Forest cover 2011]]</f>
        <v>8.6215154708305385E-5</v>
      </c>
      <c r="BE221" s="6">
        <f>Tabla2[[#This Row],[Forest Loss 2023]]/Tabla2[[#This Row],[Forest cover 2011]]</f>
        <v>4.1670658109014269E-3</v>
      </c>
      <c r="BF221" s="6">
        <f>Tabla2[[#This Row],[Forest Loss 2024]]/Tabla2[[#This Row],[Forest cover 2011]]</f>
        <v>4.5981415844429546E-4</v>
      </c>
    </row>
    <row r="222" spans="1:58" x14ac:dyDescent="0.25">
      <c r="A222" s="2">
        <v>31303</v>
      </c>
      <c r="B222" s="3" t="s">
        <v>176</v>
      </c>
      <c r="C222" t="s">
        <v>214</v>
      </c>
      <c r="D222">
        <v>688.14</v>
      </c>
      <c r="E222" s="4">
        <f>AVERAGE(Tabla2[[#This Row],[Deforestation 2012]:[Deforestation 2014]])</f>
        <v>0.03</v>
      </c>
      <c r="F222" s="4">
        <f>AVERAGE(Tabla2[[#This Row],[Deforestation 2022]:[Deforestation 2024]])</f>
        <v>1.7699999999999998</v>
      </c>
      <c r="G222">
        <v>0</v>
      </c>
      <c r="H222">
        <v>0</v>
      </c>
      <c r="I222">
        <v>0.09</v>
      </c>
      <c r="J222">
        <v>0</v>
      </c>
      <c r="K222">
        <v>0.09</v>
      </c>
      <c r="L222">
        <v>0</v>
      </c>
      <c r="M222">
        <v>0.09</v>
      </c>
      <c r="N222">
        <v>0</v>
      </c>
      <c r="O222">
        <v>0</v>
      </c>
      <c r="P222">
        <v>0.45</v>
      </c>
      <c r="Q222">
        <v>1.71</v>
      </c>
      <c r="R222">
        <v>3.42</v>
      </c>
      <c r="S222">
        <v>0.18</v>
      </c>
      <c r="T222">
        <v>1.26</v>
      </c>
      <c r="U222">
        <v>2.4300000000000002</v>
      </c>
      <c r="V222">
        <v>13.41</v>
      </c>
      <c r="W222">
        <v>5.22</v>
      </c>
      <c r="X222">
        <v>3.33</v>
      </c>
      <c r="Y222">
        <v>11.97</v>
      </c>
      <c r="Z222">
        <v>23.94</v>
      </c>
      <c r="AA222">
        <v>24.48</v>
      </c>
      <c r="AB222">
        <v>10.44</v>
      </c>
      <c r="AC222">
        <v>1.44</v>
      </c>
      <c r="AD222">
        <v>2.4300000000000002</v>
      </c>
      <c r="AE222">
        <v>28.62</v>
      </c>
      <c r="AF222">
        <v>0.18</v>
      </c>
      <c r="AG222" s="5">
        <f>Tabla2[[#This Row],[Deforestation 2012]]/Tabla2[[#This Row],[Forest cover 2011]]</f>
        <v>0</v>
      </c>
      <c r="AH222" s="6">
        <f>Tabla2[[#This Row],[Deforestation 2013]]/Tabla2[[#This Row],[Forest cover 2011]]</f>
        <v>0</v>
      </c>
      <c r="AI222" s="6">
        <f>Tabla2[[#This Row],[Deforestation 2014]]/Tabla2[[#This Row],[Forest cover 2011]]</f>
        <v>1.3078733978550875E-4</v>
      </c>
      <c r="AJ222" s="6">
        <f>Tabla2[[#This Row],[Deforestation 2015]]/Tabla2[[#This Row],[Forest cover 2011]]</f>
        <v>0</v>
      </c>
      <c r="AK222" s="6">
        <f>Tabla2[[#This Row],[Deforestation 2016]]/Tabla2[[#This Row],[Forest cover 2011]]</f>
        <v>1.3078733978550875E-4</v>
      </c>
      <c r="AL222" s="6">
        <f>Tabla2[[#This Row],[Deforestation 2017]]/Tabla2[[#This Row],[Forest cover 2011]]</f>
        <v>0</v>
      </c>
      <c r="AM222" s="6">
        <f>Tabla2[[#This Row],[Deforestation 2018]]/Tabla2[[#This Row],[Forest cover 2011]]</f>
        <v>1.3078733978550875E-4</v>
      </c>
      <c r="AN222" s="6">
        <f>Tabla2[[#This Row],[Deforestation 2019]]/Tabla2[[#This Row],[Forest cover 2011]]</f>
        <v>0</v>
      </c>
      <c r="AO222" s="6">
        <f>Tabla2[[#This Row],[Deforestation 2020]]/Tabla2[[#This Row],[Forest cover 2011]]</f>
        <v>0</v>
      </c>
      <c r="AP222" s="6">
        <f>Tabla2[[#This Row],[Deforestation 2021]]/Tabla2[[#This Row],[Forest cover 2011]]</f>
        <v>6.5393669892754381E-4</v>
      </c>
      <c r="AQ222" s="6">
        <f>Tabla2[[#This Row],[Deforestation 2022]]/Tabla2[[#This Row],[Forest cover 2011]]</f>
        <v>2.4849594559246666E-3</v>
      </c>
      <c r="AR222" s="6">
        <f>Tabla2[[#This Row],[Deforestation 2023]]/Tabla2[[#This Row],[Forest cover 2011]]</f>
        <v>4.9699189118493333E-3</v>
      </c>
      <c r="AS222" s="6">
        <f>Tabla2[[#This Row],[Deforestation 2024]]/Tabla2[[#This Row],[Forest cover 2011]]</f>
        <v>2.615746795710175E-4</v>
      </c>
      <c r="AT222" s="6">
        <f>Tabla2[[#This Row],[Forest Loss 2012]]/Tabla2[[#This Row],[Forest cover 2011]]</f>
        <v>1.8310227569971228E-3</v>
      </c>
      <c r="AU222" s="6">
        <f>Tabla2[[#This Row],[Forest Loss 2013]]/Tabla2[[#This Row],[Forest cover 2011]]</f>
        <v>3.5312581742087371E-3</v>
      </c>
      <c r="AV222" s="6">
        <f>Tabla2[[#This Row],[Forest Loss 2014]]/Tabla2[[#This Row],[Forest cover 2011]]</f>
        <v>1.9487313628040806E-2</v>
      </c>
      <c r="AW222" s="6">
        <f>Tabla2[[#This Row],[Forest Loss 2015]]/Tabla2[[#This Row],[Forest cover 2011]]</f>
        <v>7.5856657075595076E-3</v>
      </c>
      <c r="AX222" s="6">
        <f>Tabla2[[#This Row],[Forest Loss 2016]]/Tabla2[[#This Row],[Forest cover 2011]]</f>
        <v>4.8391315720638243E-3</v>
      </c>
      <c r="AY222" s="6">
        <f>Tabla2[[#This Row],[Forest Loss 2017]]/Tabla2[[#This Row],[Forest cover 2011]]</f>
        <v>1.7394716191472665E-2</v>
      </c>
      <c r="AZ222" s="6">
        <f>Tabla2[[#This Row],[Forest Loss 2018]]/Tabla2[[#This Row],[Forest cover 2011]]</f>
        <v>3.478943238294533E-2</v>
      </c>
      <c r="BA222" s="6">
        <f>Tabla2[[#This Row],[Forest Loss 2019]]/Tabla2[[#This Row],[Forest cover 2011]]</f>
        <v>3.5574156421658384E-2</v>
      </c>
      <c r="BB222" s="6">
        <f>Tabla2[[#This Row],[Forest Loss 2020]]/Tabla2[[#This Row],[Forest cover 2011]]</f>
        <v>1.5171331415119015E-2</v>
      </c>
      <c r="BC222" s="6">
        <f>Tabla2[[#This Row],[Forest Loss 2021]]/Tabla2[[#This Row],[Forest cover 2011]]</f>
        <v>2.09259743656814E-3</v>
      </c>
      <c r="BD222" s="6">
        <f>Tabla2[[#This Row],[Forest Loss 2022]]/Tabla2[[#This Row],[Forest cover 2011]]</f>
        <v>3.5312581742087371E-3</v>
      </c>
      <c r="BE222" s="6">
        <f>Tabla2[[#This Row],[Forest Loss 2023]]/Tabla2[[#This Row],[Forest cover 2011]]</f>
        <v>4.1590374051791786E-2</v>
      </c>
      <c r="BF222" s="6">
        <f>Tabla2[[#This Row],[Forest Loss 2024]]/Tabla2[[#This Row],[Forest cover 2011]]</f>
        <v>2.615746795710175E-4</v>
      </c>
    </row>
    <row r="223" spans="1:58" x14ac:dyDescent="0.25">
      <c r="A223" s="2">
        <v>50502</v>
      </c>
      <c r="B223" s="3" t="s">
        <v>258</v>
      </c>
      <c r="C223" t="s">
        <v>275</v>
      </c>
      <c r="D223">
        <v>17932.41</v>
      </c>
      <c r="E223" s="4">
        <f>AVERAGE(Tabla2[[#This Row],[Deforestation 2012]:[Deforestation 2014]])</f>
        <v>0.36000000000000004</v>
      </c>
      <c r="F223" s="4">
        <f>AVERAGE(Tabla2[[#This Row],[Deforestation 2022]:[Deforestation 2024]])</f>
        <v>4.17</v>
      </c>
      <c r="G223">
        <v>1.08</v>
      </c>
      <c r="H223">
        <v>0</v>
      </c>
      <c r="I223">
        <v>0</v>
      </c>
      <c r="J223">
        <v>0.36</v>
      </c>
      <c r="K223">
        <v>0.45</v>
      </c>
      <c r="L223">
        <v>0</v>
      </c>
      <c r="M223">
        <v>0.18</v>
      </c>
      <c r="N223">
        <v>0.54</v>
      </c>
      <c r="O223">
        <v>0.27</v>
      </c>
      <c r="P223">
        <v>0</v>
      </c>
      <c r="Q223">
        <v>1.26</v>
      </c>
      <c r="R223">
        <v>10.98</v>
      </c>
      <c r="S223">
        <v>0.27</v>
      </c>
      <c r="T223">
        <v>34.47</v>
      </c>
      <c r="U223">
        <v>28.62</v>
      </c>
      <c r="V223">
        <v>166.5</v>
      </c>
      <c r="W223">
        <v>15.66</v>
      </c>
      <c r="X223">
        <v>13.41</v>
      </c>
      <c r="Y223">
        <v>17.28</v>
      </c>
      <c r="Z223">
        <v>13.14</v>
      </c>
      <c r="AA223">
        <v>47.61</v>
      </c>
      <c r="AB223">
        <v>90</v>
      </c>
      <c r="AC223">
        <v>1.8</v>
      </c>
      <c r="AD223">
        <v>5.85</v>
      </c>
      <c r="AE223">
        <v>70.740000000000009</v>
      </c>
      <c r="AF223">
        <v>4.68</v>
      </c>
      <c r="AG223" s="5">
        <f>Tabla2[[#This Row],[Deforestation 2012]]/Tabla2[[#This Row],[Forest cover 2011]]</f>
        <v>6.0226149190209241E-5</v>
      </c>
      <c r="AH223" s="6">
        <f>Tabla2[[#This Row],[Deforestation 2013]]/Tabla2[[#This Row],[Forest cover 2011]]</f>
        <v>0</v>
      </c>
      <c r="AI223" s="6">
        <f>Tabla2[[#This Row],[Deforestation 2014]]/Tabla2[[#This Row],[Forest cover 2011]]</f>
        <v>0</v>
      </c>
      <c r="AJ223" s="6">
        <f>Tabla2[[#This Row],[Deforestation 2015]]/Tabla2[[#This Row],[Forest cover 2011]]</f>
        <v>2.0075383063403077E-5</v>
      </c>
      <c r="AK223" s="6">
        <f>Tabla2[[#This Row],[Deforestation 2016]]/Tabla2[[#This Row],[Forest cover 2011]]</f>
        <v>2.5094228829253849E-5</v>
      </c>
      <c r="AL223" s="6">
        <f>Tabla2[[#This Row],[Deforestation 2017]]/Tabla2[[#This Row],[Forest cover 2011]]</f>
        <v>0</v>
      </c>
      <c r="AM223" s="6">
        <f>Tabla2[[#This Row],[Deforestation 2018]]/Tabla2[[#This Row],[Forest cover 2011]]</f>
        <v>1.0037691531701538E-5</v>
      </c>
      <c r="AN223" s="6">
        <f>Tabla2[[#This Row],[Deforestation 2019]]/Tabla2[[#This Row],[Forest cover 2011]]</f>
        <v>3.011307459510462E-5</v>
      </c>
      <c r="AO223" s="6">
        <f>Tabla2[[#This Row],[Deforestation 2020]]/Tabla2[[#This Row],[Forest cover 2011]]</f>
        <v>1.505653729755231E-5</v>
      </c>
      <c r="AP223" s="6">
        <f>Tabla2[[#This Row],[Deforestation 2021]]/Tabla2[[#This Row],[Forest cover 2011]]</f>
        <v>0</v>
      </c>
      <c r="AQ223" s="6">
        <f>Tabla2[[#This Row],[Deforestation 2022]]/Tabla2[[#This Row],[Forest cover 2011]]</f>
        <v>7.0263840721910778E-5</v>
      </c>
      <c r="AR223" s="6">
        <f>Tabla2[[#This Row],[Deforestation 2023]]/Tabla2[[#This Row],[Forest cover 2011]]</f>
        <v>6.1229918343379394E-4</v>
      </c>
      <c r="AS223" s="6">
        <f>Tabla2[[#This Row],[Deforestation 2024]]/Tabla2[[#This Row],[Forest cover 2011]]</f>
        <v>1.505653729755231E-5</v>
      </c>
      <c r="AT223" s="6">
        <f>Tabla2[[#This Row],[Forest Loss 2012]]/Tabla2[[#This Row],[Forest cover 2011]]</f>
        <v>1.9222179283208448E-3</v>
      </c>
      <c r="AU223" s="6">
        <f>Tabla2[[#This Row],[Forest Loss 2013]]/Tabla2[[#This Row],[Forest cover 2011]]</f>
        <v>1.5959929535405448E-3</v>
      </c>
      <c r="AV223" s="6">
        <f>Tabla2[[#This Row],[Forest Loss 2014]]/Tabla2[[#This Row],[Forest cover 2011]]</f>
        <v>9.2848646668239245E-3</v>
      </c>
      <c r="AW223" s="6">
        <f>Tabla2[[#This Row],[Forest Loss 2015]]/Tabla2[[#This Row],[Forest cover 2011]]</f>
        <v>8.7327916325803396E-4</v>
      </c>
      <c r="AX223" s="6">
        <f>Tabla2[[#This Row],[Forest Loss 2016]]/Tabla2[[#This Row],[Forest cover 2011]]</f>
        <v>7.4780801911176467E-4</v>
      </c>
      <c r="AY223" s="6">
        <f>Tabla2[[#This Row],[Forest Loss 2017]]/Tabla2[[#This Row],[Forest cover 2011]]</f>
        <v>9.6361838704334785E-4</v>
      </c>
      <c r="AZ223" s="6">
        <f>Tabla2[[#This Row],[Forest Loss 2018]]/Tabla2[[#This Row],[Forest cover 2011]]</f>
        <v>7.3275148181421235E-4</v>
      </c>
      <c r="BA223" s="6">
        <f>Tabla2[[#This Row],[Forest Loss 2019]]/Tabla2[[#This Row],[Forest cover 2011]]</f>
        <v>2.6549694101350571E-3</v>
      </c>
      <c r="BB223" s="6">
        <f>Tabla2[[#This Row],[Forest Loss 2020]]/Tabla2[[#This Row],[Forest cover 2011]]</f>
        <v>5.01884576585077E-3</v>
      </c>
      <c r="BC223" s="6">
        <f>Tabla2[[#This Row],[Forest Loss 2021]]/Tabla2[[#This Row],[Forest cover 2011]]</f>
        <v>1.0037691531701539E-4</v>
      </c>
      <c r="BD223" s="6">
        <f>Tabla2[[#This Row],[Forest Loss 2022]]/Tabla2[[#This Row],[Forest cover 2011]]</f>
        <v>3.262249747803E-4</v>
      </c>
      <c r="BE223" s="6">
        <f>Tabla2[[#This Row],[Forest Loss 2023]]/Tabla2[[#This Row],[Forest cover 2011]]</f>
        <v>3.9448127719587051E-3</v>
      </c>
      <c r="BF223" s="6">
        <f>Tabla2[[#This Row],[Forest Loss 2024]]/Tabla2[[#This Row],[Forest cover 2011]]</f>
        <v>2.6097997982424002E-4</v>
      </c>
    </row>
    <row r="224" spans="1:58" x14ac:dyDescent="0.25">
      <c r="A224" s="2">
        <v>30201</v>
      </c>
      <c r="B224" s="3" t="s">
        <v>176</v>
      </c>
      <c r="C224" t="s">
        <v>177</v>
      </c>
      <c r="D224">
        <v>64407.96</v>
      </c>
      <c r="E224" s="4">
        <f>AVERAGE(Tabla2[[#This Row],[Deforestation 2012]:[Deforestation 2014]])</f>
        <v>2.58</v>
      </c>
      <c r="F224" s="4">
        <f>AVERAGE(Tabla2[[#This Row],[Deforestation 2022]:[Deforestation 2024]])</f>
        <v>9.6599999999999984</v>
      </c>
      <c r="G224">
        <v>6.57</v>
      </c>
      <c r="H224">
        <v>0.18</v>
      </c>
      <c r="I224">
        <v>0.99</v>
      </c>
      <c r="J224">
        <v>0.36</v>
      </c>
      <c r="K224">
        <v>0.63</v>
      </c>
      <c r="L224">
        <v>0.45</v>
      </c>
      <c r="M224">
        <v>0</v>
      </c>
      <c r="N224">
        <v>0.36</v>
      </c>
      <c r="O224">
        <v>0.18</v>
      </c>
      <c r="P224">
        <v>0.09</v>
      </c>
      <c r="Q224">
        <v>0.09</v>
      </c>
      <c r="R224">
        <v>23.13</v>
      </c>
      <c r="S224">
        <v>5.76</v>
      </c>
      <c r="T224">
        <v>65.61</v>
      </c>
      <c r="U224">
        <v>54.9</v>
      </c>
      <c r="V224">
        <v>726.3</v>
      </c>
      <c r="W224">
        <v>49.5</v>
      </c>
      <c r="X224">
        <v>54.54</v>
      </c>
      <c r="Y224">
        <v>48.51</v>
      </c>
      <c r="Z224">
        <v>126.81</v>
      </c>
      <c r="AA224">
        <v>112.14</v>
      </c>
      <c r="AB224">
        <v>315.18</v>
      </c>
      <c r="AC224">
        <v>1.71</v>
      </c>
      <c r="AD224">
        <v>1.8</v>
      </c>
      <c r="AE224">
        <v>46.71</v>
      </c>
      <c r="AF224">
        <v>14.94</v>
      </c>
      <c r="AG224" s="5">
        <f>Tabla2[[#This Row],[Deforestation 2012]]/Tabla2[[#This Row],[Forest cover 2011]]</f>
        <v>1.0200602534220926E-4</v>
      </c>
      <c r="AH224" s="6">
        <f>Tabla2[[#This Row],[Deforestation 2013]]/Tabla2[[#This Row],[Forest cover 2011]]</f>
        <v>2.794685625813952E-6</v>
      </c>
      <c r="AI224" s="6">
        <f>Tabla2[[#This Row],[Deforestation 2014]]/Tabla2[[#This Row],[Forest cover 2011]]</f>
        <v>1.5370770941976738E-5</v>
      </c>
      <c r="AJ224" s="6">
        <f>Tabla2[[#This Row],[Deforestation 2015]]/Tabla2[[#This Row],[Forest cover 2011]]</f>
        <v>5.5893712516279041E-6</v>
      </c>
      <c r="AK224" s="6">
        <f>Tabla2[[#This Row],[Deforestation 2016]]/Tabla2[[#This Row],[Forest cover 2011]]</f>
        <v>9.7813996903488332E-6</v>
      </c>
      <c r="AL224" s="6">
        <f>Tabla2[[#This Row],[Deforestation 2017]]/Tabla2[[#This Row],[Forest cover 2011]]</f>
        <v>6.9867140645348807E-6</v>
      </c>
      <c r="AM224" s="6">
        <f>Tabla2[[#This Row],[Deforestation 2018]]/Tabla2[[#This Row],[Forest cover 2011]]</f>
        <v>0</v>
      </c>
      <c r="AN224" s="6">
        <f>Tabla2[[#This Row],[Deforestation 2019]]/Tabla2[[#This Row],[Forest cover 2011]]</f>
        <v>5.5893712516279041E-6</v>
      </c>
      <c r="AO224" s="6">
        <f>Tabla2[[#This Row],[Deforestation 2020]]/Tabla2[[#This Row],[Forest cover 2011]]</f>
        <v>2.794685625813952E-6</v>
      </c>
      <c r="AP224" s="6">
        <f>Tabla2[[#This Row],[Deforestation 2021]]/Tabla2[[#This Row],[Forest cover 2011]]</f>
        <v>1.397342812906976E-6</v>
      </c>
      <c r="AQ224" s="6">
        <f>Tabla2[[#This Row],[Deforestation 2022]]/Tabla2[[#This Row],[Forest cover 2011]]</f>
        <v>1.397342812906976E-6</v>
      </c>
      <c r="AR224" s="6">
        <f>Tabla2[[#This Row],[Deforestation 2023]]/Tabla2[[#This Row],[Forest cover 2011]]</f>
        <v>3.5911710291709287E-4</v>
      </c>
      <c r="AS224" s="6">
        <f>Tabla2[[#This Row],[Deforestation 2024]]/Tabla2[[#This Row],[Forest cover 2011]]</f>
        <v>8.9429940026046465E-5</v>
      </c>
      <c r="AT224" s="6">
        <f>Tabla2[[#This Row],[Forest Loss 2012]]/Tabla2[[#This Row],[Forest cover 2011]]</f>
        <v>1.0186629106091855E-3</v>
      </c>
      <c r="AU224" s="6">
        <f>Tabla2[[#This Row],[Forest Loss 2013]]/Tabla2[[#This Row],[Forest cover 2011]]</f>
        <v>8.5237911587325544E-4</v>
      </c>
      <c r="AV224" s="6">
        <f>Tabla2[[#This Row],[Forest Loss 2014]]/Tabla2[[#This Row],[Forest cover 2011]]</f>
        <v>1.1276556500159296E-2</v>
      </c>
      <c r="AW224" s="6">
        <f>Tabla2[[#This Row],[Forest Loss 2015]]/Tabla2[[#This Row],[Forest cover 2011]]</f>
        <v>7.6853854709883686E-4</v>
      </c>
      <c r="AX224" s="6">
        <f>Tabla2[[#This Row],[Forest Loss 2016]]/Tabla2[[#This Row],[Forest cover 2011]]</f>
        <v>8.4678974462162751E-4</v>
      </c>
      <c r="AY224" s="6">
        <f>Tabla2[[#This Row],[Forest Loss 2017]]/Tabla2[[#This Row],[Forest cover 2011]]</f>
        <v>7.5316777615686014E-4</v>
      </c>
      <c r="AZ224" s="6">
        <f>Tabla2[[#This Row],[Forest Loss 2018]]/Tabla2[[#This Row],[Forest cover 2011]]</f>
        <v>1.9688560233859292E-3</v>
      </c>
      <c r="BA224" s="6">
        <f>Tabla2[[#This Row],[Forest Loss 2019]]/Tabla2[[#This Row],[Forest cover 2011]]</f>
        <v>1.7410891448820924E-3</v>
      </c>
      <c r="BB224" s="6">
        <f>Tabla2[[#This Row],[Forest Loss 2020]]/Tabla2[[#This Row],[Forest cover 2011]]</f>
        <v>4.8934945308002301E-3</v>
      </c>
      <c r="BC224" s="6">
        <f>Tabla2[[#This Row],[Forest Loss 2021]]/Tabla2[[#This Row],[Forest cover 2011]]</f>
        <v>2.6549513445232544E-5</v>
      </c>
      <c r="BD224" s="6">
        <f>Tabla2[[#This Row],[Forest Loss 2022]]/Tabla2[[#This Row],[Forest cover 2011]]</f>
        <v>2.7946856258139523E-5</v>
      </c>
      <c r="BE224" s="6">
        <f>Tabla2[[#This Row],[Forest Loss 2023]]/Tabla2[[#This Row],[Forest cover 2011]]</f>
        <v>7.2522091989872062E-4</v>
      </c>
      <c r="BF224" s="6">
        <f>Tabla2[[#This Row],[Forest Loss 2024]]/Tabla2[[#This Row],[Forest cover 2011]]</f>
        <v>2.3195890694255802E-4</v>
      </c>
    </row>
    <row r="225" spans="1:58" x14ac:dyDescent="0.25">
      <c r="A225" s="2">
        <v>90503</v>
      </c>
      <c r="B225" s="3" t="s">
        <v>384</v>
      </c>
      <c r="C225" t="s">
        <v>396</v>
      </c>
      <c r="D225">
        <v>662358.15</v>
      </c>
      <c r="E225" s="4">
        <f>AVERAGE(Tabla2[[#This Row],[Deforestation 2012]:[Deforestation 2014]])</f>
        <v>63.27</v>
      </c>
      <c r="F225" s="4">
        <f>AVERAGE(Tabla2[[#This Row],[Deforestation 2022]:[Deforestation 2024]])</f>
        <v>65.850000000000009</v>
      </c>
      <c r="G225">
        <v>69.84</v>
      </c>
      <c r="H225">
        <v>57.599999999999987</v>
      </c>
      <c r="I225">
        <v>62.37</v>
      </c>
      <c r="J225">
        <v>40.86</v>
      </c>
      <c r="K225">
        <v>43.92</v>
      </c>
      <c r="L225">
        <v>91.08</v>
      </c>
      <c r="M225">
        <v>36.630000000000003</v>
      </c>
      <c r="N225">
        <v>21.51</v>
      </c>
      <c r="O225">
        <v>138.69</v>
      </c>
      <c r="P225">
        <v>204.93</v>
      </c>
      <c r="Q225">
        <v>38.700000000000003</v>
      </c>
      <c r="R225">
        <v>117.72</v>
      </c>
      <c r="S225">
        <v>41.13</v>
      </c>
      <c r="T225">
        <v>112.95</v>
      </c>
      <c r="U225">
        <v>74.430000000000007</v>
      </c>
      <c r="V225">
        <v>119.61</v>
      </c>
      <c r="W225">
        <v>58.77</v>
      </c>
      <c r="X225">
        <v>53.819999999999993</v>
      </c>
      <c r="Y225">
        <v>97.38</v>
      </c>
      <c r="Z225">
        <v>52.29</v>
      </c>
      <c r="AA225">
        <v>39.69</v>
      </c>
      <c r="AB225">
        <v>167.58</v>
      </c>
      <c r="AC225">
        <v>223.29</v>
      </c>
      <c r="AD225">
        <v>48.06</v>
      </c>
      <c r="AE225">
        <v>145.35</v>
      </c>
      <c r="AF225">
        <v>151.38</v>
      </c>
      <c r="AG225" s="5">
        <f>Tabla2[[#This Row],[Deforestation 2012]]/Tabla2[[#This Row],[Forest cover 2011]]</f>
        <v>1.0544144433038228E-4</v>
      </c>
      <c r="AH225" s="6">
        <f>Tabla2[[#This Row],[Deforestation 2013]]/Tabla2[[#This Row],[Forest cover 2011]]</f>
        <v>8.6962015942583312E-5</v>
      </c>
      <c r="AI225" s="6">
        <f>Tabla2[[#This Row],[Deforestation 2014]]/Tabla2[[#This Row],[Forest cover 2011]]</f>
        <v>9.4163557887828503E-5</v>
      </c>
      <c r="AJ225" s="6">
        <f>Tabla2[[#This Row],[Deforestation 2015]]/Tabla2[[#This Row],[Forest cover 2011]]</f>
        <v>6.1688680059270043E-5</v>
      </c>
      <c r="AK225" s="6">
        <f>Tabla2[[#This Row],[Deforestation 2016]]/Tabla2[[#This Row],[Forest cover 2011]]</f>
        <v>6.6308537156219789E-5</v>
      </c>
      <c r="AL225" s="6">
        <f>Tabla2[[#This Row],[Deforestation 2017]]/Tabla2[[#This Row],[Forest cover 2011]]</f>
        <v>1.3750868770920989E-4</v>
      </c>
      <c r="AM225" s="6">
        <f>Tabla2[[#This Row],[Deforestation 2018]]/Tabla2[[#This Row],[Forest cover 2011]]</f>
        <v>5.5302407013486587E-5</v>
      </c>
      <c r="AN225" s="6">
        <f>Tabla2[[#This Row],[Deforestation 2019]]/Tabla2[[#This Row],[Forest cover 2011]]</f>
        <v>3.2474877828558461E-5</v>
      </c>
      <c r="AO225" s="6">
        <f>Tabla2[[#This Row],[Deforestation 2020]]/Tabla2[[#This Row],[Forest cover 2011]]</f>
        <v>2.093882290117514E-4</v>
      </c>
      <c r="AP225" s="6">
        <f>Tabla2[[#This Row],[Deforestation 2021]]/Tabla2[[#This Row],[Forest cover 2011]]</f>
        <v>3.0939454734572224E-4</v>
      </c>
      <c r="AQ225" s="6">
        <f>Tabla2[[#This Row],[Deforestation 2022]]/Tabla2[[#This Row],[Forest cover 2011]]</f>
        <v>5.8427604461423177E-5</v>
      </c>
      <c r="AR225" s="6">
        <f>Tabla2[[#This Row],[Deforestation 2023]]/Tabla2[[#This Row],[Forest cover 2011]]</f>
        <v>1.7772862008265467E-4</v>
      </c>
      <c r="AS225" s="6">
        <f>Tabla2[[#This Row],[Deforestation 2024]]/Tabla2[[#This Row],[Forest cover 2011]]</f>
        <v>6.2096314509000911E-5</v>
      </c>
      <c r="AT225" s="6">
        <f>Tabla2[[#This Row],[Forest Loss 2012]]/Tabla2[[#This Row],[Forest cover 2011]]</f>
        <v>1.7052707813740948E-4</v>
      </c>
      <c r="AU225" s="6">
        <f>Tabla2[[#This Row],[Forest Loss 2013]]/Tabla2[[#This Row],[Forest cover 2011]]</f>
        <v>1.123712299758069E-4</v>
      </c>
      <c r="AV225" s="6">
        <f>Tabla2[[#This Row],[Forest Loss 2014]]/Tabla2[[#This Row],[Forest cover 2011]]</f>
        <v>1.8058206123077068E-4</v>
      </c>
      <c r="AW225" s="6">
        <f>Tabla2[[#This Row],[Forest Loss 2015]]/Tabla2[[#This Row],[Forest cover 2011]]</f>
        <v>8.8728431891417061E-5</v>
      </c>
      <c r="AX225" s="6">
        <f>Tabla2[[#This Row],[Forest Loss 2016]]/Tabla2[[#This Row],[Forest cover 2011]]</f>
        <v>8.125513364635129E-5</v>
      </c>
      <c r="AY225" s="6">
        <f>Tabla2[[#This Row],[Forest Loss 2017]]/Tabla2[[#This Row],[Forest cover 2011]]</f>
        <v>1.4702015820292993E-4</v>
      </c>
      <c r="AZ225" s="6">
        <f>Tabla2[[#This Row],[Forest Loss 2018]]/Tabla2[[#This Row],[Forest cover 2011]]</f>
        <v>7.8945205097876424E-5</v>
      </c>
      <c r="BA225" s="6">
        <f>Tabla2[[#This Row],[Forest Loss 2019]]/Tabla2[[#This Row],[Forest cover 2011]]</f>
        <v>5.992226411043632E-5</v>
      </c>
      <c r="BB225" s="6">
        <f>Tabla2[[#This Row],[Forest Loss 2020]]/Tabla2[[#This Row],[Forest cover 2011]]</f>
        <v>2.530051151329534E-4</v>
      </c>
      <c r="BC225" s="6">
        <f>Tabla2[[#This Row],[Forest Loss 2021]]/Tabla2[[#This Row],[Forest cover 2011]]</f>
        <v>3.3711368992742064E-4</v>
      </c>
      <c r="BD225" s="6">
        <f>Tabla2[[#This Row],[Forest Loss 2022]]/Tabla2[[#This Row],[Forest cover 2011]]</f>
        <v>7.2558932052092968E-5</v>
      </c>
      <c r="BE225" s="6">
        <f>Tabla2[[#This Row],[Forest Loss 2023]]/Tabla2[[#This Row],[Forest cover 2011]]</f>
        <v>2.194432121051126E-4</v>
      </c>
      <c r="BF225" s="6">
        <f>Tabla2[[#This Row],[Forest Loss 2024]]/Tabla2[[#This Row],[Forest cover 2011]]</f>
        <v>2.2854704814910179E-4</v>
      </c>
    </row>
    <row r="226" spans="1:58" x14ac:dyDescent="0.25">
      <c r="A226" s="2">
        <v>30402</v>
      </c>
      <c r="B226" s="3" t="s">
        <v>176</v>
      </c>
      <c r="C226" t="s">
        <v>184</v>
      </c>
      <c r="D226">
        <v>1961.55</v>
      </c>
      <c r="E226" s="4">
        <f>AVERAGE(Tabla2[[#This Row],[Deforestation 2012]:[Deforestation 2014]])</f>
        <v>9.0000000000000011E-2</v>
      </c>
      <c r="F226" s="4">
        <f>AVERAGE(Tabla2[[#This Row],[Deforestation 2022]:[Deforestation 2024]])</f>
        <v>2.46</v>
      </c>
      <c r="G226">
        <v>0.09</v>
      </c>
      <c r="H226">
        <v>0</v>
      </c>
      <c r="I226">
        <v>0.18</v>
      </c>
      <c r="J226">
        <v>0.09</v>
      </c>
      <c r="K226">
        <v>0.09</v>
      </c>
      <c r="L226">
        <v>0.09</v>
      </c>
      <c r="M226">
        <v>0</v>
      </c>
      <c r="N226">
        <v>0</v>
      </c>
      <c r="O226">
        <v>1.08</v>
      </c>
      <c r="P226">
        <v>0.9</v>
      </c>
      <c r="Q226">
        <v>0.36</v>
      </c>
      <c r="R226">
        <v>7.02</v>
      </c>
      <c r="S226">
        <v>0</v>
      </c>
      <c r="T226">
        <v>4.9499999999999993</v>
      </c>
      <c r="U226">
        <v>3.6</v>
      </c>
      <c r="V226">
        <v>46.44</v>
      </c>
      <c r="W226">
        <v>18</v>
      </c>
      <c r="X226">
        <v>8.01</v>
      </c>
      <c r="Y226">
        <v>22.23</v>
      </c>
      <c r="Z226">
        <v>12.6</v>
      </c>
      <c r="AA226">
        <v>55.71</v>
      </c>
      <c r="AB226">
        <v>55.44</v>
      </c>
      <c r="AC226">
        <v>1.35</v>
      </c>
      <c r="AD226">
        <v>0.63</v>
      </c>
      <c r="AE226">
        <v>13.59</v>
      </c>
      <c r="AF226">
        <v>0.36</v>
      </c>
      <c r="AG226" s="5">
        <f>Tabla2[[#This Row],[Deforestation 2012]]/Tabla2[[#This Row],[Forest cover 2011]]</f>
        <v>4.5882083046570311E-5</v>
      </c>
      <c r="AH226" s="6">
        <f>Tabla2[[#This Row],[Deforestation 2013]]/Tabla2[[#This Row],[Forest cover 2011]]</f>
        <v>0</v>
      </c>
      <c r="AI226" s="6">
        <f>Tabla2[[#This Row],[Deforestation 2014]]/Tabla2[[#This Row],[Forest cover 2011]]</f>
        <v>9.1764166093140622E-5</v>
      </c>
      <c r="AJ226" s="6">
        <f>Tabla2[[#This Row],[Deforestation 2015]]/Tabla2[[#This Row],[Forest cover 2011]]</f>
        <v>4.5882083046570311E-5</v>
      </c>
      <c r="AK226" s="6">
        <f>Tabla2[[#This Row],[Deforestation 2016]]/Tabla2[[#This Row],[Forest cover 2011]]</f>
        <v>4.5882083046570311E-5</v>
      </c>
      <c r="AL226" s="6">
        <f>Tabla2[[#This Row],[Deforestation 2017]]/Tabla2[[#This Row],[Forest cover 2011]]</f>
        <v>4.5882083046570311E-5</v>
      </c>
      <c r="AM226" s="6">
        <f>Tabla2[[#This Row],[Deforestation 2018]]/Tabla2[[#This Row],[Forest cover 2011]]</f>
        <v>0</v>
      </c>
      <c r="AN226" s="6">
        <f>Tabla2[[#This Row],[Deforestation 2019]]/Tabla2[[#This Row],[Forest cover 2011]]</f>
        <v>0</v>
      </c>
      <c r="AO226" s="6">
        <f>Tabla2[[#This Row],[Deforestation 2020]]/Tabla2[[#This Row],[Forest cover 2011]]</f>
        <v>5.5058499655884381E-4</v>
      </c>
      <c r="AP226" s="6">
        <f>Tabla2[[#This Row],[Deforestation 2021]]/Tabla2[[#This Row],[Forest cover 2011]]</f>
        <v>4.5882083046570318E-4</v>
      </c>
      <c r="AQ226" s="6">
        <f>Tabla2[[#This Row],[Deforestation 2022]]/Tabla2[[#This Row],[Forest cover 2011]]</f>
        <v>1.8352833218628124E-4</v>
      </c>
      <c r="AR226" s="6">
        <f>Tabla2[[#This Row],[Deforestation 2023]]/Tabla2[[#This Row],[Forest cover 2011]]</f>
        <v>3.5788024776324842E-3</v>
      </c>
      <c r="AS226" s="6">
        <f>Tabla2[[#This Row],[Deforestation 2024]]/Tabla2[[#This Row],[Forest cover 2011]]</f>
        <v>0</v>
      </c>
      <c r="AT226" s="6">
        <f>Tabla2[[#This Row],[Forest Loss 2012]]/Tabla2[[#This Row],[Forest cover 2011]]</f>
        <v>2.523514567561367E-3</v>
      </c>
      <c r="AU226" s="6">
        <f>Tabla2[[#This Row],[Forest Loss 2013]]/Tabla2[[#This Row],[Forest cover 2011]]</f>
        <v>1.8352833218628127E-3</v>
      </c>
      <c r="AV226" s="6">
        <f>Tabla2[[#This Row],[Forest Loss 2014]]/Tabla2[[#This Row],[Forest cover 2011]]</f>
        <v>2.367515485203028E-2</v>
      </c>
      <c r="AW226" s="6">
        <f>Tabla2[[#This Row],[Forest Loss 2015]]/Tabla2[[#This Row],[Forest cover 2011]]</f>
        <v>9.1764166093140625E-3</v>
      </c>
      <c r="AX226" s="6">
        <f>Tabla2[[#This Row],[Forest Loss 2016]]/Tabla2[[#This Row],[Forest cover 2011]]</f>
        <v>4.0835053911447584E-3</v>
      </c>
      <c r="AY226" s="6">
        <f>Tabla2[[#This Row],[Forest Loss 2017]]/Tabla2[[#This Row],[Forest cover 2011]]</f>
        <v>1.1332874512502868E-2</v>
      </c>
      <c r="AZ226" s="6">
        <f>Tabla2[[#This Row],[Forest Loss 2018]]/Tabla2[[#This Row],[Forest cover 2011]]</f>
        <v>6.4234916265198437E-3</v>
      </c>
      <c r="BA226" s="6">
        <f>Tabla2[[#This Row],[Forest Loss 2019]]/Tabla2[[#This Row],[Forest cover 2011]]</f>
        <v>2.8401009405827026E-2</v>
      </c>
      <c r="BB226" s="6">
        <f>Tabla2[[#This Row],[Forest Loss 2020]]/Tabla2[[#This Row],[Forest cover 2011]]</f>
        <v>2.8263363156687312E-2</v>
      </c>
      <c r="BC226" s="6">
        <f>Tabla2[[#This Row],[Forest Loss 2021]]/Tabla2[[#This Row],[Forest cover 2011]]</f>
        <v>6.8823124569855479E-4</v>
      </c>
      <c r="BD226" s="6">
        <f>Tabla2[[#This Row],[Forest Loss 2022]]/Tabla2[[#This Row],[Forest cover 2011]]</f>
        <v>3.211745813259922E-4</v>
      </c>
      <c r="BE226" s="6">
        <f>Tabla2[[#This Row],[Forest Loss 2023]]/Tabla2[[#This Row],[Forest cover 2011]]</f>
        <v>6.9281945400321175E-3</v>
      </c>
      <c r="BF226" s="6">
        <f>Tabla2[[#This Row],[Forest Loss 2024]]/Tabla2[[#This Row],[Forest cover 2011]]</f>
        <v>1.8352833218628124E-4</v>
      </c>
    </row>
    <row r="227" spans="1:58" x14ac:dyDescent="0.25">
      <c r="A227" s="2">
        <v>30401</v>
      </c>
      <c r="B227" s="3" t="s">
        <v>176</v>
      </c>
      <c r="C227" t="s">
        <v>183</v>
      </c>
      <c r="D227">
        <v>496.98</v>
      </c>
      <c r="E227" s="4">
        <f>AVERAGE(Tabla2[[#This Row],[Deforestation 2012]:[Deforestation 2014]])</f>
        <v>0.03</v>
      </c>
      <c r="F227" s="4">
        <f>AVERAGE(Tabla2[[#This Row],[Deforestation 2022]:[Deforestation 2024]])</f>
        <v>0.66</v>
      </c>
      <c r="G227">
        <v>0.09</v>
      </c>
      <c r="H227">
        <v>0</v>
      </c>
      <c r="I227">
        <v>0</v>
      </c>
      <c r="J227">
        <v>0.63</v>
      </c>
      <c r="K227">
        <v>0</v>
      </c>
      <c r="L227">
        <v>0.09</v>
      </c>
      <c r="M227">
        <v>0</v>
      </c>
      <c r="N227">
        <v>0</v>
      </c>
      <c r="O227">
        <v>0.18</v>
      </c>
      <c r="P227">
        <v>0.54</v>
      </c>
      <c r="Q227">
        <v>0.63</v>
      </c>
      <c r="R227">
        <v>1.26</v>
      </c>
      <c r="S227">
        <v>0.09</v>
      </c>
      <c r="T227">
        <v>0.81</v>
      </c>
      <c r="U227">
        <v>0.72</v>
      </c>
      <c r="V227">
        <v>11.52</v>
      </c>
      <c r="W227">
        <v>4.41</v>
      </c>
      <c r="X227">
        <v>2.16</v>
      </c>
      <c r="Y227">
        <v>21.51</v>
      </c>
      <c r="Z227">
        <v>15.21</v>
      </c>
      <c r="AA227">
        <v>31.95</v>
      </c>
      <c r="AB227">
        <v>12.78</v>
      </c>
      <c r="AC227">
        <v>0.54</v>
      </c>
      <c r="AD227">
        <v>0.9</v>
      </c>
      <c r="AE227">
        <v>3.33</v>
      </c>
      <c r="AF227">
        <v>0.09</v>
      </c>
      <c r="AG227" s="5">
        <f>Tabla2[[#This Row],[Deforestation 2012]]/Tabla2[[#This Row],[Forest cover 2011]]</f>
        <v>1.8109380659181453E-4</v>
      </c>
      <c r="AH227" s="6">
        <f>Tabla2[[#This Row],[Deforestation 2013]]/Tabla2[[#This Row],[Forest cover 2011]]</f>
        <v>0</v>
      </c>
      <c r="AI227" s="6">
        <f>Tabla2[[#This Row],[Deforestation 2014]]/Tabla2[[#This Row],[Forest cover 2011]]</f>
        <v>0</v>
      </c>
      <c r="AJ227" s="6">
        <f>Tabla2[[#This Row],[Deforestation 2015]]/Tabla2[[#This Row],[Forest cover 2011]]</f>
        <v>1.2676566461427019E-3</v>
      </c>
      <c r="AK227" s="6">
        <f>Tabla2[[#This Row],[Deforestation 2016]]/Tabla2[[#This Row],[Forest cover 2011]]</f>
        <v>0</v>
      </c>
      <c r="AL227" s="6">
        <f>Tabla2[[#This Row],[Deforestation 2017]]/Tabla2[[#This Row],[Forest cover 2011]]</f>
        <v>1.8109380659181453E-4</v>
      </c>
      <c r="AM227" s="6">
        <f>Tabla2[[#This Row],[Deforestation 2018]]/Tabla2[[#This Row],[Forest cover 2011]]</f>
        <v>0</v>
      </c>
      <c r="AN227" s="6">
        <f>Tabla2[[#This Row],[Deforestation 2019]]/Tabla2[[#This Row],[Forest cover 2011]]</f>
        <v>0</v>
      </c>
      <c r="AO227" s="6">
        <f>Tabla2[[#This Row],[Deforestation 2020]]/Tabla2[[#This Row],[Forest cover 2011]]</f>
        <v>3.6218761318362907E-4</v>
      </c>
      <c r="AP227" s="6">
        <f>Tabla2[[#This Row],[Deforestation 2021]]/Tabla2[[#This Row],[Forest cover 2011]]</f>
        <v>1.0865628395508875E-3</v>
      </c>
      <c r="AQ227" s="6">
        <f>Tabla2[[#This Row],[Deforestation 2022]]/Tabla2[[#This Row],[Forest cover 2011]]</f>
        <v>1.2676566461427019E-3</v>
      </c>
      <c r="AR227" s="6">
        <f>Tabla2[[#This Row],[Deforestation 2023]]/Tabla2[[#This Row],[Forest cover 2011]]</f>
        <v>2.5353132922854038E-3</v>
      </c>
      <c r="AS227" s="6">
        <f>Tabla2[[#This Row],[Deforestation 2024]]/Tabla2[[#This Row],[Forest cover 2011]]</f>
        <v>1.8109380659181453E-4</v>
      </c>
      <c r="AT227" s="6">
        <f>Tabla2[[#This Row],[Forest Loss 2012]]/Tabla2[[#This Row],[Forest cover 2011]]</f>
        <v>1.6298442593263311E-3</v>
      </c>
      <c r="AU227" s="6">
        <f>Tabla2[[#This Row],[Forest Loss 2013]]/Tabla2[[#This Row],[Forest cover 2011]]</f>
        <v>1.4487504527345163E-3</v>
      </c>
      <c r="AV227" s="6">
        <f>Tabla2[[#This Row],[Forest Loss 2014]]/Tabla2[[#This Row],[Forest cover 2011]]</f>
        <v>2.318000724375226E-2</v>
      </c>
      <c r="AW227" s="6">
        <f>Tabla2[[#This Row],[Forest Loss 2015]]/Tabla2[[#This Row],[Forest cover 2011]]</f>
        <v>8.8735965229989142E-3</v>
      </c>
      <c r="AX227" s="6">
        <f>Tabla2[[#This Row],[Forest Loss 2016]]/Tabla2[[#This Row],[Forest cover 2011]]</f>
        <v>4.3462513582035499E-3</v>
      </c>
      <c r="AY227" s="6">
        <f>Tabla2[[#This Row],[Forest Loss 2017]]/Tabla2[[#This Row],[Forest cover 2011]]</f>
        <v>4.3281419775443683E-2</v>
      </c>
      <c r="AZ227" s="6">
        <f>Tabla2[[#This Row],[Forest Loss 2018]]/Tabla2[[#This Row],[Forest cover 2011]]</f>
        <v>3.0604853314016661E-2</v>
      </c>
      <c r="BA227" s="6">
        <f>Tabla2[[#This Row],[Forest Loss 2019]]/Tabla2[[#This Row],[Forest cover 2011]]</f>
        <v>6.4288301340094167E-2</v>
      </c>
      <c r="BB227" s="6">
        <f>Tabla2[[#This Row],[Forest Loss 2020]]/Tabla2[[#This Row],[Forest cover 2011]]</f>
        <v>2.5715320536037665E-2</v>
      </c>
      <c r="BC227" s="6">
        <f>Tabla2[[#This Row],[Forest Loss 2021]]/Tabla2[[#This Row],[Forest cover 2011]]</f>
        <v>1.0865628395508875E-3</v>
      </c>
      <c r="BD227" s="6">
        <f>Tabla2[[#This Row],[Forest Loss 2022]]/Tabla2[[#This Row],[Forest cover 2011]]</f>
        <v>1.8109380659181455E-3</v>
      </c>
      <c r="BE227" s="6">
        <f>Tabla2[[#This Row],[Forest Loss 2023]]/Tabla2[[#This Row],[Forest cover 2011]]</f>
        <v>6.7004708438971388E-3</v>
      </c>
      <c r="BF227" s="6">
        <f>Tabla2[[#This Row],[Forest Loss 2024]]/Tabla2[[#This Row],[Forest cover 2011]]</f>
        <v>1.8109380659181453E-4</v>
      </c>
    </row>
    <row r="228" spans="1:58" x14ac:dyDescent="0.25">
      <c r="A228" s="2">
        <v>30702</v>
      </c>
      <c r="B228" s="3" t="s">
        <v>176</v>
      </c>
      <c r="C228" t="s">
        <v>192</v>
      </c>
      <c r="D228">
        <v>1261.3499999999999</v>
      </c>
      <c r="E228" s="4">
        <f>AVERAGE(Tabla2[[#This Row],[Deforestation 2012]:[Deforestation 2014]])</f>
        <v>0.26999999999999996</v>
      </c>
      <c r="F228" s="4">
        <f>AVERAGE(Tabla2[[#This Row],[Deforestation 2022]:[Deforestation 2024]])</f>
        <v>4.59</v>
      </c>
      <c r="G228">
        <v>0.63</v>
      </c>
      <c r="H228">
        <v>0.09</v>
      </c>
      <c r="I228">
        <v>0.09</v>
      </c>
      <c r="J228">
        <v>0</v>
      </c>
      <c r="K228">
        <v>0.09</v>
      </c>
      <c r="L228">
        <v>0.27</v>
      </c>
      <c r="M228">
        <v>0</v>
      </c>
      <c r="N228">
        <v>0</v>
      </c>
      <c r="O228">
        <v>2.88</v>
      </c>
      <c r="P228">
        <v>3.15</v>
      </c>
      <c r="Q228">
        <v>9.5399999999999991</v>
      </c>
      <c r="R228">
        <v>4.1400000000000006</v>
      </c>
      <c r="S228">
        <v>0.09</v>
      </c>
      <c r="T228">
        <v>0.72</v>
      </c>
      <c r="U228">
        <v>1.17</v>
      </c>
      <c r="V228">
        <v>30.33</v>
      </c>
      <c r="W228">
        <v>2.4300000000000002</v>
      </c>
      <c r="X228">
        <v>4.1399999999999997</v>
      </c>
      <c r="Y228">
        <v>6.93</v>
      </c>
      <c r="Z228">
        <v>5.76</v>
      </c>
      <c r="AA228">
        <v>7.74</v>
      </c>
      <c r="AB228">
        <v>7.65</v>
      </c>
      <c r="AC228">
        <v>3.33</v>
      </c>
      <c r="AD228">
        <v>9.9</v>
      </c>
      <c r="AE228">
        <v>6.66</v>
      </c>
      <c r="AF228">
        <v>0.18</v>
      </c>
      <c r="AG228" s="5">
        <f>Tabla2[[#This Row],[Deforestation 2012]]/Tabla2[[#This Row],[Forest cover 2011]]</f>
        <v>4.9946485907955763E-4</v>
      </c>
      <c r="AH228" s="6">
        <f>Tabla2[[#This Row],[Deforestation 2013]]/Tabla2[[#This Row],[Forest cover 2011]]</f>
        <v>7.1352122725651097E-5</v>
      </c>
      <c r="AI228" s="6">
        <f>Tabla2[[#This Row],[Deforestation 2014]]/Tabla2[[#This Row],[Forest cover 2011]]</f>
        <v>7.1352122725651097E-5</v>
      </c>
      <c r="AJ228" s="6">
        <f>Tabla2[[#This Row],[Deforestation 2015]]/Tabla2[[#This Row],[Forest cover 2011]]</f>
        <v>0</v>
      </c>
      <c r="AK228" s="6">
        <f>Tabla2[[#This Row],[Deforestation 2016]]/Tabla2[[#This Row],[Forest cover 2011]]</f>
        <v>7.1352122725651097E-5</v>
      </c>
      <c r="AL228" s="6">
        <f>Tabla2[[#This Row],[Deforestation 2017]]/Tabla2[[#This Row],[Forest cover 2011]]</f>
        <v>2.1405636817695329E-4</v>
      </c>
      <c r="AM228" s="6">
        <f>Tabla2[[#This Row],[Deforestation 2018]]/Tabla2[[#This Row],[Forest cover 2011]]</f>
        <v>0</v>
      </c>
      <c r="AN228" s="6">
        <f>Tabla2[[#This Row],[Deforestation 2019]]/Tabla2[[#This Row],[Forest cover 2011]]</f>
        <v>0</v>
      </c>
      <c r="AO228" s="6">
        <f>Tabla2[[#This Row],[Deforestation 2020]]/Tabla2[[#This Row],[Forest cover 2011]]</f>
        <v>2.2832679272208351E-3</v>
      </c>
      <c r="AP228" s="6">
        <f>Tabla2[[#This Row],[Deforestation 2021]]/Tabla2[[#This Row],[Forest cover 2011]]</f>
        <v>2.4973242953977882E-3</v>
      </c>
      <c r="AQ228" s="6">
        <f>Tabla2[[#This Row],[Deforestation 2022]]/Tabla2[[#This Row],[Forest cover 2011]]</f>
        <v>7.5633250089190149E-3</v>
      </c>
      <c r="AR228" s="6">
        <f>Tabla2[[#This Row],[Deforestation 2023]]/Tabla2[[#This Row],[Forest cover 2011]]</f>
        <v>3.2821976453799506E-3</v>
      </c>
      <c r="AS228" s="6">
        <f>Tabla2[[#This Row],[Deforestation 2024]]/Tabla2[[#This Row],[Forest cover 2011]]</f>
        <v>7.1352122725651097E-5</v>
      </c>
      <c r="AT228" s="6">
        <f>Tabla2[[#This Row],[Forest Loss 2012]]/Tabla2[[#This Row],[Forest cover 2011]]</f>
        <v>5.7081698180520878E-4</v>
      </c>
      <c r="AU228" s="6">
        <f>Tabla2[[#This Row],[Forest Loss 2013]]/Tabla2[[#This Row],[Forest cover 2011]]</f>
        <v>9.275775954334641E-4</v>
      </c>
      <c r="AV228" s="6">
        <f>Tabla2[[#This Row],[Forest Loss 2014]]/Tabla2[[#This Row],[Forest cover 2011]]</f>
        <v>2.4045665358544417E-2</v>
      </c>
      <c r="AW228" s="6">
        <f>Tabla2[[#This Row],[Forest Loss 2015]]/Tabla2[[#This Row],[Forest cover 2011]]</f>
        <v>1.9265073135925797E-3</v>
      </c>
      <c r="AX228" s="6">
        <f>Tabla2[[#This Row],[Forest Loss 2016]]/Tabla2[[#This Row],[Forest cover 2011]]</f>
        <v>3.2821976453799502E-3</v>
      </c>
      <c r="AY228" s="6">
        <f>Tabla2[[#This Row],[Forest Loss 2017]]/Tabla2[[#This Row],[Forest cover 2011]]</f>
        <v>5.4941134498751338E-3</v>
      </c>
      <c r="AZ228" s="6">
        <f>Tabla2[[#This Row],[Forest Loss 2018]]/Tabla2[[#This Row],[Forest cover 2011]]</f>
        <v>4.5665358544416702E-3</v>
      </c>
      <c r="BA228" s="6">
        <f>Tabla2[[#This Row],[Forest Loss 2019]]/Tabla2[[#This Row],[Forest cover 2011]]</f>
        <v>6.1362825544059941E-3</v>
      </c>
      <c r="BB228" s="6">
        <f>Tabla2[[#This Row],[Forest Loss 2020]]/Tabla2[[#This Row],[Forest cover 2011]]</f>
        <v>6.064930431680343E-3</v>
      </c>
      <c r="BC228" s="6">
        <f>Tabla2[[#This Row],[Forest Loss 2021]]/Tabla2[[#This Row],[Forest cover 2011]]</f>
        <v>2.6400285408490903E-3</v>
      </c>
      <c r="BD228" s="6">
        <f>Tabla2[[#This Row],[Forest Loss 2022]]/Tabla2[[#This Row],[Forest cover 2011]]</f>
        <v>7.84873349982162E-3</v>
      </c>
      <c r="BE228" s="6">
        <f>Tabla2[[#This Row],[Forest Loss 2023]]/Tabla2[[#This Row],[Forest cover 2011]]</f>
        <v>5.2800570816981807E-3</v>
      </c>
      <c r="BF228" s="6">
        <f>Tabla2[[#This Row],[Forest Loss 2024]]/Tabla2[[#This Row],[Forest cover 2011]]</f>
        <v>1.4270424545130219E-4</v>
      </c>
    </row>
    <row r="229" spans="1:58" x14ac:dyDescent="0.25">
      <c r="A229" s="2">
        <v>10103</v>
      </c>
      <c r="B229" s="3" t="s">
        <v>58</v>
      </c>
      <c r="C229" t="s">
        <v>61</v>
      </c>
      <c r="D229">
        <v>26070.66</v>
      </c>
      <c r="E229" s="4">
        <f>AVERAGE(Tabla2[[#This Row],[Deforestation 2012]:[Deforestation 2014]])</f>
        <v>0.18000000000000002</v>
      </c>
      <c r="F229" s="4">
        <f>AVERAGE(Tabla2[[#This Row],[Deforestation 2022]:[Deforestation 2024]])</f>
        <v>2.5799999999999996</v>
      </c>
      <c r="G229">
        <v>0.45</v>
      </c>
      <c r="H229">
        <v>0</v>
      </c>
      <c r="I229">
        <v>0.09</v>
      </c>
      <c r="J229">
        <v>0</v>
      </c>
      <c r="K229">
        <v>1.44</v>
      </c>
      <c r="L229">
        <v>0</v>
      </c>
      <c r="M229">
        <v>0.18</v>
      </c>
      <c r="N229">
        <v>0.9</v>
      </c>
      <c r="O229">
        <v>0.54</v>
      </c>
      <c r="P229">
        <v>0</v>
      </c>
      <c r="Q229">
        <v>0.09</v>
      </c>
      <c r="R229">
        <v>7.1099999999999994</v>
      </c>
      <c r="S229">
        <v>0.54</v>
      </c>
      <c r="T229">
        <v>53.46</v>
      </c>
      <c r="U229">
        <v>32.49</v>
      </c>
      <c r="V229">
        <v>270</v>
      </c>
      <c r="W229">
        <v>10.71</v>
      </c>
      <c r="X229">
        <v>8.73</v>
      </c>
      <c r="Y229">
        <v>11.07</v>
      </c>
      <c r="Z229">
        <v>16.559999999999999</v>
      </c>
      <c r="AA229">
        <v>41.94</v>
      </c>
      <c r="AB229">
        <v>103.59</v>
      </c>
      <c r="AC229">
        <v>0.72</v>
      </c>
      <c r="AD229">
        <v>1.98</v>
      </c>
      <c r="AE229">
        <v>67.23</v>
      </c>
      <c r="AF229">
        <v>3.51</v>
      </c>
      <c r="AG229" s="5">
        <f>Tabla2[[#This Row],[Deforestation 2012]]/Tabla2[[#This Row],[Forest cover 2011]]</f>
        <v>1.7260782811022046E-5</v>
      </c>
      <c r="AH229" s="6">
        <f>Tabla2[[#This Row],[Deforestation 2013]]/Tabla2[[#This Row],[Forest cover 2011]]</f>
        <v>0</v>
      </c>
      <c r="AI229" s="6">
        <f>Tabla2[[#This Row],[Deforestation 2014]]/Tabla2[[#This Row],[Forest cover 2011]]</f>
        <v>3.4521565622044089E-6</v>
      </c>
      <c r="AJ229" s="6">
        <f>Tabla2[[#This Row],[Deforestation 2015]]/Tabla2[[#This Row],[Forest cover 2011]]</f>
        <v>0</v>
      </c>
      <c r="AK229" s="6">
        <f>Tabla2[[#This Row],[Deforestation 2016]]/Tabla2[[#This Row],[Forest cover 2011]]</f>
        <v>5.5234504995270542E-5</v>
      </c>
      <c r="AL229" s="6">
        <f>Tabla2[[#This Row],[Deforestation 2017]]/Tabla2[[#This Row],[Forest cover 2011]]</f>
        <v>0</v>
      </c>
      <c r="AM229" s="6">
        <f>Tabla2[[#This Row],[Deforestation 2018]]/Tabla2[[#This Row],[Forest cover 2011]]</f>
        <v>6.9043131244088178E-6</v>
      </c>
      <c r="AN229" s="6">
        <f>Tabla2[[#This Row],[Deforestation 2019]]/Tabla2[[#This Row],[Forest cover 2011]]</f>
        <v>3.4521565622044092E-5</v>
      </c>
      <c r="AO229" s="6">
        <f>Tabla2[[#This Row],[Deforestation 2020]]/Tabla2[[#This Row],[Forest cover 2011]]</f>
        <v>2.0712939373226457E-5</v>
      </c>
      <c r="AP229" s="6">
        <f>Tabla2[[#This Row],[Deforestation 2021]]/Tabla2[[#This Row],[Forest cover 2011]]</f>
        <v>0</v>
      </c>
      <c r="AQ229" s="6">
        <f>Tabla2[[#This Row],[Deforestation 2022]]/Tabla2[[#This Row],[Forest cover 2011]]</f>
        <v>3.4521565622044089E-6</v>
      </c>
      <c r="AR229" s="6">
        <f>Tabla2[[#This Row],[Deforestation 2023]]/Tabla2[[#This Row],[Forest cover 2011]]</f>
        <v>2.7272036841414831E-4</v>
      </c>
      <c r="AS229" s="6">
        <f>Tabla2[[#This Row],[Deforestation 2024]]/Tabla2[[#This Row],[Forest cover 2011]]</f>
        <v>2.0712939373226457E-5</v>
      </c>
      <c r="AT229" s="6">
        <f>Tabla2[[#This Row],[Forest Loss 2012]]/Tabla2[[#This Row],[Forest cover 2011]]</f>
        <v>2.050580997949419E-3</v>
      </c>
      <c r="AU229" s="6">
        <f>Tabla2[[#This Row],[Forest Loss 2013]]/Tabla2[[#This Row],[Forest cover 2011]]</f>
        <v>1.2462285189557918E-3</v>
      </c>
      <c r="AV229" s="6">
        <f>Tabla2[[#This Row],[Forest Loss 2014]]/Tabla2[[#This Row],[Forest cover 2011]]</f>
        <v>1.0356469686613228E-2</v>
      </c>
      <c r="AW229" s="6">
        <f>Tabla2[[#This Row],[Forest Loss 2015]]/Tabla2[[#This Row],[Forest cover 2011]]</f>
        <v>4.1080663090232474E-4</v>
      </c>
      <c r="AX229" s="6">
        <f>Tabla2[[#This Row],[Forest Loss 2016]]/Tabla2[[#This Row],[Forest cover 2011]]</f>
        <v>3.3485918653382768E-4</v>
      </c>
      <c r="AY229" s="6">
        <f>Tabla2[[#This Row],[Forest Loss 2017]]/Tabla2[[#This Row],[Forest cover 2011]]</f>
        <v>4.2461525715114233E-4</v>
      </c>
      <c r="AZ229" s="6">
        <f>Tabla2[[#This Row],[Forest Loss 2018]]/Tabla2[[#This Row],[Forest cover 2011]]</f>
        <v>6.3519680744561122E-4</v>
      </c>
      <c r="BA229" s="6">
        <f>Tabla2[[#This Row],[Forest Loss 2019]]/Tabla2[[#This Row],[Forest cover 2011]]</f>
        <v>1.6087049579872545E-3</v>
      </c>
      <c r="BB229" s="6">
        <f>Tabla2[[#This Row],[Forest Loss 2020]]/Tabla2[[#This Row],[Forest cover 2011]]</f>
        <v>3.9734322030972749E-3</v>
      </c>
      <c r="BC229" s="6">
        <f>Tabla2[[#This Row],[Forest Loss 2021]]/Tabla2[[#This Row],[Forest cover 2011]]</f>
        <v>2.7617252497635271E-5</v>
      </c>
      <c r="BD229" s="6">
        <f>Tabla2[[#This Row],[Forest Loss 2022]]/Tabla2[[#This Row],[Forest cover 2011]]</f>
        <v>7.5947444368497006E-5</v>
      </c>
      <c r="BE229" s="6">
        <f>Tabla2[[#This Row],[Forest Loss 2023]]/Tabla2[[#This Row],[Forest cover 2011]]</f>
        <v>2.5787609519666937E-3</v>
      </c>
      <c r="BF229" s="6">
        <f>Tabla2[[#This Row],[Forest Loss 2024]]/Tabla2[[#This Row],[Forest cover 2011]]</f>
        <v>1.3463410592597194E-4</v>
      </c>
    </row>
    <row r="230" spans="1:58" x14ac:dyDescent="0.25">
      <c r="A230" s="2">
        <v>10602</v>
      </c>
      <c r="B230" s="3" t="s">
        <v>58</v>
      </c>
      <c r="C230" t="s">
        <v>76</v>
      </c>
      <c r="D230">
        <v>694.26</v>
      </c>
      <c r="E230" s="4">
        <f>AVERAGE(Tabla2[[#This Row],[Deforestation 2012]:[Deforestation 2014]])</f>
        <v>0.21</v>
      </c>
      <c r="F230" s="4">
        <f>AVERAGE(Tabla2[[#This Row],[Deforestation 2022]:[Deforestation 2024]])</f>
        <v>0.21</v>
      </c>
      <c r="G230">
        <v>0</v>
      </c>
      <c r="H230">
        <v>0.18</v>
      </c>
      <c r="I230">
        <v>0.45</v>
      </c>
      <c r="J230">
        <v>0.09</v>
      </c>
      <c r="K230">
        <v>0.45</v>
      </c>
      <c r="L230">
        <v>0.18</v>
      </c>
      <c r="M230">
        <v>0</v>
      </c>
      <c r="N230">
        <v>0</v>
      </c>
      <c r="O230">
        <v>0</v>
      </c>
      <c r="P230">
        <v>0.09</v>
      </c>
      <c r="Q230">
        <v>0</v>
      </c>
      <c r="R230">
        <v>0.54</v>
      </c>
      <c r="S230">
        <v>0.09</v>
      </c>
      <c r="T230">
        <v>1.62</v>
      </c>
      <c r="U230">
        <v>1.44</v>
      </c>
      <c r="V230">
        <v>14.04</v>
      </c>
      <c r="W230">
        <v>0.72</v>
      </c>
      <c r="X230">
        <v>0.80999999999999994</v>
      </c>
      <c r="Y230">
        <v>0.18</v>
      </c>
      <c r="Z230">
        <v>0.45</v>
      </c>
      <c r="AA230">
        <v>0.27</v>
      </c>
      <c r="AB230">
        <v>1.26</v>
      </c>
      <c r="AC230">
        <v>0.63</v>
      </c>
      <c r="AD230">
        <v>0.09</v>
      </c>
      <c r="AE230">
        <v>0.72</v>
      </c>
      <c r="AF230">
        <v>0.09</v>
      </c>
      <c r="AG230" s="5">
        <f>Tabla2[[#This Row],[Deforestation 2012]]/Tabla2[[#This Row],[Forest cover 2011]]</f>
        <v>0</v>
      </c>
      <c r="AH230" s="6">
        <f>Tabla2[[#This Row],[Deforestation 2013]]/Tabla2[[#This Row],[Forest cover 2011]]</f>
        <v>2.5926886180969663E-4</v>
      </c>
      <c r="AI230" s="6">
        <f>Tabla2[[#This Row],[Deforestation 2014]]/Tabla2[[#This Row],[Forest cover 2011]]</f>
        <v>6.4817215452424163E-4</v>
      </c>
      <c r="AJ230" s="6">
        <f>Tabla2[[#This Row],[Deforestation 2015]]/Tabla2[[#This Row],[Forest cover 2011]]</f>
        <v>1.2963443090484831E-4</v>
      </c>
      <c r="AK230" s="6">
        <f>Tabla2[[#This Row],[Deforestation 2016]]/Tabla2[[#This Row],[Forest cover 2011]]</f>
        <v>6.4817215452424163E-4</v>
      </c>
      <c r="AL230" s="6">
        <f>Tabla2[[#This Row],[Deforestation 2017]]/Tabla2[[#This Row],[Forest cover 2011]]</f>
        <v>2.5926886180969663E-4</v>
      </c>
      <c r="AM230" s="6">
        <f>Tabla2[[#This Row],[Deforestation 2018]]/Tabla2[[#This Row],[Forest cover 2011]]</f>
        <v>0</v>
      </c>
      <c r="AN230" s="6">
        <f>Tabla2[[#This Row],[Deforestation 2019]]/Tabla2[[#This Row],[Forest cover 2011]]</f>
        <v>0</v>
      </c>
      <c r="AO230" s="6">
        <f>Tabla2[[#This Row],[Deforestation 2020]]/Tabla2[[#This Row],[Forest cover 2011]]</f>
        <v>0</v>
      </c>
      <c r="AP230" s="6">
        <f>Tabla2[[#This Row],[Deforestation 2021]]/Tabla2[[#This Row],[Forest cover 2011]]</f>
        <v>1.2963443090484831E-4</v>
      </c>
      <c r="AQ230" s="6">
        <f>Tabla2[[#This Row],[Deforestation 2022]]/Tabla2[[#This Row],[Forest cover 2011]]</f>
        <v>0</v>
      </c>
      <c r="AR230" s="6">
        <f>Tabla2[[#This Row],[Deforestation 2023]]/Tabla2[[#This Row],[Forest cover 2011]]</f>
        <v>7.7780658542909E-4</v>
      </c>
      <c r="AS230" s="6">
        <f>Tabla2[[#This Row],[Deforestation 2024]]/Tabla2[[#This Row],[Forest cover 2011]]</f>
        <v>1.2963443090484831E-4</v>
      </c>
      <c r="AT230" s="6">
        <f>Tabla2[[#This Row],[Forest Loss 2012]]/Tabla2[[#This Row],[Forest cover 2011]]</f>
        <v>2.33341975628727E-3</v>
      </c>
      <c r="AU230" s="6">
        <f>Tabla2[[#This Row],[Forest Loss 2013]]/Tabla2[[#This Row],[Forest cover 2011]]</f>
        <v>2.074150894477573E-3</v>
      </c>
      <c r="AV230" s="6">
        <f>Tabla2[[#This Row],[Forest Loss 2014]]/Tabla2[[#This Row],[Forest cover 2011]]</f>
        <v>2.0222971221156339E-2</v>
      </c>
      <c r="AW230" s="6">
        <f>Tabla2[[#This Row],[Forest Loss 2015]]/Tabla2[[#This Row],[Forest cover 2011]]</f>
        <v>1.0370754472387865E-3</v>
      </c>
      <c r="AX230" s="6">
        <f>Tabla2[[#This Row],[Forest Loss 2016]]/Tabla2[[#This Row],[Forest cover 2011]]</f>
        <v>1.1667098781436348E-3</v>
      </c>
      <c r="AY230" s="6">
        <f>Tabla2[[#This Row],[Forest Loss 2017]]/Tabla2[[#This Row],[Forest cover 2011]]</f>
        <v>2.5926886180969663E-4</v>
      </c>
      <c r="AZ230" s="6">
        <f>Tabla2[[#This Row],[Forest Loss 2018]]/Tabla2[[#This Row],[Forest cover 2011]]</f>
        <v>6.4817215452424163E-4</v>
      </c>
      <c r="BA230" s="6">
        <f>Tabla2[[#This Row],[Forest Loss 2019]]/Tabla2[[#This Row],[Forest cover 2011]]</f>
        <v>3.88903292714545E-4</v>
      </c>
      <c r="BB230" s="6">
        <f>Tabla2[[#This Row],[Forest Loss 2020]]/Tabla2[[#This Row],[Forest cover 2011]]</f>
        <v>1.8148820326678765E-3</v>
      </c>
      <c r="BC230" s="6">
        <f>Tabla2[[#This Row],[Forest Loss 2021]]/Tabla2[[#This Row],[Forest cover 2011]]</f>
        <v>9.0744101633393826E-4</v>
      </c>
      <c r="BD230" s="6">
        <f>Tabla2[[#This Row],[Forest Loss 2022]]/Tabla2[[#This Row],[Forest cover 2011]]</f>
        <v>1.2963443090484831E-4</v>
      </c>
      <c r="BE230" s="6">
        <f>Tabla2[[#This Row],[Forest Loss 2023]]/Tabla2[[#This Row],[Forest cover 2011]]</f>
        <v>1.0370754472387865E-3</v>
      </c>
      <c r="BF230" s="6">
        <f>Tabla2[[#This Row],[Forest Loss 2024]]/Tabla2[[#This Row],[Forest cover 2011]]</f>
        <v>1.2963443090484831E-4</v>
      </c>
    </row>
    <row r="231" spans="1:58" x14ac:dyDescent="0.25">
      <c r="A231" s="2">
        <v>10302</v>
      </c>
      <c r="B231" s="3" t="s">
        <v>58</v>
      </c>
      <c r="C231" t="s">
        <v>65</v>
      </c>
      <c r="D231">
        <v>33133.32</v>
      </c>
      <c r="E231" s="4">
        <f>AVERAGE(Tabla2[[#This Row],[Deforestation 2012]:[Deforestation 2014]])</f>
        <v>0.35999999999999993</v>
      </c>
      <c r="F231" s="4">
        <f>AVERAGE(Tabla2[[#This Row],[Deforestation 2022]:[Deforestation 2024]])</f>
        <v>5.43</v>
      </c>
      <c r="G231">
        <v>0.53999999999999992</v>
      </c>
      <c r="H231">
        <v>0.09</v>
      </c>
      <c r="I231">
        <v>0.45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14.31</v>
      </c>
      <c r="S231">
        <v>1.98</v>
      </c>
      <c r="T231">
        <v>61.38</v>
      </c>
      <c r="U231">
        <v>25.56</v>
      </c>
      <c r="V231">
        <v>319.5</v>
      </c>
      <c r="W231">
        <v>11.88</v>
      </c>
      <c r="X231">
        <v>17.46</v>
      </c>
      <c r="Y231">
        <v>10.44</v>
      </c>
      <c r="Z231">
        <v>51.39</v>
      </c>
      <c r="AA231">
        <v>64.89</v>
      </c>
      <c r="AB231">
        <v>410.31</v>
      </c>
      <c r="AC231">
        <v>0.09</v>
      </c>
      <c r="AD231">
        <v>0.45</v>
      </c>
      <c r="AE231">
        <v>52.83</v>
      </c>
      <c r="AF231">
        <v>3.15</v>
      </c>
      <c r="AG231" s="5">
        <f>Tabla2[[#This Row],[Deforestation 2012]]/Tabla2[[#This Row],[Forest cover 2011]]</f>
        <v>1.6297793278790048E-5</v>
      </c>
      <c r="AH231" s="6">
        <f>Tabla2[[#This Row],[Deforestation 2013]]/Tabla2[[#This Row],[Forest cover 2011]]</f>
        <v>2.7162988797983421E-6</v>
      </c>
      <c r="AI231" s="6">
        <f>Tabla2[[#This Row],[Deforestation 2014]]/Tabla2[[#This Row],[Forest cover 2011]]</f>
        <v>1.3581494398991711E-5</v>
      </c>
      <c r="AJ231" s="6">
        <f>Tabla2[[#This Row],[Deforestation 2015]]/Tabla2[[#This Row],[Forest cover 2011]]</f>
        <v>0</v>
      </c>
      <c r="AK231" s="6">
        <f>Tabla2[[#This Row],[Deforestation 2016]]/Tabla2[[#This Row],[Forest cover 2011]]</f>
        <v>0</v>
      </c>
      <c r="AL231" s="6">
        <f>Tabla2[[#This Row],[Deforestation 2017]]/Tabla2[[#This Row],[Forest cover 2011]]</f>
        <v>0</v>
      </c>
      <c r="AM231" s="6">
        <f>Tabla2[[#This Row],[Deforestation 2018]]/Tabla2[[#This Row],[Forest cover 2011]]</f>
        <v>0</v>
      </c>
      <c r="AN231" s="6">
        <f>Tabla2[[#This Row],[Deforestation 2019]]/Tabla2[[#This Row],[Forest cover 2011]]</f>
        <v>0</v>
      </c>
      <c r="AO231" s="6">
        <f>Tabla2[[#This Row],[Deforestation 2020]]/Tabla2[[#This Row],[Forest cover 2011]]</f>
        <v>0</v>
      </c>
      <c r="AP231" s="6">
        <f>Tabla2[[#This Row],[Deforestation 2021]]/Tabla2[[#This Row],[Forest cover 2011]]</f>
        <v>0</v>
      </c>
      <c r="AQ231" s="6">
        <f>Tabla2[[#This Row],[Deforestation 2022]]/Tabla2[[#This Row],[Forest cover 2011]]</f>
        <v>0</v>
      </c>
      <c r="AR231" s="6">
        <f>Tabla2[[#This Row],[Deforestation 2023]]/Tabla2[[#This Row],[Forest cover 2011]]</f>
        <v>4.3189152188793641E-4</v>
      </c>
      <c r="AS231" s="6">
        <f>Tabla2[[#This Row],[Deforestation 2024]]/Tabla2[[#This Row],[Forest cover 2011]]</f>
        <v>5.9758575355563525E-5</v>
      </c>
      <c r="AT231" s="6">
        <f>Tabla2[[#This Row],[Forest Loss 2012]]/Tabla2[[#This Row],[Forest cover 2011]]</f>
        <v>1.8525158360224692E-3</v>
      </c>
      <c r="AU231" s="6">
        <f>Tabla2[[#This Row],[Forest Loss 2013]]/Tabla2[[#This Row],[Forest cover 2011]]</f>
        <v>7.7142888186272911E-4</v>
      </c>
      <c r="AV231" s="6">
        <f>Tabla2[[#This Row],[Forest Loss 2014]]/Tabla2[[#This Row],[Forest cover 2011]]</f>
        <v>9.6428610232841133E-3</v>
      </c>
      <c r="AW231" s="6">
        <f>Tabla2[[#This Row],[Forest Loss 2015]]/Tabla2[[#This Row],[Forest cover 2011]]</f>
        <v>3.5855145213338117E-4</v>
      </c>
      <c r="AX231" s="6">
        <f>Tabla2[[#This Row],[Forest Loss 2016]]/Tabla2[[#This Row],[Forest cover 2011]]</f>
        <v>5.2696198268087835E-4</v>
      </c>
      <c r="AY231" s="6">
        <f>Tabla2[[#This Row],[Forest Loss 2017]]/Tabla2[[#This Row],[Forest cover 2011]]</f>
        <v>3.1509067005660766E-4</v>
      </c>
      <c r="AZ231" s="6">
        <f>Tabla2[[#This Row],[Forest Loss 2018]]/Tabla2[[#This Row],[Forest cover 2011]]</f>
        <v>1.5510066603648533E-3</v>
      </c>
      <c r="BA231" s="6">
        <f>Tabla2[[#This Row],[Forest Loss 2019]]/Tabla2[[#This Row],[Forest cover 2011]]</f>
        <v>1.9584514923346045E-3</v>
      </c>
      <c r="BB231" s="6">
        <f>Tabla2[[#This Row],[Forest Loss 2020]]/Tabla2[[#This Row],[Forest cover 2011]]</f>
        <v>1.2383606593000642E-2</v>
      </c>
      <c r="BC231" s="6">
        <f>Tabla2[[#This Row],[Forest Loss 2021]]/Tabla2[[#This Row],[Forest cover 2011]]</f>
        <v>2.7162988797983421E-6</v>
      </c>
      <c r="BD231" s="6">
        <f>Tabla2[[#This Row],[Forest Loss 2022]]/Tabla2[[#This Row],[Forest cover 2011]]</f>
        <v>1.3581494398991711E-5</v>
      </c>
      <c r="BE231" s="6">
        <f>Tabla2[[#This Row],[Forest Loss 2023]]/Tabla2[[#This Row],[Forest cover 2011]]</f>
        <v>1.5944674424416268E-3</v>
      </c>
      <c r="BF231" s="6">
        <f>Tabla2[[#This Row],[Forest Loss 2024]]/Tabla2[[#This Row],[Forest cover 2011]]</f>
        <v>9.5070460792941967E-5</v>
      </c>
    </row>
    <row r="232" spans="1:58" x14ac:dyDescent="0.25">
      <c r="A232" s="2">
        <v>31302</v>
      </c>
      <c r="B232" s="3" t="s">
        <v>176</v>
      </c>
      <c r="C232" t="s">
        <v>213</v>
      </c>
      <c r="D232">
        <v>4788.45</v>
      </c>
      <c r="E232" s="4">
        <f>AVERAGE(Tabla2[[#This Row],[Deforestation 2012]:[Deforestation 2014]])</f>
        <v>0.18000000000000002</v>
      </c>
      <c r="F232" s="4">
        <f>AVERAGE(Tabla2[[#This Row],[Deforestation 2022]:[Deforestation 2024]])</f>
        <v>2.1</v>
      </c>
      <c r="G232">
        <v>0.36</v>
      </c>
      <c r="H232">
        <v>0</v>
      </c>
      <c r="I232">
        <v>0.18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0.81</v>
      </c>
      <c r="P232">
        <v>1.26</v>
      </c>
      <c r="Q232">
        <v>2.7</v>
      </c>
      <c r="R232">
        <v>3.42</v>
      </c>
      <c r="S232">
        <v>0.18</v>
      </c>
      <c r="T232">
        <v>11.52</v>
      </c>
      <c r="U232">
        <v>17.73</v>
      </c>
      <c r="V232">
        <v>78.39</v>
      </c>
      <c r="W232">
        <v>23.94</v>
      </c>
      <c r="X232">
        <v>7.65</v>
      </c>
      <c r="Y232">
        <v>43.47</v>
      </c>
      <c r="Z232">
        <v>29.52</v>
      </c>
      <c r="AA232">
        <v>145.44</v>
      </c>
      <c r="AB232">
        <v>150.12</v>
      </c>
      <c r="AC232">
        <v>2.4300000000000002</v>
      </c>
      <c r="AD232">
        <v>5.67</v>
      </c>
      <c r="AE232">
        <v>31.23</v>
      </c>
      <c r="AF232">
        <v>0.36</v>
      </c>
      <c r="AG232" s="5">
        <f>Tabla2[[#This Row],[Deforestation 2012]]/Tabla2[[#This Row],[Forest cover 2011]]</f>
        <v>7.5180904050371208E-5</v>
      </c>
      <c r="AH232" s="6">
        <f>Tabla2[[#This Row],[Deforestation 2013]]/Tabla2[[#This Row],[Forest cover 2011]]</f>
        <v>0</v>
      </c>
      <c r="AI232" s="6">
        <f>Tabla2[[#This Row],[Deforestation 2014]]/Tabla2[[#This Row],[Forest cover 2011]]</f>
        <v>3.7590452025185604E-5</v>
      </c>
      <c r="AJ232" s="6">
        <f>Tabla2[[#This Row],[Deforestation 2015]]/Tabla2[[#This Row],[Forest cover 2011]]</f>
        <v>0</v>
      </c>
      <c r="AK232" s="6">
        <f>Tabla2[[#This Row],[Deforestation 2016]]/Tabla2[[#This Row],[Forest cover 2011]]</f>
        <v>0</v>
      </c>
      <c r="AL232" s="6">
        <f>Tabla2[[#This Row],[Deforestation 2017]]/Tabla2[[#This Row],[Forest cover 2011]]</f>
        <v>0</v>
      </c>
      <c r="AM232" s="6">
        <f>Tabla2[[#This Row],[Deforestation 2018]]/Tabla2[[#This Row],[Forest cover 2011]]</f>
        <v>0</v>
      </c>
      <c r="AN232" s="6">
        <f>Tabla2[[#This Row],[Deforestation 2019]]/Tabla2[[#This Row],[Forest cover 2011]]</f>
        <v>0</v>
      </c>
      <c r="AO232" s="6">
        <f>Tabla2[[#This Row],[Deforestation 2020]]/Tabla2[[#This Row],[Forest cover 2011]]</f>
        <v>1.6915703411333522E-4</v>
      </c>
      <c r="AP232" s="6">
        <f>Tabla2[[#This Row],[Deforestation 2021]]/Tabla2[[#This Row],[Forest cover 2011]]</f>
        <v>2.6313316417629921E-4</v>
      </c>
      <c r="AQ232" s="6">
        <f>Tabla2[[#This Row],[Deforestation 2022]]/Tabla2[[#This Row],[Forest cover 2011]]</f>
        <v>5.6385678037778415E-4</v>
      </c>
      <c r="AR232" s="6">
        <f>Tabla2[[#This Row],[Deforestation 2023]]/Tabla2[[#This Row],[Forest cover 2011]]</f>
        <v>7.1421858847852651E-4</v>
      </c>
      <c r="AS232" s="6">
        <f>Tabla2[[#This Row],[Deforestation 2024]]/Tabla2[[#This Row],[Forest cover 2011]]</f>
        <v>3.7590452025185604E-5</v>
      </c>
      <c r="AT232" s="6">
        <f>Tabla2[[#This Row],[Forest Loss 2012]]/Tabla2[[#This Row],[Forest cover 2011]]</f>
        <v>2.4057889296118786E-3</v>
      </c>
      <c r="AU232" s="6">
        <f>Tabla2[[#This Row],[Forest Loss 2013]]/Tabla2[[#This Row],[Forest cover 2011]]</f>
        <v>3.7026595244807822E-3</v>
      </c>
      <c r="AV232" s="6">
        <f>Tabla2[[#This Row],[Forest Loss 2014]]/Tabla2[[#This Row],[Forest cover 2011]]</f>
        <v>1.6370641856968331E-2</v>
      </c>
      <c r="AW232" s="6">
        <f>Tabla2[[#This Row],[Forest Loss 2015]]/Tabla2[[#This Row],[Forest cover 2011]]</f>
        <v>4.9995301193496858E-3</v>
      </c>
      <c r="AX232" s="6">
        <f>Tabla2[[#This Row],[Forest Loss 2016]]/Tabla2[[#This Row],[Forest cover 2011]]</f>
        <v>1.5975942110703883E-3</v>
      </c>
      <c r="AY232" s="6">
        <f>Tabla2[[#This Row],[Forest Loss 2017]]/Tabla2[[#This Row],[Forest cover 2011]]</f>
        <v>9.0780941640823225E-3</v>
      </c>
      <c r="AZ232" s="6">
        <f>Tabla2[[#This Row],[Forest Loss 2018]]/Tabla2[[#This Row],[Forest cover 2011]]</f>
        <v>6.1648341321304386E-3</v>
      </c>
      <c r="BA232" s="6">
        <f>Tabla2[[#This Row],[Forest Loss 2019]]/Tabla2[[#This Row],[Forest cover 2011]]</f>
        <v>3.0373085236349968E-2</v>
      </c>
      <c r="BB232" s="6">
        <f>Tabla2[[#This Row],[Forest Loss 2020]]/Tabla2[[#This Row],[Forest cover 2011]]</f>
        <v>3.1350436989004797E-2</v>
      </c>
      <c r="BC232" s="6">
        <f>Tabla2[[#This Row],[Forest Loss 2021]]/Tabla2[[#This Row],[Forest cover 2011]]</f>
        <v>5.0747110234000573E-4</v>
      </c>
      <c r="BD232" s="6">
        <f>Tabla2[[#This Row],[Forest Loss 2022]]/Tabla2[[#This Row],[Forest cover 2011]]</f>
        <v>1.1840992387933465E-3</v>
      </c>
      <c r="BE232" s="6">
        <f>Tabla2[[#This Row],[Forest Loss 2023]]/Tabla2[[#This Row],[Forest cover 2011]]</f>
        <v>6.5219434263697022E-3</v>
      </c>
      <c r="BF232" s="6">
        <f>Tabla2[[#This Row],[Forest Loss 2024]]/Tabla2[[#This Row],[Forest cover 2011]]</f>
        <v>7.5180904050371208E-5</v>
      </c>
    </row>
    <row r="233" spans="1:58" x14ac:dyDescent="0.25">
      <c r="A233" s="2">
        <v>50501</v>
      </c>
      <c r="B233" s="3" t="s">
        <v>258</v>
      </c>
      <c r="C233" t="s">
        <v>274</v>
      </c>
      <c r="D233">
        <v>12536.73</v>
      </c>
      <c r="E233" s="4">
        <f>AVERAGE(Tabla2[[#This Row],[Deforestation 2012]:[Deforestation 2014]])</f>
        <v>0.63</v>
      </c>
      <c r="F233" s="4">
        <f>AVERAGE(Tabla2[[#This Row],[Deforestation 2022]:[Deforestation 2024]])</f>
        <v>5.1899999999999995</v>
      </c>
      <c r="G233">
        <v>0.9</v>
      </c>
      <c r="H233">
        <v>0.81</v>
      </c>
      <c r="I233">
        <v>0.18</v>
      </c>
      <c r="J233">
        <v>0.18</v>
      </c>
      <c r="K233">
        <v>0.09</v>
      </c>
      <c r="L233">
        <v>0</v>
      </c>
      <c r="M233">
        <v>0.09</v>
      </c>
      <c r="N233">
        <v>0.45</v>
      </c>
      <c r="O233">
        <v>0.36</v>
      </c>
      <c r="P233">
        <v>0</v>
      </c>
      <c r="Q233">
        <v>0.45</v>
      </c>
      <c r="R233">
        <v>14.94</v>
      </c>
      <c r="S233">
        <v>0.18</v>
      </c>
      <c r="T233">
        <v>62.55</v>
      </c>
      <c r="U233">
        <v>45.72</v>
      </c>
      <c r="V233">
        <v>197.28</v>
      </c>
      <c r="W233">
        <v>22.68</v>
      </c>
      <c r="X233">
        <v>15.03</v>
      </c>
      <c r="Y233">
        <v>14.49</v>
      </c>
      <c r="Z233">
        <v>30.06</v>
      </c>
      <c r="AA233">
        <v>60.21</v>
      </c>
      <c r="AB233">
        <v>201.06</v>
      </c>
      <c r="AC233">
        <v>0.72</v>
      </c>
      <c r="AD233">
        <v>4.1400000000000006</v>
      </c>
      <c r="AE233">
        <v>105.84</v>
      </c>
      <c r="AF233">
        <v>0.9</v>
      </c>
      <c r="AG233" s="5">
        <f>Tabla2[[#This Row],[Deforestation 2012]]/Tabla2[[#This Row],[Forest cover 2011]]</f>
        <v>7.1789055040668502E-5</v>
      </c>
      <c r="AH233" s="6">
        <f>Tabla2[[#This Row],[Deforestation 2013]]/Tabla2[[#This Row],[Forest cover 2011]]</f>
        <v>6.4610149536601654E-5</v>
      </c>
      <c r="AI233" s="6">
        <f>Tabla2[[#This Row],[Deforestation 2014]]/Tabla2[[#This Row],[Forest cover 2011]]</f>
        <v>1.43578110081337E-5</v>
      </c>
      <c r="AJ233" s="6">
        <f>Tabla2[[#This Row],[Deforestation 2015]]/Tabla2[[#This Row],[Forest cover 2011]]</f>
        <v>1.43578110081337E-5</v>
      </c>
      <c r="AK233" s="6">
        <f>Tabla2[[#This Row],[Deforestation 2016]]/Tabla2[[#This Row],[Forest cover 2011]]</f>
        <v>7.17890550406685E-6</v>
      </c>
      <c r="AL233" s="6">
        <f>Tabla2[[#This Row],[Deforestation 2017]]/Tabla2[[#This Row],[Forest cover 2011]]</f>
        <v>0</v>
      </c>
      <c r="AM233" s="6">
        <f>Tabla2[[#This Row],[Deforestation 2018]]/Tabla2[[#This Row],[Forest cover 2011]]</f>
        <v>7.17890550406685E-6</v>
      </c>
      <c r="AN233" s="6">
        <f>Tabla2[[#This Row],[Deforestation 2019]]/Tabla2[[#This Row],[Forest cover 2011]]</f>
        <v>3.5894527520334251E-5</v>
      </c>
      <c r="AO233" s="6">
        <f>Tabla2[[#This Row],[Deforestation 2020]]/Tabla2[[#This Row],[Forest cover 2011]]</f>
        <v>2.87156220162674E-5</v>
      </c>
      <c r="AP233" s="6">
        <f>Tabla2[[#This Row],[Deforestation 2021]]/Tabla2[[#This Row],[Forest cover 2011]]</f>
        <v>0</v>
      </c>
      <c r="AQ233" s="6">
        <f>Tabla2[[#This Row],[Deforestation 2022]]/Tabla2[[#This Row],[Forest cover 2011]]</f>
        <v>3.5894527520334251E-5</v>
      </c>
      <c r="AR233" s="6">
        <f>Tabla2[[#This Row],[Deforestation 2023]]/Tabla2[[#This Row],[Forest cover 2011]]</f>
        <v>1.1916983136750971E-3</v>
      </c>
      <c r="AS233" s="6">
        <f>Tabla2[[#This Row],[Deforestation 2024]]/Tabla2[[#This Row],[Forest cover 2011]]</f>
        <v>1.43578110081337E-5</v>
      </c>
      <c r="AT233" s="6">
        <f>Tabla2[[#This Row],[Forest Loss 2012]]/Tabla2[[#This Row],[Forest cover 2011]]</f>
        <v>4.9893393253264608E-3</v>
      </c>
      <c r="AU233" s="6">
        <f>Tabla2[[#This Row],[Forest Loss 2013]]/Tabla2[[#This Row],[Forest cover 2011]]</f>
        <v>3.6468839960659598E-3</v>
      </c>
      <c r="AV233" s="6">
        <f>Tabla2[[#This Row],[Forest Loss 2014]]/Tabla2[[#This Row],[Forest cover 2011]]</f>
        <v>1.5736160864914535E-2</v>
      </c>
      <c r="AW233" s="6">
        <f>Tabla2[[#This Row],[Forest Loss 2015]]/Tabla2[[#This Row],[Forest cover 2011]]</f>
        <v>1.8090841870248462E-3</v>
      </c>
      <c r="AX233" s="6">
        <f>Tabla2[[#This Row],[Forest Loss 2016]]/Tabla2[[#This Row],[Forest cover 2011]]</f>
        <v>1.1988772191791639E-3</v>
      </c>
      <c r="AY233" s="6">
        <f>Tabla2[[#This Row],[Forest Loss 2017]]/Tabla2[[#This Row],[Forest cover 2011]]</f>
        <v>1.155803786154763E-3</v>
      </c>
      <c r="AZ233" s="6">
        <f>Tabla2[[#This Row],[Forest Loss 2018]]/Tabla2[[#This Row],[Forest cover 2011]]</f>
        <v>2.3977544383583277E-3</v>
      </c>
      <c r="BA233" s="6">
        <f>Tabla2[[#This Row],[Forest Loss 2019]]/Tabla2[[#This Row],[Forest cover 2011]]</f>
        <v>4.802687782220723E-3</v>
      </c>
      <c r="BB233" s="6">
        <f>Tabla2[[#This Row],[Forest Loss 2020]]/Tabla2[[#This Row],[Forest cover 2011]]</f>
        <v>1.6037674896085343E-2</v>
      </c>
      <c r="BC233" s="6">
        <f>Tabla2[[#This Row],[Forest Loss 2021]]/Tabla2[[#This Row],[Forest cover 2011]]</f>
        <v>5.74312440325348E-5</v>
      </c>
      <c r="BD233" s="6">
        <f>Tabla2[[#This Row],[Forest Loss 2022]]/Tabla2[[#This Row],[Forest cover 2011]]</f>
        <v>3.3022965318707515E-4</v>
      </c>
      <c r="BE233" s="6">
        <f>Tabla2[[#This Row],[Forest Loss 2023]]/Tabla2[[#This Row],[Forest cover 2011]]</f>
        <v>8.442392872782617E-3</v>
      </c>
      <c r="BF233" s="6">
        <f>Tabla2[[#This Row],[Forest Loss 2024]]/Tabla2[[#This Row],[Forest cover 2011]]</f>
        <v>7.1789055040668502E-5</v>
      </c>
    </row>
    <row r="234" spans="1:58" x14ac:dyDescent="0.25">
      <c r="A234" s="2">
        <v>20105</v>
      </c>
      <c r="B234" s="3" t="s">
        <v>88</v>
      </c>
      <c r="C234" t="s">
        <v>93</v>
      </c>
      <c r="D234">
        <v>0</v>
      </c>
      <c r="E234" s="4">
        <f>AVERAGE(Tabla2[[#This Row],[Deforestation 2012]:[Deforestation 2014]])</f>
        <v>0</v>
      </c>
      <c r="F234" s="4">
        <f>AVERAGE(Tabla2[[#This Row],[Deforestation 2022]:[Deforestation 2024]])</f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</row>
    <row r="235" spans="1:58" x14ac:dyDescent="0.25">
      <c r="A235" s="2">
        <v>20203</v>
      </c>
      <c r="B235" s="3" t="s">
        <v>88</v>
      </c>
      <c r="C235" t="s">
        <v>96</v>
      </c>
      <c r="D235">
        <v>0</v>
      </c>
      <c r="E235" s="4">
        <f>AVERAGE(Tabla2[[#This Row],[Deforestation 2012]:[Deforestation 2014]])</f>
        <v>0</v>
      </c>
      <c r="F235" s="4">
        <f>AVERAGE(Tabla2[[#This Row],[Deforestation 2022]:[Deforestation 2024]])</f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</row>
    <row r="236" spans="1:58" x14ac:dyDescent="0.25">
      <c r="A236" s="2">
        <v>20204</v>
      </c>
      <c r="B236" s="3" t="s">
        <v>88</v>
      </c>
      <c r="C236" t="s">
        <v>97</v>
      </c>
      <c r="D236">
        <v>0</v>
      </c>
      <c r="E236" s="4">
        <f>AVERAGE(Tabla2[[#This Row],[Deforestation 2012]:[Deforestation 2014]])</f>
        <v>0</v>
      </c>
      <c r="F236" s="4">
        <f>AVERAGE(Tabla2[[#This Row],[Deforestation 2022]:[Deforestation 2024]])</f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</row>
    <row r="237" spans="1:58" x14ac:dyDescent="0.25">
      <c r="A237" s="2">
        <v>20205</v>
      </c>
      <c r="B237" s="3" t="s">
        <v>88</v>
      </c>
      <c r="C237" t="s">
        <v>98</v>
      </c>
      <c r="D237">
        <v>0</v>
      </c>
      <c r="E237" s="4">
        <f>AVERAGE(Tabla2[[#This Row],[Deforestation 2012]:[Deforestation 2014]])</f>
        <v>0</v>
      </c>
      <c r="F237" s="4">
        <f>AVERAGE(Tabla2[[#This Row],[Deforestation 2022]:[Deforestation 2024]])</f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</row>
    <row r="238" spans="1:58" x14ac:dyDescent="0.25">
      <c r="A238" s="2">
        <v>20206</v>
      </c>
      <c r="B238" s="3" t="s">
        <v>88</v>
      </c>
      <c r="C238" t="s">
        <v>99</v>
      </c>
      <c r="D238">
        <v>0</v>
      </c>
      <c r="E238" s="4">
        <f>AVERAGE(Tabla2[[#This Row],[Deforestation 2012]:[Deforestation 2014]])</f>
        <v>0</v>
      </c>
      <c r="F238" s="4">
        <f>AVERAGE(Tabla2[[#This Row],[Deforestation 2022]:[Deforestation 2024]])</f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</row>
    <row r="239" spans="1:58" x14ac:dyDescent="0.25">
      <c r="A239" s="2">
        <v>20301</v>
      </c>
      <c r="B239" s="3" t="s">
        <v>88</v>
      </c>
      <c r="C239" t="s">
        <v>100</v>
      </c>
      <c r="D239">
        <v>0</v>
      </c>
      <c r="E239" s="4">
        <f>AVERAGE(Tabla2[[#This Row],[Deforestation 2012]:[Deforestation 2014]])</f>
        <v>0</v>
      </c>
      <c r="F239" s="4">
        <f>AVERAGE(Tabla2[[#This Row],[Deforestation 2022]:[Deforestation 2024]])</f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</row>
    <row r="240" spans="1:58" x14ac:dyDescent="0.25">
      <c r="A240" s="2">
        <v>20302</v>
      </c>
      <c r="B240" s="3" t="s">
        <v>88</v>
      </c>
      <c r="C240" t="s">
        <v>101</v>
      </c>
      <c r="D240">
        <v>0</v>
      </c>
      <c r="E240" s="4">
        <f>AVERAGE(Tabla2[[#This Row],[Deforestation 2012]:[Deforestation 2014]])</f>
        <v>0</v>
      </c>
      <c r="F240" s="4">
        <f>AVERAGE(Tabla2[[#This Row],[Deforestation 2022]:[Deforestation 2024]])</f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</row>
    <row r="241" spans="1:58" x14ac:dyDescent="0.25">
      <c r="A241" s="2">
        <v>20304</v>
      </c>
      <c r="B241" s="3" t="s">
        <v>88</v>
      </c>
      <c r="C241" t="s">
        <v>103</v>
      </c>
      <c r="D241">
        <v>0</v>
      </c>
      <c r="E241" s="4">
        <f>AVERAGE(Tabla2[[#This Row],[Deforestation 2012]:[Deforestation 2014]])</f>
        <v>0</v>
      </c>
      <c r="F241" s="4">
        <f>AVERAGE(Tabla2[[#This Row],[Deforestation 2022]:[Deforestation 2024]])</f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</row>
    <row r="242" spans="1:58" x14ac:dyDescent="0.25">
      <c r="A242" s="2">
        <v>20305</v>
      </c>
      <c r="B242" s="3" t="s">
        <v>88</v>
      </c>
      <c r="C242" t="s">
        <v>104</v>
      </c>
      <c r="D242">
        <v>0</v>
      </c>
      <c r="E242" s="4">
        <f>AVERAGE(Tabla2[[#This Row],[Deforestation 2012]:[Deforestation 2014]])</f>
        <v>0</v>
      </c>
      <c r="F242" s="4">
        <f>AVERAGE(Tabla2[[#This Row],[Deforestation 2022]:[Deforestation 2024]])</f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</row>
    <row r="243" spans="1:58" x14ac:dyDescent="0.25">
      <c r="A243" s="2">
        <v>20306</v>
      </c>
      <c r="B243" s="3" t="s">
        <v>88</v>
      </c>
      <c r="C243" t="s">
        <v>105</v>
      </c>
      <c r="D243">
        <v>0</v>
      </c>
      <c r="E243" s="4">
        <f>AVERAGE(Tabla2[[#This Row],[Deforestation 2012]:[Deforestation 2014]])</f>
        <v>0</v>
      </c>
      <c r="F243" s="4">
        <f>AVERAGE(Tabla2[[#This Row],[Deforestation 2022]:[Deforestation 2024]])</f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</row>
    <row r="244" spans="1:58" x14ac:dyDescent="0.25">
      <c r="A244" s="2">
        <v>20307</v>
      </c>
      <c r="B244" s="3" t="s">
        <v>88</v>
      </c>
      <c r="C244" t="s">
        <v>106</v>
      </c>
      <c r="D244">
        <v>0</v>
      </c>
      <c r="E244" s="4">
        <f>AVERAGE(Tabla2[[#This Row],[Deforestation 2012]:[Deforestation 2014]])</f>
        <v>0</v>
      </c>
      <c r="F244" s="4">
        <f>AVERAGE(Tabla2[[#This Row],[Deforestation 2022]:[Deforestation 2024]])</f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</row>
    <row r="245" spans="1:58" x14ac:dyDescent="0.25">
      <c r="A245" s="2">
        <v>20308</v>
      </c>
      <c r="B245" s="3" t="s">
        <v>88</v>
      </c>
      <c r="C245" t="s">
        <v>107</v>
      </c>
      <c r="D245">
        <v>0</v>
      </c>
      <c r="E245" s="4">
        <f>AVERAGE(Tabla2[[#This Row],[Deforestation 2012]:[Deforestation 2014]])</f>
        <v>0</v>
      </c>
      <c r="F245" s="4">
        <f>AVERAGE(Tabla2[[#This Row],[Deforestation 2022]:[Deforestation 2024]])</f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</row>
    <row r="246" spans="1:58" x14ac:dyDescent="0.25">
      <c r="A246" s="2">
        <v>20401</v>
      </c>
      <c r="B246" s="3" t="s">
        <v>88</v>
      </c>
      <c r="C246" t="s">
        <v>108</v>
      </c>
      <c r="D246">
        <v>0</v>
      </c>
      <c r="E246" s="4">
        <f>AVERAGE(Tabla2[[#This Row],[Deforestation 2012]:[Deforestation 2014]])</f>
        <v>0</v>
      </c>
      <c r="F246" s="4">
        <f>AVERAGE(Tabla2[[#This Row],[Deforestation 2022]:[Deforestation 2024]])</f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</row>
    <row r="247" spans="1:58" x14ac:dyDescent="0.25">
      <c r="A247" s="2">
        <v>20404</v>
      </c>
      <c r="B247" s="3" t="s">
        <v>88</v>
      </c>
      <c r="C247" t="s">
        <v>111</v>
      </c>
      <c r="D247">
        <v>0</v>
      </c>
      <c r="E247" s="4">
        <f>AVERAGE(Tabla2[[#This Row],[Deforestation 2012]:[Deforestation 2014]])</f>
        <v>0</v>
      </c>
      <c r="F247" s="4">
        <f>AVERAGE(Tabla2[[#This Row],[Deforestation 2022]:[Deforestation 2024]])</f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</row>
    <row r="248" spans="1:58" x14ac:dyDescent="0.25">
      <c r="A248" s="2">
        <v>20405</v>
      </c>
      <c r="B248" s="3" t="s">
        <v>88</v>
      </c>
      <c r="C248" t="s">
        <v>112</v>
      </c>
      <c r="D248">
        <v>0</v>
      </c>
      <c r="E248" s="4">
        <f>AVERAGE(Tabla2[[#This Row],[Deforestation 2012]:[Deforestation 2014]])</f>
        <v>0</v>
      </c>
      <c r="F248" s="4">
        <f>AVERAGE(Tabla2[[#This Row],[Deforestation 2022]:[Deforestation 2024]])</f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</row>
    <row r="249" spans="1:58" x14ac:dyDescent="0.25">
      <c r="A249" s="2">
        <v>20801</v>
      </c>
      <c r="B249" s="3" t="s">
        <v>88</v>
      </c>
      <c r="C249" t="s">
        <v>126</v>
      </c>
      <c r="D249">
        <v>0</v>
      </c>
      <c r="E249" s="4">
        <f>AVERAGE(Tabla2[[#This Row],[Deforestation 2012]:[Deforestation 2014]])</f>
        <v>0</v>
      </c>
      <c r="F249" s="4">
        <f>AVERAGE(Tabla2[[#This Row],[Deforestation 2022]:[Deforestation 2024]])</f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</row>
    <row r="250" spans="1:58" x14ac:dyDescent="0.25">
      <c r="A250" s="2">
        <v>20802</v>
      </c>
      <c r="B250" s="3" t="s">
        <v>88</v>
      </c>
      <c r="C250" t="s">
        <v>127</v>
      </c>
      <c r="D250">
        <v>0</v>
      </c>
      <c r="E250" s="4">
        <f>AVERAGE(Tabla2[[#This Row],[Deforestation 2012]:[Deforestation 2014]])</f>
        <v>0</v>
      </c>
      <c r="F250" s="4">
        <f>AVERAGE(Tabla2[[#This Row],[Deforestation 2022]:[Deforestation 2024]])</f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</row>
    <row r="251" spans="1:58" x14ac:dyDescent="0.25">
      <c r="A251" s="2">
        <v>20803</v>
      </c>
      <c r="B251" s="3" t="s">
        <v>88</v>
      </c>
      <c r="C251" t="s">
        <v>128</v>
      </c>
      <c r="D251">
        <v>0</v>
      </c>
      <c r="E251" s="4">
        <f>AVERAGE(Tabla2[[#This Row],[Deforestation 2012]:[Deforestation 2014]])</f>
        <v>0</v>
      </c>
      <c r="F251" s="4">
        <f>AVERAGE(Tabla2[[#This Row],[Deforestation 2022]:[Deforestation 2024]])</f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</row>
    <row r="252" spans="1:58" x14ac:dyDescent="0.25">
      <c r="A252" s="2">
        <v>20804</v>
      </c>
      <c r="B252" s="3" t="s">
        <v>88</v>
      </c>
      <c r="C252" t="s">
        <v>129</v>
      </c>
      <c r="D252">
        <v>0</v>
      </c>
      <c r="E252" s="4">
        <f>AVERAGE(Tabla2[[#This Row],[Deforestation 2012]:[Deforestation 2014]])</f>
        <v>0</v>
      </c>
      <c r="F252" s="4">
        <f>AVERAGE(Tabla2[[#This Row],[Deforestation 2022]:[Deforestation 2024]])</f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</row>
    <row r="253" spans="1:58" x14ac:dyDescent="0.25">
      <c r="A253" s="2">
        <v>20805</v>
      </c>
      <c r="B253" s="3" t="s">
        <v>88</v>
      </c>
      <c r="C253" t="s">
        <v>130</v>
      </c>
      <c r="D253">
        <v>0</v>
      </c>
      <c r="E253" s="4">
        <f>AVERAGE(Tabla2[[#This Row],[Deforestation 2012]:[Deforestation 2014]])</f>
        <v>0</v>
      </c>
      <c r="F253" s="4">
        <f>AVERAGE(Tabla2[[#This Row],[Deforestation 2022]:[Deforestation 2024]])</f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</row>
    <row r="254" spans="1:58" x14ac:dyDescent="0.25">
      <c r="A254" s="2">
        <v>20806</v>
      </c>
      <c r="B254" s="3" t="s">
        <v>88</v>
      </c>
      <c r="C254" t="s">
        <v>131</v>
      </c>
      <c r="D254">
        <v>0</v>
      </c>
      <c r="E254" s="4">
        <f>AVERAGE(Tabla2[[#This Row],[Deforestation 2012]:[Deforestation 2014]])</f>
        <v>0</v>
      </c>
      <c r="F254" s="4">
        <f>AVERAGE(Tabla2[[#This Row],[Deforestation 2022]:[Deforestation 2024]])</f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</row>
    <row r="255" spans="1:58" x14ac:dyDescent="0.25">
      <c r="A255" s="2">
        <v>20807</v>
      </c>
      <c r="B255" s="3" t="s">
        <v>88</v>
      </c>
      <c r="C255" t="s">
        <v>132</v>
      </c>
      <c r="D255">
        <v>0</v>
      </c>
      <c r="E255" s="4">
        <f>AVERAGE(Tabla2[[#This Row],[Deforestation 2012]:[Deforestation 2014]])</f>
        <v>0</v>
      </c>
      <c r="F255" s="4">
        <f>AVERAGE(Tabla2[[#This Row],[Deforestation 2022]:[Deforestation 2024]])</f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</row>
    <row r="256" spans="1:58" x14ac:dyDescent="0.25">
      <c r="A256" s="2">
        <v>21202</v>
      </c>
      <c r="B256" s="3" t="s">
        <v>88</v>
      </c>
      <c r="C256" t="s">
        <v>150</v>
      </c>
      <c r="D256">
        <v>0</v>
      </c>
      <c r="E256" s="4">
        <f>AVERAGE(Tabla2[[#This Row],[Deforestation 2012]:[Deforestation 2014]])</f>
        <v>0</v>
      </c>
      <c r="F256" s="4">
        <f>AVERAGE(Tabla2[[#This Row],[Deforestation 2022]:[Deforestation 2024]])</f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</row>
    <row r="257" spans="1:58" x14ac:dyDescent="0.25">
      <c r="A257" s="2">
        <v>21204</v>
      </c>
      <c r="B257" s="3" t="s">
        <v>88</v>
      </c>
      <c r="C257" t="s">
        <v>152</v>
      </c>
      <c r="D257">
        <v>0</v>
      </c>
      <c r="E257" s="4">
        <f>AVERAGE(Tabla2[[#This Row],[Deforestation 2012]:[Deforestation 2014]])</f>
        <v>0</v>
      </c>
      <c r="F257" s="4">
        <f>AVERAGE(Tabla2[[#This Row],[Deforestation 2022]:[Deforestation 2024]])</f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</row>
    <row r="258" spans="1:58" x14ac:dyDescent="0.25">
      <c r="A258" s="2">
        <v>21302</v>
      </c>
      <c r="B258" s="3" t="s">
        <v>88</v>
      </c>
      <c r="C258" t="s">
        <v>154</v>
      </c>
      <c r="D258">
        <v>0</v>
      </c>
      <c r="E258" s="4">
        <f>AVERAGE(Tabla2[[#This Row],[Deforestation 2012]:[Deforestation 2014]])</f>
        <v>0</v>
      </c>
      <c r="F258" s="4">
        <f>AVERAGE(Tabla2[[#This Row],[Deforestation 2022]:[Deforestation 2024]])</f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</row>
    <row r="259" spans="1:58" x14ac:dyDescent="0.25">
      <c r="A259" s="2">
        <v>21305</v>
      </c>
      <c r="B259" s="3" t="s">
        <v>88</v>
      </c>
      <c r="C259" t="s">
        <v>157</v>
      </c>
      <c r="D259">
        <v>0</v>
      </c>
      <c r="E259" s="4">
        <f>AVERAGE(Tabla2[[#This Row],[Deforestation 2012]:[Deforestation 2014]])</f>
        <v>0</v>
      </c>
      <c r="F259" s="4">
        <f>AVERAGE(Tabla2[[#This Row],[Deforestation 2022]:[Deforestation 2024]])</f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</row>
    <row r="260" spans="1:58" x14ac:dyDescent="0.25">
      <c r="A260" s="2">
        <v>21306</v>
      </c>
      <c r="B260" s="3" t="s">
        <v>88</v>
      </c>
      <c r="C260" t="s">
        <v>158</v>
      </c>
      <c r="D260">
        <v>0</v>
      </c>
      <c r="E260" s="4">
        <f>AVERAGE(Tabla2[[#This Row],[Deforestation 2012]:[Deforestation 2014]])</f>
        <v>0</v>
      </c>
      <c r="F260" s="4">
        <f>AVERAGE(Tabla2[[#This Row],[Deforestation 2022]:[Deforestation 2024]])</f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</row>
    <row r="261" spans="1:58" x14ac:dyDescent="0.25">
      <c r="A261" s="2">
        <v>21307</v>
      </c>
      <c r="B261" s="3" t="s">
        <v>88</v>
      </c>
      <c r="C261" t="s">
        <v>159</v>
      </c>
      <c r="D261">
        <v>0</v>
      </c>
      <c r="E261" s="4">
        <f>AVERAGE(Tabla2[[#This Row],[Deforestation 2012]:[Deforestation 2014]])</f>
        <v>0</v>
      </c>
      <c r="F261" s="4">
        <f>AVERAGE(Tabla2[[#This Row],[Deforestation 2022]:[Deforestation 2024]])</f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</row>
    <row r="262" spans="1:58" x14ac:dyDescent="0.25">
      <c r="A262" s="2">
        <v>21701</v>
      </c>
      <c r="B262" s="3" t="s">
        <v>88</v>
      </c>
      <c r="C262" t="s">
        <v>166</v>
      </c>
      <c r="D262">
        <v>0</v>
      </c>
      <c r="E262" s="4">
        <f>AVERAGE(Tabla2[[#This Row],[Deforestation 2012]:[Deforestation 2014]])</f>
        <v>0</v>
      </c>
      <c r="F262" s="4">
        <f>AVERAGE(Tabla2[[#This Row],[Deforestation 2022]:[Deforestation 2024]])</f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</row>
    <row r="263" spans="1:58" x14ac:dyDescent="0.25">
      <c r="A263" s="2">
        <v>21702</v>
      </c>
      <c r="B263" s="3" t="s">
        <v>88</v>
      </c>
      <c r="C263" t="s">
        <v>167</v>
      </c>
      <c r="D263">
        <v>0</v>
      </c>
      <c r="E263" s="4">
        <f>AVERAGE(Tabla2[[#This Row],[Deforestation 2012]:[Deforestation 2014]])</f>
        <v>0</v>
      </c>
      <c r="F263" s="4">
        <f>AVERAGE(Tabla2[[#This Row],[Deforestation 2022]:[Deforestation 2024]])</f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</row>
    <row r="264" spans="1:58" x14ac:dyDescent="0.25">
      <c r="A264" s="2">
        <v>21703</v>
      </c>
      <c r="B264" s="3" t="s">
        <v>88</v>
      </c>
      <c r="C264" t="s">
        <v>168</v>
      </c>
      <c r="D264">
        <v>0</v>
      </c>
      <c r="E264" s="4">
        <f>AVERAGE(Tabla2[[#This Row],[Deforestation 2012]:[Deforestation 2014]])</f>
        <v>0</v>
      </c>
      <c r="F264" s="4">
        <f>AVERAGE(Tabla2[[#This Row],[Deforestation 2022]:[Deforestation 2024]])</f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</row>
    <row r="265" spans="1:58" x14ac:dyDescent="0.25">
      <c r="A265" s="2">
        <v>21801</v>
      </c>
      <c r="B265" s="3" t="s">
        <v>88</v>
      </c>
      <c r="C265" t="s">
        <v>169</v>
      </c>
      <c r="D265">
        <v>0</v>
      </c>
      <c r="E265" s="4">
        <f>AVERAGE(Tabla2[[#This Row],[Deforestation 2012]:[Deforestation 2014]])</f>
        <v>0</v>
      </c>
      <c r="F265" s="4">
        <f>AVERAGE(Tabla2[[#This Row],[Deforestation 2022]:[Deforestation 2024]])</f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</row>
    <row r="266" spans="1:58" x14ac:dyDescent="0.25">
      <c r="A266" s="2">
        <v>21802</v>
      </c>
      <c r="B266" s="3" t="s">
        <v>88</v>
      </c>
      <c r="C266" t="s">
        <v>170</v>
      </c>
      <c r="D266">
        <v>0</v>
      </c>
      <c r="E266" s="4">
        <f>AVERAGE(Tabla2[[#This Row],[Deforestation 2012]:[Deforestation 2014]])</f>
        <v>0</v>
      </c>
      <c r="F266" s="4">
        <f>AVERAGE(Tabla2[[#This Row],[Deforestation 2022]:[Deforestation 2024]])</f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</row>
    <row r="267" spans="1:58" x14ac:dyDescent="0.25">
      <c r="A267" s="2">
        <v>21803</v>
      </c>
      <c r="B267" s="3" t="s">
        <v>88</v>
      </c>
      <c r="C267" t="s">
        <v>171</v>
      </c>
      <c r="D267">
        <v>0</v>
      </c>
      <c r="E267" s="4">
        <f>AVERAGE(Tabla2[[#This Row],[Deforestation 2012]:[Deforestation 2014]])</f>
        <v>0</v>
      </c>
      <c r="F267" s="4">
        <f>AVERAGE(Tabla2[[#This Row],[Deforestation 2022]:[Deforestation 2024]])</f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</row>
    <row r="268" spans="1:58" x14ac:dyDescent="0.25">
      <c r="A268" s="2">
        <v>21901</v>
      </c>
      <c r="B268" s="3" t="s">
        <v>88</v>
      </c>
      <c r="C268" t="s">
        <v>172</v>
      </c>
      <c r="D268">
        <v>0</v>
      </c>
      <c r="E268" s="4">
        <f>AVERAGE(Tabla2[[#This Row],[Deforestation 2012]:[Deforestation 2014]])</f>
        <v>0</v>
      </c>
      <c r="F268" s="4">
        <f>AVERAGE(Tabla2[[#This Row],[Deforestation 2022]:[Deforestation 2024]])</f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</row>
    <row r="269" spans="1:58" x14ac:dyDescent="0.25">
      <c r="A269" s="2">
        <v>21902</v>
      </c>
      <c r="B269" s="3" t="s">
        <v>88</v>
      </c>
      <c r="C269" t="s">
        <v>173</v>
      </c>
      <c r="D269">
        <v>0</v>
      </c>
      <c r="E269" s="4">
        <f>AVERAGE(Tabla2[[#This Row],[Deforestation 2012]:[Deforestation 2014]])</f>
        <v>0</v>
      </c>
      <c r="F269" s="4">
        <f>AVERAGE(Tabla2[[#This Row],[Deforestation 2022]:[Deforestation 2024]])</f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</row>
    <row r="270" spans="1:58" x14ac:dyDescent="0.25">
      <c r="A270" s="2">
        <v>30801</v>
      </c>
      <c r="B270" s="3" t="s">
        <v>176</v>
      </c>
      <c r="C270" t="s">
        <v>194</v>
      </c>
      <c r="D270">
        <v>0</v>
      </c>
      <c r="E270" s="4">
        <f>AVERAGE(Tabla2[[#This Row],[Deforestation 2012]:[Deforestation 2014]])</f>
        <v>0</v>
      </c>
      <c r="F270" s="4">
        <f>AVERAGE(Tabla2[[#This Row],[Deforestation 2022]:[Deforestation 2024]])</f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</row>
    <row r="271" spans="1:58" x14ac:dyDescent="0.25">
      <c r="A271" s="2">
        <v>40101</v>
      </c>
      <c r="B271" s="3" t="s">
        <v>224</v>
      </c>
      <c r="C271" t="s">
        <v>224</v>
      </c>
      <c r="D271">
        <v>0</v>
      </c>
      <c r="E271" s="4">
        <f>AVERAGE(Tabla2[[#This Row],[Deforestation 2012]:[Deforestation 2014]])</f>
        <v>0</v>
      </c>
      <c r="F271" s="4">
        <f>AVERAGE(Tabla2[[#This Row],[Deforestation 2022]:[Deforestation 2024]])</f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</row>
    <row r="272" spans="1:58" x14ac:dyDescent="0.25">
      <c r="A272" s="2">
        <v>40102</v>
      </c>
      <c r="B272" s="3" t="s">
        <v>224</v>
      </c>
      <c r="C272" t="s">
        <v>225</v>
      </c>
      <c r="D272">
        <v>0</v>
      </c>
      <c r="E272" s="4">
        <f>AVERAGE(Tabla2[[#This Row],[Deforestation 2012]:[Deforestation 2014]])</f>
        <v>0</v>
      </c>
      <c r="F272" s="4">
        <f>AVERAGE(Tabla2[[#This Row],[Deforestation 2022]:[Deforestation 2024]])</f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</row>
    <row r="273" spans="1:58" x14ac:dyDescent="0.25">
      <c r="A273" s="2">
        <v>40103</v>
      </c>
      <c r="B273" s="3" t="s">
        <v>224</v>
      </c>
      <c r="C273" t="s">
        <v>226</v>
      </c>
      <c r="D273">
        <v>0</v>
      </c>
      <c r="E273" s="4">
        <f>AVERAGE(Tabla2[[#This Row],[Deforestation 2012]:[Deforestation 2014]])</f>
        <v>0</v>
      </c>
      <c r="F273" s="4">
        <f>AVERAGE(Tabla2[[#This Row],[Deforestation 2022]:[Deforestation 2024]])</f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</row>
    <row r="274" spans="1:58" x14ac:dyDescent="0.25">
      <c r="A274" s="2">
        <v>40104</v>
      </c>
      <c r="B274" s="3" t="s">
        <v>224</v>
      </c>
      <c r="C274" t="s">
        <v>227</v>
      </c>
      <c r="D274">
        <v>0</v>
      </c>
      <c r="E274" s="4">
        <f>AVERAGE(Tabla2[[#This Row],[Deforestation 2012]:[Deforestation 2014]])</f>
        <v>0</v>
      </c>
      <c r="F274" s="4">
        <f>AVERAGE(Tabla2[[#This Row],[Deforestation 2022]:[Deforestation 2024]])</f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</row>
    <row r="275" spans="1:58" x14ac:dyDescent="0.25">
      <c r="A275" s="2">
        <v>40202</v>
      </c>
      <c r="B275" s="3" t="s">
        <v>224</v>
      </c>
      <c r="C275" t="s">
        <v>229</v>
      </c>
      <c r="D275">
        <v>0</v>
      </c>
      <c r="E275" s="4">
        <f>AVERAGE(Tabla2[[#This Row],[Deforestation 2012]:[Deforestation 2014]])</f>
        <v>0</v>
      </c>
      <c r="F275" s="4">
        <f>AVERAGE(Tabla2[[#This Row],[Deforestation 2022]:[Deforestation 2024]])</f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</row>
    <row r="276" spans="1:58" x14ac:dyDescent="0.25">
      <c r="A276" s="2">
        <v>40301</v>
      </c>
      <c r="B276" s="3" t="s">
        <v>224</v>
      </c>
      <c r="C276" t="s">
        <v>230</v>
      </c>
      <c r="D276">
        <v>0</v>
      </c>
      <c r="E276" s="4">
        <f>AVERAGE(Tabla2[[#This Row],[Deforestation 2012]:[Deforestation 2014]])</f>
        <v>0</v>
      </c>
      <c r="F276" s="4">
        <f>AVERAGE(Tabla2[[#This Row],[Deforestation 2022]:[Deforestation 2024]])</f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</row>
    <row r="277" spans="1:58" x14ac:dyDescent="0.25">
      <c r="A277" s="2">
        <v>40302</v>
      </c>
      <c r="B277" s="3" t="s">
        <v>224</v>
      </c>
      <c r="C277" t="s">
        <v>231</v>
      </c>
      <c r="D277">
        <v>0</v>
      </c>
      <c r="E277" s="4">
        <f>AVERAGE(Tabla2[[#This Row],[Deforestation 2012]:[Deforestation 2014]])</f>
        <v>0</v>
      </c>
      <c r="F277" s="4">
        <f>AVERAGE(Tabla2[[#This Row],[Deforestation 2022]:[Deforestation 2024]])</f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</row>
    <row r="278" spans="1:58" x14ac:dyDescent="0.25">
      <c r="A278" s="2">
        <v>40401</v>
      </c>
      <c r="B278" s="3" t="s">
        <v>224</v>
      </c>
      <c r="C278" t="s">
        <v>232</v>
      </c>
      <c r="D278">
        <v>0</v>
      </c>
      <c r="E278" s="4">
        <f>AVERAGE(Tabla2[[#This Row],[Deforestation 2012]:[Deforestation 2014]])</f>
        <v>0</v>
      </c>
      <c r="F278" s="4">
        <f>AVERAGE(Tabla2[[#This Row],[Deforestation 2022]:[Deforestation 2024]])</f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</row>
    <row r="279" spans="1:58" x14ac:dyDescent="0.25">
      <c r="A279" s="2">
        <v>40402</v>
      </c>
      <c r="B279" s="3" t="s">
        <v>224</v>
      </c>
      <c r="C279" t="s">
        <v>233</v>
      </c>
      <c r="D279">
        <v>0</v>
      </c>
      <c r="E279" s="4">
        <f>AVERAGE(Tabla2[[#This Row],[Deforestation 2012]:[Deforestation 2014]])</f>
        <v>0</v>
      </c>
      <c r="F279" s="4">
        <f>AVERAGE(Tabla2[[#This Row],[Deforestation 2022]:[Deforestation 2024]])</f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</row>
    <row r="280" spans="1:58" x14ac:dyDescent="0.25">
      <c r="A280" s="2">
        <v>40501</v>
      </c>
      <c r="B280" s="3" t="s">
        <v>224</v>
      </c>
      <c r="C280" t="s">
        <v>234</v>
      </c>
      <c r="D280">
        <v>0</v>
      </c>
      <c r="E280" s="4">
        <f>AVERAGE(Tabla2[[#This Row],[Deforestation 2012]:[Deforestation 2014]])</f>
        <v>0</v>
      </c>
      <c r="F280" s="4">
        <f>AVERAGE(Tabla2[[#This Row],[Deforestation 2022]:[Deforestation 2024]])</f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</row>
    <row r="281" spans="1:58" x14ac:dyDescent="0.25">
      <c r="A281" s="2">
        <v>40502</v>
      </c>
      <c r="B281" s="3" t="s">
        <v>224</v>
      </c>
      <c r="C281" t="s">
        <v>235</v>
      </c>
      <c r="D281">
        <v>0</v>
      </c>
      <c r="E281" s="4">
        <f>AVERAGE(Tabla2[[#This Row],[Deforestation 2012]:[Deforestation 2014]])</f>
        <v>0</v>
      </c>
      <c r="F281" s="4">
        <f>AVERAGE(Tabla2[[#This Row],[Deforestation 2022]:[Deforestation 2024]])</f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</row>
    <row r="282" spans="1:58" x14ac:dyDescent="0.25">
      <c r="A282" s="2">
        <v>40503</v>
      </c>
      <c r="B282" s="3" t="s">
        <v>224</v>
      </c>
      <c r="C282" t="s">
        <v>236</v>
      </c>
      <c r="D282">
        <v>0</v>
      </c>
      <c r="E282" s="4">
        <f>AVERAGE(Tabla2[[#This Row],[Deforestation 2012]:[Deforestation 2014]])</f>
        <v>0</v>
      </c>
      <c r="F282" s="4">
        <f>AVERAGE(Tabla2[[#This Row],[Deforestation 2022]:[Deforestation 2024]])</f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</row>
    <row r="283" spans="1:58" x14ac:dyDescent="0.25">
      <c r="A283" s="2">
        <v>40504</v>
      </c>
      <c r="B283" s="3" t="s">
        <v>224</v>
      </c>
      <c r="C283" t="s">
        <v>237</v>
      </c>
      <c r="D283">
        <v>0</v>
      </c>
      <c r="E283" s="4">
        <f>AVERAGE(Tabla2[[#This Row],[Deforestation 2012]:[Deforestation 2014]])</f>
        <v>0</v>
      </c>
      <c r="F283" s="4">
        <f>AVERAGE(Tabla2[[#This Row],[Deforestation 2022]:[Deforestation 2024]])</f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</row>
    <row r="284" spans="1:58" x14ac:dyDescent="0.25">
      <c r="A284" s="2">
        <v>40505</v>
      </c>
      <c r="B284" s="3" t="s">
        <v>224</v>
      </c>
      <c r="C284" t="s">
        <v>238</v>
      </c>
      <c r="D284">
        <v>0</v>
      </c>
      <c r="E284" s="4">
        <f>AVERAGE(Tabla2[[#This Row],[Deforestation 2012]:[Deforestation 2014]])</f>
        <v>0</v>
      </c>
      <c r="F284" s="4">
        <f>AVERAGE(Tabla2[[#This Row],[Deforestation 2022]:[Deforestation 2024]])</f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</row>
    <row r="285" spans="1:58" x14ac:dyDescent="0.25">
      <c r="A285" s="2">
        <v>40601</v>
      </c>
      <c r="B285" s="3" t="s">
        <v>224</v>
      </c>
      <c r="C285" t="s">
        <v>239</v>
      </c>
      <c r="D285">
        <v>0</v>
      </c>
      <c r="E285" s="4">
        <f>AVERAGE(Tabla2[[#This Row],[Deforestation 2012]:[Deforestation 2014]])</f>
        <v>0</v>
      </c>
      <c r="F285" s="4">
        <f>AVERAGE(Tabla2[[#This Row],[Deforestation 2022]:[Deforestation 2024]])</f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</row>
    <row r="286" spans="1:58" x14ac:dyDescent="0.25">
      <c r="A286" s="2">
        <v>40602</v>
      </c>
      <c r="B286" s="3" t="s">
        <v>224</v>
      </c>
      <c r="C286" t="s">
        <v>240</v>
      </c>
      <c r="D286">
        <v>0</v>
      </c>
      <c r="E286" s="4">
        <f>AVERAGE(Tabla2[[#This Row],[Deforestation 2012]:[Deforestation 2014]])</f>
        <v>0</v>
      </c>
      <c r="F286" s="4">
        <f>AVERAGE(Tabla2[[#This Row],[Deforestation 2022]:[Deforestation 2024]])</f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</row>
    <row r="287" spans="1:58" x14ac:dyDescent="0.25">
      <c r="A287" s="2">
        <v>40603</v>
      </c>
      <c r="B287" s="3" t="s">
        <v>224</v>
      </c>
      <c r="C287" t="s">
        <v>241</v>
      </c>
      <c r="D287">
        <v>0</v>
      </c>
      <c r="E287" s="4">
        <f>AVERAGE(Tabla2[[#This Row],[Deforestation 2012]:[Deforestation 2014]])</f>
        <v>0</v>
      </c>
      <c r="F287" s="4">
        <f>AVERAGE(Tabla2[[#This Row],[Deforestation 2022]:[Deforestation 2024]])</f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</row>
    <row r="288" spans="1:58" x14ac:dyDescent="0.25">
      <c r="A288" s="2">
        <v>40701</v>
      </c>
      <c r="B288" s="3" t="s">
        <v>224</v>
      </c>
      <c r="C288" t="s">
        <v>242</v>
      </c>
      <c r="D288">
        <v>0</v>
      </c>
      <c r="E288" s="4">
        <f>AVERAGE(Tabla2[[#This Row],[Deforestation 2012]:[Deforestation 2014]])</f>
        <v>0</v>
      </c>
      <c r="F288" s="4">
        <f>AVERAGE(Tabla2[[#This Row],[Deforestation 2022]:[Deforestation 2024]])</f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</row>
    <row r="289" spans="1:58" x14ac:dyDescent="0.25">
      <c r="A289" s="2">
        <v>40702</v>
      </c>
      <c r="B289" s="3" t="s">
        <v>224</v>
      </c>
      <c r="C289" t="s">
        <v>243</v>
      </c>
      <c r="D289">
        <v>0</v>
      </c>
      <c r="E289" s="4">
        <f>AVERAGE(Tabla2[[#This Row],[Deforestation 2012]:[Deforestation 2014]])</f>
        <v>0</v>
      </c>
      <c r="F289" s="4">
        <f>AVERAGE(Tabla2[[#This Row],[Deforestation 2022]:[Deforestation 2024]])</f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</row>
    <row r="290" spans="1:58" x14ac:dyDescent="0.25">
      <c r="A290" s="2">
        <v>40801</v>
      </c>
      <c r="B290" s="3" t="s">
        <v>224</v>
      </c>
      <c r="C290" t="s">
        <v>244</v>
      </c>
      <c r="D290">
        <v>0</v>
      </c>
      <c r="E290" s="4">
        <f>AVERAGE(Tabla2[[#This Row],[Deforestation 2012]:[Deforestation 2014]])</f>
        <v>0</v>
      </c>
      <c r="F290" s="4">
        <f>AVERAGE(Tabla2[[#This Row],[Deforestation 2022]:[Deforestation 2024]])</f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</row>
    <row r="291" spans="1:58" x14ac:dyDescent="0.25">
      <c r="A291" s="2">
        <v>40802</v>
      </c>
      <c r="B291" s="3" t="s">
        <v>224</v>
      </c>
      <c r="C291" t="s">
        <v>245</v>
      </c>
      <c r="D291">
        <v>0</v>
      </c>
      <c r="E291" s="4">
        <f>AVERAGE(Tabla2[[#This Row],[Deforestation 2012]:[Deforestation 2014]])</f>
        <v>0</v>
      </c>
      <c r="F291" s="4">
        <f>AVERAGE(Tabla2[[#This Row],[Deforestation 2022]:[Deforestation 2024]])</f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</row>
    <row r="292" spans="1:58" x14ac:dyDescent="0.25">
      <c r="A292" s="2">
        <v>40901</v>
      </c>
      <c r="B292" s="3" t="s">
        <v>224</v>
      </c>
      <c r="C292" t="s">
        <v>246</v>
      </c>
      <c r="D292">
        <v>0</v>
      </c>
      <c r="E292" s="4">
        <f>AVERAGE(Tabla2[[#This Row],[Deforestation 2012]:[Deforestation 2014]])</f>
        <v>0</v>
      </c>
      <c r="F292" s="4">
        <f>AVERAGE(Tabla2[[#This Row],[Deforestation 2022]:[Deforestation 2024]])</f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</row>
    <row r="293" spans="1:58" x14ac:dyDescent="0.25">
      <c r="A293" s="2">
        <v>40902</v>
      </c>
      <c r="B293" s="3" t="s">
        <v>224</v>
      </c>
      <c r="C293" t="s">
        <v>247</v>
      </c>
      <c r="D293">
        <v>0</v>
      </c>
      <c r="E293" s="4">
        <f>AVERAGE(Tabla2[[#This Row],[Deforestation 2012]:[Deforestation 2014]])</f>
        <v>0</v>
      </c>
      <c r="F293" s="4">
        <f>AVERAGE(Tabla2[[#This Row],[Deforestation 2022]:[Deforestation 2024]])</f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</row>
    <row r="294" spans="1:58" x14ac:dyDescent="0.25">
      <c r="A294" s="2">
        <v>40903</v>
      </c>
      <c r="B294" s="3" t="s">
        <v>224</v>
      </c>
      <c r="C294" t="s">
        <v>248</v>
      </c>
      <c r="D294">
        <v>0</v>
      </c>
      <c r="E294" s="4">
        <f>AVERAGE(Tabla2[[#This Row],[Deforestation 2012]:[Deforestation 2014]])</f>
        <v>0</v>
      </c>
      <c r="F294" s="4">
        <f>AVERAGE(Tabla2[[#This Row],[Deforestation 2022]:[Deforestation 2024]])</f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</row>
    <row r="295" spans="1:58" x14ac:dyDescent="0.25">
      <c r="A295" s="2">
        <v>41001</v>
      </c>
      <c r="B295" s="3" t="s">
        <v>224</v>
      </c>
      <c r="C295" t="s">
        <v>249</v>
      </c>
      <c r="D295">
        <v>0</v>
      </c>
      <c r="E295" s="4">
        <f>AVERAGE(Tabla2[[#This Row],[Deforestation 2012]:[Deforestation 2014]])</f>
        <v>0</v>
      </c>
      <c r="F295" s="4">
        <f>AVERAGE(Tabla2[[#This Row],[Deforestation 2022]:[Deforestation 2024]])</f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</row>
    <row r="296" spans="1:58" x14ac:dyDescent="0.25">
      <c r="A296" s="2">
        <v>41101</v>
      </c>
      <c r="B296" s="3" t="s">
        <v>224</v>
      </c>
      <c r="C296" t="s">
        <v>250</v>
      </c>
      <c r="D296">
        <v>0</v>
      </c>
      <c r="E296" s="4">
        <f>AVERAGE(Tabla2[[#This Row],[Deforestation 2012]:[Deforestation 2014]])</f>
        <v>0</v>
      </c>
      <c r="F296" s="4">
        <f>AVERAGE(Tabla2[[#This Row],[Deforestation 2022]:[Deforestation 2024]])</f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</row>
    <row r="297" spans="1:58" x14ac:dyDescent="0.25">
      <c r="A297" s="2">
        <v>41201</v>
      </c>
      <c r="B297" s="3" t="s">
        <v>224</v>
      </c>
      <c r="C297" t="s">
        <v>251</v>
      </c>
      <c r="D297">
        <v>0</v>
      </c>
      <c r="E297" s="4">
        <f>AVERAGE(Tabla2[[#This Row],[Deforestation 2012]:[Deforestation 2014]])</f>
        <v>0</v>
      </c>
      <c r="F297" s="4">
        <f>AVERAGE(Tabla2[[#This Row],[Deforestation 2022]:[Deforestation 2024]])</f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</row>
    <row r="298" spans="1:58" x14ac:dyDescent="0.25">
      <c r="A298" s="2">
        <v>41202</v>
      </c>
      <c r="B298" s="3" t="s">
        <v>224</v>
      </c>
      <c r="C298" t="s">
        <v>252</v>
      </c>
      <c r="D298">
        <v>0</v>
      </c>
      <c r="E298" s="4">
        <f>AVERAGE(Tabla2[[#This Row],[Deforestation 2012]:[Deforestation 2014]])</f>
        <v>0</v>
      </c>
      <c r="F298" s="4">
        <f>AVERAGE(Tabla2[[#This Row],[Deforestation 2022]:[Deforestation 2024]])</f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</row>
    <row r="299" spans="1:58" x14ac:dyDescent="0.25">
      <c r="A299" s="2">
        <v>41301</v>
      </c>
      <c r="B299" s="3" t="s">
        <v>224</v>
      </c>
      <c r="C299" t="s">
        <v>206</v>
      </c>
      <c r="D299">
        <v>0</v>
      </c>
      <c r="E299" s="4">
        <f>AVERAGE(Tabla2[[#This Row],[Deforestation 2012]:[Deforestation 2014]])</f>
        <v>0</v>
      </c>
      <c r="F299" s="4">
        <f>AVERAGE(Tabla2[[#This Row],[Deforestation 2022]:[Deforestation 2024]])</f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</row>
    <row r="300" spans="1:58" x14ac:dyDescent="0.25">
      <c r="A300" s="2">
        <v>41501</v>
      </c>
      <c r="B300" s="3" t="s">
        <v>224</v>
      </c>
      <c r="C300" t="s">
        <v>254</v>
      </c>
      <c r="D300">
        <v>0</v>
      </c>
      <c r="E300" s="4">
        <f>AVERAGE(Tabla2[[#This Row],[Deforestation 2012]:[Deforestation 2014]])</f>
        <v>0</v>
      </c>
      <c r="F300" s="4">
        <f>AVERAGE(Tabla2[[#This Row],[Deforestation 2022]:[Deforestation 2024]])</f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</row>
    <row r="301" spans="1:58" x14ac:dyDescent="0.25">
      <c r="A301" s="2">
        <v>41502</v>
      </c>
      <c r="B301" s="3" t="s">
        <v>224</v>
      </c>
      <c r="C301" t="s">
        <v>255</v>
      </c>
      <c r="D301">
        <v>0</v>
      </c>
      <c r="E301" s="4">
        <f>AVERAGE(Tabla2[[#This Row],[Deforestation 2012]:[Deforestation 2014]])</f>
        <v>0</v>
      </c>
      <c r="F301" s="4">
        <f>AVERAGE(Tabla2[[#This Row],[Deforestation 2022]:[Deforestation 2024]])</f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</row>
    <row r="302" spans="1:58" x14ac:dyDescent="0.25">
      <c r="A302" s="2">
        <v>41503</v>
      </c>
      <c r="B302" s="3" t="s">
        <v>224</v>
      </c>
      <c r="C302" t="s">
        <v>256</v>
      </c>
      <c r="D302">
        <v>0</v>
      </c>
      <c r="E302" s="4">
        <f>AVERAGE(Tabla2[[#This Row],[Deforestation 2012]:[Deforestation 2014]])</f>
        <v>0</v>
      </c>
      <c r="F302" s="4">
        <f>AVERAGE(Tabla2[[#This Row],[Deforestation 2022]:[Deforestation 2024]])</f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</row>
    <row r="303" spans="1:58" x14ac:dyDescent="0.25">
      <c r="A303" s="2">
        <v>41601</v>
      </c>
      <c r="B303" s="3" t="s">
        <v>224</v>
      </c>
      <c r="C303" t="s">
        <v>257</v>
      </c>
      <c r="D303">
        <v>0</v>
      </c>
      <c r="E303" s="4">
        <f>AVERAGE(Tabla2[[#This Row],[Deforestation 2012]:[Deforestation 2014]])</f>
        <v>0</v>
      </c>
      <c r="F303" s="4">
        <f>AVERAGE(Tabla2[[#This Row],[Deforestation 2022]:[Deforestation 2024]])</f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</row>
    <row r="304" spans="1:58" x14ac:dyDescent="0.25">
      <c r="A304" s="2">
        <v>50103</v>
      </c>
      <c r="B304" s="3" t="s">
        <v>258</v>
      </c>
      <c r="C304" t="s">
        <v>260</v>
      </c>
      <c r="D304">
        <v>0</v>
      </c>
      <c r="E304" s="4">
        <f>AVERAGE(Tabla2[[#This Row],[Deforestation 2012]:[Deforestation 2014]])</f>
        <v>0</v>
      </c>
      <c r="F304" s="4">
        <f>AVERAGE(Tabla2[[#This Row],[Deforestation 2022]:[Deforestation 2024]])</f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</row>
    <row r="305" spans="1:58" x14ac:dyDescent="0.25">
      <c r="A305" s="2">
        <v>50204</v>
      </c>
      <c r="B305" s="3" t="s">
        <v>258</v>
      </c>
      <c r="C305" t="s">
        <v>265</v>
      </c>
      <c r="D305">
        <v>0</v>
      </c>
      <c r="E305" s="4">
        <f>AVERAGE(Tabla2[[#This Row],[Deforestation 2012]:[Deforestation 2014]])</f>
        <v>0</v>
      </c>
      <c r="F305" s="4">
        <f>AVERAGE(Tabla2[[#This Row],[Deforestation 2022]:[Deforestation 2024]])</f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</row>
    <row r="306" spans="1:58" x14ac:dyDescent="0.25">
      <c r="A306" s="2">
        <v>50405</v>
      </c>
      <c r="B306" s="3" t="s">
        <v>258</v>
      </c>
      <c r="C306" t="s">
        <v>273</v>
      </c>
      <c r="D306">
        <v>0</v>
      </c>
      <c r="E306" s="4">
        <f>AVERAGE(Tabla2[[#This Row],[Deforestation 2012]:[Deforestation 2014]])</f>
        <v>0</v>
      </c>
      <c r="F306" s="4">
        <f>AVERAGE(Tabla2[[#This Row],[Deforestation 2022]:[Deforestation 2024]])</f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</row>
    <row r="307" spans="1:58" x14ac:dyDescent="0.25">
      <c r="A307" s="2">
        <v>50901</v>
      </c>
      <c r="B307" s="3" t="s">
        <v>258</v>
      </c>
      <c r="C307" t="s">
        <v>282</v>
      </c>
      <c r="D307">
        <v>0</v>
      </c>
      <c r="E307" s="4">
        <f>AVERAGE(Tabla2[[#This Row],[Deforestation 2012]:[Deforestation 2014]])</f>
        <v>0</v>
      </c>
      <c r="F307" s="4">
        <f>AVERAGE(Tabla2[[#This Row],[Deforestation 2022]:[Deforestation 2024]])</f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</row>
    <row r="308" spans="1:58" x14ac:dyDescent="0.25">
      <c r="A308" s="2">
        <v>50902</v>
      </c>
      <c r="B308" s="3" t="s">
        <v>258</v>
      </c>
      <c r="C308" t="s">
        <v>283</v>
      </c>
      <c r="D308">
        <v>0</v>
      </c>
      <c r="E308" s="4">
        <f>AVERAGE(Tabla2[[#This Row],[Deforestation 2012]:[Deforestation 2014]])</f>
        <v>0</v>
      </c>
      <c r="F308" s="4">
        <f>AVERAGE(Tabla2[[#This Row],[Deforestation 2022]:[Deforestation 2024]])</f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</row>
    <row r="309" spans="1:58" x14ac:dyDescent="0.25">
      <c r="A309" s="2">
        <v>51001</v>
      </c>
      <c r="B309" s="3" t="s">
        <v>258</v>
      </c>
      <c r="C309" t="s">
        <v>284</v>
      </c>
      <c r="D309">
        <v>0</v>
      </c>
      <c r="E309" s="4">
        <f>AVERAGE(Tabla2[[#This Row],[Deforestation 2012]:[Deforestation 2014]])</f>
        <v>0</v>
      </c>
      <c r="F309" s="4">
        <f>AVERAGE(Tabla2[[#This Row],[Deforestation 2022]:[Deforestation 2024]])</f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</row>
    <row r="310" spans="1:58" x14ac:dyDescent="0.25">
      <c r="A310" s="2">
        <v>51002</v>
      </c>
      <c r="B310" s="3" t="s">
        <v>258</v>
      </c>
      <c r="C310" t="s">
        <v>285</v>
      </c>
      <c r="D310">
        <v>0</v>
      </c>
      <c r="E310" s="4">
        <f>AVERAGE(Tabla2[[#This Row],[Deforestation 2012]:[Deforestation 2014]])</f>
        <v>0</v>
      </c>
      <c r="F310" s="4">
        <f>AVERAGE(Tabla2[[#This Row],[Deforestation 2022]:[Deforestation 2024]])</f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0</v>
      </c>
    </row>
    <row r="311" spans="1:58" x14ac:dyDescent="0.25">
      <c r="A311" s="2">
        <v>51003</v>
      </c>
      <c r="B311" s="3" t="s">
        <v>258</v>
      </c>
      <c r="C311" t="s">
        <v>286</v>
      </c>
      <c r="D311">
        <v>0</v>
      </c>
      <c r="E311" s="4">
        <f>AVERAGE(Tabla2[[#This Row],[Deforestation 2012]:[Deforestation 2014]])</f>
        <v>0</v>
      </c>
      <c r="F311" s="4">
        <f>AVERAGE(Tabla2[[#This Row],[Deforestation 2022]:[Deforestation 2024]])</f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</row>
    <row r="312" spans="1:58" x14ac:dyDescent="0.25">
      <c r="A312" s="2">
        <v>51201</v>
      </c>
      <c r="B312" s="3" t="s">
        <v>258</v>
      </c>
      <c r="C312" t="s">
        <v>290</v>
      </c>
      <c r="D312">
        <v>0</v>
      </c>
      <c r="E312" s="4">
        <f>AVERAGE(Tabla2[[#This Row],[Deforestation 2012]:[Deforestation 2014]])</f>
        <v>0</v>
      </c>
      <c r="F312" s="4">
        <f>AVERAGE(Tabla2[[#This Row],[Deforestation 2022]:[Deforestation 2024]])</f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</row>
    <row r="313" spans="1:58" x14ac:dyDescent="0.25">
      <c r="A313" s="2">
        <v>51203</v>
      </c>
      <c r="B313" s="3" t="s">
        <v>258</v>
      </c>
      <c r="C313" t="s">
        <v>292</v>
      </c>
      <c r="D313">
        <v>0</v>
      </c>
      <c r="E313" s="4">
        <f>AVERAGE(Tabla2[[#This Row],[Deforestation 2012]:[Deforestation 2014]])</f>
        <v>0</v>
      </c>
      <c r="F313" s="4">
        <f>AVERAGE(Tabla2[[#This Row],[Deforestation 2022]:[Deforestation 2024]])</f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</row>
    <row r="314" spans="1:58" x14ac:dyDescent="0.25">
      <c r="A314" s="2">
        <v>51401</v>
      </c>
      <c r="B314" s="3" t="s">
        <v>258</v>
      </c>
      <c r="C314" t="s">
        <v>296</v>
      </c>
      <c r="D314">
        <v>0</v>
      </c>
      <c r="E314" s="4">
        <f>AVERAGE(Tabla2[[#This Row],[Deforestation 2012]:[Deforestation 2014]])</f>
        <v>0</v>
      </c>
      <c r="F314" s="4">
        <f>AVERAGE(Tabla2[[#This Row],[Deforestation 2022]:[Deforestation 2024]])</f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</row>
    <row r="315" spans="1:58" x14ac:dyDescent="0.25">
      <c r="A315" s="2">
        <v>51402</v>
      </c>
      <c r="B315" s="3" t="s">
        <v>258</v>
      </c>
      <c r="C315" t="s">
        <v>297</v>
      </c>
      <c r="D315">
        <v>0</v>
      </c>
      <c r="E315" s="4">
        <f>AVERAGE(Tabla2[[#This Row],[Deforestation 2012]:[Deforestation 2014]])</f>
        <v>0</v>
      </c>
      <c r="F315" s="4">
        <f>AVERAGE(Tabla2[[#This Row],[Deforestation 2022]:[Deforestation 2024]])</f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</row>
    <row r="316" spans="1:58" x14ac:dyDescent="0.25">
      <c r="A316" s="2">
        <v>51601</v>
      </c>
      <c r="B316" s="3" t="s">
        <v>258</v>
      </c>
      <c r="C316" t="s">
        <v>299</v>
      </c>
      <c r="D316">
        <v>0</v>
      </c>
      <c r="E316" s="4">
        <f>AVERAGE(Tabla2[[#This Row],[Deforestation 2012]:[Deforestation 2014]])</f>
        <v>0</v>
      </c>
      <c r="F316" s="4">
        <f>AVERAGE(Tabla2[[#This Row],[Deforestation 2022]:[Deforestation 2024]])</f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</row>
    <row r="317" spans="1:58" x14ac:dyDescent="0.25">
      <c r="A317" s="2">
        <v>50802</v>
      </c>
      <c r="B317" s="3" t="s">
        <v>258</v>
      </c>
      <c r="C317" t="s">
        <v>281</v>
      </c>
      <c r="D317">
        <v>0.36</v>
      </c>
      <c r="E317" s="4">
        <f>AVERAGE(Tabla2[[#This Row],[Deforestation 2012]:[Deforestation 2014]])</f>
        <v>0</v>
      </c>
      <c r="F317" s="4">
        <f>AVERAGE(Tabla2[[#This Row],[Deforestation 2022]:[Deforestation 2024]])</f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0.36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s="5">
        <f>Tabla2[[#This Row],[Deforestation 2012]]/Tabla2[[#This Row],[Forest cover 2011]]</f>
        <v>0</v>
      </c>
      <c r="AH317" s="6">
        <f>Tabla2[[#This Row],[Deforestation 2013]]/Tabla2[[#This Row],[Forest cover 2011]]</f>
        <v>0</v>
      </c>
      <c r="AI317" s="6">
        <f>Tabla2[[#This Row],[Deforestation 2014]]/Tabla2[[#This Row],[Forest cover 2011]]</f>
        <v>0</v>
      </c>
      <c r="AJ317" s="6">
        <f>Tabla2[[#This Row],[Deforestation 2015]]/Tabla2[[#This Row],[Forest cover 2011]]</f>
        <v>0</v>
      </c>
      <c r="AK317" s="6">
        <f>Tabla2[[#This Row],[Deforestation 2016]]/Tabla2[[#This Row],[Forest cover 2011]]</f>
        <v>0</v>
      </c>
      <c r="AL317" s="6">
        <f>Tabla2[[#This Row],[Deforestation 2017]]/Tabla2[[#This Row],[Forest cover 2011]]</f>
        <v>0</v>
      </c>
      <c r="AM317" s="6">
        <f>Tabla2[[#This Row],[Deforestation 2018]]/Tabla2[[#This Row],[Forest cover 2011]]</f>
        <v>0</v>
      </c>
      <c r="AN317" s="6">
        <f>Tabla2[[#This Row],[Deforestation 2019]]/Tabla2[[#This Row],[Forest cover 2011]]</f>
        <v>0</v>
      </c>
      <c r="AO317" s="6">
        <f>Tabla2[[#This Row],[Deforestation 2020]]/Tabla2[[#This Row],[Forest cover 2011]]</f>
        <v>0</v>
      </c>
      <c r="AP317" s="6">
        <f>Tabla2[[#This Row],[Deforestation 2021]]/Tabla2[[#This Row],[Forest cover 2011]]</f>
        <v>0</v>
      </c>
      <c r="AQ317" s="6">
        <f>Tabla2[[#This Row],[Deforestation 2022]]/Tabla2[[#This Row],[Forest cover 2011]]</f>
        <v>0</v>
      </c>
      <c r="AR317" s="6">
        <f>Tabla2[[#This Row],[Deforestation 2023]]/Tabla2[[#This Row],[Forest cover 2011]]</f>
        <v>0</v>
      </c>
      <c r="AS317" s="6">
        <f>Tabla2[[#This Row],[Deforestation 2024]]/Tabla2[[#This Row],[Forest cover 2011]]</f>
        <v>0</v>
      </c>
      <c r="AT317" s="6">
        <f>Tabla2[[#This Row],[Forest Loss 2012]]/Tabla2[[#This Row],[Forest cover 2011]]</f>
        <v>1</v>
      </c>
      <c r="AU317" s="6">
        <f>Tabla2[[#This Row],[Forest Loss 2013]]/Tabla2[[#This Row],[Forest cover 2011]]</f>
        <v>0</v>
      </c>
      <c r="AV317" s="6">
        <f>Tabla2[[#This Row],[Forest Loss 2014]]/Tabla2[[#This Row],[Forest cover 2011]]</f>
        <v>0</v>
      </c>
      <c r="AW317" s="6">
        <f>Tabla2[[#This Row],[Forest Loss 2015]]/Tabla2[[#This Row],[Forest cover 2011]]</f>
        <v>0</v>
      </c>
      <c r="AX317" s="6">
        <f>Tabla2[[#This Row],[Forest Loss 2016]]/Tabla2[[#This Row],[Forest cover 2011]]</f>
        <v>0</v>
      </c>
      <c r="AY317" s="6">
        <f>Tabla2[[#This Row],[Forest Loss 2017]]/Tabla2[[#This Row],[Forest cover 2011]]</f>
        <v>0</v>
      </c>
      <c r="AZ317" s="6">
        <f>Tabla2[[#This Row],[Forest Loss 2018]]/Tabla2[[#This Row],[Forest cover 2011]]</f>
        <v>0</v>
      </c>
      <c r="BA317" s="6">
        <f>Tabla2[[#This Row],[Forest Loss 2019]]/Tabla2[[#This Row],[Forest cover 2011]]</f>
        <v>0</v>
      </c>
      <c r="BB317" s="6">
        <f>Tabla2[[#This Row],[Forest Loss 2020]]/Tabla2[[#This Row],[Forest cover 2011]]</f>
        <v>0</v>
      </c>
      <c r="BC317" s="6">
        <f>Tabla2[[#This Row],[Forest Loss 2021]]/Tabla2[[#This Row],[Forest cover 2011]]</f>
        <v>0</v>
      </c>
      <c r="BD317" s="6">
        <f>Tabla2[[#This Row],[Forest Loss 2022]]/Tabla2[[#This Row],[Forest cover 2011]]</f>
        <v>0</v>
      </c>
      <c r="BE317" s="6">
        <f>Tabla2[[#This Row],[Forest Loss 2023]]/Tabla2[[#This Row],[Forest cover 2011]]</f>
        <v>0</v>
      </c>
      <c r="BF317" s="6">
        <f>Tabla2[[#This Row],[Forest Loss 2024]]/Tabla2[[#This Row],[Forest cover 2011]]</f>
        <v>0</v>
      </c>
    </row>
    <row r="318" spans="1:58" x14ac:dyDescent="0.25">
      <c r="A318" s="2">
        <v>20201</v>
      </c>
      <c r="B318" s="3" t="s">
        <v>88</v>
      </c>
      <c r="C318" t="s">
        <v>94</v>
      </c>
      <c r="D318">
        <v>0.45</v>
      </c>
      <c r="E318" s="4">
        <f>AVERAGE(Tabla2[[#This Row],[Deforestation 2012]:[Deforestation 2014]])</f>
        <v>0</v>
      </c>
      <c r="F318" s="4">
        <f>AVERAGE(Tabla2[[#This Row],[Deforestation 2022]:[Deforestation 2024]])</f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s="5">
        <f>Tabla2[[#This Row],[Deforestation 2012]]/Tabla2[[#This Row],[Forest cover 2011]]</f>
        <v>0</v>
      </c>
      <c r="AH318" s="6">
        <f>Tabla2[[#This Row],[Deforestation 2013]]/Tabla2[[#This Row],[Forest cover 2011]]</f>
        <v>0</v>
      </c>
      <c r="AI318" s="6">
        <f>Tabla2[[#This Row],[Deforestation 2014]]/Tabla2[[#This Row],[Forest cover 2011]]</f>
        <v>0</v>
      </c>
      <c r="AJ318" s="6">
        <f>Tabla2[[#This Row],[Deforestation 2015]]/Tabla2[[#This Row],[Forest cover 2011]]</f>
        <v>0</v>
      </c>
      <c r="AK318" s="6">
        <f>Tabla2[[#This Row],[Deforestation 2016]]/Tabla2[[#This Row],[Forest cover 2011]]</f>
        <v>0</v>
      </c>
      <c r="AL318" s="6">
        <f>Tabla2[[#This Row],[Deforestation 2017]]/Tabla2[[#This Row],[Forest cover 2011]]</f>
        <v>0</v>
      </c>
      <c r="AM318" s="6">
        <f>Tabla2[[#This Row],[Deforestation 2018]]/Tabla2[[#This Row],[Forest cover 2011]]</f>
        <v>0</v>
      </c>
      <c r="AN318" s="6">
        <f>Tabla2[[#This Row],[Deforestation 2019]]/Tabla2[[#This Row],[Forest cover 2011]]</f>
        <v>0</v>
      </c>
      <c r="AO318" s="6">
        <f>Tabla2[[#This Row],[Deforestation 2020]]/Tabla2[[#This Row],[Forest cover 2011]]</f>
        <v>0</v>
      </c>
      <c r="AP318" s="6">
        <f>Tabla2[[#This Row],[Deforestation 2021]]/Tabla2[[#This Row],[Forest cover 2011]]</f>
        <v>0</v>
      </c>
      <c r="AQ318" s="6">
        <f>Tabla2[[#This Row],[Deforestation 2022]]/Tabla2[[#This Row],[Forest cover 2011]]</f>
        <v>0</v>
      </c>
      <c r="AR318" s="6">
        <f>Tabla2[[#This Row],[Deforestation 2023]]/Tabla2[[#This Row],[Forest cover 2011]]</f>
        <v>0</v>
      </c>
      <c r="AS318" s="6">
        <f>Tabla2[[#This Row],[Deforestation 2024]]/Tabla2[[#This Row],[Forest cover 2011]]</f>
        <v>0</v>
      </c>
      <c r="AT318" s="6">
        <f>Tabla2[[#This Row],[Forest Loss 2012]]/Tabla2[[#This Row],[Forest cover 2011]]</f>
        <v>0</v>
      </c>
      <c r="AU318" s="6">
        <f>Tabla2[[#This Row],[Forest Loss 2013]]/Tabla2[[#This Row],[Forest cover 2011]]</f>
        <v>0</v>
      </c>
      <c r="AV318" s="6">
        <f>Tabla2[[#This Row],[Forest Loss 2014]]/Tabla2[[#This Row],[Forest cover 2011]]</f>
        <v>0</v>
      </c>
      <c r="AW318" s="6">
        <f>Tabla2[[#This Row],[Forest Loss 2015]]/Tabla2[[#This Row],[Forest cover 2011]]</f>
        <v>0</v>
      </c>
      <c r="AX318" s="6">
        <f>Tabla2[[#This Row],[Forest Loss 2016]]/Tabla2[[#This Row],[Forest cover 2011]]</f>
        <v>0</v>
      </c>
      <c r="AY318" s="6">
        <f>Tabla2[[#This Row],[Forest Loss 2017]]/Tabla2[[#This Row],[Forest cover 2011]]</f>
        <v>0</v>
      </c>
      <c r="AZ318" s="6">
        <f>Tabla2[[#This Row],[Forest Loss 2018]]/Tabla2[[#This Row],[Forest cover 2011]]</f>
        <v>0</v>
      </c>
      <c r="BA318" s="6">
        <f>Tabla2[[#This Row],[Forest Loss 2019]]/Tabla2[[#This Row],[Forest cover 2011]]</f>
        <v>0</v>
      </c>
      <c r="BB318" s="6">
        <f>Tabla2[[#This Row],[Forest Loss 2020]]/Tabla2[[#This Row],[Forest cover 2011]]</f>
        <v>0</v>
      </c>
      <c r="BC318" s="6">
        <f>Tabla2[[#This Row],[Forest Loss 2021]]/Tabla2[[#This Row],[Forest cover 2011]]</f>
        <v>0</v>
      </c>
      <c r="BD318" s="6">
        <f>Tabla2[[#This Row],[Forest Loss 2022]]/Tabla2[[#This Row],[Forest cover 2011]]</f>
        <v>0</v>
      </c>
      <c r="BE318" s="6">
        <f>Tabla2[[#This Row],[Forest Loss 2023]]/Tabla2[[#This Row],[Forest cover 2011]]</f>
        <v>0</v>
      </c>
      <c r="BF318" s="6">
        <f>Tabla2[[#This Row],[Forest Loss 2024]]/Tabla2[[#This Row],[Forest cover 2011]]</f>
        <v>0</v>
      </c>
    </row>
    <row r="319" spans="1:58" x14ac:dyDescent="0.25">
      <c r="A319" s="2">
        <v>50201</v>
      </c>
      <c r="B319" s="3" t="s">
        <v>258</v>
      </c>
      <c r="C319" t="s">
        <v>262</v>
      </c>
      <c r="D319">
        <v>0.72</v>
      </c>
      <c r="E319" s="4">
        <f>AVERAGE(Tabla2[[#This Row],[Deforestation 2012]:[Deforestation 2014]])</f>
        <v>0</v>
      </c>
      <c r="F319" s="4">
        <f>AVERAGE(Tabla2[[#This Row],[Deforestation 2022]:[Deforestation 2024]])</f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0.27</v>
      </c>
      <c r="AC319">
        <v>0</v>
      </c>
      <c r="AD319">
        <v>0</v>
      </c>
      <c r="AE319">
        <v>0</v>
      </c>
      <c r="AF319">
        <v>0</v>
      </c>
      <c r="AG319" s="5">
        <f>Tabla2[[#This Row],[Deforestation 2012]]/Tabla2[[#This Row],[Forest cover 2011]]</f>
        <v>0</v>
      </c>
      <c r="AH319" s="6">
        <f>Tabla2[[#This Row],[Deforestation 2013]]/Tabla2[[#This Row],[Forest cover 2011]]</f>
        <v>0</v>
      </c>
      <c r="AI319" s="6">
        <f>Tabla2[[#This Row],[Deforestation 2014]]/Tabla2[[#This Row],[Forest cover 2011]]</f>
        <v>0</v>
      </c>
      <c r="AJ319" s="6">
        <f>Tabla2[[#This Row],[Deforestation 2015]]/Tabla2[[#This Row],[Forest cover 2011]]</f>
        <v>0</v>
      </c>
      <c r="AK319" s="6">
        <f>Tabla2[[#This Row],[Deforestation 2016]]/Tabla2[[#This Row],[Forest cover 2011]]</f>
        <v>0</v>
      </c>
      <c r="AL319" s="6">
        <f>Tabla2[[#This Row],[Deforestation 2017]]/Tabla2[[#This Row],[Forest cover 2011]]</f>
        <v>0</v>
      </c>
      <c r="AM319" s="6">
        <f>Tabla2[[#This Row],[Deforestation 2018]]/Tabla2[[#This Row],[Forest cover 2011]]</f>
        <v>0</v>
      </c>
      <c r="AN319" s="6">
        <f>Tabla2[[#This Row],[Deforestation 2019]]/Tabla2[[#This Row],[Forest cover 2011]]</f>
        <v>0</v>
      </c>
      <c r="AO319" s="6">
        <f>Tabla2[[#This Row],[Deforestation 2020]]/Tabla2[[#This Row],[Forest cover 2011]]</f>
        <v>0</v>
      </c>
      <c r="AP319" s="6">
        <f>Tabla2[[#This Row],[Deforestation 2021]]/Tabla2[[#This Row],[Forest cover 2011]]</f>
        <v>0</v>
      </c>
      <c r="AQ319" s="6">
        <f>Tabla2[[#This Row],[Deforestation 2022]]/Tabla2[[#This Row],[Forest cover 2011]]</f>
        <v>0</v>
      </c>
      <c r="AR319" s="6">
        <f>Tabla2[[#This Row],[Deforestation 2023]]/Tabla2[[#This Row],[Forest cover 2011]]</f>
        <v>0</v>
      </c>
      <c r="AS319" s="6">
        <f>Tabla2[[#This Row],[Deforestation 2024]]/Tabla2[[#This Row],[Forest cover 2011]]</f>
        <v>0</v>
      </c>
      <c r="AT319" s="6">
        <f>Tabla2[[#This Row],[Forest Loss 2012]]/Tabla2[[#This Row],[Forest cover 2011]]</f>
        <v>0.125</v>
      </c>
      <c r="AU319" s="6">
        <f>Tabla2[[#This Row],[Forest Loss 2013]]/Tabla2[[#This Row],[Forest cover 2011]]</f>
        <v>0</v>
      </c>
      <c r="AV319" s="6">
        <f>Tabla2[[#This Row],[Forest Loss 2014]]/Tabla2[[#This Row],[Forest cover 2011]]</f>
        <v>0</v>
      </c>
      <c r="AW319" s="6">
        <f>Tabla2[[#This Row],[Forest Loss 2015]]/Tabla2[[#This Row],[Forest cover 2011]]</f>
        <v>0</v>
      </c>
      <c r="AX319" s="6">
        <f>Tabla2[[#This Row],[Forest Loss 2016]]/Tabla2[[#This Row],[Forest cover 2011]]</f>
        <v>0</v>
      </c>
      <c r="AY319" s="6">
        <f>Tabla2[[#This Row],[Forest Loss 2017]]/Tabla2[[#This Row],[Forest cover 2011]]</f>
        <v>0</v>
      </c>
      <c r="AZ319" s="6">
        <f>Tabla2[[#This Row],[Forest Loss 2018]]/Tabla2[[#This Row],[Forest cover 2011]]</f>
        <v>0</v>
      </c>
      <c r="BA319" s="6">
        <f>Tabla2[[#This Row],[Forest Loss 2019]]/Tabla2[[#This Row],[Forest cover 2011]]</f>
        <v>0</v>
      </c>
      <c r="BB319" s="6">
        <f>Tabla2[[#This Row],[Forest Loss 2020]]/Tabla2[[#This Row],[Forest cover 2011]]</f>
        <v>0.37500000000000006</v>
      </c>
      <c r="BC319" s="6">
        <f>Tabla2[[#This Row],[Forest Loss 2021]]/Tabla2[[#This Row],[Forest cover 2011]]</f>
        <v>0</v>
      </c>
      <c r="BD319" s="6">
        <f>Tabla2[[#This Row],[Forest Loss 2022]]/Tabla2[[#This Row],[Forest cover 2011]]</f>
        <v>0</v>
      </c>
      <c r="BE319" s="6">
        <f>Tabla2[[#This Row],[Forest Loss 2023]]/Tabla2[[#This Row],[Forest cover 2011]]</f>
        <v>0</v>
      </c>
      <c r="BF319" s="6">
        <f>Tabla2[[#This Row],[Forest Loss 2024]]/Tabla2[[#This Row],[Forest cover 2011]]</f>
        <v>0</v>
      </c>
    </row>
    <row r="320" spans="1:58" x14ac:dyDescent="0.25">
      <c r="A320" s="2">
        <v>21201</v>
      </c>
      <c r="B320" s="3" t="s">
        <v>88</v>
      </c>
      <c r="C320" t="s">
        <v>149</v>
      </c>
      <c r="D320">
        <v>0.9</v>
      </c>
      <c r="E320" s="4">
        <f>AVERAGE(Tabla2[[#This Row],[Deforestation 2012]:[Deforestation 2014]])</f>
        <v>0</v>
      </c>
      <c r="F320" s="4">
        <f>AVERAGE(Tabla2[[#This Row],[Deforestation 2022]:[Deforestation 2024]])</f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0.09</v>
      </c>
      <c r="W320">
        <v>0.09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s="5">
        <f>Tabla2[[#This Row],[Deforestation 2012]]/Tabla2[[#This Row],[Forest cover 2011]]</f>
        <v>0</v>
      </c>
      <c r="AH320" s="6">
        <f>Tabla2[[#This Row],[Deforestation 2013]]/Tabla2[[#This Row],[Forest cover 2011]]</f>
        <v>0</v>
      </c>
      <c r="AI320" s="6">
        <f>Tabla2[[#This Row],[Deforestation 2014]]/Tabla2[[#This Row],[Forest cover 2011]]</f>
        <v>0</v>
      </c>
      <c r="AJ320" s="6">
        <f>Tabla2[[#This Row],[Deforestation 2015]]/Tabla2[[#This Row],[Forest cover 2011]]</f>
        <v>0</v>
      </c>
      <c r="AK320" s="6">
        <f>Tabla2[[#This Row],[Deforestation 2016]]/Tabla2[[#This Row],[Forest cover 2011]]</f>
        <v>0</v>
      </c>
      <c r="AL320" s="6">
        <f>Tabla2[[#This Row],[Deforestation 2017]]/Tabla2[[#This Row],[Forest cover 2011]]</f>
        <v>0</v>
      </c>
      <c r="AM320" s="6">
        <f>Tabla2[[#This Row],[Deforestation 2018]]/Tabla2[[#This Row],[Forest cover 2011]]</f>
        <v>0</v>
      </c>
      <c r="AN320" s="6">
        <f>Tabla2[[#This Row],[Deforestation 2019]]/Tabla2[[#This Row],[Forest cover 2011]]</f>
        <v>0</v>
      </c>
      <c r="AO320" s="6">
        <f>Tabla2[[#This Row],[Deforestation 2020]]/Tabla2[[#This Row],[Forest cover 2011]]</f>
        <v>0</v>
      </c>
      <c r="AP320" s="6">
        <f>Tabla2[[#This Row],[Deforestation 2021]]/Tabla2[[#This Row],[Forest cover 2011]]</f>
        <v>0</v>
      </c>
      <c r="AQ320" s="6">
        <f>Tabla2[[#This Row],[Deforestation 2022]]/Tabla2[[#This Row],[Forest cover 2011]]</f>
        <v>0</v>
      </c>
      <c r="AR320" s="6">
        <f>Tabla2[[#This Row],[Deforestation 2023]]/Tabla2[[#This Row],[Forest cover 2011]]</f>
        <v>0</v>
      </c>
      <c r="AS320" s="6">
        <f>Tabla2[[#This Row],[Deforestation 2024]]/Tabla2[[#This Row],[Forest cover 2011]]</f>
        <v>0</v>
      </c>
      <c r="AT320" s="6">
        <f>Tabla2[[#This Row],[Forest Loss 2012]]/Tabla2[[#This Row],[Forest cover 2011]]</f>
        <v>0</v>
      </c>
      <c r="AU320" s="6">
        <f>Tabla2[[#This Row],[Forest Loss 2013]]/Tabla2[[#This Row],[Forest cover 2011]]</f>
        <v>0</v>
      </c>
      <c r="AV320" s="6">
        <f>Tabla2[[#This Row],[Forest Loss 2014]]/Tabla2[[#This Row],[Forest cover 2011]]</f>
        <v>9.9999999999999992E-2</v>
      </c>
      <c r="AW320" s="6">
        <f>Tabla2[[#This Row],[Forest Loss 2015]]/Tabla2[[#This Row],[Forest cover 2011]]</f>
        <v>9.9999999999999992E-2</v>
      </c>
      <c r="AX320" s="6">
        <f>Tabla2[[#This Row],[Forest Loss 2016]]/Tabla2[[#This Row],[Forest cover 2011]]</f>
        <v>0</v>
      </c>
      <c r="AY320" s="6">
        <f>Tabla2[[#This Row],[Forest Loss 2017]]/Tabla2[[#This Row],[Forest cover 2011]]</f>
        <v>0</v>
      </c>
      <c r="AZ320" s="6">
        <f>Tabla2[[#This Row],[Forest Loss 2018]]/Tabla2[[#This Row],[Forest cover 2011]]</f>
        <v>0</v>
      </c>
      <c r="BA320" s="6">
        <f>Tabla2[[#This Row],[Forest Loss 2019]]/Tabla2[[#This Row],[Forest cover 2011]]</f>
        <v>0</v>
      </c>
      <c r="BB320" s="6">
        <f>Tabla2[[#This Row],[Forest Loss 2020]]/Tabla2[[#This Row],[Forest cover 2011]]</f>
        <v>0</v>
      </c>
      <c r="BC320" s="6">
        <f>Tabla2[[#This Row],[Forest Loss 2021]]/Tabla2[[#This Row],[Forest cover 2011]]</f>
        <v>0</v>
      </c>
      <c r="BD320" s="6">
        <f>Tabla2[[#This Row],[Forest Loss 2022]]/Tabla2[[#This Row],[Forest cover 2011]]</f>
        <v>0</v>
      </c>
      <c r="BE320" s="6">
        <f>Tabla2[[#This Row],[Forest Loss 2023]]/Tabla2[[#This Row],[Forest cover 2011]]</f>
        <v>0</v>
      </c>
      <c r="BF320" s="6">
        <f>Tabla2[[#This Row],[Forest Loss 2024]]/Tabla2[[#This Row],[Forest cover 2011]]</f>
        <v>0</v>
      </c>
    </row>
    <row r="321" spans="1:58" x14ac:dyDescent="0.25">
      <c r="A321" s="2">
        <v>50702</v>
      </c>
      <c r="B321" s="3" t="s">
        <v>258</v>
      </c>
      <c r="C321" t="s">
        <v>279</v>
      </c>
      <c r="D321">
        <v>1.17</v>
      </c>
      <c r="E321" s="4">
        <f>AVERAGE(Tabla2[[#This Row],[Deforestation 2012]:[Deforestation 2014]])</f>
        <v>0</v>
      </c>
      <c r="F321" s="4">
        <f>AVERAGE(Tabla2[[#This Row],[Deforestation 2022]:[Deforestation 2024]])</f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s="5">
        <f>Tabla2[[#This Row],[Deforestation 2012]]/Tabla2[[#This Row],[Forest cover 2011]]</f>
        <v>0</v>
      </c>
      <c r="AH321" s="6">
        <f>Tabla2[[#This Row],[Deforestation 2013]]/Tabla2[[#This Row],[Forest cover 2011]]</f>
        <v>0</v>
      </c>
      <c r="AI321" s="6">
        <f>Tabla2[[#This Row],[Deforestation 2014]]/Tabla2[[#This Row],[Forest cover 2011]]</f>
        <v>0</v>
      </c>
      <c r="AJ321" s="6">
        <f>Tabla2[[#This Row],[Deforestation 2015]]/Tabla2[[#This Row],[Forest cover 2011]]</f>
        <v>0</v>
      </c>
      <c r="AK321" s="6">
        <f>Tabla2[[#This Row],[Deforestation 2016]]/Tabla2[[#This Row],[Forest cover 2011]]</f>
        <v>0</v>
      </c>
      <c r="AL321" s="6">
        <f>Tabla2[[#This Row],[Deforestation 2017]]/Tabla2[[#This Row],[Forest cover 2011]]</f>
        <v>0</v>
      </c>
      <c r="AM321" s="6">
        <f>Tabla2[[#This Row],[Deforestation 2018]]/Tabla2[[#This Row],[Forest cover 2011]]</f>
        <v>0</v>
      </c>
      <c r="AN321" s="6">
        <f>Tabla2[[#This Row],[Deforestation 2019]]/Tabla2[[#This Row],[Forest cover 2011]]</f>
        <v>0</v>
      </c>
      <c r="AO321" s="6">
        <f>Tabla2[[#This Row],[Deforestation 2020]]/Tabla2[[#This Row],[Forest cover 2011]]</f>
        <v>0</v>
      </c>
      <c r="AP321" s="6">
        <f>Tabla2[[#This Row],[Deforestation 2021]]/Tabla2[[#This Row],[Forest cover 2011]]</f>
        <v>0</v>
      </c>
      <c r="AQ321" s="6">
        <f>Tabla2[[#This Row],[Deforestation 2022]]/Tabla2[[#This Row],[Forest cover 2011]]</f>
        <v>0</v>
      </c>
      <c r="AR321" s="6">
        <f>Tabla2[[#This Row],[Deforestation 2023]]/Tabla2[[#This Row],[Forest cover 2011]]</f>
        <v>0</v>
      </c>
      <c r="AS321" s="6">
        <f>Tabla2[[#This Row],[Deforestation 2024]]/Tabla2[[#This Row],[Forest cover 2011]]</f>
        <v>0</v>
      </c>
      <c r="AT321" s="6">
        <f>Tabla2[[#This Row],[Forest Loss 2012]]/Tabla2[[#This Row],[Forest cover 2011]]</f>
        <v>0</v>
      </c>
      <c r="AU321" s="6">
        <f>Tabla2[[#This Row],[Forest Loss 2013]]/Tabla2[[#This Row],[Forest cover 2011]]</f>
        <v>0</v>
      </c>
      <c r="AV321" s="6">
        <f>Tabla2[[#This Row],[Forest Loss 2014]]/Tabla2[[#This Row],[Forest cover 2011]]</f>
        <v>0</v>
      </c>
      <c r="AW321" s="6">
        <f>Tabla2[[#This Row],[Forest Loss 2015]]/Tabla2[[#This Row],[Forest cover 2011]]</f>
        <v>0</v>
      </c>
      <c r="AX321" s="6">
        <f>Tabla2[[#This Row],[Forest Loss 2016]]/Tabla2[[#This Row],[Forest cover 2011]]</f>
        <v>0</v>
      </c>
      <c r="AY321" s="6">
        <f>Tabla2[[#This Row],[Forest Loss 2017]]/Tabla2[[#This Row],[Forest cover 2011]]</f>
        <v>0</v>
      </c>
      <c r="AZ321" s="6">
        <f>Tabla2[[#This Row],[Forest Loss 2018]]/Tabla2[[#This Row],[Forest cover 2011]]</f>
        <v>0</v>
      </c>
      <c r="BA321" s="6">
        <f>Tabla2[[#This Row],[Forest Loss 2019]]/Tabla2[[#This Row],[Forest cover 2011]]</f>
        <v>0</v>
      </c>
      <c r="BB321" s="6">
        <f>Tabla2[[#This Row],[Forest Loss 2020]]/Tabla2[[#This Row],[Forest cover 2011]]</f>
        <v>0</v>
      </c>
      <c r="BC321" s="6">
        <f>Tabla2[[#This Row],[Forest Loss 2021]]/Tabla2[[#This Row],[Forest cover 2011]]</f>
        <v>0</v>
      </c>
      <c r="BD321" s="6">
        <f>Tabla2[[#This Row],[Forest Loss 2022]]/Tabla2[[#This Row],[Forest cover 2011]]</f>
        <v>0</v>
      </c>
      <c r="BE321" s="6">
        <f>Tabla2[[#This Row],[Forest Loss 2023]]/Tabla2[[#This Row],[Forest cover 2011]]</f>
        <v>0</v>
      </c>
      <c r="BF321" s="6">
        <f>Tabla2[[#This Row],[Forest Loss 2024]]/Tabla2[[#This Row],[Forest cover 2011]]</f>
        <v>0</v>
      </c>
    </row>
    <row r="322" spans="1:58" x14ac:dyDescent="0.25">
      <c r="A322" s="2">
        <v>31402</v>
      </c>
      <c r="B322" s="3" t="s">
        <v>176</v>
      </c>
      <c r="C322" t="s">
        <v>217</v>
      </c>
      <c r="D322">
        <v>2.79</v>
      </c>
      <c r="E322" s="4">
        <f>AVERAGE(Tabla2[[#This Row],[Deforestation 2012]:[Deforestation 2014]])</f>
        <v>0</v>
      </c>
      <c r="F322" s="4">
        <f>AVERAGE(Tabla2[[#This Row],[Deforestation 2022]:[Deforestation 2024]])</f>
        <v>0.03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0.09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1.26</v>
      </c>
      <c r="AF322">
        <v>0</v>
      </c>
      <c r="AG322" s="5">
        <f>Tabla2[[#This Row],[Deforestation 2012]]/Tabla2[[#This Row],[Forest cover 2011]]</f>
        <v>0</v>
      </c>
      <c r="AH322" s="6">
        <f>Tabla2[[#This Row],[Deforestation 2013]]/Tabla2[[#This Row],[Forest cover 2011]]</f>
        <v>0</v>
      </c>
      <c r="AI322" s="6">
        <f>Tabla2[[#This Row],[Deforestation 2014]]/Tabla2[[#This Row],[Forest cover 2011]]</f>
        <v>0</v>
      </c>
      <c r="AJ322" s="6">
        <f>Tabla2[[#This Row],[Deforestation 2015]]/Tabla2[[#This Row],[Forest cover 2011]]</f>
        <v>0</v>
      </c>
      <c r="AK322" s="6">
        <f>Tabla2[[#This Row],[Deforestation 2016]]/Tabla2[[#This Row],[Forest cover 2011]]</f>
        <v>0</v>
      </c>
      <c r="AL322" s="6">
        <f>Tabla2[[#This Row],[Deforestation 2017]]/Tabla2[[#This Row],[Forest cover 2011]]</f>
        <v>0</v>
      </c>
      <c r="AM322" s="6">
        <f>Tabla2[[#This Row],[Deforestation 2018]]/Tabla2[[#This Row],[Forest cover 2011]]</f>
        <v>0</v>
      </c>
      <c r="AN322" s="6">
        <f>Tabla2[[#This Row],[Deforestation 2019]]/Tabla2[[#This Row],[Forest cover 2011]]</f>
        <v>0</v>
      </c>
      <c r="AO322" s="6">
        <f>Tabla2[[#This Row],[Deforestation 2020]]/Tabla2[[#This Row],[Forest cover 2011]]</f>
        <v>0</v>
      </c>
      <c r="AP322" s="6">
        <f>Tabla2[[#This Row],[Deforestation 2021]]/Tabla2[[#This Row],[Forest cover 2011]]</f>
        <v>0</v>
      </c>
      <c r="AQ322" s="6">
        <f>Tabla2[[#This Row],[Deforestation 2022]]/Tabla2[[#This Row],[Forest cover 2011]]</f>
        <v>0</v>
      </c>
      <c r="AR322" s="6">
        <f>Tabla2[[#This Row],[Deforestation 2023]]/Tabla2[[#This Row],[Forest cover 2011]]</f>
        <v>3.2258064516129031E-2</v>
      </c>
      <c r="AS322" s="6">
        <f>Tabla2[[#This Row],[Deforestation 2024]]/Tabla2[[#This Row],[Forest cover 2011]]</f>
        <v>0</v>
      </c>
      <c r="AT322" s="6">
        <f>Tabla2[[#This Row],[Forest Loss 2012]]/Tabla2[[#This Row],[Forest cover 2011]]</f>
        <v>0</v>
      </c>
      <c r="AU322" s="6">
        <f>Tabla2[[#This Row],[Forest Loss 2013]]/Tabla2[[#This Row],[Forest cover 2011]]</f>
        <v>0</v>
      </c>
      <c r="AV322" s="6">
        <f>Tabla2[[#This Row],[Forest Loss 2014]]/Tabla2[[#This Row],[Forest cover 2011]]</f>
        <v>0</v>
      </c>
      <c r="AW322" s="6">
        <f>Tabla2[[#This Row],[Forest Loss 2015]]/Tabla2[[#This Row],[Forest cover 2011]]</f>
        <v>0</v>
      </c>
      <c r="AX322" s="6">
        <f>Tabla2[[#This Row],[Forest Loss 2016]]/Tabla2[[#This Row],[Forest cover 2011]]</f>
        <v>0</v>
      </c>
      <c r="AY322" s="6">
        <f>Tabla2[[#This Row],[Forest Loss 2017]]/Tabla2[[#This Row],[Forest cover 2011]]</f>
        <v>0</v>
      </c>
      <c r="AZ322" s="6">
        <f>Tabla2[[#This Row],[Forest Loss 2018]]/Tabla2[[#This Row],[Forest cover 2011]]</f>
        <v>0</v>
      </c>
      <c r="BA322" s="6">
        <f>Tabla2[[#This Row],[Forest Loss 2019]]/Tabla2[[#This Row],[Forest cover 2011]]</f>
        <v>0</v>
      </c>
      <c r="BB322" s="6">
        <f>Tabla2[[#This Row],[Forest Loss 2020]]/Tabla2[[#This Row],[Forest cover 2011]]</f>
        <v>0</v>
      </c>
      <c r="BC322" s="6">
        <f>Tabla2[[#This Row],[Forest Loss 2021]]/Tabla2[[#This Row],[Forest cover 2011]]</f>
        <v>0</v>
      </c>
      <c r="BD322" s="6">
        <f>Tabla2[[#This Row],[Forest Loss 2022]]/Tabla2[[#This Row],[Forest cover 2011]]</f>
        <v>0</v>
      </c>
      <c r="BE322" s="6">
        <f>Tabla2[[#This Row],[Forest Loss 2023]]/Tabla2[[#This Row],[Forest cover 2011]]</f>
        <v>0.45161290322580644</v>
      </c>
      <c r="BF322" s="6">
        <f>Tabla2[[#This Row],[Forest Loss 2024]]/Tabla2[[#This Row],[Forest cover 2011]]</f>
        <v>0</v>
      </c>
    </row>
    <row r="323" spans="1:58" x14ac:dyDescent="0.25">
      <c r="A323" s="2">
        <v>20202</v>
      </c>
      <c r="B323" s="3" t="s">
        <v>88</v>
      </c>
      <c r="C323" t="s">
        <v>95</v>
      </c>
      <c r="D323">
        <v>3.69</v>
      </c>
      <c r="E323" s="4">
        <f>AVERAGE(Tabla2[[#This Row],[Deforestation 2012]:[Deforestation 2014]])</f>
        <v>0</v>
      </c>
      <c r="F323" s="4">
        <f>AVERAGE(Tabla2[[#This Row],[Deforestation 2022]:[Deforestation 2024]])</f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s="5">
        <f>Tabla2[[#This Row],[Deforestation 2012]]/Tabla2[[#This Row],[Forest cover 2011]]</f>
        <v>0</v>
      </c>
      <c r="AH323" s="6">
        <f>Tabla2[[#This Row],[Deforestation 2013]]/Tabla2[[#This Row],[Forest cover 2011]]</f>
        <v>0</v>
      </c>
      <c r="AI323" s="6">
        <f>Tabla2[[#This Row],[Deforestation 2014]]/Tabla2[[#This Row],[Forest cover 2011]]</f>
        <v>0</v>
      </c>
      <c r="AJ323" s="6">
        <f>Tabla2[[#This Row],[Deforestation 2015]]/Tabla2[[#This Row],[Forest cover 2011]]</f>
        <v>0</v>
      </c>
      <c r="AK323" s="6">
        <f>Tabla2[[#This Row],[Deforestation 2016]]/Tabla2[[#This Row],[Forest cover 2011]]</f>
        <v>0</v>
      </c>
      <c r="AL323" s="6">
        <f>Tabla2[[#This Row],[Deforestation 2017]]/Tabla2[[#This Row],[Forest cover 2011]]</f>
        <v>0</v>
      </c>
      <c r="AM323" s="6">
        <f>Tabla2[[#This Row],[Deforestation 2018]]/Tabla2[[#This Row],[Forest cover 2011]]</f>
        <v>0</v>
      </c>
      <c r="AN323" s="6">
        <f>Tabla2[[#This Row],[Deforestation 2019]]/Tabla2[[#This Row],[Forest cover 2011]]</f>
        <v>0</v>
      </c>
      <c r="AO323" s="6">
        <f>Tabla2[[#This Row],[Deforestation 2020]]/Tabla2[[#This Row],[Forest cover 2011]]</f>
        <v>0</v>
      </c>
      <c r="AP323" s="6">
        <f>Tabla2[[#This Row],[Deforestation 2021]]/Tabla2[[#This Row],[Forest cover 2011]]</f>
        <v>0</v>
      </c>
      <c r="AQ323" s="6">
        <f>Tabla2[[#This Row],[Deforestation 2022]]/Tabla2[[#This Row],[Forest cover 2011]]</f>
        <v>0</v>
      </c>
      <c r="AR323" s="6">
        <f>Tabla2[[#This Row],[Deforestation 2023]]/Tabla2[[#This Row],[Forest cover 2011]]</f>
        <v>0</v>
      </c>
      <c r="AS323" s="6">
        <f>Tabla2[[#This Row],[Deforestation 2024]]/Tabla2[[#This Row],[Forest cover 2011]]</f>
        <v>0</v>
      </c>
      <c r="AT323" s="6">
        <f>Tabla2[[#This Row],[Forest Loss 2012]]/Tabla2[[#This Row],[Forest cover 2011]]</f>
        <v>0</v>
      </c>
      <c r="AU323" s="6">
        <f>Tabla2[[#This Row],[Forest Loss 2013]]/Tabla2[[#This Row],[Forest cover 2011]]</f>
        <v>0</v>
      </c>
      <c r="AV323" s="6">
        <f>Tabla2[[#This Row],[Forest Loss 2014]]/Tabla2[[#This Row],[Forest cover 2011]]</f>
        <v>0</v>
      </c>
      <c r="AW323" s="6">
        <f>Tabla2[[#This Row],[Forest Loss 2015]]/Tabla2[[#This Row],[Forest cover 2011]]</f>
        <v>0</v>
      </c>
      <c r="AX323" s="6">
        <f>Tabla2[[#This Row],[Forest Loss 2016]]/Tabla2[[#This Row],[Forest cover 2011]]</f>
        <v>0</v>
      </c>
      <c r="AY323" s="6">
        <f>Tabla2[[#This Row],[Forest Loss 2017]]/Tabla2[[#This Row],[Forest cover 2011]]</f>
        <v>0</v>
      </c>
      <c r="AZ323" s="6">
        <f>Tabla2[[#This Row],[Forest Loss 2018]]/Tabla2[[#This Row],[Forest cover 2011]]</f>
        <v>0</v>
      </c>
      <c r="BA323" s="6">
        <f>Tabla2[[#This Row],[Forest Loss 2019]]/Tabla2[[#This Row],[Forest cover 2011]]</f>
        <v>0</v>
      </c>
      <c r="BB323" s="6">
        <f>Tabla2[[#This Row],[Forest Loss 2020]]/Tabla2[[#This Row],[Forest cover 2011]]</f>
        <v>0</v>
      </c>
      <c r="BC323" s="6">
        <f>Tabla2[[#This Row],[Forest Loss 2021]]/Tabla2[[#This Row],[Forest cover 2011]]</f>
        <v>0</v>
      </c>
      <c r="BD323" s="6">
        <f>Tabla2[[#This Row],[Forest Loss 2022]]/Tabla2[[#This Row],[Forest cover 2011]]</f>
        <v>0</v>
      </c>
      <c r="BE323" s="6">
        <f>Tabla2[[#This Row],[Forest Loss 2023]]/Tabla2[[#This Row],[Forest cover 2011]]</f>
        <v>0</v>
      </c>
      <c r="BF323" s="6">
        <f>Tabla2[[#This Row],[Forest Loss 2024]]/Tabla2[[#This Row],[Forest cover 2011]]</f>
        <v>0</v>
      </c>
    </row>
    <row r="324" spans="1:58" x14ac:dyDescent="0.25">
      <c r="A324" s="2">
        <v>21301</v>
      </c>
      <c r="B324" s="3" t="s">
        <v>88</v>
      </c>
      <c r="C324" t="s">
        <v>153</v>
      </c>
      <c r="D324">
        <v>4.8600000000000003</v>
      </c>
      <c r="E324" s="4">
        <f>AVERAGE(Tabla2[[#This Row],[Deforestation 2012]:[Deforestation 2014]])</f>
        <v>0</v>
      </c>
      <c r="F324" s="4">
        <f>AVERAGE(Tabla2[[#This Row],[Deforestation 2022]:[Deforestation 2024]])</f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0.09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s="5">
        <f>Tabla2[[#This Row],[Deforestation 2012]]/Tabla2[[#This Row],[Forest cover 2011]]</f>
        <v>0</v>
      </c>
      <c r="AH324" s="6">
        <f>Tabla2[[#This Row],[Deforestation 2013]]/Tabla2[[#This Row],[Forest cover 2011]]</f>
        <v>0</v>
      </c>
      <c r="AI324" s="6">
        <f>Tabla2[[#This Row],[Deforestation 2014]]/Tabla2[[#This Row],[Forest cover 2011]]</f>
        <v>0</v>
      </c>
      <c r="AJ324" s="6">
        <f>Tabla2[[#This Row],[Deforestation 2015]]/Tabla2[[#This Row],[Forest cover 2011]]</f>
        <v>0</v>
      </c>
      <c r="AK324" s="6">
        <f>Tabla2[[#This Row],[Deforestation 2016]]/Tabla2[[#This Row],[Forest cover 2011]]</f>
        <v>0</v>
      </c>
      <c r="AL324" s="6">
        <f>Tabla2[[#This Row],[Deforestation 2017]]/Tabla2[[#This Row],[Forest cover 2011]]</f>
        <v>0</v>
      </c>
      <c r="AM324" s="6">
        <f>Tabla2[[#This Row],[Deforestation 2018]]/Tabla2[[#This Row],[Forest cover 2011]]</f>
        <v>0</v>
      </c>
      <c r="AN324" s="6">
        <f>Tabla2[[#This Row],[Deforestation 2019]]/Tabla2[[#This Row],[Forest cover 2011]]</f>
        <v>0</v>
      </c>
      <c r="AO324" s="6">
        <f>Tabla2[[#This Row],[Deforestation 2020]]/Tabla2[[#This Row],[Forest cover 2011]]</f>
        <v>0</v>
      </c>
      <c r="AP324" s="6">
        <f>Tabla2[[#This Row],[Deforestation 2021]]/Tabla2[[#This Row],[Forest cover 2011]]</f>
        <v>0</v>
      </c>
      <c r="AQ324" s="6">
        <f>Tabla2[[#This Row],[Deforestation 2022]]/Tabla2[[#This Row],[Forest cover 2011]]</f>
        <v>0</v>
      </c>
      <c r="AR324" s="6">
        <f>Tabla2[[#This Row],[Deforestation 2023]]/Tabla2[[#This Row],[Forest cover 2011]]</f>
        <v>0</v>
      </c>
      <c r="AS324" s="6">
        <f>Tabla2[[#This Row],[Deforestation 2024]]/Tabla2[[#This Row],[Forest cover 2011]]</f>
        <v>0</v>
      </c>
      <c r="AT324" s="6">
        <f>Tabla2[[#This Row],[Forest Loss 2012]]/Tabla2[[#This Row],[Forest cover 2011]]</f>
        <v>0</v>
      </c>
      <c r="AU324" s="6">
        <f>Tabla2[[#This Row],[Forest Loss 2013]]/Tabla2[[#This Row],[Forest cover 2011]]</f>
        <v>0</v>
      </c>
      <c r="AV324" s="6">
        <f>Tabla2[[#This Row],[Forest Loss 2014]]/Tabla2[[#This Row],[Forest cover 2011]]</f>
        <v>1.8518518518518517E-2</v>
      </c>
      <c r="AW324" s="6">
        <f>Tabla2[[#This Row],[Forest Loss 2015]]/Tabla2[[#This Row],[Forest cover 2011]]</f>
        <v>0</v>
      </c>
      <c r="AX324" s="6">
        <f>Tabla2[[#This Row],[Forest Loss 2016]]/Tabla2[[#This Row],[Forest cover 2011]]</f>
        <v>0</v>
      </c>
      <c r="AY324" s="6">
        <f>Tabla2[[#This Row],[Forest Loss 2017]]/Tabla2[[#This Row],[Forest cover 2011]]</f>
        <v>0</v>
      </c>
      <c r="AZ324" s="6">
        <f>Tabla2[[#This Row],[Forest Loss 2018]]/Tabla2[[#This Row],[Forest cover 2011]]</f>
        <v>0</v>
      </c>
      <c r="BA324" s="6">
        <f>Tabla2[[#This Row],[Forest Loss 2019]]/Tabla2[[#This Row],[Forest cover 2011]]</f>
        <v>0</v>
      </c>
      <c r="BB324" s="6">
        <f>Tabla2[[#This Row],[Forest Loss 2020]]/Tabla2[[#This Row],[Forest cover 2011]]</f>
        <v>0</v>
      </c>
      <c r="BC324" s="6">
        <f>Tabla2[[#This Row],[Forest Loss 2021]]/Tabla2[[#This Row],[Forest cover 2011]]</f>
        <v>0</v>
      </c>
      <c r="BD324" s="6">
        <f>Tabla2[[#This Row],[Forest Loss 2022]]/Tabla2[[#This Row],[Forest cover 2011]]</f>
        <v>0</v>
      </c>
      <c r="BE324" s="6">
        <f>Tabla2[[#This Row],[Forest Loss 2023]]/Tabla2[[#This Row],[Forest cover 2011]]</f>
        <v>0</v>
      </c>
      <c r="BF324" s="6">
        <f>Tabla2[[#This Row],[Forest Loss 2024]]/Tabla2[[#This Row],[Forest cover 2011]]</f>
        <v>0</v>
      </c>
    </row>
    <row r="325" spans="1:58" x14ac:dyDescent="0.25">
      <c r="A325" s="2">
        <v>31404</v>
      </c>
      <c r="B325" s="3" t="s">
        <v>176</v>
      </c>
      <c r="C325" t="s">
        <v>219</v>
      </c>
      <c r="D325">
        <v>5.67</v>
      </c>
      <c r="E325" s="4">
        <f>AVERAGE(Tabla2[[#This Row],[Deforestation 2012]:[Deforestation 2014]])</f>
        <v>0</v>
      </c>
      <c r="F325" s="4">
        <f>AVERAGE(Tabla2[[#This Row],[Deforestation 2022]:[Deforestation 2024]])</f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s="5">
        <f>Tabla2[[#This Row],[Deforestation 2012]]/Tabla2[[#This Row],[Forest cover 2011]]</f>
        <v>0</v>
      </c>
      <c r="AH325" s="6">
        <f>Tabla2[[#This Row],[Deforestation 2013]]/Tabla2[[#This Row],[Forest cover 2011]]</f>
        <v>0</v>
      </c>
      <c r="AI325" s="6">
        <f>Tabla2[[#This Row],[Deforestation 2014]]/Tabla2[[#This Row],[Forest cover 2011]]</f>
        <v>0</v>
      </c>
      <c r="AJ325" s="6">
        <f>Tabla2[[#This Row],[Deforestation 2015]]/Tabla2[[#This Row],[Forest cover 2011]]</f>
        <v>0</v>
      </c>
      <c r="AK325" s="6">
        <f>Tabla2[[#This Row],[Deforestation 2016]]/Tabla2[[#This Row],[Forest cover 2011]]</f>
        <v>0</v>
      </c>
      <c r="AL325" s="6">
        <f>Tabla2[[#This Row],[Deforestation 2017]]/Tabla2[[#This Row],[Forest cover 2011]]</f>
        <v>0</v>
      </c>
      <c r="AM325" s="6">
        <f>Tabla2[[#This Row],[Deforestation 2018]]/Tabla2[[#This Row],[Forest cover 2011]]</f>
        <v>0</v>
      </c>
      <c r="AN325" s="6">
        <f>Tabla2[[#This Row],[Deforestation 2019]]/Tabla2[[#This Row],[Forest cover 2011]]</f>
        <v>0</v>
      </c>
      <c r="AO325" s="6">
        <f>Tabla2[[#This Row],[Deforestation 2020]]/Tabla2[[#This Row],[Forest cover 2011]]</f>
        <v>0</v>
      </c>
      <c r="AP325" s="6">
        <f>Tabla2[[#This Row],[Deforestation 2021]]/Tabla2[[#This Row],[Forest cover 2011]]</f>
        <v>0</v>
      </c>
      <c r="AQ325" s="6">
        <f>Tabla2[[#This Row],[Deforestation 2022]]/Tabla2[[#This Row],[Forest cover 2011]]</f>
        <v>0</v>
      </c>
      <c r="AR325" s="6">
        <f>Tabla2[[#This Row],[Deforestation 2023]]/Tabla2[[#This Row],[Forest cover 2011]]</f>
        <v>0</v>
      </c>
      <c r="AS325" s="6">
        <f>Tabla2[[#This Row],[Deforestation 2024]]/Tabla2[[#This Row],[Forest cover 2011]]</f>
        <v>0</v>
      </c>
      <c r="AT325" s="6">
        <f>Tabla2[[#This Row],[Forest Loss 2012]]/Tabla2[[#This Row],[Forest cover 2011]]</f>
        <v>0</v>
      </c>
      <c r="AU325" s="6">
        <f>Tabla2[[#This Row],[Forest Loss 2013]]/Tabla2[[#This Row],[Forest cover 2011]]</f>
        <v>0</v>
      </c>
      <c r="AV325" s="6">
        <f>Tabla2[[#This Row],[Forest Loss 2014]]/Tabla2[[#This Row],[Forest cover 2011]]</f>
        <v>0</v>
      </c>
      <c r="AW325" s="6">
        <f>Tabla2[[#This Row],[Forest Loss 2015]]/Tabla2[[#This Row],[Forest cover 2011]]</f>
        <v>0</v>
      </c>
      <c r="AX325" s="6">
        <f>Tabla2[[#This Row],[Forest Loss 2016]]/Tabla2[[#This Row],[Forest cover 2011]]</f>
        <v>0</v>
      </c>
      <c r="AY325" s="6">
        <f>Tabla2[[#This Row],[Forest Loss 2017]]/Tabla2[[#This Row],[Forest cover 2011]]</f>
        <v>0</v>
      </c>
      <c r="AZ325" s="6">
        <f>Tabla2[[#This Row],[Forest Loss 2018]]/Tabla2[[#This Row],[Forest cover 2011]]</f>
        <v>0</v>
      </c>
      <c r="BA325" s="6">
        <f>Tabla2[[#This Row],[Forest Loss 2019]]/Tabla2[[#This Row],[Forest cover 2011]]</f>
        <v>0</v>
      </c>
      <c r="BB325" s="6">
        <f>Tabla2[[#This Row],[Forest Loss 2020]]/Tabla2[[#This Row],[Forest cover 2011]]</f>
        <v>0</v>
      </c>
      <c r="BC325" s="6">
        <f>Tabla2[[#This Row],[Forest Loss 2021]]/Tabla2[[#This Row],[Forest cover 2011]]</f>
        <v>0</v>
      </c>
      <c r="BD325" s="6">
        <f>Tabla2[[#This Row],[Forest Loss 2022]]/Tabla2[[#This Row],[Forest cover 2011]]</f>
        <v>0</v>
      </c>
      <c r="BE325" s="6">
        <f>Tabla2[[#This Row],[Forest Loss 2023]]/Tabla2[[#This Row],[Forest cover 2011]]</f>
        <v>0</v>
      </c>
      <c r="BF325" s="6">
        <f>Tabla2[[#This Row],[Forest Loss 2024]]/Tabla2[[#This Row],[Forest cover 2011]]</f>
        <v>0</v>
      </c>
    </row>
    <row r="326" spans="1:58" x14ac:dyDescent="0.25">
      <c r="A326" s="2">
        <v>21303</v>
      </c>
      <c r="B326" s="3" t="s">
        <v>88</v>
      </c>
      <c r="C326" t="s">
        <v>155</v>
      </c>
      <c r="D326">
        <v>6.39</v>
      </c>
      <c r="E326" s="4">
        <f>AVERAGE(Tabla2[[#This Row],[Deforestation 2012]:[Deforestation 2014]])</f>
        <v>0</v>
      </c>
      <c r="F326" s="4">
        <f>AVERAGE(Tabla2[[#This Row],[Deforestation 2022]:[Deforestation 2024]])</f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0.45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s="5">
        <f>Tabla2[[#This Row],[Deforestation 2012]]/Tabla2[[#This Row],[Forest cover 2011]]</f>
        <v>0</v>
      </c>
      <c r="AH326" s="6">
        <f>Tabla2[[#This Row],[Deforestation 2013]]/Tabla2[[#This Row],[Forest cover 2011]]</f>
        <v>0</v>
      </c>
      <c r="AI326" s="6">
        <f>Tabla2[[#This Row],[Deforestation 2014]]/Tabla2[[#This Row],[Forest cover 2011]]</f>
        <v>0</v>
      </c>
      <c r="AJ326" s="6">
        <f>Tabla2[[#This Row],[Deforestation 2015]]/Tabla2[[#This Row],[Forest cover 2011]]</f>
        <v>0</v>
      </c>
      <c r="AK326" s="6">
        <f>Tabla2[[#This Row],[Deforestation 2016]]/Tabla2[[#This Row],[Forest cover 2011]]</f>
        <v>0</v>
      </c>
      <c r="AL326" s="6">
        <f>Tabla2[[#This Row],[Deforestation 2017]]/Tabla2[[#This Row],[Forest cover 2011]]</f>
        <v>0</v>
      </c>
      <c r="AM326" s="6">
        <f>Tabla2[[#This Row],[Deforestation 2018]]/Tabla2[[#This Row],[Forest cover 2011]]</f>
        <v>0</v>
      </c>
      <c r="AN326" s="6">
        <f>Tabla2[[#This Row],[Deforestation 2019]]/Tabla2[[#This Row],[Forest cover 2011]]</f>
        <v>0</v>
      </c>
      <c r="AO326" s="6">
        <f>Tabla2[[#This Row],[Deforestation 2020]]/Tabla2[[#This Row],[Forest cover 2011]]</f>
        <v>0</v>
      </c>
      <c r="AP326" s="6">
        <f>Tabla2[[#This Row],[Deforestation 2021]]/Tabla2[[#This Row],[Forest cover 2011]]</f>
        <v>0</v>
      </c>
      <c r="AQ326" s="6">
        <f>Tabla2[[#This Row],[Deforestation 2022]]/Tabla2[[#This Row],[Forest cover 2011]]</f>
        <v>0</v>
      </c>
      <c r="AR326" s="6">
        <f>Tabla2[[#This Row],[Deforestation 2023]]/Tabla2[[#This Row],[Forest cover 2011]]</f>
        <v>0</v>
      </c>
      <c r="AS326" s="6">
        <f>Tabla2[[#This Row],[Deforestation 2024]]/Tabla2[[#This Row],[Forest cover 2011]]</f>
        <v>0</v>
      </c>
      <c r="AT326" s="6">
        <f>Tabla2[[#This Row],[Forest Loss 2012]]/Tabla2[[#This Row],[Forest cover 2011]]</f>
        <v>0</v>
      </c>
      <c r="AU326" s="6">
        <f>Tabla2[[#This Row],[Forest Loss 2013]]/Tabla2[[#This Row],[Forest cover 2011]]</f>
        <v>0</v>
      </c>
      <c r="AV326" s="6">
        <f>Tabla2[[#This Row],[Forest Loss 2014]]/Tabla2[[#This Row],[Forest cover 2011]]</f>
        <v>7.0422535211267609E-2</v>
      </c>
      <c r="AW326" s="6">
        <f>Tabla2[[#This Row],[Forest Loss 2015]]/Tabla2[[#This Row],[Forest cover 2011]]</f>
        <v>0</v>
      </c>
      <c r="AX326" s="6">
        <f>Tabla2[[#This Row],[Forest Loss 2016]]/Tabla2[[#This Row],[Forest cover 2011]]</f>
        <v>0</v>
      </c>
      <c r="AY326" s="6">
        <f>Tabla2[[#This Row],[Forest Loss 2017]]/Tabla2[[#This Row],[Forest cover 2011]]</f>
        <v>0</v>
      </c>
      <c r="AZ326" s="6">
        <f>Tabla2[[#This Row],[Forest Loss 2018]]/Tabla2[[#This Row],[Forest cover 2011]]</f>
        <v>0</v>
      </c>
      <c r="BA326" s="6">
        <f>Tabla2[[#This Row],[Forest Loss 2019]]/Tabla2[[#This Row],[Forest cover 2011]]</f>
        <v>0</v>
      </c>
      <c r="BB326" s="6">
        <f>Tabla2[[#This Row],[Forest Loss 2020]]/Tabla2[[#This Row],[Forest cover 2011]]</f>
        <v>0</v>
      </c>
      <c r="BC326" s="6">
        <f>Tabla2[[#This Row],[Forest Loss 2021]]/Tabla2[[#This Row],[Forest cover 2011]]</f>
        <v>0</v>
      </c>
      <c r="BD326" s="6">
        <f>Tabla2[[#This Row],[Forest Loss 2022]]/Tabla2[[#This Row],[Forest cover 2011]]</f>
        <v>0</v>
      </c>
      <c r="BE326" s="6">
        <f>Tabla2[[#This Row],[Forest Loss 2023]]/Tabla2[[#This Row],[Forest cover 2011]]</f>
        <v>0</v>
      </c>
      <c r="BF326" s="6">
        <f>Tabla2[[#This Row],[Forest Loss 2024]]/Tabla2[[#This Row],[Forest cover 2011]]</f>
        <v>0</v>
      </c>
    </row>
    <row r="327" spans="1:58" x14ac:dyDescent="0.25">
      <c r="A327" s="2">
        <v>21203</v>
      </c>
      <c r="B327" s="3" t="s">
        <v>88</v>
      </c>
      <c r="C327" t="s">
        <v>151</v>
      </c>
      <c r="D327">
        <v>7.38</v>
      </c>
      <c r="E327" s="4">
        <f>AVERAGE(Tabla2[[#This Row],[Deforestation 2012]:[Deforestation 2014]])</f>
        <v>0</v>
      </c>
      <c r="F327" s="4">
        <f>AVERAGE(Tabla2[[#This Row],[Deforestation 2022]:[Deforestation 2024]])</f>
        <v>0.18000000000000002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0.54</v>
      </c>
      <c r="S327">
        <v>0</v>
      </c>
      <c r="T327">
        <v>0</v>
      </c>
      <c r="U327">
        <v>0</v>
      </c>
      <c r="V327">
        <v>0.36</v>
      </c>
      <c r="W327">
        <v>0</v>
      </c>
      <c r="X327">
        <v>0</v>
      </c>
      <c r="Y327">
        <v>0</v>
      </c>
      <c r="Z327">
        <v>0.18</v>
      </c>
      <c r="AA327">
        <v>0</v>
      </c>
      <c r="AB327">
        <v>0</v>
      </c>
      <c r="AC327">
        <v>0</v>
      </c>
      <c r="AD327">
        <v>0.09</v>
      </c>
      <c r="AE327">
        <v>0.54</v>
      </c>
      <c r="AF327">
        <v>0</v>
      </c>
      <c r="AG327" s="5">
        <f>Tabla2[[#This Row],[Deforestation 2012]]/Tabla2[[#This Row],[Forest cover 2011]]</f>
        <v>0</v>
      </c>
      <c r="AH327" s="6">
        <f>Tabla2[[#This Row],[Deforestation 2013]]/Tabla2[[#This Row],[Forest cover 2011]]</f>
        <v>0</v>
      </c>
      <c r="AI327" s="6">
        <f>Tabla2[[#This Row],[Deforestation 2014]]/Tabla2[[#This Row],[Forest cover 2011]]</f>
        <v>0</v>
      </c>
      <c r="AJ327" s="6">
        <f>Tabla2[[#This Row],[Deforestation 2015]]/Tabla2[[#This Row],[Forest cover 2011]]</f>
        <v>0</v>
      </c>
      <c r="AK327" s="6">
        <f>Tabla2[[#This Row],[Deforestation 2016]]/Tabla2[[#This Row],[Forest cover 2011]]</f>
        <v>0</v>
      </c>
      <c r="AL327" s="6">
        <f>Tabla2[[#This Row],[Deforestation 2017]]/Tabla2[[#This Row],[Forest cover 2011]]</f>
        <v>0</v>
      </c>
      <c r="AM327" s="6">
        <f>Tabla2[[#This Row],[Deforestation 2018]]/Tabla2[[#This Row],[Forest cover 2011]]</f>
        <v>0</v>
      </c>
      <c r="AN327" s="6">
        <f>Tabla2[[#This Row],[Deforestation 2019]]/Tabla2[[#This Row],[Forest cover 2011]]</f>
        <v>0</v>
      </c>
      <c r="AO327" s="6">
        <f>Tabla2[[#This Row],[Deforestation 2020]]/Tabla2[[#This Row],[Forest cover 2011]]</f>
        <v>0</v>
      </c>
      <c r="AP327" s="6">
        <f>Tabla2[[#This Row],[Deforestation 2021]]/Tabla2[[#This Row],[Forest cover 2011]]</f>
        <v>0</v>
      </c>
      <c r="AQ327" s="6">
        <f>Tabla2[[#This Row],[Deforestation 2022]]/Tabla2[[#This Row],[Forest cover 2011]]</f>
        <v>0</v>
      </c>
      <c r="AR327" s="6">
        <f>Tabla2[[#This Row],[Deforestation 2023]]/Tabla2[[#This Row],[Forest cover 2011]]</f>
        <v>7.3170731707317083E-2</v>
      </c>
      <c r="AS327" s="6">
        <f>Tabla2[[#This Row],[Deforestation 2024]]/Tabla2[[#This Row],[Forest cover 2011]]</f>
        <v>0</v>
      </c>
      <c r="AT327" s="6">
        <f>Tabla2[[#This Row],[Forest Loss 2012]]/Tabla2[[#This Row],[Forest cover 2011]]</f>
        <v>0</v>
      </c>
      <c r="AU327" s="6">
        <f>Tabla2[[#This Row],[Forest Loss 2013]]/Tabla2[[#This Row],[Forest cover 2011]]</f>
        <v>0</v>
      </c>
      <c r="AV327" s="6">
        <f>Tabla2[[#This Row],[Forest Loss 2014]]/Tabla2[[#This Row],[Forest cover 2011]]</f>
        <v>4.878048780487805E-2</v>
      </c>
      <c r="AW327" s="6">
        <f>Tabla2[[#This Row],[Forest Loss 2015]]/Tabla2[[#This Row],[Forest cover 2011]]</f>
        <v>0</v>
      </c>
      <c r="AX327" s="6">
        <f>Tabla2[[#This Row],[Forest Loss 2016]]/Tabla2[[#This Row],[Forest cover 2011]]</f>
        <v>0</v>
      </c>
      <c r="AY327" s="6">
        <f>Tabla2[[#This Row],[Forest Loss 2017]]/Tabla2[[#This Row],[Forest cover 2011]]</f>
        <v>0</v>
      </c>
      <c r="AZ327" s="6">
        <f>Tabla2[[#This Row],[Forest Loss 2018]]/Tabla2[[#This Row],[Forest cover 2011]]</f>
        <v>2.4390243902439025E-2</v>
      </c>
      <c r="BA327" s="6">
        <f>Tabla2[[#This Row],[Forest Loss 2019]]/Tabla2[[#This Row],[Forest cover 2011]]</f>
        <v>0</v>
      </c>
      <c r="BB327" s="6">
        <f>Tabla2[[#This Row],[Forest Loss 2020]]/Tabla2[[#This Row],[Forest cover 2011]]</f>
        <v>0</v>
      </c>
      <c r="BC327" s="6">
        <f>Tabla2[[#This Row],[Forest Loss 2021]]/Tabla2[[#This Row],[Forest cover 2011]]</f>
        <v>0</v>
      </c>
      <c r="BD327" s="6">
        <f>Tabla2[[#This Row],[Forest Loss 2022]]/Tabla2[[#This Row],[Forest cover 2011]]</f>
        <v>1.2195121951219513E-2</v>
      </c>
      <c r="BE327" s="6">
        <f>Tabla2[[#This Row],[Forest Loss 2023]]/Tabla2[[#This Row],[Forest cover 2011]]</f>
        <v>7.3170731707317083E-2</v>
      </c>
      <c r="BF327" s="6">
        <f>Tabla2[[#This Row],[Forest Loss 2024]]/Tabla2[[#This Row],[Forest cover 2011]]</f>
        <v>0</v>
      </c>
    </row>
    <row r="328" spans="1:58" x14ac:dyDescent="0.25">
      <c r="A328" s="2">
        <v>20903</v>
      </c>
      <c r="B328" s="3" t="s">
        <v>88</v>
      </c>
      <c r="C328" t="s">
        <v>135</v>
      </c>
      <c r="D328">
        <v>8.19</v>
      </c>
      <c r="E328" s="4">
        <f>AVERAGE(Tabla2[[#This Row],[Deforestation 2012]:[Deforestation 2014]])</f>
        <v>0</v>
      </c>
      <c r="F328" s="4">
        <f>AVERAGE(Tabla2[[#This Row],[Deforestation 2022]:[Deforestation 2024]])</f>
        <v>9.0000000000000011E-2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0.27</v>
      </c>
      <c r="S328">
        <v>0</v>
      </c>
      <c r="T328">
        <v>0</v>
      </c>
      <c r="U328">
        <v>0</v>
      </c>
      <c r="V328">
        <v>0.09</v>
      </c>
      <c r="W328">
        <v>0</v>
      </c>
      <c r="X328">
        <v>0</v>
      </c>
      <c r="Y328">
        <v>0.18</v>
      </c>
      <c r="Z328">
        <v>0.18</v>
      </c>
      <c r="AA328">
        <v>0.27</v>
      </c>
      <c r="AB328">
        <v>1.17</v>
      </c>
      <c r="AC328">
        <v>0</v>
      </c>
      <c r="AD328">
        <v>0</v>
      </c>
      <c r="AE328">
        <v>0.27</v>
      </c>
      <c r="AF328">
        <v>0</v>
      </c>
      <c r="AG328" s="5">
        <f>Tabla2[[#This Row],[Deforestation 2012]]/Tabla2[[#This Row],[Forest cover 2011]]</f>
        <v>0</v>
      </c>
      <c r="AH328" s="6">
        <f>Tabla2[[#This Row],[Deforestation 2013]]/Tabla2[[#This Row],[Forest cover 2011]]</f>
        <v>0</v>
      </c>
      <c r="AI328" s="6">
        <f>Tabla2[[#This Row],[Deforestation 2014]]/Tabla2[[#This Row],[Forest cover 2011]]</f>
        <v>0</v>
      </c>
      <c r="AJ328" s="6">
        <f>Tabla2[[#This Row],[Deforestation 2015]]/Tabla2[[#This Row],[Forest cover 2011]]</f>
        <v>0</v>
      </c>
      <c r="AK328" s="6">
        <f>Tabla2[[#This Row],[Deforestation 2016]]/Tabla2[[#This Row],[Forest cover 2011]]</f>
        <v>0</v>
      </c>
      <c r="AL328" s="6">
        <f>Tabla2[[#This Row],[Deforestation 2017]]/Tabla2[[#This Row],[Forest cover 2011]]</f>
        <v>0</v>
      </c>
      <c r="AM328" s="6">
        <f>Tabla2[[#This Row],[Deforestation 2018]]/Tabla2[[#This Row],[Forest cover 2011]]</f>
        <v>0</v>
      </c>
      <c r="AN328" s="6">
        <f>Tabla2[[#This Row],[Deforestation 2019]]/Tabla2[[#This Row],[Forest cover 2011]]</f>
        <v>0</v>
      </c>
      <c r="AO328" s="6">
        <f>Tabla2[[#This Row],[Deforestation 2020]]/Tabla2[[#This Row],[Forest cover 2011]]</f>
        <v>0</v>
      </c>
      <c r="AP328" s="6">
        <f>Tabla2[[#This Row],[Deforestation 2021]]/Tabla2[[#This Row],[Forest cover 2011]]</f>
        <v>0</v>
      </c>
      <c r="AQ328" s="6">
        <f>Tabla2[[#This Row],[Deforestation 2022]]/Tabla2[[#This Row],[Forest cover 2011]]</f>
        <v>0</v>
      </c>
      <c r="AR328" s="6">
        <f>Tabla2[[#This Row],[Deforestation 2023]]/Tabla2[[#This Row],[Forest cover 2011]]</f>
        <v>3.2967032967032968E-2</v>
      </c>
      <c r="AS328" s="6">
        <f>Tabla2[[#This Row],[Deforestation 2024]]/Tabla2[[#This Row],[Forest cover 2011]]</f>
        <v>0</v>
      </c>
      <c r="AT328" s="6">
        <f>Tabla2[[#This Row],[Forest Loss 2012]]/Tabla2[[#This Row],[Forest cover 2011]]</f>
        <v>0</v>
      </c>
      <c r="AU328" s="6">
        <f>Tabla2[[#This Row],[Forest Loss 2013]]/Tabla2[[#This Row],[Forest cover 2011]]</f>
        <v>0</v>
      </c>
      <c r="AV328" s="6">
        <f>Tabla2[[#This Row],[Forest Loss 2014]]/Tabla2[[#This Row],[Forest cover 2011]]</f>
        <v>1.098901098901099E-2</v>
      </c>
      <c r="AW328" s="6">
        <f>Tabla2[[#This Row],[Forest Loss 2015]]/Tabla2[[#This Row],[Forest cover 2011]]</f>
        <v>0</v>
      </c>
      <c r="AX328" s="6">
        <f>Tabla2[[#This Row],[Forest Loss 2016]]/Tabla2[[#This Row],[Forest cover 2011]]</f>
        <v>0</v>
      </c>
      <c r="AY328" s="6">
        <f>Tabla2[[#This Row],[Forest Loss 2017]]/Tabla2[[#This Row],[Forest cover 2011]]</f>
        <v>2.197802197802198E-2</v>
      </c>
      <c r="AZ328" s="6">
        <f>Tabla2[[#This Row],[Forest Loss 2018]]/Tabla2[[#This Row],[Forest cover 2011]]</f>
        <v>2.197802197802198E-2</v>
      </c>
      <c r="BA328" s="6">
        <f>Tabla2[[#This Row],[Forest Loss 2019]]/Tabla2[[#This Row],[Forest cover 2011]]</f>
        <v>3.2967032967032968E-2</v>
      </c>
      <c r="BB328" s="6">
        <f>Tabla2[[#This Row],[Forest Loss 2020]]/Tabla2[[#This Row],[Forest cover 2011]]</f>
        <v>0.14285714285714285</v>
      </c>
      <c r="BC328" s="6">
        <f>Tabla2[[#This Row],[Forest Loss 2021]]/Tabla2[[#This Row],[Forest cover 2011]]</f>
        <v>0</v>
      </c>
      <c r="BD328" s="6">
        <f>Tabla2[[#This Row],[Forest Loss 2022]]/Tabla2[[#This Row],[Forest cover 2011]]</f>
        <v>0</v>
      </c>
      <c r="BE328" s="6">
        <f>Tabla2[[#This Row],[Forest Loss 2023]]/Tabla2[[#This Row],[Forest cover 2011]]</f>
        <v>3.2967032967032968E-2</v>
      </c>
      <c r="BF328" s="6">
        <f>Tabla2[[#This Row],[Forest Loss 2024]]/Tabla2[[#This Row],[Forest cover 2011]]</f>
        <v>0</v>
      </c>
    </row>
    <row r="329" spans="1:58" x14ac:dyDescent="0.25">
      <c r="A329" s="2">
        <v>30802</v>
      </c>
      <c r="B329" s="3" t="s">
        <v>176</v>
      </c>
      <c r="C329" t="s">
        <v>195</v>
      </c>
      <c r="D329">
        <v>8.73</v>
      </c>
      <c r="E329" s="4">
        <f>AVERAGE(Tabla2[[#This Row],[Deforestation 2012]:[Deforestation 2014]])</f>
        <v>0</v>
      </c>
      <c r="F329" s="4">
        <f>AVERAGE(Tabla2[[#This Row],[Deforestation 2022]:[Deforestation 2024]])</f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0.36</v>
      </c>
      <c r="W329">
        <v>0</v>
      </c>
      <c r="X329">
        <v>0</v>
      </c>
      <c r="Y329">
        <v>0.09</v>
      </c>
      <c r="Z329">
        <v>0</v>
      </c>
      <c r="AA329">
        <v>0.27</v>
      </c>
      <c r="AB329">
        <v>0</v>
      </c>
      <c r="AC329">
        <v>0</v>
      </c>
      <c r="AD329">
        <v>0</v>
      </c>
      <c r="AE329">
        <v>0</v>
      </c>
      <c r="AF329">
        <v>0</v>
      </c>
      <c r="AG329" s="5">
        <f>Tabla2[[#This Row],[Deforestation 2012]]/Tabla2[[#This Row],[Forest cover 2011]]</f>
        <v>0</v>
      </c>
      <c r="AH329" s="6">
        <f>Tabla2[[#This Row],[Deforestation 2013]]/Tabla2[[#This Row],[Forest cover 2011]]</f>
        <v>0</v>
      </c>
      <c r="AI329" s="6">
        <f>Tabla2[[#This Row],[Deforestation 2014]]/Tabla2[[#This Row],[Forest cover 2011]]</f>
        <v>0</v>
      </c>
      <c r="AJ329" s="6">
        <f>Tabla2[[#This Row],[Deforestation 2015]]/Tabla2[[#This Row],[Forest cover 2011]]</f>
        <v>0</v>
      </c>
      <c r="AK329" s="6">
        <f>Tabla2[[#This Row],[Deforestation 2016]]/Tabla2[[#This Row],[Forest cover 2011]]</f>
        <v>0</v>
      </c>
      <c r="AL329" s="6">
        <f>Tabla2[[#This Row],[Deforestation 2017]]/Tabla2[[#This Row],[Forest cover 2011]]</f>
        <v>0</v>
      </c>
      <c r="AM329" s="6">
        <f>Tabla2[[#This Row],[Deforestation 2018]]/Tabla2[[#This Row],[Forest cover 2011]]</f>
        <v>0</v>
      </c>
      <c r="AN329" s="6">
        <f>Tabla2[[#This Row],[Deforestation 2019]]/Tabla2[[#This Row],[Forest cover 2011]]</f>
        <v>0</v>
      </c>
      <c r="AO329" s="6">
        <f>Tabla2[[#This Row],[Deforestation 2020]]/Tabla2[[#This Row],[Forest cover 2011]]</f>
        <v>0</v>
      </c>
      <c r="AP329" s="6">
        <f>Tabla2[[#This Row],[Deforestation 2021]]/Tabla2[[#This Row],[Forest cover 2011]]</f>
        <v>0</v>
      </c>
      <c r="AQ329" s="6">
        <f>Tabla2[[#This Row],[Deforestation 2022]]/Tabla2[[#This Row],[Forest cover 2011]]</f>
        <v>0</v>
      </c>
      <c r="AR329" s="6">
        <f>Tabla2[[#This Row],[Deforestation 2023]]/Tabla2[[#This Row],[Forest cover 2011]]</f>
        <v>0</v>
      </c>
      <c r="AS329" s="6">
        <f>Tabla2[[#This Row],[Deforestation 2024]]/Tabla2[[#This Row],[Forest cover 2011]]</f>
        <v>0</v>
      </c>
      <c r="AT329" s="6">
        <f>Tabla2[[#This Row],[Forest Loss 2012]]/Tabla2[[#This Row],[Forest cover 2011]]</f>
        <v>0</v>
      </c>
      <c r="AU329" s="6">
        <f>Tabla2[[#This Row],[Forest Loss 2013]]/Tabla2[[#This Row],[Forest cover 2011]]</f>
        <v>0</v>
      </c>
      <c r="AV329" s="6">
        <f>Tabla2[[#This Row],[Forest Loss 2014]]/Tabla2[[#This Row],[Forest cover 2011]]</f>
        <v>4.1237113402061855E-2</v>
      </c>
      <c r="AW329" s="6">
        <f>Tabla2[[#This Row],[Forest Loss 2015]]/Tabla2[[#This Row],[Forest cover 2011]]</f>
        <v>0</v>
      </c>
      <c r="AX329" s="6">
        <f>Tabla2[[#This Row],[Forest Loss 2016]]/Tabla2[[#This Row],[Forest cover 2011]]</f>
        <v>0</v>
      </c>
      <c r="AY329" s="6">
        <f>Tabla2[[#This Row],[Forest Loss 2017]]/Tabla2[[#This Row],[Forest cover 2011]]</f>
        <v>1.0309278350515464E-2</v>
      </c>
      <c r="AZ329" s="6">
        <f>Tabla2[[#This Row],[Forest Loss 2018]]/Tabla2[[#This Row],[Forest cover 2011]]</f>
        <v>0</v>
      </c>
      <c r="BA329" s="6">
        <f>Tabla2[[#This Row],[Forest Loss 2019]]/Tabla2[[#This Row],[Forest cover 2011]]</f>
        <v>3.0927835051546393E-2</v>
      </c>
      <c r="BB329" s="6">
        <f>Tabla2[[#This Row],[Forest Loss 2020]]/Tabla2[[#This Row],[Forest cover 2011]]</f>
        <v>0</v>
      </c>
      <c r="BC329" s="6">
        <f>Tabla2[[#This Row],[Forest Loss 2021]]/Tabla2[[#This Row],[Forest cover 2011]]</f>
        <v>0</v>
      </c>
      <c r="BD329" s="6">
        <f>Tabla2[[#This Row],[Forest Loss 2022]]/Tabla2[[#This Row],[Forest cover 2011]]</f>
        <v>0</v>
      </c>
      <c r="BE329" s="6">
        <f>Tabla2[[#This Row],[Forest Loss 2023]]/Tabla2[[#This Row],[Forest cover 2011]]</f>
        <v>0</v>
      </c>
      <c r="BF329" s="6">
        <f>Tabla2[[#This Row],[Forest Loss 2024]]/Tabla2[[#This Row],[Forest cover 2011]]</f>
        <v>0</v>
      </c>
    </row>
    <row r="330" spans="1:58" x14ac:dyDescent="0.25">
      <c r="A330" s="2">
        <v>20303</v>
      </c>
      <c r="B330" s="3" t="s">
        <v>88</v>
      </c>
      <c r="C330" t="s">
        <v>102</v>
      </c>
      <c r="D330">
        <v>10.44</v>
      </c>
      <c r="E330" s="4">
        <f>AVERAGE(Tabla2[[#This Row],[Deforestation 2012]:[Deforestation 2014]])</f>
        <v>0.63</v>
      </c>
      <c r="F330" s="4">
        <f>AVERAGE(Tabla2[[#This Row],[Deforestation 2022]:[Deforestation 2024]])</f>
        <v>0</v>
      </c>
      <c r="G330">
        <v>0</v>
      </c>
      <c r="H330">
        <v>0</v>
      </c>
      <c r="I330">
        <v>1.89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8.5500000000000007</v>
      </c>
      <c r="U330">
        <v>0</v>
      </c>
      <c r="V330">
        <v>1.89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s="5">
        <f>Tabla2[[#This Row],[Deforestation 2012]]/Tabla2[[#This Row],[Forest cover 2011]]</f>
        <v>0</v>
      </c>
      <c r="AH330" s="6">
        <f>Tabla2[[#This Row],[Deforestation 2013]]/Tabla2[[#This Row],[Forest cover 2011]]</f>
        <v>0</v>
      </c>
      <c r="AI330" s="6">
        <f>Tabla2[[#This Row],[Deforestation 2014]]/Tabla2[[#This Row],[Forest cover 2011]]</f>
        <v>0.18103448275862069</v>
      </c>
      <c r="AJ330" s="6">
        <f>Tabla2[[#This Row],[Deforestation 2015]]/Tabla2[[#This Row],[Forest cover 2011]]</f>
        <v>0</v>
      </c>
      <c r="AK330" s="6">
        <f>Tabla2[[#This Row],[Deforestation 2016]]/Tabla2[[#This Row],[Forest cover 2011]]</f>
        <v>0</v>
      </c>
      <c r="AL330" s="6">
        <f>Tabla2[[#This Row],[Deforestation 2017]]/Tabla2[[#This Row],[Forest cover 2011]]</f>
        <v>0</v>
      </c>
      <c r="AM330" s="6">
        <f>Tabla2[[#This Row],[Deforestation 2018]]/Tabla2[[#This Row],[Forest cover 2011]]</f>
        <v>0</v>
      </c>
      <c r="AN330" s="6">
        <f>Tabla2[[#This Row],[Deforestation 2019]]/Tabla2[[#This Row],[Forest cover 2011]]</f>
        <v>0</v>
      </c>
      <c r="AO330" s="6">
        <f>Tabla2[[#This Row],[Deforestation 2020]]/Tabla2[[#This Row],[Forest cover 2011]]</f>
        <v>0</v>
      </c>
      <c r="AP330" s="6">
        <f>Tabla2[[#This Row],[Deforestation 2021]]/Tabla2[[#This Row],[Forest cover 2011]]</f>
        <v>0</v>
      </c>
      <c r="AQ330" s="6">
        <f>Tabla2[[#This Row],[Deforestation 2022]]/Tabla2[[#This Row],[Forest cover 2011]]</f>
        <v>0</v>
      </c>
      <c r="AR330" s="6">
        <f>Tabla2[[#This Row],[Deforestation 2023]]/Tabla2[[#This Row],[Forest cover 2011]]</f>
        <v>0</v>
      </c>
      <c r="AS330" s="6">
        <f>Tabla2[[#This Row],[Deforestation 2024]]/Tabla2[[#This Row],[Forest cover 2011]]</f>
        <v>0</v>
      </c>
      <c r="AT330" s="6">
        <f>Tabla2[[#This Row],[Forest Loss 2012]]/Tabla2[[#This Row],[Forest cover 2011]]</f>
        <v>0.81896551724137945</v>
      </c>
      <c r="AU330" s="6">
        <f>Tabla2[[#This Row],[Forest Loss 2013]]/Tabla2[[#This Row],[Forest cover 2011]]</f>
        <v>0</v>
      </c>
      <c r="AV330" s="6">
        <f>Tabla2[[#This Row],[Forest Loss 2014]]/Tabla2[[#This Row],[Forest cover 2011]]</f>
        <v>0.18103448275862069</v>
      </c>
      <c r="AW330" s="6">
        <f>Tabla2[[#This Row],[Forest Loss 2015]]/Tabla2[[#This Row],[Forest cover 2011]]</f>
        <v>0</v>
      </c>
      <c r="AX330" s="6">
        <f>Tabla2[[#This Row],[Forest Loss 2016]]/Tabla2[[#This Row],[Forest cover 2011]]</f>
        <v>0</v>
      </c>
      <c r="AY330" s="6">
        <f>Tabla2[[#This Row],[Forest Loss 2017]]/Tabla2[[#This Row],[Forest cover 2011]]</f>
        <v>0</v>
      </c>
      <c r="AZ330" s="6">
        <f>Tabla2[[#This Row],[Forest Loss 2018]]/Tabla2[[#This Row],[Forest cover 2011]]</f>
        <v>0</v>
      </c>
      <c r="BA330" s="6">
        <f>Tabla2[[#This Row],[Forest Loss 2019]]/Tabla2[[#This Row],[Forest cover 2011]]</f>
        <v>0</v>
      </c>
      <c r="BB330" s="6">
        <f>Tabla2[[#This Row],[Forest Loss 2020]]/Tabla2[[#This Row],[Forest cover 2011]]</f>
        <v>0</v>
      </c>
      <c r="BC330" s="6">
        <f>Tabla2[[#This Row],[Forest Loss 2021]]/Tabla2[[#This Row],[Forest cover 2011]]</f>
        <v>0</v>
      </c>
      <c r="BD330" s="6">
        <f>Tabla2[[#This Row],[Forest Loss 2022]]/Tabla2[[#This Row],[Forest cover 2011]]</f>
        <v>0</v>
      </c>
      <c r="BE330" s="6">
        <f>Tabla2[[#This Row],[Forest Loss 2023]]/Tabla2[[#This Row],[Forest cover 2011]]</f>
        <v>0</v>
      </c>
      <c r="BF330" s="6">
        <f>Tabla2[[#This Row],[Forest Loss 2024]]/Tabla2[[#This Row],[Forest cover 2011]]</f>
        <v>0</v>
      </c>
    </row>
    <row r="331" spans="1:58" x14ac:dyDescent="0.25">
      <c r="A331" s="2">
        <v>20104</v>
      </c>
      <c r="B331" s="3" t="s">
        <v>88</v>
      </c>
      <c r="C331" t="s">
        <v>92</v>
      </c>
      <c r="D331">
        <v>12.24</v>
      </c>
      <c r="E331" s="4">
        <f>AVERAGE(Tabla2[[#This Row],[Deforestation 2012]:[Deforestation 2014]])</f>
        <v>0.03</v>
      </c>
      <c r="F331" s="4">
        <f>AVERAGE(Tabla2[[#This Row],[Deforestation 2022]:[Deforestation 2024]])</f>
        <v>0.27</v>
      </c>
      <c r="G331">
        <v>0</v>
      </c>
      <c r="H331">
        <v>0.09</v>
      </c>
      <c r="I331">
        <v>0</v>
      </c>
      <c r="J331">
        <v>0</v>
      </c>
      <c r="K331">
        <v>0</v>
      </c>
      <c r="L331">
        <v>0</v>
      </c>
      <c r="M331">
        <v>0.09</v>
      </c>
      <c r="N331">
        <v>0.27</v>
      </c>
      <c r="O331">
        <v>0.09</v>
      </c>
      <c r="P331">
        <v>0</v>
      </c>
      <c r="Q331">
        <v>0</v>
      </c>
      <c r="R331">
        <v>0.81</v>
      </c>
      <c r="S331">
        <v>0</v>
      </c>
      <c r="T331">
        <v>0</v>
      </c>
      <c r="U331">
        <v>0.27</v>
      </c>
      <c r="V331">
        <v>0.63</v>
      </c>
      <c r="W331">
        <v>0</v>
      </c>
      <c r="X331">
        <v>0</v>
      </c>
      <c r="Y331">
        <v>0.18</v>
      </c>
      <c r="Z331">
        <v>0.09</v>
      </c>
      <c r="AA331">
        <v>2.52</v>
      </c>
      <c r="AB331">
        <v>0.36</v>
      </c>
      <c r="AC331">
        <v>0</v>
      </c>
      <c r="AD331">
        <v>0</v>
      </c>
      <c r="AE331">
        <v>1.08</v>
      </c>
      <c r="AF331">
        <v>0</v>
      </c>
      <c r="AG331" s="5">
        <f>Tabla2[[#This Row],[Deforestation 2012]]/Tabla2[[#This Row],[Forest cover 2011]]</f>
        <v>0</v>
      </c>
      <c r="AH331" s="6">
        <f>Tabla2[[#This Row],[Deforestation 2013]]/Tabla2[[#This Row],[Forest cover 2011]]</f>
        <v>7.3529411764705881E-3</v>
      </c>
      <c r="AI331" s="6">
        <f>Tabla2[[#This Row],[Deforestation 2014]]/Tabla2[[#This Row],[Forest cover 2011]]</f>
        <v>0</v>
      </c>
      <c r="AJ331" s="6">
        <f>Tabla2[[#This Row],[Deforestation 2015]]/Tabla2[[#This Row],[Forest cover 2011]]</f>
        <v>0</v>
      </c>
      <c r="AK331" s="6">
        <f>Tabla2[[#This Row],[Deforestation 2016]]/Tabla2[[#This Row],[Forest cover 2011]]</f>
        <v>0</v>
      </c>
      <c r="AL331" s="6">
        <f>Tabla2[[#This Row],[Deforestation 2017]]/Tabla2[[#This Row],[Forest cover 2011]]</f>
        <v>0</v>
      </c>
      <c r="AM331" s="6">
        <f>Tabla2[[#This Row],[Deforestation 2018]]/Tabla2[[#This Row],[Forest cover 2011]]</f>
        <v>7.3529411764705881E-3</v>
      </c>
      <c r="AN331" s="6">
        <f>Tabla2[[#This Row],[Deforestation 2019]]/Tabla2[[#This Row],[Forest cover 2011]]</f>
        <v>2.2058823529411766E-2</v>
      </c>
      <c r="AO331" s="6">
        <f>Tabla2[[#This Row],[Deforestation 2020]]/Tabla2[[#This Row],[Forest cover 2011]]</f>
        <v>7.3529411764705881E-3</v>
      </c>
      <c r="AP331" s="6">
        <f>Tabla2[[#This Row],[Deforestation 2021]]/Tabla2[[#This Row],[Forest cover 2011]]</f>
        <v>0</v>
      </c>
      <c r="AQ331" s="6">
        <f>Tabla2[[#This Row],[Deforestation 2022]]/Tabla2[[#This Row],[Forest cover 2011]]</f>
        <v>0</v>
      </c>
      <c r="AR331" s="6">
        <f>Tabla2[[#This Row],[Deforestation 2023]]/Tabla2[[#This Row],[Forest cover 2011]]</f>
        <v>6.6176470588235295E-2</v>
      </c>
      <c r="AS331" s="6">
        <f>Tabla2[[#This Row],[Deforestation 2024]]/Tabla2[[#This Row],[Forest cover 2011]]</f>
        <v>0</v>
      </c>
      <c r="AT331" s="6">
        <f>Tabla2[[#This Row],[Forest Loss 2012]]/Tabla2[[#This Row],[Forest cover 2011]]</f>
        <v>0</v>
      </c>
      <c r="AU331" s="6">
        <f>Tabla2[[#This Row],[Forest Loss 2013]]/Tabla2[[#This Row],[Forest cover 2011]]</f>
        <v>2.2058823529411766E-2</v>
      </c>
      <c r="AV331" s="6">
        <f>Tabla2[[#This Row],[Forest Loss 2014]]/Tabla2[[#This Row],[Forest cover 2011]]</f>
        <v>5.1470588235294115E-2</v>
      </c>
      <c r="AW331" s="6">
        <f>Tabla2[[#This Row],[Forest Loss 2015]]/Tabla2[[#This Row],[Forest cover 2011]]</f>
        <v>0</v>
      </c>
      <c r="AX331" s="6">
        <f>Tabla2[[#This Row],[Forest Loss 2016]]/Tabla2[[#This Row],[Forest cover 2011]]</f>
        <v>0</v>
      </c>
      <c r="AY331" s="6">
        <f>Tabla2[[#This Row],[Forest Loss 2017]]/Tabla2[[#This Row],[Forest cover 2011]]</f>
        <v>1.4705882352941176E-2</v>
      </c>
      <c r="AZ331" s="6">
        <f>Tabla2[[#This Row],[Forest Loss 2018]]/Tabla2[[#This Row],[Forest cover 2011]]</f>
        <v>7.3529411764705881E-3</v>
      </c>
      <c r="BA331" s="6">
        <f>Tabla2[[#This Row],[Forest Loss 2019]]/Tabla2[[#This Row],[Forest cover 2011]]</f>
        <v>0.20588235294117646</v>
      </c>
      <c r="BB331" s="6">
        <f>Tabla2[[#This Row],[Forest Loss 2020]]/Tabla2[[#This Row],[Forest cover 2011]]</f>
        <v>2.9411764705882353E-2</v>
      </c>
      <c r="BC331" s="6">
        <f>Tabla2[[#This Row],[Forest Loss 2021]]/Tabla2[[#This Row],[Forest cover 2011]]</f>
        <v>0</v>
      </c>
      <c r="BD331" s="6">
        <f>Tabla2[[#This Row],[Forest Loss 2022]]/Tabla2[[#This Row],[Forest cover 2011]]</f>
        <v>0</v>
      </c>
      <c r="BE331" s="6">
        <f>Tabla2[[#This Row],[Forest Loss 2023]]/Tabla2[[#This Row],[Forest cover 2011]]</f>
        <v>8.8235294117647065E-2</v>
      </c>
      <c r="BF331" s="6">
        <f>Tabla2[[#This Row],[Forest Loss 2024]]/Tabla2[[#This Row],[Forest cover 2011]]</f>
        <v>0</v>
      </c>
    </row>
    <row r="332" spans="1:58" x14ac:dyDescent="0.25">
      <c r="A332" s="2">
        <v>31501</v>
      </c>
      <c r="B332" s="3" t="s">
        <v>176</v>
      </c>
      <c r="C332" t="s">
        <v>221</v>
      </c>
      <c r="D332">
        <v>12.6</v>
      </c>
      <c r="E332" s="4">
        <f>AVERAGE(Tabla2[[#This Row],[Deforestation 2012]:[Deforestation 2014]])</f>
        <v>0</v>
      </c>
      <c r="F332" s="4">
        <f>AVERAGE(Tabla2[[#This Row],[Deforestation 2022]:[Deforestation 2024]])</f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0.36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0.63</v>
      </c>
      <c r="AF332">
        <v>0</v>
      </c>
      <c r="AG332" s="5">
        <f>Tabla2[[#This Row],[Deforestation 2012]]/Tabla2[[#This Row],[Forest cover 2011]]</f>
        <v>0</v>
      </c>
      <c r="AH332" s="6">
        <f>Tabla2[[#This Row],[Deforestation 2013]]/Tabla2[[#This Row],[Forest cover 2011]]</f>
        <v>0</v>
      </c>
      <c r="AI332" s="6">
        <f>Tabla2[[#This Row],[Deforestation 2014]]/Tabla2[[#This Row],[Forest cover 2011]]</f>
        <v>0</v>
      </c>
      <c r="AJ332" s="6">
        <f>Tabla2[[#This Row],[Deforestation 2015]]/Tabla2[[#This Row],[Forest cover 2011]]</f>
        <v>0</v>
      </c>
      <c r="AK332" s="6">
        <f>Tabla2[[#This Row],[Deforestation 2016]]/Tabla2[[#This Row],[Forest cover 2011]]</f>
        <v>0</v>
      </c>
      <c r="AL332" s="6">
        <f>Tabla2[[#This Row],[Deforestation 2017]]/Tabla2[[#This Row],[Forest cover 2011]]</f>
        <v>0</v>
      </c>
      <c r="AM332" s="6">
        <f>Tabla2[[#This Row],[Deforestation 2018]]/Tabla2[[#This Row],[Forest cover 2011]]</f>
        <v>0</v>
      </c>
      <c r="AN332" s="6">
        <f>Tabla2[[#This Row],[Deforestation 2019]]/Tabla2[[#This Row],[Forest cover 2011]]</f>
        <v>0</v>
      </c>
      <c r="AO332" s="6">
        <f>Tabla2[[#This Row],[Deforestation 2020]]/Tabla2[[#This Row],[Forest cover 2011]]</f>
        <v>0</v>
      </c>
      <c r="AP332" s="6">
        <f>Tabla2[[#This Row],[Deforestation 2021]]/Tabla2[[#This Row],[Forest cover 2011]]</f>
        <v>0</v>
      </c>
      <c r="AQ332" s="6">
        <f>Tabla2[[#This Row],[Deforestation 2022]]/Tabla2[[#This Row],[Forest cover 2011]]</f>
        <v>0</v>
      </c>
      <c r="AR332" s="6">
        <f>Tabla2[[#This Row],[Deforestation 2023]]/Tabla2[[#This Row],[Forest cover 2011]]</f>
        <v>0</v>
      </c>
      <c r="AS332" s="6">
        <f>Tabla2[[#This Row],[Deforestation 2024]]/Tabla2[[#This Row],[Forest cover 2011]]</f>
        <v>0</v>
      </c>
      <c r="AT332" s="6">
        <f>Tabla2[[#This Row],[Forest Loss 2012]]/Tabla2[[#This Row],[Forest cover 2011]]</f>
        <v>0</v>
      </c>
      <c r="AU332" s="6">
        <f>Tabla2[[#This Row],[Forest Loss 2013]]/Tabla2[[#This Row],[Forest cover 2011]]</f>
        <v>0</v>
      </c>
      <c r="AV332" s="6">
        <f>Tabla2[[#This Row],[Forest Loss 2014]]/Tabla2[[#This Row],[Forest cover 2011]]</f>
        <v>2.8571428571428571E-2</v>
      </c>
      <c r="AW332" s="6">
        <f>Tabla2[[#This Row],[Forest Loss 2015]]/Tabla2[[#This Row],[Forest cover 2011]]</f>
        <v>0</v>
      </c>
      <c r="AX332" s="6">
        <f>Tabla2[[#This Row],[Forest Loss 2016]]/Tabla2[[#This Row],[Forest cover 2011]]</f>
        <v>0</v>
      </c>
      <c r="AY332" s="6">
        <f>Tabla2[[#This Row],[Forest Loss 2017]]/Tabla2[[#This Row],[Forest cover 2011]]</f>
        <v>0</v>
      </c>
      <c r="AZ332" s="6">
        <f>Tabla2[[#This Row],[Forest Loss 2018]]/Tabla2[[#This Row],[Forest cover 2011]]</f>
        <v>0</v>
      </c>
      <c r="BA332" s="6">
        <f>Tabla2[[#This Row],[Forest Loss 2019]]/Tabla2[[#This Row],[Forest cover 2011]]</f>
        <v>0</v>
      </c>
      <c r="BB332" s="6">
        <f>Tabla2[[#This Row],[Forest Loss 2020]]/Tabla2[[#This Row],[Forest cover 2011]]</f>
        <v>0</v>
      </c>
      <c r="BC332" s="6">
        <f>Tabla2[[#This Row],[Forest Loss 2021]]/Tabla2[[#This Row],[Forest cover 2011]]</f>
        <v>0</v>
      </c>
      <c r="BD332" s="6">
        <f>Tabla2[[#This Row],[Forest Loss 2022]]/Tabla2[[#This Row],[Forest cover 2011]]</f>
        <v>0</v>
      </c>
      <c r="BE332" s="6">
        <f>Tabla2[[#This Row],[Forest Loss 2023]]/Tabla2[[#This Row],[Forest cover 2011]]</f>
        <v>0.05</v>
      </c>
      <c r="BF332" s="6">
        <f>Tabla2[[#This Row],[Forest Loss 2024]]/Tabla2[[#This Row],[Forest cover 2011]]</f>
        <v>0</v>
      </c>
    </row>
    <row r="333" spans="1:58" x14ac:dyDescent="0.25">
      <c r="A333" s="2">
        <v>50202</v>
      </c>
      <c r="B333" s="3" t="s">
        <v>258</v>
      </c>
      <c r="C333" t="s">
        <v>263</v>
      </c>
      <c r="D333">
        <v>12.69</v>
      </c>
      <c r="E333" s="4">
        <f>AVERAGE(Tabla2[[#This Row],[Deforestation 2012]:[Deforestation 2014]])</f>
        <v>0</v>
      </c>
      <c r="F333" s="4">
        <f>AVERAGE(Tabla2[[#This Row],[Deforestation 2022]:[Deforestation 2024]])</f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0.09</v>
      </c>
      <c r="V333">
        <v>0.54</v>
      </c>
      <c r="W333">
        <v>0.27</v>
      </c>
      <c r="X333">
        <v>0</v>
      </c>
      <c r="Y333">
        <v>0.9</v>
      </c>
      <c r="Z333">
        <v>0</v>
      </c>
      <c r="AA333">
        <v>1.17</v>
      </c>
      <c r="AB333">
        <v>0</v>
      </c>
      <c r="AC333">
        <v>0</v>
      </c>
      <c r="AD333">
        <v>0</v>
      </c>
      <c r="AE333">
        <v>0.18</v>
      </c>
      <c r="AF333">
        <v>0</v>
      </c>
      <c r="AG333" s="5">
        <f>Tabla2[[#This Row],[Deforestation 2012]]/Tabla2[[#This Row],[Forest cover 2011]]</f>
        <v>0</v>
      </c>
      <c r="AH333" s="6">
        <f>Tabla2[[#This Row],[Deforestation 2013]]/Tabla2[[#This Row],[Forest cover 2011]]</f>
        <v>0</v>
      </c>
      <c r="AI333" s="6">
        <f>Tabla2[[#This Row],[Deforestation 2014]]/Tabla2[[#This Row],[Forest cover 2011]]</f>
        <v>0</v>
      </c>
      <c r="AJ333" s="6">
        <f>Tabla2[[#This Row],[Deforestation 2015]]/Tabla2[[#This Row],[Forest cover 2011]]</f>
        <v>0</v>
      </c>
      <c r="AK333" s="6">
        <f>Tabla2[[#This Row],[Deforestation 2016]]/Tabla2[[#This Row],[Forest cover 2011]]</f>
        <v>0</v>
      </c>
      <c r="AL333" s="6">
        <f>Tabla2[[#This Row],[Deforestation 2017]]/Tabla2[[#This Row],[Forest cover 2011]]</f>
        <v>0</v>
      </c>
      <c r="AM333" s="6">
        <f>Tabla2[[#This Row],[Deforestation 2018]]/Tabla2[[#This Row],[Forest cover 2011]]</f>
        <v>0</v>
      </c>
      <c r="AN333" s="6">
        <f>Tabla2[[#This Row],[Deforestation 2019]]/Tabla2[[#This Row],[Forest cover 2011]]</f>
        <v>0</v>
      </c>
      <c r="AO333" s="6">
        <f>Tabla2[[#This Row],[Deforestation 2020]]/Tabla2[[#This Row],[Forest cover 2011]]</f>
        <v>0</v>
      </c>
      <c r="AP333" s="6">
        <f>Tabla2[[#This Row],[Deforestation 2021]]/Tabla2[[#This Row],[Forest cover 2011]]</f>
        <v>0</v>
      </c>
      <c r="AQ333" s="6">
        <f>Tabla2[[#This Row],[Deforestation 2022]]/Tabla2[[#This Row],[Forest cover 2011]]</f>
        <v>0</v>
      </c>
      <c r="AR333" s="6">
        <f>Tabla2[[#This Row],[Deforestation 2023]]/Tabla2[[#This Row],[Forest cover 2011]]</f>
        <v>0</v>
      </c>
      <c r="AS333" s="6">
        <f>Tabla2[[#This Row],[Deforestation 2024]]/Tabla2[[#This Row],[Forest cover 2011]]</f>
        <v>0</v>
      </c>
      <c r="AT333" s="6">
        <f>Tabla2[[#This Row],[Forest Loss 2012]]/Tabla2[[#This Row],[Forest cover 2011]]</f>
        <v>0</v>
      </c>
      <c r="AU333" s="6">
        <f>Tabla2[[#This Row],[Forest Loss 2013]]/Tabla2[[#This Row],[Forest cover 2011]]</f>
        <v>7.0921985815602835E-3</v>
      </c>
      <c r="AV333" s="6">
        <f>Tabla2[[#This Row],[Forest Loss 2014]]/Tabla2[[#This Row],[Forest cover 2011]]</f>
        <v>4.2553191489361708E-2</v>
      </c>
      <c r="AW333" s="6">
        <f>Tabla2[[#This Row],[Forest Loss 2015]]/Tabla2[[#This Row],[Forest cover 2011]]</f>
        <v>2.1276595744680854E-2</v>
      </c>
      <c r="AX333" s="6">
        <f>Tabla2[[#This Row],[Forest Loss 2016]]/Tabla2[[#This Row],[Forest cover 2011]]</f>
        <v>0</v>
      </c>
      <c r="AY333" s="6">
        <f>Tabla2[[#This Row],[Forest Loss 2017]]/Tabla2[[#This Row],[Forest cover 2011]]</f>
        <v>7.0921985815602842E-2</v>
      </c>
      <c r="AZ333" s="6">
        <f>Tabla2[[#This Row],[Forest Loss 2018]]/Tabla2[[#This Row],[Forest cover 2011]]</f>
        <v>0</v>
      </c>
      <c r="BA333" s="6">
        <f>Tabla2[[#This Row],[Forest Loss 2019]]/Tabla2[[#This Row],[Forest cover 2011]]</f>
        <v>9.2198581560283682E-2</v>
      </c>
      <c r="BB333" s="6">
        <f>Tabla2[[#This Row],[Forest Loss 2020]]/Tabla2[[#This Row],[Forest cover 2011]]</f>
        <v>0</v>
      </c>
      <c r="BC333" s="6">
        <f>Tabla2[[#This Row],[Forest Loss 2021]]/Tabla2[[#This Row],[Forest cover 2011]]</f>
        <v>0</v>
      </c>
      <c r="BD333" s="6">
        <f>Tabla2[[#This Row],[Forest Loss 2022]]/Tabla2[[#This Row],[Forest cover 2011]]</f>
        <v>0</v>
      </c>
      <c r="BE333" s="6">
        <f>Tabla2[[#This Row],[Forest Loss 2023]]/Tabla2[[#This Row],[Forest cover 2011]]</f>
        <v>1.4184397163120567E-2</v>
      </c>
      <c r="BF333" s="6">
        <f>Tabla2[[#This Row],[Forest Loss 2024]]/Tabla2[[#This Row],[Forest cover 2011]]</f>
        <v>0</v>
      </c>
    </row>
    <row r="334" spans="1:58" x14ac:dyDescent="0.25">
      <c r="A334" s="2">
        <v>50203</v>
      </c>
      <c r="B334" s="3" t="s">
        <v>258</v>
      </c>
      <c r="C334" t="s">
        <v>264</v>
      </c>
      <c r="D334">
        <v>21.24</v>
      </c>
      <c r="E334" s="4">
        <f>AVERAGE(Tabla2[[#This Row],[Deforestation 2012]:[Deforestation 2014]])</f>
        <v>0</v>
      </c>
      <c r="F334" s="4">
        <f>AVERAGE(Tabla2[[#This Row],[Deforestation 2022]:[Deforestation 2024]])</f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0.09</v>
      </c>
      <c r="U334">
        <v>0.36</v>
      </c>
      <c r="V334">
        <v>0.89999999999999991</v>
      </c>
      <c r="W334">
        <v>0</v>
      </c>
      <c r="X334">
        <v>0</v>
      </c>
      <c r="Y334">
        <v>0.54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s="5">
        <f>Tabla2[[#This Row],[Deforestation 2012]]/Tabla2[[#This Row],[Forest cover 2011]]</f>
        <v>0</v>
      </c>
      <c r="AH334" s="6">
        <f>Tabla2[[#This Row],[Deforestation 2013]]/Tabla2[[#This Row],[Forest cover 2011]]</f>
        <v>0</v>
      </c>
      <c r="AI334" s="6">
        <f>Tabla2[[#This Row],[Deforestation 2014]]/Tabla2[[#This Row],[Forest cover 2011]]</f>
        <v>0</v>
      </c>
      <c r="AJ334" s="6">
        <f>Tabla2[[#This Row],[Deforestation 2015]]/Tabla2[[#This Row],[Forest cover 2011]]</f>
        <v>0</v>
      </c>
      <c r="AK334" s="6">
        <f>Tabla2[[#This Row],[Deforestation 2016]]/Tabla2[[#This Row],[Forest cover 2011]]</f>
        <v>0</v>
      </c>
      <c r="AL334" s="6">
        <f>Tabla2[[#This Row],[Deforestation 2017]]/Tabla2[[#This Row],[Forest cover 2011]]</f>
        <v>0</v>
      </c>
      <c r="AM334" s="6">
        <f>Tabla2[[#This Row],[Deforestation 2018]]/Tabla2[[#This Row],[Forest cover 2011]]</f>
        <v>0</v>
      </c>
      <c r="AN334" s="6">
        <f>Tabla2[[#This Row],[Deforestation 2019]]/Tabla2[[#This Row],[Forest cover 2011]]</f>
        <v>0</v>
      </c>
      <c r="AO334" s="6">
        <f>Tabla2[[#This Row],[Deforestation 2020]]/Tabla2[[#This Row],[Forest cover 2011]]</f>
        <v>0</v>
      </c>
      <c r="AP334" s="6">
        <f>Tabla2[[#This Row],[Deforestation 2021]]/Tabla2[[#This Row],[Forest cover 2011]]</f>
        <v>0</v>
      </c>
      <c r="AQ334" s="6">
        <f>Tabla2[[#This Row],[Deforestation 2022]]/Tabla2[[#This Row],[Forest cover 2011]]</f>
        <v>0</v>
      </c>
      <c r="AR334" s="6">
        <f>Tabla2[[#This Row],[Deforestation 2023]]/Tabla2[[#This Row],[Forest cover 2011]]</f>
        <v>0</v>
      </c>
      <c r="AS334" s="6">
        <f>Tabla2[[#This Row],[Deforestation 2024]]/Tabla2[[#This Row],[Forest cover 2011]]</f>
        <v>0</v>
      </c>
      <c r="AT334" s="6">
        <f>Tabla2[[#This Row],[Forest Loss 2012]]/Tabla2[[#This Row],[Forest cover 2011]]</f>
        <v>4.2372881355932203E-3</v>
      </c>
      <c r="AU334" s="6">
        <f>Tabla2[[#This Row],[Forest Loss 2013]]/Tabla2[[#This Row],[Forest cover 2011]]</f>
        <v>1.6949152542372881E-2</v>
      </c>
      <c r="AV334" s="6">
        <f>Tabla2[[#This Row],[Forest Loss 2014]]/Tabla2[[#This Row],[Forest cover 2011]]</f>
        <v>4.2372881355932202E-2</v>
      </c>
      <c r="AW334" s="6">
        <f>Tabla2[[#This Row],[Forest Loss 2015]]/Tabla2[[#This Row],[Forest cover 2011]]</f>
        <v>0</v>
      </c>
      <c r="AX334" s="6">
        <f>Tabla2[[#This Row],[Forest Loss 2016]]/Tabla2[[#This Row],[Forest cover 2011]]</f>
        <v>0</v>
      </c>
      <c r="AY334" s="6">
        <f>Tabla2[[#This Row],[Forest Loss 2017]]/Tabla2[[#This Row],[Forest cover 2011]]</f>
        <v>2.5423728813559327E-2</v>
      </c>
      <c r="AZ334" s="6">
        <f>Tabla2[[#This Row],[Forest Loss 2018]]/Tabla2[[#This Row],[Forest cover 2011]]</f>
        <v>0</v>
      </c>
      <c r="BA334" s="6">
        <f>Tabla2[[#This Row],[Forest Loss 2019]]/Tabla2[[#This Row],[Forest cover 2011]]</f>
        <v>0</v>
      </c>
      <c r="BB334" s="6">
        <f>Tabla2[[#This Row],[Forest Loss 2020]]/Tabla2[[#This Row],[Forest cover 2011]]</f>
        <v>0</v>
      </c>
      <c r="BC334" s="6">
        <f>Tabla2[[#This Row],[Forest Loss 2021]]/Tabla2[[#This Row],[Forest cover 2011]]</f>
        <v>0</v>
      </c>
      <c r="BD334" s="6">
        <f>Tabla2[[#This Row],[Forest Loss 2022]]/Tabla2[[#This Row],[Forest cover 2011]]</f>
        <v>0</v>
      </c>
      <c r="BE334" s="6">
        <f>Tabla2[[#This Row],[Forest Loss 2023]]/Tabla2[[#This Row],[Forest cover 2011]]</f>
        <v>0</v>
      </c>
      <c r="BF334" s="6">
        <f>Tabla2[[#This Row],[Forest Loss 2024]]/Tabla2[[#This Row],[Forest cover 2011]]</f>
        <v>0</v>
      </c>
    </row>
    <row r="335" spans="1:58" x14ac:dyDescent="0.25">
      <c r="A335" s="2">
        <v>31401</v>
      </c>
      <c r="B335" s="3" t="s">
        <v>176</v>
      </c>
      <c r="C335" t="s">
        <v>216</v>
      </c>
      <c r="D335">
        <v>23.04</v>
      </c>
      <c r="E335" s="4">
        <f>AVERAGE(Tabla2[[#This Row],[Deforestation 2012]:[Deforestation 2014]])</f>
        <v>0.77999999999999992</v>
      </c>
      <c r="F335" s="4">
        <f>AVERAGE(Tabla2[[#This Row],[Deforestation 2022]:[Deforestation 2024]])</f>
        <v>1.3499999999999999</v>
      </c>
      <c r="G335">
        <v>0.9</v>
      </c>
      <c r="H335">
        <v>1.44</v>
      </c>
      <c r="I335">
        <v>0</v>
      </c>
      <c r="J335">
        <v>1.44</v>
      </c>
      <c r="K335">
        <v>0.99</v>
      </c>
      <c r="L335">
        <v>0.27</v>
      </c>
      <c r="M335">
        <v>0.63</v>
      </c>
      <c r="N335">
        <v>0.99</v>
      </c>
      <c r="O335">
        <v>1.53</v>
      </c>
      <c r="P335">
        <v>1.71</v>
      </c>
      <c r="Q335">
        <v>2.0699999999999998</v>
      </c>
      <c r="R335">
        <v>1.98</v>
      </c>
      <c r="S335">
        <v>0</v>
      </c>
      <c r="T335">
        <v>0.9</v>
      </c>
      <c r="U335">
        <v>1.44</v>
      </c>
      <c r="V335">
        <v>0</v>
      </c>
      <c r="W335">
        <v>1.62</v>
      </c>
      <c r="X335">
        <v>0.99</v>
      </c>
      <c r="Y335">
        <v>0.27</v>
      </c>
      <c r="Z335">
        <v>0.81</v>
      </c>
      <c r="AA335">
        <v>0.99</v>
      </c>
      <c r="AB335">
        <v>1.53</v>
      </c>
      <c r="AC335">
        <v>1.71</v>
      </c>
      <c r="AD335">
        <v>2.0699999999999998</v>
      </c>
      <c r="AE335">
        <v>3.42</v>
      </c>
      <c r="AF335">
        <v>0</v>
      </c>
      <c r="AG335" s="5">
        <f>Tabla2[[#This Row],[Deforestation 2012]]/Tabla2[[#This Row],[Forest cover 2011]]</f>
        <v>3.90625E-2</v>
      </c>
      <c r="AH335" s="6">
        <f>Tabla2[[#This Row],[Deforestation 2013]]/Tabla2[[#This Row],[Forest cover 2011]]</f>
        <v>6.25E-2</v>
      </c>
      <c r="AI335" s="6">
        <f>Tabla2[[#This Row],[Deforestation 2014]]/Tabla2[[#This Row],[Forest cover 2011]]</f>
        <v>0</v>
      </c>
      <c r="AJ335" s="6">
        <f>Tabla2[[#This Row],[Deforestation 2015]]/Tabla2[[#This Row],[Forest cover 2011]]</f>
        <v>6.25E-2</v>
      </c>
      <c r="AK335" s="6">
        <f>Tabla2[[#This Row],[Deforestation 2016]]/Tabla2[[#This Row],[Forest cover 2011]]</f>
        <v>4.296875E-2</v>
      </c>
      <c r="AL335" s="6">
        <f>Tabla2[[#This Row],[Deforestation 2017]]/Tabla2[[#This Row],[Forest cover 2011]]</f>
        <v>1.1718750000000002E-2</v>
      </c>
      <c r="AM335" s="6">
        <f>Tabla2[[#This Row],[Deforestation 2018]]/Tabla2[[#This Row],[Forest cover 2011]]</f>
        <v>2.734375E-2</v>
      </c>
      <c r="AN335" s="6">
        <f>Tabla2[[#This Row],[Deforestation 2019]]/Tabla2[[#This Row],[Forest cover 2011]]</f>
        <v>4.296875E-2</v>
      </c>
      <c r="AO335" s="6">
        <f>Tabla2[[#This Row],[Deforestation 2020]]/Tabla2[[#This Row],[Forest cover 2011]]</f>
        <v>6.640625E-2</v>
      </c>
      <c r="AP335" s="6">
        <f>Tabla2[[#This Row],[Deforestation 2021]]/Tabla2[[#This Row],[Forest cover 2011]]</f>
        <v>7.421875E-2</v>
      </c>
      <c r="AQ335" s="6">
        <f>Tabla2[[#This Row],[Deforestation 2022]]/Tabla2[[#This Row],[Forest cover 2011]]</f>
        <v>8.984375E-2</v>
      </c>
      <c r="AR335" s="6">
        <f>Tabla2[[#This Row],[Deforestation 2023]]/Tabla2[[#This Row],[Forest cover 2011]]</f>
        <v>8.59375E-2</v>
      </c>
      <c r="AS335" s="6">
        <f>Tabla2[[#This Row],[Deforestation 2024]]/Tabla2[[#This Row],[Forest cover 2011]]</f>
        <v>0</v>
      </c>
      <c r="AT335" s="6">
        <f>Tabla2[[#This Row],[Forest Loss 2012]]/Tabla2[[#This Row],[Forest cover 2011]]</f>
        <v>3.90625E-2</v>
      </c>
      <c r="AU335" s="6">
        <f>Tabla2[[#This Row],[Forest Loss 2013]]/Tabla2[[#This Row],[Forest cover 2011]]</f>
        <v>6.25E-2</v>
      </c>
      <c r="AV335" s="6">
        <f>Tabla2[[#This Row],[Forest Loss 2014]]/Tabla2[[#This Row],[Forest cover 2011]]</f>
        <v>0</v>
      </c>
      <c r="AW335" s="6">
        <f>Tabla2[[#This Row],[Forest Loss 2015]]/Tabla2[[#This Row],[Forest cover 2011]]</f>
        <v>7.0312500000000014E-2</v>
      </c>
      <c r="AX335" s="6">
        <f>Tabla2[[#This Row],[Forest Loss 2016]]/Tabla2[[#This Row],[Forest cover 2011]]</f>
        <v>4.296875E-2</v>
      </c>
      <c r="AY335" s="6">
        <f>Tabla2[[#This Row],[Forest Loss 2017]]/Tabla2[[#This Row],[Forest cover 2011]]</f>
        <v>1.1718750000000002E-2</v>
      </c>
      <c r="AZ335" s="6">
        <f>Tabla2[[#This Row],[Forest Loss 2018]]/Tabla2[[#This Row],[Forest cover 2011]]</f>
        <v>3.5156250000000007E-2</v>
      </c>
      <c r="BA335" s="6">
        <f>Tabla2[[#This Row],[Forest Loss 2019]]/Tabla2[[#This Row],[Forest cover 2011]]</f>
        <v>4.296875E-2</v>
      </c>
      <c r="BB335" s="6">
        <f>Tabla2[[#This Row],[Forest Loss 2020]]/Tabla2[[#This Row],[Forest cover 2011]]</f>
        <v>6.640625E-2</v>
      </c>
      <c r="BC335" s="6">
        <f>Tabla2[[#This Row],[Forest Loss 2021]]/Tabla2[[#This Row],[Forest cover 2011]]</f>
        <v>7.421875E-2</v>
      </c>
      <c r="BD335" s="6">
        <f>Tabla2[[#This Row],[Forest Loss 2022]]/Tabla2[[#This Row],[Forest cover 2011]]</f>
        <v>8.984375E-2</v>
      </c>
      <c r="BE335" s="6">
        <f>Tabla2[[#This Row],[Forest Loss 2023]]/Tabla2[[#This Row],[Forest cover 2011]]</f>
        <v>0.1484375</v>
      </c>
      <c r="BF335" s="6">
        <f>Tabla2[[#This Row],[Forest Loss 2024]]/Tabla2[[#This Row],[Forest cover 2011]]</f>
        <v>0</v>
      </c>
    </row>
    <row r="336" spans="1:58" x14ac:dyDescent="0.25">
      <c r="A336" s="2">
        <v>50701</v>
      </c>
      <c r="B336" s="3" t="s">
        <v>258</v>
      </c>
      <c r="C336" t="s">
        <v>278</v>
      </c>
      <c r="D336">
        <v>40.229999999999997</v>
      </c>
      <c r="E336" s="4">
        <f>AVERAGE(Tabla2[[#This Row],[Deforestation 2012]:[Deforestation 2014]])</f>
        <v>0</v>
      </c>
      <c r="F336" s="4">
        <f>AVERAGE(Tabla2[[#This Row],[Deforestation 2022]:[Deforestation 2024]])</f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0.18</v>
      </c>
      <c r="U336">
        <v>0</v>
      </c>
      <c r="V336">
        <v>1.08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0.09</v>
      </c>
      <c r="AC336">
        <v>0</v>
      </c>
      <c r="AD336">
        <v>0</v>
      </c>
      <c r="AE336">
        <v>0.27</v>
      </c>
      <c r="AF336">
        <v>0</v>
      </c>
      <c r="AG336" s="5">
        <f>Tabla2[[#This Row],[Deforestation 2012]]/Tabla2[[#This Row],[Forest cover 2011]]</f>
        <v>0</v>
      </c>
      <c r="AH336" s="6">
        <f>Tabla2[[#This Row],[Deforestation 2013]]/Tabla2[[#This Row],[Forest cover 2011]]</f>
        <v>0</v>
      </c>
      <c r="AI336" s="6">
        <f>Tabla2[[#This Row],[Deforestation 2014]]/Tabla2[[#This Row],[Forest cover 2011]]</f>
        <v>0</v>
      </c>
      <c r="AJ336" s="6">
        <f>Tabla2[[#This Row],[Deforestation 2015]]/Tabla2[[#This Row],[Forest cover 2011]]</f>
        <v>0</v>
      </c>
      <c r="AK336" s="6">
        <f>Tabla2[[#This Row],[Deforestation 2016]]/Tabla2[[#This Row],[Forest cover 2011]]</f>
        <v>0</v>
      </c>
      <c r="AL336" s="6">
        <f>Tabla2[[#This Row],[Deforestation 2017]]/Tabla2[[#This Row],[Forest cover 2011]]</f>
        <v>0</v>
      </c>
      <c r="AM336" s="6">
        <f>Tabla2[[#This Row],[Deforestation 2018]]/Tabla2[[#This Row],[Forest cover 2011]]</f>
        <v>0</v>
      </c>
      <c r="AN336" s="6">
        <f>Tabla2[[#This Row],[Deforestation 2019]]/Tabla2[[#This Row],[Forest cover 2011]]</f>
        <v>0</v>
      </c>
      <c r="AO336" s="6">
        <f>Tabla2[[#This Row],[Deforestation 2020]]/Tabla2[[#This Row],[Forest cover 2011]]</f>
        <v>0</v>
      </c>
      <c r="AP336" s="6">
        <f>Tabla2[[#This Row],[Deforestation 2021]]/Tabla2[[#This Row],[Forest cover 2011]]</f>
        <v>0</v>
      </c>
      <c r="AQ336" s="6">
        <f>Tabla2[[#This Row],[Deforestation 2022]]/Tabla2[[#This Row],[Forest cover 2011]]</f>
        <v>0</v>
      </c>
      <c r="AR336" s="6">
        <f>Tabla2[[#This Row],[Deforestation 2023]]/Tabla2[[#This Row],[Forest cover 2011]]</f>
        <v>0</v>
      </c>
      <c r="AS336" s="6">
        <f>Tabla2[[#This Row],[Deforestation 2024]]/Tabla2[[#This Row],[Forest cover 2011]]</f>
        <v>0</v>
      </c>
      <c r="AT336" s="6">
        <f>Tabla2[[#This Row],[Forest Loss 2012]]/Tabla2[[#This Row],[Forest cover 2011]]</f>
        <v>4.4742729306487695E-3</v>
      </c>
      <c r="AU336" s="6">
        <f>Tabla2[[#This Row],[Forest Loss 2013]]/Tabla2[[#This Row],[Forest cover 2011]]</f>
        <v>0</v>
      </c>
      <c r="AV336" s="6">
        <f>Tabla2[[#This Row],[Forest Loss 2014]]/Tabla2[[#This Row],[Forest cover 2011]]</f>
        <v>2.684563758389262E-2</v>
      </c>
      <c r="AW336" s="6">
        <f>Tabla2[[#This Row],[Forest Loss 2015]]/Tabla2[[#This Row],[Forest cover 2011]]</f>
        <v>0</v>
      </c>
      <c r="AX336" s="6">
        <f>Tabla2[[#This Row],[Forest Loss 2016]]/Tabla2[[#This Row],[Forest cover 2011]]</f>
        <v>0</v>
      </c>
      <c r="AY336" s="6">
        <f>Tabla2[[#This Row],[Forest Loss 2017]]/Tabla2[[#This Row],[Forest cover 2011]]</f>
        <v>0</v>
      </c>
      <c r="AZ336" s="6">
        <f>Tabla2[[#This Row],[Forest Loss 2018]]/Tabla2[[#This Row],[Forest cover 2011]]</f>
        <v>0</v>
      </c>
      <c r="BA336" s="6">
        <f>Tabla2[[#This Row],[Forest Loss 2019]]/Tabla2[[#This Row],[Forest cover 2011]]</f>
        <v>0</v>
      </c>
      <c r="BB336" s="6">
        <f>Tabla2[[#This Row],[Forest Loss 2020]]/Tabla2[[#This Row],[Forest cover 2011]]</f>
        <v>2.2371364653243847E-3</v>
      </c>
      <c r="BC336" s="6">
        <f>Tabla2[[#This Row],[Forest Loss 2021]]/Tabla2[[#This Row],[Forest cover 2011]]</f>
        <v>0</v>
      </c>
      <c r="BD336" s="6">
        <f>Tabla2[[#This Row],[Forest Loss 2022]]/Tabla2[[#This Row],[Forest cover 2011]]</f>
        <v>0</v>
      </c>
      <c r="BE336" s="6">
        <f>Tabla2[[#This Row],[Forest Loss 2023]]/Tabla2[[#This Row],[Forest cover 2011]]</f>
        <v>6.7114093959731551E-3</v>
      </c>
      <c r="BF336" s="6">
        <f>Tabla2[[#This Row],[Forest Loss 2024]]/Tabla2[[#This Row],[Forest cover 2011]]</f>
        <v>0</v>
      </c>
    </row>
    <row r="337" spans="1:58" x14ac:dyDescent="0.25">
      <c r="A337" s="2">
        <v>30602</v>
      </c>
      <c r="B337" s="3" t="s">
        <v>176</v>
      </c>
      <c r="C337" t="s">
        <v>190</v>
      </c>
      <c r="D337">
        <v>82.97999999999999</v>
      </c>
      <c r="E337" s="4">
        <f>AVERAGE(Tabla2[[#This Row],[Deforestation 2012]:[Deforestation 2014]])</f>
        <v>0</v>
      </c>
      <c r="F337" s="4">
        <f>AVERAGE(Tabla2[[#This Row],[Deforestation 2022]:[Deforestation 2024]])</f>
        <v>0.36000000000000004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1.08</v>
      </c>
      <c r="S337">
        <v>0</v>
      </c>
      <c r="T337">
        <v>0.36</v>
      </c>
      <c r="U337">
        <v>0.18</v>
      </c>
      <c r="V337">
        <v>1.26</v>
      </c>
      <c r="W337">
        <v>0.45</v>
      </c>
      <c r="X337">
        <v>0.54</v>
      </c>
      <c r="Y337">
        <v>1.62</v>
      </c>
      <c r="Z337">
        <v>5.4</v>
      </c>
      <c r="AA337">
        <v>0.54</v>
      </c>
      <c r="AB337">
        <v>0.54</v>
      </c>
      <c r="AC337">
        <v>0.09</v>
      </c>
      <c r="AD337">
        <v>0.09</v>
      </c>
      <c r="AE337">
        <v>2.52</v>
      </c>
      <c r="AF337">
        <v>0</v>
      </c>
      <c r="AG337" s="5">
        <f>Tabla2[[#This Row],[Deforestation 2012]]/Tabla2[[#This Row],[Forest cover 2011]]</f>
        <v>0</v>
      </c>
      <c r="AH337" s="6">
        <f>Tabla2[[#This Row],[Deforestation 2013]]/Tabla2[[#This Row],[Forest cover 2011]]</f>
        <v>0</v>
      </c>
      <c r="AI337" s="6">
        <f>Tabla2[[#This Row],[Deforestation 2014]]/Tabla2[[#This Row],[Forest cover 2011]]</f>
        <v>0</v>
      </c>
      <c r="AJ337" s="6">
        <f>Tabla2[[#This Row],[Deforestation 2015]]/Tabla2[[#This Row],[Forest cover 2011]]</f>
        <v>0</v>
      </c>
      <c r="AK337" s="6">
        <f>Tabla2[[#This Row],[Deforestation 2016]]/Tabla2[[#This Row],[Forest cover 2011]]</f>
        <v>0</v>
      </c>
      <c r="AL337" s="6">
        <f>Tabla2[[#This Row],[Deforestation 2017]]/Tabla2[[#This Row],[Forest cover 2011]]</f>
        <v>0</v>
      </c>
      <c r="AM337" s="6">
        <f>Tabla2[[#This Row],[Deforestation 2018]]/Tabla2[[#This Row],[Forest cover 2011]]</f>
        <v>0</v>
      </c>
      <c r="AN337" s="6">
        <f>Tabla2[[#This Row],[Deforestation 2019]]/Tabla2[[#This Row],[Forest cover 2011]]</f>
        <v>0</v>
      </c>
      <c r="AO337" s="6">
        <f>Tabla2[[#This Row],[Deforestation 2020]]/Tabla2[[#This Row],[Forest cover 2011]]</f>
        <v>0</v>
      </c>
      <c r="AP337" s="6">
        <f>Tabla2[[#This Row],[Deforestation 2021]]/Tabla2[[#This Row],[Forest cover 2011]]</f>
        <v>0</v>
      </c>
      <c r="AQ337" s="6">
        <f>Tabla2[[#This Row],[Deforestation 2022]]/Tabla2[[#This Row],[Forest cover 2011]]</f>
        <v>0</v>
      </c>
      <c r="AR337" s="6">
        <f>Tabla2[[#This Row],[Deforestation 2023]]/Tabla2[[#This Row],[Forest cover 2011]]</f>
        <v>1.3015184381778745E-2</v>
      </c>
      <c r="AS337" s="6">
        <f>Tabla2[[#This Row],[Deforestation 2024]]/Tabla2[[#This Row],[Forest cover 2011]]</f>
        <v>0</v>
      </c>
      <c r="AT337" s="6">
        <f>Tabla2[[#This Row],[Forest Loss 2012]]/Tabla2[[#This Row],[Forest cover 2011]]</f>
        <v>4.3383947939262474E-3</v>
      </c>
      <c r="AU337" s="6">
        <f>Tabla2[[#This Row],[Forest Loss 2013]]/Tabla2[[#This Row],[Forest cover 2011]]</f>
        <v>2.1691973969631237E-3</v>
      </c>
      <c r="AV337" s="6">
        <f>Tabla2[[#This Row],[Forest Loss 2014]]/Tabla2[[#This Row],[Forest cover 2011]]</f>
        <v>1.5184381778741868E-2</v>
      </c>
      <c r="AW337" s="6">
        <f>Tabla2[[#This Row],[Forest Loss 2015]]/Tabla2[[#This Row],[Forest cover 2011]]</f>
        <v>5.4229934924078099E-3</v>
      </c>
      <c r="AX337" s="6">
        <f>Tabla2[[#This Row],[Forest Loss 2016]]/Tabla2[[#This Row],[Forest cover 2011]]</f>
        <v>6.5075921908893724E-3</v>
      </c>
      <c r="AY337" s="6">
        <f>Tabla2[[#This Row],[Forest Loss 2017]]/Tabla2[[#This Row],[Forest cover 2011]]</f>
        <v>1.9522776572668116E-2</v>
      </c>
      <c r="AZ337" s="6">
        <f>Tabla2[[#This Row],[Forest Loss 2018]]/Tabla2[[#This Row],[Forest cover 2011]]</f>
        <v>6.5075921908893719E-2</v>
      </c>
      <c r="BA337" s="6">
        <f>Tabla2[[#This Row],[Forest Loss 2019]]/Tabla2[[#This Row],[Forest cover 2011]]</f>
        <v>6.5075921908893724E-3</v>
      </c>
      <c r="BB337" s="6">
        <f>Tabla2[[#This Row],[Forest Loss 2020]]/Tabla2[[#This Row],[Forest cover 2011]]</f>
        <v>6.5075921908893724E-3</v>
      </c>
      <c r="BC337" s="6">
        <f>Tabla2[[#This Row],[Forest Loss 2021]]/Tabla2[[#This Row],[Forest cover 2011]]</f>
        <v>1.0845986984815619E-3</v>
      </c>
      <c r="BD337" s="6">
        <f>Tabla2[[#This Row],[Forest Loss 2022]]/Tabla2[[#This Row],[Forest cover 2011]]</f>
        <v>1.0845986984815619E-3</v>
      </c>
      <c r="BE337" s="6">
        <f>Tabla2[[#This Row],[Forest Loss 2023]]/Tabla2[[#This Row],[Forest cover 2011]]</f>
        <v>3.0368763557483736E-2</v>
      </c>
      <c r="BF337" s="6">
        <f>Tabla2[[#This Row],[Forest Loss 2024]]/Tabla2[[#This Row],[Forest cover 2011]]</f>
        <v>0</v>
      </c>
    </row>
    <row r="338" spans="1:58" x14ac:dyDescent="0.25">
      <c r="A338" s="2">
        <v>31405</v>
      </c>
      <c r="B338" s="3" t="s">
        <v>176</v>
      </c>
      <c r="C338" t="s">
        <v>220</v>
      </c>
      <c r="D338">
        <v>164.61</v>
      </c>
      <c r="E338" s="4">
        <f>AVERAGE(Tabla2[[#This Row],[Deforestation 2012]:[Deforestation 2014]])</f>
        <v>0</v>
      </c>
      <c r="F338" s="4">
        <f>AVERAGE(Tabla2[[#This Row],[Deforestation 2022]:[Deforestation 2024]])</f>
        <v>0.36000000000000004</v>
      </c>
      <c r="G338">
        <v>0</v>
      </c>
      <c r="H338">
        <v>0</v>
      </c>
      <c r="I338">
        <v>0</v>
      </c>
      <c r="J338">
        <v>0</v>
      </c>
      <c r="K338">
        <v>0.27</v>
      </c>
      <c r="L338">
        <v>0</v>
      </c>
      <c r="M338">
        <v>0</v>
      </c>
      <c r="N338">
        <v>0</v>
      </c>
      <c r="O338">
        <v>0</v>
      </c>
      <c r="P338">
        <v>0.09</v>
      </c>
      <c r="Q338">
        <v>0.18</v>
      </c>
      <c r="R338">
        <v>0.9</v>
      </c>
      <c r="S338">
        <v>0</v>
      </c>
      <c r="T338">
        <v>4.41</v>
      </c>
      <c r="U338">
        <v>2.7</v>
      </c>
      <c r="V338">
        <v>3.24</v>
      </c>
      <c r="W338">
        <v>6.66</v>
      </c>
      <c r="X338">
        <v>5.67</v>
      </c>
      <c r="Y338">
        <v>7.38</v>
      </c>
      <c r="Z338">
        <v>13.68</v>
      </c>
      <c r="AA338">
        <v>6.93</v>
      </c>
      <c r="AB338">
        <v>2.61</v>
      </c>
      <c r="AC338">
        <v>0.09</v>
      </c>
      <c r="AD338">
        <v>0.27</v>
      </c>
      <c r="AE338">
        <v>7.47</v>
      </c>
      <c r="AF338">
        <v>0</v>
      </c>
      <c r="AG338" s="5">
        <f>Tabla2[[#This Row],[Deforestation 2012]]/Tabla2[[#This Row],[Forest cover 2011]]</f>
        <v>0</v>
      </c>
      <c r="AH338" s="6">
        <f>Tabla2[[#This Row],[Deforestation 2013]]/Tabla2[[#This Row],[Forest cover 2011]]</f>
        <v>0</v>
      </c>
      <c r="AI338" s="6">
        <f>Tabla2[[#This Row],[Deforestation 2014]]/Tabla2[[#This Row],[Forest cover 2011]]</f>
        <v>0</v>
      </c>
      <c r="AJ338" s="6">
        <f>Tabla2[[#This Row],[Deforestation 2015]]/Tabla2[[#This Row],[Forest cover 2011]]</f>
        <v>0</v>
      </c>
      <c r="AK338" s="6">
        <f>Tabla2[[#This Row],[Deforestation 2016]]/Tabla2[[#This Row],[Forest cover 2011]]</f>
        <v>1.6402405686167304E-3</v>
      </c>
      <c r="AL338" s="6">
        <f>Tabla2[[#This Row],[Deforestation 2017]]/Tabla2[[#This Row],[Forest cover 2011]]</f>
        <v>0</v>
      </c>
      <c r="AM338" s="6">
        <f>Tabla2[[#This Row],[Deforestation 2018]]/Tabla2[[#This Row],[Forest cover 2011]]</f>
        <v>0</v>
      </c>
      <c r="AN338" s="6">
        <f>Tabla2[[#This Row],[Deforestation 2019]]/Tabla2[[#This Row],[Forest cover 2011]]</f>
        <v>0</v>
      </c>
      <c r="AO338" s="6">
        <f>Tabla2[[#This Row],[Deforestation 2020]]/Tabla2[[#This Row],[Forest cover 2011]]</f>
        <v>0</v>
      </c>
      <c r="AP338" s="6">
        <f>Tabla2[[#This Row],[Deforestation 2021]]/Tabla2[[#This Row],[Forest cover 2011]]</f>
        <v>5.4674685620557679E-4</v>
      </c>
      <c r="AQ338" s="6">
        <f>Tabla2[[#This Row],[Deforestation 2022]]/Tabla2[[#This Row],[Forest cover 2011]]</f>
        <v>1.0934937124111536E-3</v>
      </c>
      <c r="AR338" s="6">
        <f>Tabla2[[#This Row],[Deforestation 2023]]/Tabla2[[#This Row],[Forest cover 2011]]</f>
        <v>5.4674685620557679E-3</v>
      </c>
      <c r="AS338" s="6">
        <f>Tabla2[[#This Row],[Deforestation 2024]]/Tabla2[[#This Row],[Forest cover 2011]]</f>
        <v>0</v>
      </c>
      <c r="AT338" s="6">
        <f>Tabla2[[#This Row],[Forest Loss 2012]]/Tabla2[[#This Row],[Forest cover 2011]]</f>
        <v>2.6790595954073262E-2</v>
      </c>
      <c r="AU338" s="6">
        <f>Tabla2[[#This Row],[Forest Loss 2013]]/Tabla2[[#This Row],[Forest cover 2011]]</f>
        <v>1.6402405686167305E-2</v>
      </c>
      <c r="AV338" s="6">
        <f>Tabla2[[#This Row],[Forest Loss 2014]]/Tabla2[[#This Row],[Forest cover 2011]]</f>
        <v>1.9682886823400764E-2</v>
      </c>
      <c r="AW338" s="6">
        <f>Tabla2[[#This Row],[Forest Loss 2015]]/Tabla2[[#This Row],[Forest cover 2011]]</f>
        <v>4.0459267359212681E-2</v>
      </c>
      <c r="AX338" s="6">
        <f>Tabla2[[#This Row],[Forest Loss 2016]]/Tabla2[[#This Row],[Forest cover 2011]]</f>
        <v>3.4445051940951335E-2</v>
      </c>
      <c r="AY338" s="6">
        <f>Tabla2[[#This Row],[Forest Loss 2017]]/Tabla2[[#This Row],[Forest cover 2011]]</f>
        <v>4.4833242208857295E-2</v>
      </c>
      <c r="AZ338" s="6">
        <f>Tabla2[[#This Row],[Forest Loss 2018]]/Tabla2[[#This Row],[Forest cover 2011]]</f>
        <v>8.3105522143247665E-2</v>
      </c>
      <c r="BA338" s="6">
        <f>Tabla2[[#This Row],[Forest Loss 2019]]/Tabla2[[#This Row],[Forest cover 2011]]</f>
        <v>4.2099507927829412E-2</v>
      </c>
      <c r="BB338" s="6">
        <f>Tabla2[[#This Row],[Forest Loss 2020]]/Tabla2[[#This Row],[Forest cover 2011]]</f>
        <v>1.5855658829961726E-2</v>
      </c>
      <c r="BC338" s="6">
        <f>Tabla2[[#This Row],[Forest Loss 2021]]/Tabla2[[#This Row],[Forest cover 2011]]</f>
        <v>5.4674685620557679E-4</v>
      </c>
      <c r="BD338" s="6">
        <f>Tabla2[[#This Row],[Forest Loss 2022]]/Tabla2[[#This Row],[Forest cover 2011]]</f>
        <v>1.6402405686167304E-3</v>
      </c>
      <c r="BE338" s="6">
        <f>Tabla2[[#This Row],[Forest Loss 2023]]/Tabla2[[#This Row],[Forest cover 2011]]</f>
        <v>4.5379989065062867E-2</v>
      </c>
      <c r="BF338" s="6">
        <f>Tabla2[[#This Row],[Forest Loss 2024]]/Tabla2[[#This Row],[Forest cover 2011]]</f>
        <v>0</v>
      </c>
    </row>
    <row r="339" spans="1:58" x14ac:dyDescent="0.25">
      <c r="A339" s="2">
        <v>30803</v>
      </c>
      <c r="B339" s="3" t="s">
        <v>176</v>
      </c>
      <c r="C339" t="s">
        <v>196</v>
      </c>
      <c r="D339">
        <v>285.12</v>
      </c>
      <c r="E339" s="4">
        <f>AVERAGE(Tabla2[[#This Row],[Deforestation 2012]:[Deforestation 2014]])</f>
        <v>0</v>
      </c>
      <c r="F339" s="4">
        <f>AVERAGE(Tabla2[[#This Row],[Deforestation 2022]:[Deforestation 2024]])</f>
        <v>0.24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0.36</v>
      </c>
      <c r="P339">
        <v>0.45</v>
      </c>
      <c r="Q339">
        <v>0.45</v>
      </c>
      <c r="R339">
        <v>0.27</v>
      </c>
      <c r="S339">
        <v>0</v>
      </c>
      <c r="T339">
        <v>0.81</v>
      </c>
      <c r="U339">
        <v>1.35</v>
      </c>
      <c r="V339">
        <v>5.49</v>
      </c>
      <c r="W339">
        <v>7.38</v>
      </c>
      <c r="X339">
        <v>5.58</v>
      </c>
      <c r="Y339">
        <v>17.37</v>
      </c>
      <c r="Z339">
        <v>16.649999999999999</v>
      </c>
      <c r="AA339">
        <v>9.9899999999999984</v>
      </c>
      <c r="AB339">
        <v>2.79</v>
      </c>
      <c r="AC339">
        <v>0.45</v>
      </c>
      <c r="AD339">
        <v>0.72</v>
      </c>
      <c r="AE339">
        <v>1.17</v>
      </c>
      <c r="AF339">
        <v>0</v>
      </c>
      <c r="AG339" s="5">
        <f>Tabla2[[#This Row],[Deforestation 2012]]/Tabla2[[#This Row],[Forest cover 2011]]</f>
        <v>0</v>
      </c>
      <c r="AH339" s="6">
        <f>Tabla2[[#This Row],[Deforestation 2013]]/Tabla2[[#This Row],[Forest cover 2011]]</f>
        <v>0</v>
      </c>
      <c r="AI339" s="6">
        <f>Tabla2[[#This Row],[Deforestation 2014]]/Tabla2[[#This Row],[Forest cover 2011]]</f>
        <v>0</v>
      </c>
      <c r="AJ339" s="6">
        <f>Tabla2[[#This Row],[Deforestation 2015]]/Tabla2[[#This Row],[Forest cover 2011]]</f>
        <v>0</v>
      </c>
      <c r="AK339" s="6">
        <f>Tabla2[[#This Row],[Deforestation 2016]]/Tabla2[[#This Row],[Forest cover 2011]]</f>
        <v>0</v>
      </c>
      <c r="AL339" s="6">
        <f>Tabla2[[#This Row],[Deforestation 2017]]/Tabla2[[#This Row],[Forest cover 2011]]</f>
        <v>0</v>
      </c>
      <c r="AM339" s="6">
        <f>Tabla2[[#This Row],[Deforestation 2018]]/Tabla2[[#This Row],[Forest cover 2011]]</f>
        <v>0</v>
      </c>
      <c r="AN339" s="6">
        <f>Tabla2[[#This Row],[Deforestation 2019]]/Tabla2[[#This Row],[Forest cover 2011]]</f>
        <v>0</v>
      </c>
      <c r="AO339" s="6">
        <f>Tabla2[[#This Row],[Deforestation 2020]]/Tabla2[[#This Row],[Forest cover 2011]]</f>
        <v>1.2626262626262625E-3</v>
      </c>
      <c r="AP339" s="6">
        <f>Tabla2[[#This Row],[Deforestation 2021]]/Tabla2[[#This Row],[Forest cover 2011]]</f>
        <v>1.5782828282828283E-3</v>
      </c>
      <c r="AQ339" s="6">
        <f>Tabla2[[#This Row],[Deforestation 2022]]/Tabla2[[#This Row],[Forest cover 2011]]</f>
        <v>1.5782828282828283E-3</v>
      </c>
      <c r="AR339" s="6">
        <f>Tabla2[[#This Row],[Deforestation 2023]]/Tabla2[[#This Row],[Forest cover 2011]]</f>
        <v>9.46969696969697E-4</v>
      </c>
      <c r="AS339" s="6">
        <f>Tabla2[[#This Row],[Deforestation 2024]]/Tabla2[[#This Row],[Forest cover 2011]]</f>
        <v>0</v>
      </c>
      <c r="AT339" s="6">
        <f>Tabla2[[#This Row],[Forest Loss 2012]]/Tabla2[[#This Row],[Forest cover 2011]]</f>
        <v>2.840909090909091E-3</v>
      </c>
      <c r="AU339" s="6">
        <f>Tabla2[[#This Row],[Forest Loss 2013]]/Tabla2[[#This Row],[Forest cover 2011]]</f>
        <v>4.734848484848485E-3</v>
      </c>
      <c r="AV339" s="6">
        <f>Tabla2[[#This Row],[Forest Loss 2014]]/Tabla2[[#This Row],[Forest cover 2011]]</f>
        <v>1.9255050505050504E-2</v>
      </c>
      <c r="AW339" s="6">
        <f>Tabla2[[#This Row],[Forest Loss 2015]]/Tabla2[[#This Row],[Forest cover 2011]]</f>
        <v>2.5883838383838384E-2</v>
      </c>
      <c r="AX339" s="6">
        <f>Tabla2[[#This Row],[Forest Loss 2016]]/Tabla2[[#This Row],[Forest cover 2011]]</f>
        <v>1.9570707070707072E-2</v>
      </c>
      <c r="AY339" s="6">
        <f>Tabla2[[#This Row],[Forest Loss 2017]]/Tabla2[[#This Row],[Forest cover 2011]]</f>
        <v>6.0921717171717175E-2</v>
      </c>
      <c r="AZ339" s="6">
        <f>Tabla2[[#This Row],[Forest Loss 2018]]/Tabla2[[#This Row],[Forest cover 2011]]</f>
        <v>5.8396464646464641E-2</v>
      </c>
      <c r="BA339" s="6">
        <f>Tabla2[[#This Row],[Forest Loss 2019]]/Tabla2[[#This Row],[Forest cover 2011]]</f>
        <v>3.5037878787878785E-2</v>
      </c>
      <c r="BB339" s="6">
        <f>Tabla2[[#This Row],[Forest Loss 2020]]/Tabla2[[#This Row],[Forest cover 2011]]</f>
        <v>9.7853535353535359E-3</v>
      </c>
      <c r="BC339" s="6">
        <f>Tabla2[[#This Row],[Forest Loss 2021]]/Tabla2[[#This Row],[Forest cover 2011]]</f>
        <v>1.5782828282828283E-3</v>
      </c>
      <c r="BD339" s="6">
        <f>Tabla2[[#This Row],[Forest Loss 2022]]/Tabla2[[#This Row],[Forest cover 2011]]</f>
        <v>2.525252525252525E-3</v>
      </c>
      <c r="BE339" s="6">
        <f>Tabla2[[#This Row],[Forest Loss 2023]]/Tabla2[[#This Row],[Forest cover 2011]]</f>
        <v>4.1035353535353531E-3</v>
      </c>
      <c r="BF339" s="6">
        <f>Tabla2[[#This Row],[Forest Loss 2024]]/Tabla2[[#This Row],[Forest cover 2011]]</f>
        <v>0</v>
      </c>
    </row>
    <row r="340" spans="1:58" x14ac:dyDescent="0.25">
      <c r="A340" s="2">
        <v>30601</v>
      </c>
      <c r="B340" s="3" t="s">
        <v>176</v>
      </c>
      <c r="C340" t="s">
        <v>189</v>
      </c>
      <c r="D340">
        <v>295.92</v>
      </c>
      <c r="E340" s="4">
        <f>AVERAGE(Tabla2[[#This Row],[Deforestation 2012]:[Deforestation 2014]])</f>
        <v>0</v>
      </c>
      <c r="F340" s="4">
        <f>AVERAGE(Tabla2[[#This Row],[Deforestation 2022]:[Deforestation 2024]])</f>
        <v>0.36000000000000004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0.99</v>
      </c>
      <c r="M340">
        <v>0.09</v>
      </c>
      <c r="N340">
        <v>0</v>
      </c>
      <c r="O340">
        <v>0</v>
      </c>
      <c r="P340">
        <v>0</v>
      </c>
      <c r="Q340">
        <v>0</v>
      </c>
      <c r="R340">
        <v>1.08</v>
      </c>
      <c r="S340">
        <v>0</v>
      </c>
      <c r="T340">
        <v>0.63</v>
      </c>
      <c r="U340">
        <v>0.09</v>
      </c>
      <c r="V340">
        <v>7.65</v>
      </c>
      <c r="W340">
        <v>0.27</v>
      </c>
      <c r="X340">
        <v>2.7</v>
      </c>
      <c r="Y340">
        <v>7.83</v>
      </c>
      <c r="Z340">
        <v>6.39</v>
      </c>
      <c r="AA340">
        <v>8.4600000000000009</v>
      </c>
      <c r="AB340">
        <v>5.49</v>
      </c>
      <c r="AC340">
        <v>0</v>
      </c>
      <c r="AD340">
        <v>0</v>
      </c>
      <c r="AE340">
        <v>2.16</v>
      </c>
      <c r="AF340">
        <v>0</v>
      </c>
      <c r="AG340" s="5">
        <f>Tabla2[[#This Row],[Deforestation 2012]]/Tabla2[[#This Row],[Forest cover 2011]]</f>
        <v>0</v>
      </c>
      <c r="AH340" s="6">
        <f>Tabla2[[#This Row],[Deforestation 2013]]/Tabla2[[#This Row],[Forest cover 2011]]</f>
        <v>0</v>
      </c>
      <c r="AI340" s="6">
        <f>Tabla2[[#This Row],[Deforestation 2014]]/Tabla2[[#This Row],[Forest cover 2011]]</f>
        <v>0</v>
      </c>
      <c r="AJ340" s="6">
        <f>Tabla2[[#This Row],[Deforestation 2015]]/Tabla2[[#This Row],[Forest cover 2011]]</f>
        <v>0</v>
      </c>
      <c r="AK340" s="6">
        <f>Tabla2[[#This Row],[Deforestation 2016]]/Tabla2[[#This Row],[Forest cover 2011]]</f>
        <v>0</v>
      </c>
      <c r="AL340" s="6">
        <f>Tabla2[[#This Row],[Deforestation 2017]]/Tabla2[[#This Row],[Forest cover 2011]]</f>
        <v>3.3454987834549877E-3</v>
      </c>
      <c r="AM340" s="6">
        <f>Tabla2[[#This Row],[Deforestation 2018]]/Tabla2[[#This Row],[Forest cover 2011]]</f>
        <v>3.0413625304136248E-4</v>
      </c>
      <c r="AN340" s="6">
        <f>Tabla2[[#This Row],[Deforestation 2019]]/Tabla2[[#This Row],[Forest cover 2011]]</f>
        <v>0</v>
      </c>
      <c r="AO340" s="6">
        <f>Tabla2[[#This Row],[Deforestation 2020]]/Tabla2[[#This Row],[Forest cover 2011]]</f>
        <v>0</v>
      </c>
      <c r="AP340" s="6">
        <f>Tabla2[[#This Row],[Deforestation 2021]]/Tabla2[[#This Row],[Forest cover 2011]]</f>
        <v>0</v>
      </c>
      <c r="AQ340" s="6">
        <f>Tabla2[[#This Row],[Deforestation 2022]]/Tabla2[[#This Row],[Forest cover 2011]]</f>
        <v>0</v>
      </c>
      <c r="AR340" s="6">
        <f>Tabla2[[#This Row],[Deforestation 2023]]/Tabla2[[#This Row],[Forest cover 2011]]</f>
        <v>3.6496350364963502E-3</v>
      </c>
      <c r="AS340" s="6">
        <f>Tabla2[[#This Row],[Deforestation 2024]]/Tabla2[[#This Row],[Forest cover 2011]]</f>
        <v>0</v>
      </c>
      <c r="AT340" s="6">
        <f>Tabla2[[#This Row],[Forest Loss 2012]]/Tabla2[[#This Row],[Forest cover 2011]]</f>
        <v>2.1289537712895377E-3</v>
      </c>
      <c r="AU340" s="6">
        <f>Tabla2[[#This Row],[Forest Loss 2013]]/Tabla2[[#This Row],[Forest cover 2011]]</f>
        <v>3.0413625304136248E-4</v>
      </c>
      <c r="AV340" s="6">
        <f>Tabla2[[#This Row],[Forest Loss 2014]]/Tabla2[[#This Row],[Forest cover 2011]]</f>
        <v>2.5851581508515815E-2</v>
      </c>
      <c r="AW340" s="6">
        <f>Tabla2[[#This Row],[Forest Loss 2015]]/Tabla2[[#This Row],[Forest cover 2011]]</f>
        <v>9.1240875912408756E-4</v>
      </c>
      <c r="AX340" s="6">
        <f>Tabla2[[#This Row],[Forest Loss 2016]]/Tabla2[[#This Row],[Forest cover 2011]]</f>
        <v>9.1240875912408752E-3</v>
      </c>
      <c r="AY340" s="6">
        <f>Tabla2[[#This Row],[Forest Loss 2017]]/Tabla2[[#This Row],[Forest cover 2011]]</f>
        <v>2.6459854014598539E-2</v>
      </c>
      <c r="AZ340" s="6">
        <f>Tabla2[[#This Row],[Forest Loss 2018]]/Tabla2[[#This Row],[Forest cover 2011]]</f>
        <v>2.1593673965936738E-2</v>
      </c>
      <c r="BA340" s="6">
        <f>Tabla2[[#This Row],[Forest Loss 2019]]/Tabla2[[#This Row],[Forest cover 2011]]</f>
        <v>2.8588807785888078E-2</v>
      </c>
      <c r="BB340" s="6">
        <f>Tabla2[[#This Row],[Forest Loss 2020]]/Tabla2[[#This Row],[Forest cover 2011]]</f>
        <v>1.8552311435523113E-2</v>
      </c>
      <c r="BC340" s="6">
        <f>Tabla2[[#This Row],[Forest Loss 2021]]/Tabla2[[#This Row],[Forest cover 2011]]</f>
        <v>0</v>
      </c>
      <c r="BD340" s="6">
        <f>Tabla2[[#This Row],[Forest Loss 2022]]/Tabla2[[#This Row],[Forest cover 2011]]</f>
        <v>0</v>
      </c>
      <c r="BE340" s="6">
        <f>Tabla2[[#This Row],[Forest Loss 2023]]/Tabla2[[#This Row],[Forest cover 2011]]</f>
        <v>7.2992700729927005E-3</v>
      </c>
      <c r="BF340" s="6">
        <f>Tabla2[[#This Row],[Forest Loss 2024]]/Tabla2[[#This Row],[Forest cover 2011]]</f>
        <v>0</v>
      </c>
    </row>
    <row r="341" spans="1:58" x14ac:dyDescent="0.25">
      <c r="A341" s="2">
        <v>31403</v>
      </c>
      <c r="B341" s="3" t="s">
        <v>176</v>
      </c>
      <c r="C341" t="s">
        <v>218</v>
      </c>
      <c r="D341">
        <v>478.89</v>
      </c>
      <c r="E341" s="4">
        <f>AVERAGE(Tabla2[[#This Row],[Deforestation 2012]:[Deforestation 2014]])</f>
        <v>0.03</v>
      </c>
      <c r="F341" s="4">
        <f>AVERAGE(Tabla2[[#This Row],[Deforestation 2022]:[Deforestation 2024]])</f>
        <v>3.81</v>
      </c>
      <c r="G341">
        <v>0</v>
      </c>
      <c r="H341">
        <v>0</v>
      </c>
      <c r="I341">
        <v>0.09</v>
      </c>
      <c r="J341">
        <v>0.09</v>
      </c>
      <c r="K341">
        <v>0.09</v>
      </c>
      <c r="L341">
        <v>0</v>
      </c>
      <c r="M341">
        <v>0.9</v>
      </c>
      <c r="N341">
        <v>0.27</v>
      </c>
      <c r="O341">
        <v>0.45</v>
      </c>
      <c r="P341">
        <v>2.88</v>
      </c>
      <c r="Q341">
        <v>1.35</v>
      </c>
      <c r="R341">
        <v>10.08</v>
      </c>
      <c r="S341">
        <v>0</v>
      </c>
      <c r="T341">
        <v>2.88</v>
      </c>
      <c r="U341">
        <v>2.4300000000000002</v>
      </c>
      <c r="V341">
        <v>9.7199999999999989</v>
      </c>
      <c r="W341">
        <v>3.69</v>
      </c>
      <c r="X341">
        <v>3.87</v>
      </c>
      <c r="Y341">
        <v>20.52</v>
      </c>
      <c r="Z341">
        <v>23.04</v>
      </c>
      <c r="AA341">
        <v>19.8</v>
      </c>
      <c r="AB341">
        <v>4.5</v>
      </c>
      <c r="AC341">
        <v>3.06</v>
      </c>
      <c r="AD341">
        <v>1.44</v>
      </c>
      <c r="AE341">
        <v>39.510000000000012</v>
      </c>
      <c r="AF341">
        <v>0</v>
      </c>
      <c r="AG341" s="5">
        <f>Tabla2[[#This Row],[Deforestation 2012]]/Tabla2[[#This Row],[Forest cover 2011]]</f>
        <v>0</v>
      </c>
      <c r="AH341" s="6">
        <f>Tabla2[[#This Row],[Deforestation 2013]]/Tabla2[[#This Row],[Forest cover 2011]]</f>
        <v>0</v>
      </c>
      <c r="AI341" s="6">
        <f>Tabla2[[#This Row],[Deforestation 2014]]/Tabla2[[#This Row],[Forest cover 2011]]</f>
        <v>1.8793459875963165E-4</v>
      </c>
      <c r="AJ341" s="6">
        <f>Tabla2[[#This Row],[Deforestation 2015]]/Tabla2[[#This Row],[Forest cover 2011]]</f>
        <v>1.8793459875963165E-4</v>
      </c>
      <c r="AK341" s="6">
        <f>Tabla2[[#This Row],[Deforestation 2016]]/Tabla2[[#This Row],[Forest cover 2011]]</f>
        <v>1.8793459875963165E-4</v>
      </c>
      <c r="AL341" s="6">
        <f>Tabla2[[#This Row],[Deforestation 2017]]/Tabla2[[#This Row],[Forest cover 2011]]</f>
        <v>0</v>
      </c>
      <c r="AM341" s="6">
        <f>Tabla2[[#This Row],[Deforestation 2018]]/Tabla2[[#This Row],[Forest cover 2011]]</f>
        <v>1.8793459875963165E-3</v>
      </c>
      <c r="AN341" s="6">
        <f>Tabla2[[#This Row],[Deforestation 2019]]/Tabla2[[#This Row],[Forest cover 2011]]</f>
        <v>5.6380379627889502E-4</v>
      </c>
      <c r="AO341" s="6">
        <f>Tabla2[[#This Row],[Deforestation 2020]]/Tabla2[[#This Row],[Forest cover 2011]]</f>
        <v>9.3967299379815825E-4</v>
      </c>
      <c r="AP341" s="6">
        <f>Tabla2[[#This Row],[Deforestation 2021]]/Tabla2[[#This Row],[Forest cover 2011]]</f>
        <v>6.0139071603082126E-3</v>
      </c>
      <c r="AQ341" s="6">
        <f>Tabla2[[#This Row],[Deforestation 2022]]/Tabla2[[#This Row],[Forest cover 2011]]</f>
        <v>2.8190189813944752E-3</v>
      </c>
      <c r="AR341" s="6">
        <f>Tabla2[[#This Row],[Deforestation 2023]]/Tabla2[[#This Row],[Forest cover 2011]]</f>
        <v>2.1048675061078746E-2</v>
      </c>
      <c r="AS341" s="6">
        <f>Tabla2[[#This Row],[Deforestation 2024]]/Tabla2[[#This Row],[Forest cover 2011]]</f>
        <v>0</v>
      </c>
      <c r="AT341" s="6">
        <f>Tabla2[[#This Row],[Forest Loss 2012]]/Tabla2[[#This Row],[Forest cover 2011]]</f>
        <v>6.0139071603082126E-3</v>
      </c>
      <c r="AU341" s="6">
        <f>Tabla2[[#This Row],[Forest Loss 2013]]/Tabla2[[#This Row],[Forest cover 2011]]</f>
        <v>5.0742341665100553E-3</v>
      </c>
      <c r="AV341" s="6">
        <f>Tabla2[[#This Row],[Forest Loss 2014]]/Tabla2[[#This Row],[Forest cover 2011]]</f>
        <v>2.0296936666040218E-2</v>
      </c>
      <c r="AW341" s="6">
        <f>Tabla2[[#This Row],[Forest Loss 2015]]/Tabla2[[#This Row],[Forest cover 2011]]</f>
        <v>7.705318549144898E-3</v>
      </c>
      <c r="AX341" s="6">
        <f>Tabla2[[#This Row],[Forest Loss 2016]]/Tabla2[[#This Row],[Forest cover 2011]]</f>
        <v>8.0811877466641611E-3</v>
      </c>
      <c r="AY341" s="6">
        <f>Tabla2[[#This Row],[Forest Loss 2017]]/Tabla2[[#This Row],[Forest cover 2011]]</f>
        <v>4.2849088517196016E-2</v>
      </c>
      <c r="AZ341" s="6">
        <f>Tabla2[[#This Row],[Forest Loss 2018]]/Tabla2[[#This Row],[Forest cover 2011]]</f>
        <v>4.8111257282465701E-2</v>
      </c>
      <c r="BA341" s="6">
        <f>Tabla2[[#This Row],[Forest Loss 2019]]/Tabla2[[#This Row],[Forest cover 2011]]</f>
        <v>4.1345611727118967E-2</v>
      </c>
      <c r="BB341" s="6">
        <f>Tabla2[[#This Row],[Forest Loss 2020]]/Tabla2[[#This Row],[Forest cover 2011]]</f>
        <v>9.3967299379815825E-3</v>
      </c>
      <c r="BC341" s="6">
        <f>Tabla2[[#This Row],[Forest Loss 2021]]/Tabla2[[#This Row],[Forest cover 2011]]</f>
        <v>6.3897763578274766E-3</v>
      </c>
      <c r="BD341" s="6">
        <f>Tabla2[[#This Row],[Forest Loss 2022]]/Tabla2[[#This Row],[Forest cover 2011]]</f>
        <v>3.0069535801541063E-3</v>
      </c>
      <c r="BE341" s="6">
        <f>Tabla2[[#This Row],[Forest Loss 2023]]/Tabla2[[#This Row],[Forest cover 2011]]</f>
        <v>8.2503288855478321E-2</v>
      </c>
      <c r="BF341" s="6">
        <f>Tabla2[[#This Row],[Forest Loss 2024]]/Tabla2[[#This Row],[Forest cover 2011]]</f>
        <v>0</v>
      </c>
    </row>
    <row r="342" spans="1:58" x14ac:dyDescent="0.25">
      <c r="A342" s="2">
        <v>51301</v>
      </c>
      <c r="B342" s="3" t="s">
        <v>258</v>
      </c>
      <c r="C342" t="s">
        <v>294</v>
      </c>
      <c r="D342">
        <v>561.78</v>
      </c>
      <c r="E342" s="4">
        <f>AVERAGE(Tabla2[[#This Row],[Deforestation 2012]:[Deforestation 2014]])</f>
        <v>0</v>
      </c>
      <c r="F342" s="4">
        <f>AVERAGE(Tabla2[[#This Row],[Deforestation 2022]:[Deforestation 2024]])</f>
        <v>0.03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0.09</v>
      </c>
      <c r="S342">
        <v>0</v>
      </c>
      <c r="T342">
        <v>0.81</v>
      </c>
      <c r="U342">
        <v>0.27</v>
      </c>
      <c r="V342">
        <v>14.31</v>
      </c>
      <c r="W342">
        <v>1.62</v>
      </c>
      <c r="X342">
        <v>1.26</v>
      </c>
      <c r="Y342">
        <v>8.1</v>
      </c>
      <c r="Z342">
        <v>5.94</v>
      </c>
      <c r="AA342">
        <v>18.899999999999999</v>
      </c>
      <c r="AB342">
        <v>10.17</v>
      </c>
      <c r="AC342">
        <v>0</v>
      </c>
      <c r="AD342">
        <v>0</v>
      </c>
      <c r="AE342">
        <v>0.81</v>
      </c>
      <c r="AF342">
        <v>0</v>
      </c>
      <c r="AG342" s="5">
        <f>Tabla2[[#This Row],[Deforestation 2012]]/Tabla2[[#This Row],[Forest cover 2011]]</f>
        <v>0</v>
      </c>
      <c r="AH342" s="6">
        <f>Tabla2[[#This Row],[Deforestation 2013]]/Tabla2[[#This Row],[Forest cover 2011]]</f>
        <v>0</v>
      </c>
      <c r="AI342" s="6">
        <f>Tabla2[[#This Row],[Deforestation 2014]]/Tabla2[[#This Row],[Forest cover 2011]]</f>
        <v>0</v>
      </c>
      <c r="AJ342" s="6">
        <f>Tabla2[[#This Row],[Deforestation 2015]]/Tabla2[[#This Row],[Forest cover 2011]]</f>
        <v>0</v>
      </c>
      <c r="AK342" s="6">
        <f>Tabla2[[#This Row],[Deforestation 2016]]/Tabla2[[#This Row],[Forest cover 2011]]</f>
        <v>0</v>
      </c>
      <c r="AL342" s="6">
        <f>Tabla2[[#This Row],[Deforestation 2017]]/Tabla2[[#This Row],[Forest cover 2011]]</f>
        <v>0</v>
      </c>
      <c r="AM342" s="6">
        <f>Tabla2[[#This Row],[Deforestation 2018]]/Tabla2[[#This Row],[Forest cover 2011]]</f>
        <v>0</v>
      </c>
      <c r="AN342" s="6">
        <f>Tabla2[[#This Row],[Deforestation 2019]]/Tabla2[[#This Row],[Forest cover 2011]]</f>
        <v>0</v>
      </c>
      <c r="AO342" s="6">
        <f>Tabla2[[#This Row],[Deforestation 2020]]/Tabla2[[#This Row],[Forest cover 2011]]</f>
        <v>0</v>
      </c>
      <c r="AP342" s="6">
        <f>Tabla2[[#This Row],[Deforestation 2021]]/Tabla2[[#This Row],[Forest cover 2011]]</f>
        <v>0</v>
      </c>
      <c r="AQ342" s="6">
        <f>Tabla2[[#This Row],[Deforestation 2022]]/Tabla2[[#This Row],[Forest cover 2011]]</f>
        <v>0</v>
      </c>
      <c r="AR342" s="6">
        <f>Tabla2[[#This Row],[Deforestation 2023]]/Tabla2[[#This Row],[Forest cover 2011]]</f>
        <v>1.6020506247997436E-4</v>
      </c>
      <c r="AS342" s="6">
        <f>Tabla2[[#This Row],[Deforestation 2024]]/Tabla2[[#This Row],[Forest cover 2011]]</f>
        <v>0</v>
      </c>
      <c r="AT342" s="6">
        <f>Tabla2[[#This Row],[Forest Loss 2012]]/Tabla2[[#This Row],[Forest cover 2011]]</f>
        <v>1.4418455623197695E-3</v>
      </c>
      <c r="AU342" s="6">
        <f>Tabla2[[#This Row],[Forest Loss 2013]]/Tabla2[[#This Row],[Forest cover 2011]]</f>
        <v>4.8061518743992317E-4</v>
      </c>
      <c r="AV342" s="6">
        <f>Tabla2[[#This Row],[Forest Loss 2014]]/Tabla2[[#This Row],[Forest cover 2011]]</f>
        <v>2.5472604934315926E-2</v>
      </c>
      <c r="AW342" s="6">
        <f>Tabla2[[#This Row],[Forest Loss 2015]]/Tabla2[[#This Row],[Forest cover 2011]]</f>
        <v>2.883691124639539E-3</v>
      </c>
      <c r="AX342" s="6">
        <f>Tabla2[[#This Row],[Forest Loss 2016]]/Tabla2[[#This Row],[Forest cover 2011]]</f>
        <v>2.2428708747196414E-3</v>
      </c>
      <c r="AY342" s="6">
        <f>Tabla2[[#This Row],[Forest Loss 2017]]/Tabla2[[#This Row],[Forest cover 2011]]</f>
        <v>1.4418455623197693E-2</v>
      </c>
      <c r="AZ342" s="6">
        <f>Tabla2[[#This Row],[Forest Loss 2018]]/Tabla2[[#This Row],[Forest cover 2011]]</f>
        <v>1.057353412367831E-2</v>
      </c>
      <c r="BA342" s="6">
        <f>Tabla2[[#This Row],[Forest Loss 2019]]/Tabla2[[#This Row],[Forest cover 2011]]</f>
        <v>3.3643063120794618E-2</v>
      </c>
      <c r="BB342" s="6">
        <f>Tabla2[[#This Row],[Forest Loss 2020]]/Tabla2[[#This Row],[Forest cover 2011]]</f>
        <v>1.8103172060237104E-2</v>
      </c>
      <c r="BC342" s="6">
        <f>Tabla2[[#This Row],[Forest Loss 2021]]/Tabla2[[#This Row],[Forest cover 2011]]</f>
        <v>0</v>
      </c>
      <c r="BD342" s="6">
        <f>Tabla2[[#This Row],[Forest Loss 2022]]/Tabla2[[#This Row],[Forest cover 2011]]</f>
        <v>0</v>
      </c>
      <c r="BE342" s="6">
        <f>Tabla2[[#This Row],[Forest Loss 2023]]/Tabla2[[#This Row],[Forest cover 2011]]</f>
        <v>1.4418455623197695E-3</v>
      </c>
      <c r="BF342" s="6">
        <f>Tabla2[[#This Row],[Forest Loss 2024]]/Tabla2[[#This Row],[Forest cover 2011]]</f>
        <v>0</v>
      </c>
    </row>
    <row r="343" spans="1:58" x14ac:dyDescent="0.25">
      <c r="A343" s="2">
        <v>51302</v>
      </c>
      <c r="B343" s="3" t="s">
        <v>258</v>
      </c>
      <c r="C343" t="s">
        <v>295</v>
      </c>
      <c r="D343">
        <v>749.16</v>
      </c>
      <c r="E343" s="4">
        <f>AVERAGE(Tabla2[[#This Row],[Deforestation 2012]:[Deforestation 2014]])</f>
        <v>0</v>
      </c>
      <c r="F343" s="4">
        <f>AVERAGE(Tabla2[[#This Row],[Deforestation 2022]:[Deforestation 2024]])</f>
        <v>0.3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0.63</v>
      </c>
      <c r="N343">
        <v>0</v>
      </c>
      <c r="O343">
        <v>0.09</v>
      </c>
      <c r="P343">
        <v>0</v>
      </c>
      <c r="Q343">
        <v>0</v>
      </c>
      <c r="R343">
        <v>0.89999999999999991</v>
      </c>
      <c r="S343">
        <v>0</v>
      </c>
      <c r="T343">
        <v>5.58</v>
      </c>
      <c r="U343">
        <v>2.16</v>
      </c>
      <c r="V343">
        <v>16.29</v>
      </c>
      <c r="W343">
        <v>8.370000000000001</v>
      </c>
      <c r="X343">
        <v>2.79</v>
      </c>
      <c r="Y343">
        <v>6.21</v>
      </c>
      <c r="Z343">
        <v>18.809999999999999</v>
      </c>
      <c r="AA343">
        <v>63.9</v>
      </c>
      <c r="AB343">
        <v>30.69</v>
      </c>
      <c r="AC343">
        <v>0.09</v>
      </c>
      <c r="AD343">
        <v>1.53</v>
      </c>
      <c r="AE343">
        <v>6.3900000000000006</v>
      </c>
      <c r="AF343">
        <v>0</v>
      </c>
      <c r="AG343" s="5">
        <f>Tabla2[[#This Row],[Deforestation 2012]]/Tabla2[[#This Row],[Forest cover 2011]]</f>
        <v>0</v>
      </c>
      <c r="AH343" s="6">
        <f>Tabla2[[#This Row],[Deforestation 2013]]/Tabla2[[#This Row],[Forest cover 2011]]</f>
        <v>0</v>
      </c>
      <c r="AI343" s="6">
        <f>Tabla2[[#This Row],[Deforestation 2014]]/Tabla2[[#This Row],[Forest cover 2011]]</f>
        <v>0</v>
      </c>
      <c r="AJ343" s="6">
        <f>Tabla2[[#This Row],[Deforestation 2015]]/Tabla2[[#This Row],[Forest cover 2011]]</f>
        <v>0</v>
      </c>
      <c r="AK343" s="6">
        <f>Tabla2[[#This Row],[Deforestation 2016]]/Tabla2[[#This Row],[Forest cover 2011]]</f>
        <v>0</v>
      </c>
      <c r="AL343" s="6">
        <f>Tabla2[[#This Row],[Deforestation 2017]]/Tabla2[[#This Row],[Forest cover 2011]]</f>
        <v>0</v>
      </c>
      <c r="AM343" s="6">
        <f>Tabla2[[#This Row],[Deforestation 2018]]/Tabla2[[#This Row],[Forest cover 2011]]</f>
        <v>8.4094185487746276E-4</v>
      </c>
      <c r="AN343" s="6">
        <f>Tabla2[[#This Row],[Deforestation 2019]]/Tabla2[[#This Row],[Forest cover 2011]]</f>
        <v>0</v>
      </c>
      <c r="AO343" s="6">
        <f>Tabla2[[#This Row],[Deforestation 2020]]/Tabla2[[#This Row],[Forest cover 2011]]</f>
        <v>1.201345506967804E-4</v>
      </c>
      <c r="AP343" s="6">
        <f>Tabla2[[#This Row],[Deforestation 2021]]/Tabla2[[#This Row],[Forest cover 2011]]</f>
        <v>0</v>
      </c>
      <c r="AQ343" s="6">
        <f>Tabla2[[#This Row],[Deforestation 2022]]/Tabla2[[#This Row],[Forest cover 2011]]</f>
        <v>0</v>
      </c>
      <c r="AR343" s="6">
        <f>Tabla2[[#This Row],[Deforestation 2023]]/Tabla2[[#This Row],[Forest cover 2011]]</f>
        <v>1.2013455069678038E-3</v>
      </c>
      <c r="AS343" s="6">
        <f>Tabla2[[#This Row],[Deforestation 2024]]/Tabla2[[#This Row],[Forest cover 2011]]</f>
        <v>0</v>
      </c>
      <c r="AT343" s="6">
        <f>Tabla2[[#This Row],[Forest Loss 2012]]/Tabla2[[#This Row],[Forest cover 2011]]</f>
        <v>7.4483421432003849E-3</v>
      </c>
      <c r="AU343" s="6">
        <f>Tabla2[[#This Row],[Forest Loss 2013]]/Tabla2[[#This Row],[Forest cover 2011]]</f>
        <v>2.8832292167227298E-3</v>
      </c>
      <c r="AV343" s="6">
        <f>Tabla2[[#This Row],[Forest Loss 2014]]/Tabla2[[#This Row],[Forest cover 2011]]</f>
        <v>2.174435367611725E-2</v>
      </c>
      <c r="AW343" s="6">
        <f>Tabla2[[#This Row],[Forest Loss 2015]]/Tabla2[[#This Row],[Forest cover 2011]]</f>
        <v>1.1172513214800579E-2</v>
      </c>
      <c r="AX343" s="6">
        <f>Tabla2[[#This Row],[Forest Loss 2016]]/Tabla2[[#This Row],[Forest cover 2011]]</f>
        <v>3.7241710716001924E-3</v>
      </c>
      <c r="AY343" s="6">
        <f>Tabla2[[#This Row],[Forest Loss 2017]]/Tabla2[[#This Row],[Forest cover 2011]]</f>
        <v>8.2892839980778475E-3</v>
      </c>
      <c r="AZ343" s="6">
        <f>Tabla2[[#This Row],[Forest Loss 2018]]/Tabla2[[#This Row],[Forest cover 2011]]</f>
        <v>2.5108121095627101E-2</v>
      </c>
      <c r="BA343" s="6">
        <f>Tabla2[[#This Row],[Forest Loss 2019]]/Tabla2[[#This Row],[Forest cover 2011]]</f>
        <v>8.5295530994714083E-2</v>
      </c>
      <c r="BB343" s="6">
        <f>Tabla2[[#This Row],[Forest Loss 2020]]/Tabla2[[#This Row],[Forest cover 2011]]</f>
        <v>4.0965881787602118E-2</v>
      </c>
      <c r="BC343" s="6">
        <f>Tabla2[[#This Row],[Forest Loss 2021]]/Tabla2[[#This Row],[Forest cover 2011]]</f>
        <v>1.201345506967804E-4</v>
      </c>
      <c r="BD343" s="6">
        <f>Tabla2[[#This Row],[Forest Loss 2022]]/Tabla2[[#This Row],[Forest cover 2011]]</f>
        <v>2.0422873618452667E-3</v>
      </c>
      <c r="BE343" s="6">
        <f>Tabla2[[#This Row],[Forest Loss 2023]]/Tabla2[[#This Row],[Forest cover 2011]]</f>
        <v>8.529553099471409E-3</v>
      </c>
      <c r="BF343" s="6">
        <f>Tabla2[[#This Row],[Forest Loss 2024]]/Tabla2[[#This Row],[Forest cover 2011]]</f>
        <v>0</v>
      </c>
    </row>
    <row r="344" spans="1:58" x14ac:dyDescent="0.25">
      <c r="A344" s="2">
        <v>50401</v>
      </c>
      <c r="B344" s="3" t="s">
        <v>258</v>
      </c>
      <c r="C344" t="s">
        <v>269</v>
      </c>
      <c r="D344">
        <v>1334.79</v>
      </c>
      <c r="E344" s="4">
        <f>AVERAGE(Tabla2[[#This Row],[Deforestation 2012]:[Deforestation 2014]])</f>
        <v>0.33</v>
      </c>
      <c r="F344" s="4">
        <f>AVERAGE(Tabla2[[#This Row],[Deforestation 2022]:[Deforestation 2024]])</f>
        <v>0.66</v>
      </c>
      <c r="G344">
        <v>0.27</v>
      </c>
      <c r="H344">
        <v>0.72</v>
      </c>
      <c r="I344">
        <v>0</v>
      </c>
      <c r="J344">
        <v>0.36</v>
      </c>
      <c r="K344">
        <v>0</v>
      </c>
      <c r="L344">
        <v>0</v>
      </c>
      <c r="M344">
        <v>0</v>
      </c>
      <c r="N344">
        <v>0.45</v>
      </c>
      <c r="O344">
        <v>0.63</v>
      </c>
      <c r="P344">
        <v>0.09</v>
      </c>
      <c r="Q344">
        <v>0.18</v>
      </c>
      <c r="R344">
        <v>1.8</v>
      </c>
      <c r="S344">
        <v>0</v>
      </c>
      <c r="T344">
        <v>6.48</v>
      </c>
      <c r="U344">
        <v>3.69</v>
      </c>
      <c r="V344">
        <v>24.66</v>
      </c>
      <c r="W344">
        <v>2.34</v>
      </c>
      <c r="X344">
        <v>1.71</v>
      </c>
      <c r="Y344">
        <v>0.62999999999999989</v>
      </c>
      <c r="Z344">
        <v>2.0699999999999998</v>
      </c>
      <c r="AA344">
        <v>11.34</v>
      </c>
      <c r="AB344">
        <v>33.57</v>
      </c>
      <c r="AC344">
        <v>0.18</v>
      </c>
      <c r="AD344">
        <v>0.89999999999999991</v>
      </c>
      <c r="AE344">
        <v>4.7699999999999996</v>
      </c>
      <c r="AF344">
        <v>0</v>
      </c>
      <c r="AG344" s="5">
        <f>Tabla2[[#This Row],[Deforestation 2012]]/Tabla2[[#This Row],[Forest cover 2011]]</f>
        <v>2.0227901018137685E-4</v>
      </c>
      <c r="AH344" s="6">
        <f>Tabla2[[#This Row],[Deforestation 2013]]/Tabla2[[#This Row],[Forest cover 2011]]</f>
        <v>5.3941069381700487E-4</v>
      </c>
      <c r="AI344" s="6">
        <f>Tabla2[[#This Row],[Deforestation 2014]]/Tabla2[[#This Row],[Forest cover 2011]]</f>
        <v>0</v>
      </c>
      <c r="AJ344" s="6">
        <f>Tabla2[[#This Row],[Deforestation 2015]]/Tabla2[[#This Row],[Forest cover 2011]]</f>
        <v>2.6970534690850243E-4</v>
      </c>
      <c r="AK344" s="6">
        <f>Tabla2[[#This Row],[Deforestation 2016]]/Tabla2[[#This Row],[Forest cover 2011]]</f>
        <v>0</v>
      </c>
      <c r="AL344" s="6">
        <f>Tabla2[[#This Row],[Deforestation 2017]]/Tabla2[[#This Row],[Forest cover 2011]]</f>
        <v>0</v>
      </c>
      <c r="AM344" s="6">
        <f>Tabla2[[#This Row],[Deforestation 2018]]/Tabla2[[#This Row],[Forest cover 2011]]</f>
        <v>0</v>
      </c>
      <c r="AN344" s="6">
        <f>Tabla2[[#This Row],[Deforestation 2019]]/Tabla2[[#This Row],[Forest cover 2011]]</f>
        <v>3.371316836356281E-4</v>
      </c>
      <c r="AO344" s="6">
        <f>Tabla2[[#This Row],[Deforestation 2020]]/Tabla2[[#This Row],[Forest cover 2011]]</f>
        <v>4.7198435708987931E-4</v>
      </c>
      <c r="AP344" s="6">
        <f>Tabla2[[#This Row],[Deforestation 2021]]/Tabla2[[#This Row],[Forest cover 2011]]</f>
        <v>6.7426336727125608E-5</v>
      </c>
      <c r="AQ344" s="6">
        <f>Tabla2[[#This Row],[Deforestation 2022]]/Tabla2[[#This Row],[Forest cover 2011]]</f>
        <v>1.3485267345425122E-4</v>
      </c>
      <c r="AR344" s="6">
        <f>Tabla2[[#This Row],[Deforestation 2023]]/Tabla2[[#This Row],[Forest cover 2011]]</f>
        <v>1.3485267345425124E-3</v>
      </c>
      <c r="AS344" s="6">
        <f>Tabla2[[#This Row],[Deforestation 2024]]/Tabla2[[#This Row],[Forest cover 2011]]</f>
        <v>0</v>
      </c>
      <c r="AT344" s="6">
        <f>Tabla2[[#This Row],[Forest Loss 2012]]/Tabla2[[#This Row],[Forest cover 2011]]</f>
        <v>4.8546962443530451E-3</v>
      </c>
      <c r="AU344" s="6">
        <f>Tabla2[[#This Row],[Forest Loss 2013]]/Tabla2[[#This Row],[Forest cover 2011]]</f>
        <v>2.7644798058121503E-3</v>
      </c>
      <c r="AV344" s="6">
        <f>Tabla2[[#This Row],[Forest Loss 2014]]/Tabla2[[#This Row],[Forest cover 2011]]</f>
        <v>1.847481626323242E-2</v>
      </c>
      <c r="AW344" s="6">
        <f>Tabla2[[#This Row],[Forest Loss 2015]]/Tabla2[[#This Row],[Forest cover 2011]]</f>
        <v>1.7530847549052659E-3</v>
      </c>
      <c r="AX344" s="6">
        <f>Tabla2[[#This Row],[Forest Loss 2016]]/Tabla2[[#This Row],[Forest cover 2011]]</f>
        <v>1.2811003978153866E-3</v>
      </c>
      <c r="AY344" s="6">
        <f>Tabla2[[#This Row],[Forest Loss 2017]]/Tabla2[[#This Row],[Forest cover 2011]]</f>
        <v>4.7198435708987926E-4</v>
      </c>
      <c r="AZ344" s="6">
        <f>Tabla2[[#This Row],[Forest Loss 2018]]/Tabla2[[#This Row],[Forest cover 2011]]</f>
        <v>1.550805744723889E-3</v>
      </c>
      <c r="BA344" s="6">
        <f>Tabla2[[#This Row],[Forest Loss 2019]]/Tabla2[[#This Row],[Forest cover 2011]]</f>
        <v>8.4957184276178276E-3</v>
      </c>
      <c r="BB344" s="6">
        <f>Tabla2[[#This Row],[Forest Loss 2020]]/Tabla2[[#This Row],[Forest cover 2011]]</f>
        <v>2.5150023599217856E-2</v>
      </c>
      <c r="BC344" s="6">
        <f>Tabla2[[#This Row],[Forest Loss 2021]]/Tabla2[[#This Row],[Forest cover 2011]]</f>
        <v>1.3485267345425122E-4</v>
      </c>
      <c r="BD344" s="6">
        <f>Tabla2[[#This Row],[Forest Loss 2022]]/Tabla2[[#This Row],[Forest cover 2011]]</f>
        <v>6.7426336727125608E-4</v>
      </c>
      <c r="BE344" s="6">
        <f>Tabla2[[#This Row],[Forest Loss 2023]]/Tabla2[[#This Row],[Forest cover 2011]]</f>
        <v>3.5735958465376574E-3</v>
      </c>
      <c r="BF344" s="6">
        <f>Tabla2[[#This Row],[Forest Loss 2024]]/Tabla2[[#This Row],[Forest cover 2011]]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015D-5AC3-48F0-9453-D9B51655782C}">
  <dimension ref="A1:T350"/>
  <sheetViews>
    <sheetView topLeftCell="G1" workbookViewId="0">
      <selection activeCell="U12" sqref="U12"/>
    </sheetView>
  </sheetViews>
  <sheetFormatPr baseColWidth="10" defaultRowHeight="15" x14ac:dyDescent="0.25"/>
  <sheetData>
    <row r="1" spans="1:20" s="15" customFormat="1" ht="75" x14ac:dyDescent="0.25">
      <c r="A1" s="15" t="s">
        <v>397</v>
      </c>
      <c r="B1" s="15" t="s">
        <v>2</v>
      </c>
      <c r="C1" s="15" t="s">
        <v>3</v>
      </c>
      <c r="D1" s="15" t="s">
        <v>19</v>
      </c>
      <c r="E1" s="15" t="s">
        <v>20</v>
      </c>
      <c r="F1" s="15" t="s">
        <v>21</v>
      </c>
      <c r="G1" s="16" t="s">
        <v>409</v>
      </c>
      <c r="H1" s="15" t="s">
        <v>29</v>
      </c>
      <c r="I1" s="15" t="s">
        <v>30</v>
      </c>
      <c r="J1" s="15" t="s">
        <v>31</v>
      </c>
      <c r="K1" s="16" t="s">
        <v>408</v>
      </c>
      <c r="L1" s="17" t="s">
        <v>410</v>
      </c>
      <c r="M1" s="17" t="s">
        <v>411</v>
      </c>
      <c r="O1" s="15" t="s">
        <v>1</v>
      </c>
      <c r="P1" s="15" t="s">
        <v>3</v>
      </c>
      <c r="Q1" s="16" t="s">
        <v>409</v>
      </c>
      <c r="R1" s="16" t="s">
        <v>408</v>
      </c>
      <c r="S1" s="17" t="s">
        <v>410</v>
      </c>
      <c r="T1" s="17" t="s">
        <v>411</v>
      </c>
    </row>
    <row r="2" spans="1:20" x14ac:dyDescent="0.25">
      <c r="A2">
        <v>10101</v>
      </c>
      <c r="B2" t="s">
        <v>59</v>
      </c>
      <c r="C2">
        <v>17890.560000000001</v>
      </c>
      <c r="D2">
        <v>34.56</v>
      </c>
      <c r="E2">
        <v>19.53</v>
      </c>
      <c r="F2">
        <v>233.73</v>
      </c>
      <c r="G2">
        <f t="shared" ref="G2:G65" si="0">AVERAGE(D2:F2)</f>
        <v>95.94</v>
      </c>
      <c r="H2">
        <v>1.08</v>
      </c>
      <c r="I2">
        <v>44.64</v>
      </c>
      <c r="J2">
        <v>527.57999999999993</v>
      </c>
      <c r="K2">
        <f t="shared" ref="K2:K65" si="1">AVERAGE(H2:J2)</f>
        <v>191.1</v>
      </c>
      <c r="L2" s="22">
        <f t="shared" ref="L2:L65" si="2">IF(C2=0,0,(G2/C2)*100)</f>
        <v>0.5362604636188022</v>
      </c>
      <c r="M2" s="22">
        <f t="shared" ref="M2:M65" si="3">IF(C2=0,0,(K2/C2)*100)</f>
        <v>1.068161086069972</v>
      </c>
      <c r="O2" t="s">
        <v>58</v>
      </c>
      <c r="P2" s="18">
        <f>SUM(C2:C30)</f>
        <v>2722839.75</v>
      </c>
      <c r="Q2" s="18">
        <f>SUM(G2:G30)</f>
        <v>7056.5399999999991</v>
      </c>
      <c r="R2" s="18">
        <f>SUM(K2:K30)</f>
        <v>15128.850000000002</v>
      </c>
      <c r="S2" s="22">
        <f>IF(P2=0,0,(Q2/P2)*100)</f>
        <v>0.25916104684456731</v>
      </c>
      <c r="T2" s="22">
        <f>IF(P2=0,0,(R2/P2)*100)</f>
        <v>0.55562763104218682</v>
      </c>
    </row>
    <row r="3" spans="1:20" x14ac:dyDescent="0.25">
      <c r="A3">
        <v>10102</v>
      </c>
      <c r="B3" t="s">
        <v>60</v>
      </c>
      <c r="C3">
        <v>1252.8900000000001</v>
      </c>
      <c r="D3">
        <v>3.69</v>
      </c>
      <c r="E3">
        <v>3.96</v>
      </c>
      <c r="F3">
        <v>24.03</v>
      </c>
      <c r="G3">
        <f t="shared" si="0"/>
        <v>10.56</v>
      </c>
      <c r="H3">
        <v>0.18</v>
      </c>
      <c r="I3">
        <v>2.52</v>
      </c>
      <c r="J3">
        <v>8.73</v>
      </c>
      <c r="K3">
        <f t="shared" si="1"/>
        <v>3.81</v>
      </c>
      <c r="L3" s="22">
        <f t="shared" si="2"/>
        <v>0.84285132773028759</v>
      </c>
      <c r="M3" s="22">
        <f t="shared" si="3"/>
        <v>0.304096927902689</v>
      </c>
      <c r="O3" t="s">
        <v>88</v>
      </c>
      <c r="P3" s="18">
        <f>SUM(C31:C117)</f>
        <v>6682190.1299999999</v>
      </c>
      <c r="Q3" s="18">
        <f>SUM(G31:G117)</f>
        <v>22673.07</v>
      </c>
      <c r="R3" s="18">
        <f t="shared" ref="R3" si="4">SUM(K31:K117)</f>
        <v>37850.85</v>
      </c>
      <c r="S3" s="22">
        <f t="shared" ref="S3:S9" si="5">IF(P3=0,0,(Q3/P3)*100)</f>
        <v>0.33930596943370722</v>
      </c>
      <c r="T3" s="22">
        <f t="shared" ref="T3:T10" si="6">IF(P3=0,0,(R3/P3)*100)</f>
        <v>0.56644377462513174</v>
      </c>
    </row>
    <row r="4" spans="1:20" x14ac:dyDescent="0.25">
      <c r="A4">
        <v>10103</v>
      </c>
      <c r="B4" t="s">
        <v>61</v>
      </c>
      <c r="C4">
        <v>26070.66</v>
      </c>
      <c r="D4">
        <v>53.46</v>
      </c>
      <c r="E4">
        <v>32.49</v>
      </c>
      <c r="F4">
        <v>270</v>
      </c>
      <c r="G4">
        <f t="shared" si="0"/>
        <v>118.64999999999999</v>
      </c>
      <c r="H4">
        <v>1.98</v>
      </c>
      <c r="I4">
        <v>67.23</v>
      </c>
      <c r="J4">
        <v>3.51</v>
      </c>
      <c r="K4">
        <f t="shared" si="1"/>
        <v>24.240000000000006</v>
      </c>
      <c r="L4" s="22">
        <f t="shared" si="2"/>
        <v>0.4551093067839479</v>
      </c>
      <c r="M4" s="22">
        <f t="shared" si="3"/>
        <v>9.2978083408705434E-2</v>
      </c>
      <c r="O4" t="s">
        <v>176</v>
      </c>
      <c r="P4" s="18">
        <f>SUM(C118:C165)</f>
        <v>2540511.0000000009</v>
      </c>
      <c r="Q4" s="18">
        <f>SUM(G118:G165)</f>
        <v>19222.950000000004</v>
      </c>
      <c r="R4" s="18">
        <f t="shared" ref="R4" si="7">SUM(K118:K165)</f>
        <v>20813.22</v>
      </c>
      <c r="S4" s="22">
        <f t="shared" si="5"/>
        <v>0.75665683006292817</v>
      </c>
      <c r="T4" s="22">
        <f t="shared" si="6"/>
        <v>0.81925329195583063</v>
      </c>
    </row>
    <row r="5" spans="1:20" x14ac:dyDescent="0.25">
      <c r="A5">
        <v>10201</v>
      </c>
      <c r="B5" t="s">
        <v>62</v>
      </c>
      <c r="C5">
        <v>93727.26</v>
      </c>
      <c r="D5">
        <v>43.74</v>
      </c>
      <c r="E5">
        <v>80.460000000000008</v>
      </c>
      <c r="F5">
        <v>544.41</v>
      </c>
      <c r="G5">
        <f t="shared" si="0"/>
        <v>222.87</v>
      </c>
      <c r="H5">
        <v>174.51</v>
      </c>
      <c r="I5">
        <v>572.30999999999995</v>
      </c>
      <c r="J5">
        <v>252.36</v>
      </c>
      <c r="K5">
        <f t="shared" si="1"/>
        <v>333.06</v>
      </c>
      <c r="L5" s="22">
        <f t="shared" si="2"/>
        <v>0.23778567729388442</v>
      </c>
      <c r="M5" s="22">
        <f t="shared" si="3"/>
        <v>0.35535019374299431</v>
      </c>
      <c r="O5" t="s">
        <v>224</v>
      </c>
      <c r="P5">
        <f>SUM(C166:C200)</f>
        <v>0</v>
      </c>
      <c r="Q5">
        <f>SUM(G166:G200)</f>
        <v>0</v>
      </c>
      <c r="R5">
        <f t="shared" ref="R5" si="8">SUM(K166:K200)</f>
        <v>0</v>
      </c>
      <c r="S5" s="22">
        <f t="shared" si="5"/>
        <v>0</v>
      </c>
      <c r="T5" s="22">
        <f t="shared" si="6"/>
        <v>0</v>
      </c>
    </row>
    <row r="6" spans="1:20" x14ac:dyDescent="0.25">
      <c r="A6">
        <v>10202</v>
      </c>
      <c r="B6" t="s">
        <v>63</v>
      </c>
      <c r="C6">
        <v>39639.24</v>
      </c>
      <c r="D6">
        <v>20.52</v>
      </c>
      <c r="E6">
        <v>43.11</v>
      </c>
      <c r="F6">
        <v>417.69</v>
      </c>
      <c r="G6">
        <f t="shared" si="0"/>
        <v>160.44</v>
      </c>
      <c r="H6">
        <v>169.74</v>
      </c>
      <c r="I6">
        <v>182.88</v>
      </c>
      <c r="J6">
        <v>45</v>
      </c>
      <c r="K6">
        <f t="shared" si="1"/>
        <v>132.54</v>
      </c>
      <c r="L6" s="22">
        <f t="shared" si="2"/>
        <v>0.40475044425675166</v>
      </c>
      <c r="M6" s="22">
        <f t="shared" si="3"/>
        <v>0.33436564374089917</v>
      </c>
      <c r="O6" t="s">
        <v>412</v>
      </c>
      <c r="P6">
        <f>SUM(C201:C242)</f>
        <v>42890.040000000008</v>
      </c>
      <c r="Q6">
        <f>SUM(G201:G242)</f>
        <v>274.32</v>
      </c>
      <c r="R6">
        <f t="shared" ref="R6" si="9">SUM(K201:K242)</f>
        <v>240.12</v>
      </c>
      <c r="S6" s="22">
        <f t="shared" si="5"/>
        <v>0.63958905144411138</v>
      </c>
      <c r="T6" s="22">
        <f t="shared" si="6"/>
        <v>0.55985025894123663</v>
      </c>
    </row>
    <row r="7" spans="1:20" x14ac:dyDescent="0.25">
      <c r="A7">
        <v>10301</v>
      </c>
      <c r="B7" t="s">
        <v>64</v>
      </c>
      <c r="C7">
        <v>9395.1</v>
      </c>
      <c r="D7">
        <v>8.73</v>
      </c>
      <c r="E7">
        <v>6.93</v>
      </c>
      <c r="F7">
        <v>143.28</v>
      </c>
      <c r="G7">
        <f t="shared" si="0"/>
        <v>52.98</v>
      </c>
      <c r="H7">
        <v>0.80999999999999994</v>
      </c>
      <c r="I7">
        <v>39.15</v>
      </c>
      <c r="J7">
        <v>4.32</v>
      </c>
      <c r="K7">
        <f t="shared" si="1"/>
        <v>14.76</v>
      </c>
      <c r="L7" s="22">
        <f t="shared" si="2"/>
        <v>0.56391097486987896</v>
      </c>
      <c r="M7" s="22">
        <f t="shared" si="3"/>
        <v>0.15710317080180092</v>
      </c>
      <c r="O7" t="s">
        <v>300</v>
      </c>
      <c r="P7" s="18">
        <f>SUM(C243:C253)</f>
        <v>2593653.8400000003</v>
      </c>
      <c r="Q7" s="18">
        <f>SUM(G243:G253)</f>
        <v>11051.189999999999</v>
      </c>
      <c r="R7" s="18">
        <f t="shared" ref="R7" si="10">SUM(K243:K253)</f>
        <v>26395.919999999998</v>
      </c>
      <c r="S7" s="22">
        <f t="shared" si="5"/>
        <v>0.42608577249460544</v>
      </c>
      <c r="T7" s="22">
        <f t="shared" si="6"/>
        <v>1.0177117544722158</v>
      </c>
    </row>
    <row r="8" spans="1:20" x14ac:dyDescent="0.25">
      <c r="A8">
        <v>10302</v>
      </c>
      <c r="B8" t="s">
        <v>65</v>
      </c>
      <c r="C8">
        <v>33133.32</v>
      </c>
      <c r="D8">
        <v>61.38</v>
      </c>
      <c r="E8">
        <v>25.56</v>
      </c>
      <c r="F8">
        <v>319.5</v>
      </c>
      <c r="G8">
        <f t="shared" si="0"/>
        <v>135.47999999999999</v>
      </c>
      <c r="H8">
        <v>0.45</v>
      </c>
      <c r="I8">
        <v>52.83</v>
      </c>
      <c r="J8">
        <v>3.15</v>
      </c>
      <c r="K8">
        <f t="shared" si="1"/>
        <v>18.809999999999999</v>
      </c>
      <c r="L8" s="22">
        <f t="shared" si="2"/>
        <v>0.40889352470564372</v>
      </c>
      <c r="M8" s="22">
        <f t="shared" si="3"/>
        <v>5.6770646587785342E-2</v>
      </c>
      <c r="O8" t="s">
        <v>310</v>
      </c>
      <c r="P8" s="18">
        <f>SUM(C254:C309)</f>
        <v>28178854.469999999</v>
      </c>
      <c r="Q8" s="18">
        <f>SUM(G254:G309)</f>
        <v>207751.94999999992</v>
      </c>
      <c r="R8" s="18">
        <f t="shared" ref="R8" si="11">SUM(K254:K309)</f>
        <v>348136.10999999993</v>
      </c>
      <c r="S8" s="22">
        <f t="shared" si="5"/>
        <v>0.73726187209341132</v>
      </c>
      <c r="T8" s="22">
        <f t="shared" si="6"/>
        <v>1.2354516056379632</v>
      </c>
    </row>
    <row r="9" spans="1:20" x14ac:dyDescent="0.25">
      <c r="A9">
        <v>10303</v>
      </c>
      <c r="B9" t="s">
        <v>66</v>
      </c>
      <c r="C9">
        <v>30785.4</v>
      </c>
      <c r="D9">
        <v>16.739999999999998</v>
      </c>
      <c r="E9">
        <v>17.100000000000001</v>
      </c>
      <c r="F9">
        <v>283.58999999999997</v>
      </c>
      <c r="G9">
        <f t="shared" si="0"/>
        <v>105.80999999999999</v>
      </c>
      <c r="H9">
        <v>54.09</v>
      </c>
      <c r="I9">
        <v>116.73</v>
      </c>
      <c r="J9">
        <v>36.72</v>
      </c>
      <c r="K9">
        <f t="shared" si="1"/>
        <v>69.179999999999993</v>
      </c>
      <c r="L9" s="22">
        <f t="shared" si="2"/>
        <v>0.34370188465961132</v>
      </c>
      <c r="M9" s="22">
        <f t="shared" si="3"/>
        <v>0.2247169112631312</v>
      </c>
      <c r="O9" t="s">
        <v>365</v>
      </c>
      <c r="P9" s="18">
        <f>SUM(C310:C329)</f>
        <v>9363199.1400000006</v>
      </c>
      <c r="Q9" s="18">
        <f>SUM(G310:G329)</f>
        <v>86643.719999999987</v>
      </c>
      <c r="R9" s="18">
        <f t="shared" ref="R9" si="12">SUM(K310:K329)</f>
        <v>81074.61</v>
      </c>
      <c r="S9" s="22">
        <f t="shared" si="5"/>
        <v>0.92536449032525836</v>
      </c>
      <c r="T9" s="22">
        <f>IF(P9=0,0,(R9/P9)*100)</f>
        <v>0.86588578100027458</v>
      </c>
    </row>
    <row r="10" spans="1:20" x14ac:dyDescent="0.25">
      <c r="A10">
        <v>10304</v>
      </c>
      <c r="B10" t="s">
        <v>67</v>
      </c>
      <c r="C10">
        <v>2886.39</v>
      </c>
      <c r="D10">
        <v>4.8600000000000003</v>
      </c>
      <c r="E10">
        <v>5.49</v>
      </c>
      <c r="F10">
        <v>50.58</v>
      </c>
      <c r="G10">
        <f t="shared" si="0"/>
        <v>20.309999999999999</v>
      </c>
      <c r="H10">
        <v>0.81</v>
      </c>
      <c r="I10">
        <v>2.79</v>
      </c>
      <c r="J10">
        <v>1.62</v>
      </c>
      <c r="K10">
        <f t="shared" si="1"/>
        <v>1.7400000000000002</v>
      </c>
      <c r="L10" s="22">
        <f t="shared" si="2"/>
        <v>0.70364711629405585</v>
      </c>
      <c r="M10" s="22">
        <f t="shared" si="3"/>
        <v>6.0282913951337148E-2</v>
      </c>
      <c r="O10" t="s">
        <v>384</v>
      </c>
      <c r="P10" s="18">
        <f>SUM(C330:C344)</f>
        <v>6073668.0900000008</v>
      </c>
      <c r="Q10" s="18">
        <f>SUM(G330:G344)</f>
        <v>14667.12</v>
      </c>
      <c r="R10" s="18">
        <f t="shared" ref="R10" si="13">SUM(K330:K344)</f>
        <v>9194.5500000000011</v>
      </c>
      <c r="S10" s="22">
        <f>IF(P10=0,0,(Q10/P10)*100)</f>
        <v>0.24148701876134296</v>
      </c>
      <c r="T10" s="22">
        <f t="shared" si="6"/>
        <v>0.15138380734268936</v>
      </c>
    </row>
    <row r="11" spans="1:20" x14ac:dyDescent="0.25">
      <c r="A11">
        <v>10401</v>
      </c>
      <c r="B11" t="s">
        <v>68</v>
      </c>
      <c r="C11">
        <v>117418.41</v>
      </c>
      <c r="D11">
        <v>289.89</v>
      </c>
      <c r="E11">
        <v>340.65</v>
      </c>
      <c r="F11">
        <v>488.52</v>
      </c>
      <c r="G11">
        <f t="shared" si="0"/>
        <v>373.02</v>
      </c>
      <c r="H11">
        <v>247.32</v>
      </c>
      <c r="I11">
        <v>1132.29</v>
      </c>
      <c r="J11">
        <v>291.42</v>
      </c>
      <c r="K11">
        <f t="shared" si="1"/>
        <v>557.01</v>
      </c>
      <c r="L11" s="22">
        <f t="shared" si="2"/>
        <v>0.31768442444417355</v>
      </c>
      <c r="M11" s="22">
        <f t="shared" si="3"/>
        <v>0.47438046555050434</v>
      </c>
      <c r="O11" t="s">
        <v>413</v>
      </c>
      <c r="P11" s="18">
        <f>SUM(P2:P10)</f>
        <v>58197806.460000001</v>
      </c>
      <c r="Q11" s="18">
        <f t="shared" ref="Q11:R11" si="14">SUM(Q2:Q10)</f>
        <v>369340.85999999987</v>
      </c>
      <c r="R11" s="18">
        <f t="shared" si="14"/>
        <v>538834.23</v>
      </c>
      <c r="S11" s="22">
        <f>IF(P11=0,0,(Q11/P11)*100)</f>
        <v>0.6346302076760435</v>
      </c>
      <c r="T11" s="22">
        <f>IF(P11=0,0,(R11/P11)*100)</f>
        <v>0.92586690594661292</v>
      </c>
    </row>
    <row r="12" spans="1:20" x14ac:dyDescent="0.25">
      <c r="A12">
        <v>10402</v>
      </c>
      <c r="B12" t="s">
        <v>69</v>
      </c>
      <c r="C12">
        <v>22272.39</v>
      </c>
      <c r="D12">
        <v>16.559999999999999</v>
      </c>
      <c r="E12">
        <v>18.989999999999998</v>
      </c>
      <c r="F12">
        <v>294.66000000000003</v>
      </c>
      <c r="G12">
        <f t="shared" si="0"/>
        <v>110.07000000000001</v>
      </c>
      <c r="H12">
        <v>40.049999999999997</v>
      </c>
      <c r="I12">
        <v>133.47</v>
      </c>
      <c r="J12">
        <v>20.79</v>
      </c>
      <c r="K12">
        <f t="shared" si="1"/>
        <v>64.77</v>
      </c>
      <c r="L12" s="22">
        <f t="shared" si="2"/>
        <v>0.49419932032440167</v>
      </c>
      <c r="M12" s="22">
        <f t="shared" si="3"/>
        <v>0.29080848530400194</v>
      </c>
      <c r="O12" t="s">
        <v>421</v>
      </c>
      <c r="P12" s="25">
        <f>SUM(C246:C248)</f>
        <v>1546460.01</v>
      </c>
      <c r="Q12" s="25">
        <f>SUM(G246:G248)</f>
        <v>8819.0399999999991</v>
      </c>
      <c r="R12" s="25">
        <f>SUM(K246:K248)</f>
        <v>20931.12</v>
      </c>
      <c r="S12" s="22">
        <f>IF(P12=0,0,(Q12/P12)*100)</f>
        <v>0.57027274827494567</v>
      </c>
      <c r="T12" s="22">
        <f>IF(P12=0,0,(R12/P12)*100)</f>
        <v>1.3534860173978891</v>
      </c>
    </row>
    <row r="13" spans="1:20" x14ac:dyDescent="0.25">
      <c r="A13">
        <v>10403</v>
      </c>
      <c r="B13" t="s">
        <v>70</v>
      </c>
      <c r="C13">
        <v>23945.58</v>
      </c>
      <c r="D13">
        <v>20.52</v>
      </c>
      <c r="E13">
        <v>55.08</v>
      </c>
      <c r="F13">
        <v>238.59</v>
      </c>
      <c r="G13">
        <f t="shared" si="0"/>
        <v>104.73</v>
      </c>
      <c r="H13">
        <v>114.03</v>
      </c>
      <c r="I13">
        <v>448.29</v>
      </c>
      <c r="J13">
        <v>82.53</v>
      </c>
      <c r="K13">
        <f t="shared" si="1"/>
        <v>214.95000000000002</v>
      </c>
      <c r="L13" s="22">
        <f t="shared" si="2"/>
        <v>0.43736672905813934</v>
      </c>
      <c r="M13" s="22">
        <f t="shared" si="3"/>
        <v>0.89766044505917175</v>
      </c>
    </row>
    <row r="14" spans="1:20" x14ac:dyDescent="0.25">
      <c r="A14">
        <v>10404</v>
      </c>
      <c r="B14" t="s">
        <v>71</v>
      </c>
      <c r="C14">
        <v>8220.8700000000008</v>
      </c>
      <c r="D14">
        <v>3.6</v>
      </c>
      <c r="E14">
        <v>3.96</v>
      </c>
      <c r="F14">
        <v>79.38</v>
      </c>
      <c r="G14">
        <f t="shared" si="0"/>
        <v>28.98</v>
      </c>
      <c r="H14">
        <v>14.58</v>
      </c>
      <c r="I14">
        <v>75.330000000000013</v>
      </c>
      <c r="J14">
        <v>12.69</v>
      </c>
      <c r="K14">
        <f t="shared" si="1"/>
        <v>34.200000000000003</v>
      </c>
      <c r="L14" s="22">
        <f t="shared" si="2"/>
        <v>0.35251743428615218</v>
      </c>
      <c r="M14" s="22">
        <f t="shared" si="3"/>
        <v>0.41601436344328513</v>
      </c>
    </row>
    <row r="15" spans="1:20" x14ac:dyDescent="0.25">
      <c r="A15">
        <v>10405</v>
      </c>
      <c r="B15" t="s">
        <v>72</v>
      </c>
      <c r="C15">
        <v>50038.29</v>
      </c>
      <c r="D15">
        <v>55.8</v>
      </c>
      <c r="E15">
        <v>89.1</v>
      </c>
      <c r="F15">
        <v>444.15</v>
      </c>
      <c r="G15">
        <f t="shared" si="0"/>
        <v>196.35</v>
      </c>
      <c r="H15">
        <v>100.8</v>
      </c>
      <c r="I15">
        <v>365.31</v>
      </c>
      <c r="J15">
        <v>91.08</v>
      </c>
      <c r="K15">
        <f t="shared" si="1"/>
        <v>185.73000000000002</v>
      </c>
      <c r="L15" s="22">
        <f t="shared" si="2"/>
        <v>0.39239950046254574</v>
      </c>
      <c r="M15" s="22">
        <f t="shared" si="3"/>
        <v>0.37117575360788707</v>
      </c>
    </row>
    <row r="16" spans="1:20" x14ac:dyDescent="0.25">
      <c r="A16">
        <v>10501</v>
      </c>
      <c r="B16" t="s">
        <v>73</v>
      </c>
      <c r="C16">
        <v>290186.28000000003</v>
      </c>
      <c r="D16">
        <v>1048.5</v>
      </c>
      <c r="E16">
        <v>1645.29</v>
      </c>
      <c r="F16">
        <v>1286.9100000000001</v>
      </c>
      <c r="G16">
        <f t="shared" si="0"/>
        <v>1326.8999999999999</v>
      </c>
      <c r="H16">
        <v>334.17</v>
      </c>
      <c r="I16">
        <v>2577.15</v>
      </c>
      <c r="J16">
        <v>2427.39</v>
      </c>
      <c r="K16">
        <f t="shared" si="1"/>
        <v>1779.57</v>
      </c>
      <c r="L16" s="22">
        <f t="shared" si="2"/>
        <v>0.45725800682237622</v>
      </c>
      <c r="M16" s="22">
        <f t="shared" si="3"/>
        <v>0.61325090903677448</v>
      </c>
    </row>
    <row r="17" spans="1:13" x14ac:dyDescent="0.25">
      <c r="A17">
        <v>10502</v>
      </c>
      <c r="B17" t="s">
        <v>74</v>
      </c>
      <c r="C17">
        <v>280002.24</v>
      </c>
      <c r="D17">
        <v>433.8</v>
      </c>
      <c r="E17">
        <v>544.77</v>
      </c>
      <c r="F17">
        <v>550.53</v>
      </c>
      <c r="G17">
        <f t="shared" si="0"/>
        <v>509.7</v>
      </c>
      <c r="H17">
        <v>572.04</v>
      </c>
      <c r="I17">
        <v>1921.32</v>
      </c>
      <c r="J17">
        <v>3200.31</v>
      </c>
      <c r="K17">
        <f t="shared" si="1"/>
        <v>1897.89</v>
      </c>
      <c r="L17" s="22">
        <f t="shared" si="2"/>
        <v>0.18203425801165019</v>
      </c>
      <c r="M17" s="22">
        <f t="shared" si="3"/>
        <v>0.67781243464338004</v>
      </c>
    </row>
    <row r="18" spans="1:13" x14ac:dyDescent="0.25">
      <c r="A18">
        <v>10601</v>
      </c>
      <c r="B18" t="s">
        <v>75</v>
      </c>
      <c r="C18">
        <v>4594.5</v>
      </c>
      <c r="D18">
        <v>9.99</v>
      </c>
      <c r="E18">
        <v>9.629999999999999</v>
      </c>
      <c r="F18">
        <v>75.42</v>
      </c>
      <c r="G18">
        <f t="shared" si="0"/>
        <v>31.679999999999996</v>
      </c>
      <c r="H18">
        <v>3.24</v>
      </c>
      <c r="I18">
        <v>13.41</v>
      </c>
      <c r="J18">
        <v>2.52</v>
      </c>
      <c r="K18">
        <f t="shared" si="1"/>
        <v>6.39</v>
      </c>
      <c r="L18" s="22">
        <f t="shared" si="2"/>
        <v>0.6895200783545542</v>
      </c>
      <c r="M18" s="22">
        <f t="shared" si="3"/>
        <v>0.13907933398628794</v>
      </c>
    </row>
    <row r="19" spans="1:13" x14ac:dyDescent="0.25">
      <c r="A19">
        <v>10602</v>
      </c>
      <c r="B19" t="s">
        <v>76</v>
      </c>
      <c r="C19">
        <v>694.26</v>
      </c>
      <c r="D19">
        <v>1.62</v>
      </c>
      <c r="E19">
        <v>1.44</v>
      </c>
      <c r="F19">
        <v>14.04</v>
      </c>
      <c r="G19">
        <f t="shared" si="0"/>
        <v>5.6999999999999993</v>
      </c>
      <c r="H19">
        <v>0.09</v>
      </c>
      <c r="I19">
        <v>0.72</v>
      </c>
      <c r="J19">
        <v>0.09</v>
      </c>
      <c r="K19">
        <f t="shared" si="1"/>
        <v>0.3</v>
      </c>
      <c r="L19" s="22">
        <f t="shared" si="2"/>
        <v>0.82101806239737263</v>
      </c>
      <c r="M19" s="22">
        <f t="shared" si="3"/>
        <v>4.3211476968282779E-2</v>
      </c>
    </row>
    <row r="20" spans="1:13" x14ac:dyDescent="0.25">
      <c r="A20">
        <v>10701</v>
      </c>
      <c r="B20" t="s">
        <v>77</v>
      </c>
      <c r="C20">
        <v>0</v>
      </c>
      <c r="D20">
        <v>0</v>
      </c>
      <c r="E20">
        <v>0</v>
      </c>
      <c r="F20">
        <v>0</v>
      </c>
      <c r="G20">
        <f t="shared" si="0"/>
        <v>0</v>
      </c>
      <c r="H20">
        <v>0</v>
      </c>
      <c r="I20">
        <v>0</v>
      </c>
      <c r="J20">
        <v>0</v>
      </c>
      <c r="K20">
        <f t="shared" si="1"/>
        <v>0</v>
      </c>
      <c r="L20" s="22">
        <f t="shared" si="2"/>
        <v>0</v>
      </c>
      <c r="M20" s="22">
        <f t="shared" si="3"/>
        <v>0</v>
      </c>
    </row>
    <row r="21" spans="1:13" x14ac:dyDescent="0.25">
      <c r="A21">
        <v>10702</v>
      </c>
      <c r="B21" t="s">
        <v>78</v>
      </c>
      <c r="C21">
        <v>40473.81</v>
      </c>
      <c r="D21">
        <v>33.03</v>
      </c>
      <c r="E21">
        <v>51.93</v>
      </c>
      <c r="F21">
        <v>279</v>
      </c>
      <c r="G21">
        <f t="shared" si="0"/>
        <v>121.32000000000001</v>
      </c>
      <c r="H21">
        <v>11.34</v>
      </c>
      <c r="I21">
        <v>13.59</v>
      </c>
      <c r="J21">
        <v>829.44</v>
      </c>
      <c r="K21">
        <f t="shared" si="1"/>
        <v>284.79000000000002</v>
      </c>
      <c r="L21" s="22">
        <f t="shared" si="2"/>
        <v>0.29974939349668345</v>
      </c>
      <c r="M21" s="22">
        <f t="shared" si="3"/>
        <v>0.703640205851636</v>
      </c>
    </row>
    <row r="22" spans="1:13" x14ac:dyDescent="0.25">
      <c r="A22">
        <v>10703</v>
      </c>
      <c r="B22" t="s">
        <v>79</v>
      </c>
      <c r="C22">
        <v>53681.22</v>
      </c>
      <c r="D22">
        <v>64.53</v>
      </c>
      <c r="E22">
        <v>166.86</v>
      </c>
      <c r="F22">
        <v>259.2</v>
      </c>
      <c r="G22">
        <f t="shared" si="0"/>
        <v>163.53</v>
      </c>
      <c r="H22">
        <v>198.18</v>
      </c>
      <c r="I22">
        <v>669.24</v>
      </c>
      <c r="J22">
        <v>457.65</v>
      </c>
      <c r="K22">
        <f t="shared" si="1"/>
        <v>441.69000000000005</v>
      </c>
      <c r="L22" s="22">
        <f t="shared" si="2"/>
        <v>0.30463167565863813</v>
      </c>
      <c r="M22" s="22">
        <f t="shared" si="3"/>
        <v>0.82280171724860207</v>
      </c>
    </row>
    <row r="23" spans="1:13" x14ac:dyDescent="0.25">
      <c r="A23">
        <v>10704</v>
      </c>
      <c r="B23" t="s">
        <v>80</v>
      </c>
      <c r="C23">
        <v>10740.24</v>
      </c>
      <c r="D23">
        <v>8.1</v>
      </c>
      <c r="E23">
        <v>14.13</v>
      </c>
      <c r="F23">
        <v>106.2</v>
      </c>
      <c r="G23">
        <f t="shared" si="0"/>
        <v>42.81</v>
      </c>
      <c r="H23">
        <v>1.62</v>
      </c>
      <c r="I23">
        <v>5.94</v>
      </c>
      <c r="J23">
        <v>36.54</v>
      </c>
      <c r="K23">
        <f t="shared" si="1"/>
        <v>14.700000000000001</v>
      </c>
      <c r="L23" s="22">
        <f t="shared" si="2"/>
        <v>0.39859444481687561</v>
      </c>
      <c r="M23" s="22">
        <f t="shared" si="3"/>
        <v>0.13686844986704208</v>
      </c>
    </row>
    <row r="24" spans="1:13" x14ac:dyDescent="0.25">
      <c r="A24">
        <v>10801</v>
      </c>
      <c r="B24" t="s">
        <v>81</v>
      </c>
      <c r="C24">
        <v>99479.159999999989</v>
      </c>
      <c r="D24">
        <v>236.88</v>
      </c>
      <c r="E24">
        <v>295.38</v>
      </c>
      <c r="F24">
        <v>1181.8800000000001</v>
      </c>
      <c r="G24">
        <f t="shared" si="0"/>
        <v>571.38</v>
      </c>
      <c r="H24">
        <v>319.23</v>
      </c>
      <c r="I24">
        <v>1032.75</v>
      </c>
      <c r="J24">
        <v>414.54</v>
      </c>
      <c r="K24">
        <f t="shared" si="1"/>
        <v>588.84</v>
      </c>
      <c r="L24" s="22">
        <f t="shared" si="2"/>
        <v>0.5743715568165233</v>
      </c>
      <c r="M24" s="22">
        <f t="shared" si="3"/>
        <v>0.59192297160530916</v>
      </c>
    </row>
    <row r="25" spans="1:13" x14ac:dyDescent="0.25">
      <c r="A25">
        <v>10901</v>
      </c>
      <c r="B25" t="s">
        <v>82</v>
      </c>
      <c r="C25">
        <v>0</v>
      </c>
      <c r="D25">
        <v>0</v>
      </c>
      <c r="E25">
        <v>0</v>
      </c>
      <c r="F25">
        <v>0</v>
      </c>
      <c r="G25">
        <f t="shared" si="0"/>
        <v>0</v>
      </c>
      <c r="H25">
        <v>0</v>
      </c>
      <c r="I25">
        <v>0</v>
      </c>
      <c r="J25">
        <v>0</v>
      </c>
      <c r="K25">
        <f t="shared" si="1"/>
        <v>0</v>
      </c>
      <c r="L25" s="22">
        <f t="shared" si="2"/>
        <v>0</v>
      </c>
      <c r="M25" s="22">
        <f t="shared" si="3"/>
        <v>0</v>
      </c>
    </row>
    <row r="26" spans="1:13" x14ac:dyDescent="0.25">
      <c r="A26">
        <v>10902</v>
      </c>
      <c r="B26" t="s">
        <v>83</v>
      </c>
      <c r="C26">
        <v>232980.57</v>
      </c>
      <c r="D26">
        <v>460.53</v>
      </c>
      <c r="E26">
        <v>597.87</v>
      </c>
      <c r="F26">
        <v>826.83</v>
      </c>
      <c r="G26">
        <f t="shared" si="0"/>
        <v>628.41</v>
      </c>
      <c r="H26">
        <v>283.68</v>
      </c>
      <c r="I26">
        <v>2493.63</v>
      </c>
      <c r="J26">
        <v>1014.93</v>
      </c>
      <c r="K26">
        <f t="shared" si="1"/>
        <v>1264.08</v>
      </c>
      <c r="L26" s="22">
        <f t="shared" si="2"/>
        <v>0.26972635529220312</v>
      </c>
      <c r="M26" s="22">
        <f t="shared" si="3"/>
        <v>0.5425688502693593</v>
      </c>
    </row>
    <row r="27" spans="1:13" x14ac:dyDescent="0.25">
      <c r="A27">
        <v>10903</v>
      </c>
      <c r="B27" t="s">
        <v>84</v>
      </c>
      <c r="C27">
        <v>0</v>
      </c>
      <c r="D27">
        <v>0</v>
      </c>
      <c r="E27">
        <v>0</v>
      </c>
      <c r="F27">
        <v>0</v>
      </c>
      <c r="G27">
        <f t="shared" si="0"/>
        <v>0</v>
      </c>
      <c r="H27">
        <v>0</v>
      </c>
      <c r="I27">
        <v>0</v>
      </c>
      <c r="J27">
        <v>0</v>
      </c>
      <c r="K27">
        <f t="shared" si="1"/>
        <v>0</v>
      </c>
      <c r="L27" s="22">
        <f t="shared" si="2"/>
        <v>0</v>
      </c>
      <c r="M27" s="22">
        <f t="shared" si="3"/>
        <v>0</v>
      </c>
    </row>
    <row r="28" spans="1:13" x14ac:dyDescent="0.25">
      <c r="A28">
        <v>11001</v>
      </c>
      <c r="B28" t="s">
        <v>85</v>
      </c>
      <c r="C28">
        <v>345973.68</v>
      </c>
      <c r="D28">
        <v>677.97</v>
      </c>
      <c r="E28">
        <v>1210.5</v>
      </c>
      <c r="F28">
        <v>1082.52</v>
      </c>
      <c r="G28">
        <f t="shared" si="0"/>
        <v>990.32999999999993</v>
      </c>
      <c r="H28">
        <v>412.11</v>
      </c>
      <c r="I28">
        <v>2467.17</v>
      </c>
      <c r="J28">
        <v>1100.43</v>
      </c>
      <c r="K28">
        <f t="shared" si="1"/>
        <v>1326.57</v>
      </c>
      <c r="L28" s="22">
        <f t="shared" si="2"/>
        <v>0.2862443177758493</v>
      </c>
      <c r="M28" s="22">
        <f t="shared" si="3"/>
        <v>0.38343090144891945</v>
      </c>
    </row>
    <row r="29" spans="1:13" x14ac:dyDescent="0.25">
      <c r="A29">
        <v>11002</v>
      </c>
      <c r="B29" t="s">
        <v>86</v>
      </c>
      <c r="C29">
        <v>121391.55</v>
      </c>
      <c r="D29">
        <v>67.5</v>
      </c>
      <c r="E29">
        <v>98.01</v>
      </c>
      <c r="F29">
        <v>118.44</v>
      </c>
      <c r="G29">
        <f t="shared" si="0"/>
        <v>94.649999999999991</v>
      </c>
      <c r="H29">
        <v>82.62</v>
      </c>
      <c r="I29">
        <v>168.12</v>
      </c>
      <c r="J29">
        <v>277.38</v>
      </c>
      <c r="K29">
        <f t="shared" si="1"/>
        <v>176.04</v>
      </c>
      <c r="L29" s="22">
        <f t="shared" si="2"/>
        <v>7.7970830753870415E-2</v>
      </c>
      <c r="M29" s="22">
        <f t="shared" si="3"/>
        <v>0.14501833117708768</v>
      </c>
    </row>
    <row r="30" spans="1:13" x14ac:dyDescent="0.25">
      <c r="A30">
        <v>11003</v>
      </c>
      <c r="B30" t="s">
        <v>87</v>
      </c>
      <c r="C30">
        <v>765965.88</v>
      </c>
      <c r="D30">
        <v>781.38</v>
      </c>
      <c r="E30">
        <v>929.52</v>
      </c>
      <c r="F30">
        <v>790.92</v>
      </c>
      <c r="G30">
        <f t="shared" si="0"/>
        <v>833.94</v>
      </c>
      <c r="H30">
        <v>4392.45</v>
      </c>
      <c r="I30">
        <v>9302.2199999999993</v>
      </c>
      <c r="J30">
        <v>2811.6</v>
      </c>
      <c r="K30">
        <f t="shared" si="1"/>
        <v>5502.0899999999992</v>
      </c>
      <c r="L30" s="22">
        <f t="shared" si="2"/>
        <v>0.10887430129394277</v>
      </c>
      <c r="M30" s="22">
        <f t="shared" si="3"/>
        <v>0.71832050795787394</v>
      </c>
    </row>
    <row r="31" spans="1:13" x14ac:dyDescent="0.25">
      <c r="A31">
        <v>20101</v>
      </c>
      <c r="B31" t="s">
        <v>89</v>
      </c>
      <c r="C31">
        <v>88330.41</v>
      </c>
      <c r="D31">
        <v>110.61</v>
      </c>
      <c r="E31">
        <v>76.680000000000007</v>
      </c>
      <c r="F31">
        <v>101.16</v>
      </c>
      <c r="G31">
        <f t="shared" si="0"/>
        <v>96.15000000000002</v>
      </c>
      <c r="H31">
        <v>34.380000000000003</v>
      </c>
      <c r="I31">
        <v>447.66</v>
      </c>
      <c r="J31">
        <v>512.64</v>
      </c>
      <c r="K31">
        <f t="shared" si="1"/>
        <v>331.56</v>
      </c>
      <c r="L31" s="22">
        <f t="shared" si="2"/>
        <v>0.10885265901063974</v>
      </c>
      <c r="M31" s="22">
        <f t="shared" si="3"/>
        <v>0.37536336579893609</v>
      </c>
    </row>
    <row r="32" spans="1:13" x14ac:dyDescent="0.25">
      <c r="A32">
        <v>20102</v>
      </c>
      <c r="B32" t="s">
        <v>90</v>
      </c>
      <c r="C32">
        <v>1751.13</v>
      </c>
      <c r="D32">
        <v>5.67</v>
      </c>
      <c r="E32">
        <v>23.76</v>
      </c>
      <c r="F32">
        <v>53.55</v>
      </c>
      <c r="G32">
        <f t="shared" si="0"/>
        <v>27.659999999999997</v>
      </c>
      <c r="H32">
        <v>23.13</v>
      </c>
      <c r="I32">
        <v>152.19</v>
      </c>
      <c r="J32">
        <v>132.57</v>
      </c>
      <c r="K32">
        <f t="shared" si="1"/>
        <v>102.63</v>
      </c>
      <c r="L32" s="22">
        <f t="shared" si="2"/>
        <v>1.5795514896095659</v>
      </c>
      <c r="M32" s="22">
        <f t="shared" si="3"/>
        <v>5.8607870346576201</v>
      </c>
    </row>
    <row r="33" spans="1:13" x14ac:dyDescent="0.25">
      <c r="A33">
        <v>20103</v>
      </c>
      <c r="B33" t="s">
        <v>91</v>
      </c>
      <c r="C33">
        <v>0</v>
      </c>
      <c r="D33">
        <v>0</v>
      </c>
      <c r="E33">
        <v>0</v>
      </c>
      <c r="F33">
        <v>0</v>
      </c>
      <c r="G33">
        <f t="shared" si="0"/>
        <v>0</v>
      </c>
      <c r="H33">
        <v>0</v>
      </c>
      <c r="I33">
        <v>0</v>
      </c>
      <c r="J33">
        <v>0</v>
      </c>
      <c r="K33">
        <f t="shared" si="1"/>
        <v>0</v>
      </c>
      <c r="L33" s="22">
        <f t="shared" si="2"/>
        <v>0</v>
      </c>
      <c r="M33" s="22">
        <f t="shared" si="3"/>
        <v>0</v>
      </c>
    </row>
    <row r="34" spans="1:13" x14ac:dyDescent="0.25">
      <c r="A34">
        <v>20104</v>
      </c>
      <c r="B34" t="s">
        <v>92</v>
      </c>
      <c r="C34">
        <v>0</v>
      </c>
      <c r="D34">
        <v>0</v>
      </c>
      <c r="E34">
        <v>0</v>
      </c>
      <c r="F34">
        <v>0</v>
      </c>
      <c r="G34">
        <f t="shared" si="0"/>
        <v>0</v>
      </c>
      <c r="H34">
        <v>0</v>
      </c>
      <c r="I34">
        <v>0</v>
      </c>
      <c r="J34">
        <v>0</v>
      </c>
      <c r="K34">
        <f t="shared" si="1"/>
        <v>0</v>
      </c>
      <c r="L34" s="22">
        <f t="shared" si="2"/>
        <v>0</v>
      </c>
      <c r="M34" s="22">
        <f t="shared" si="3"/>
        <v>0</v>
      </c>
    </row>
    <row r="35" spans="1:13" x14ac:dyDescent="0.25">
      <c r="A35">
        <v>20105</v>
      </c>
      <c r="B35" t="s">
        <v>93</v>
      </c>
      <c r="C35">
        <v>0</v>
      </c>
      <c r="D35">
        <v>0</v>
      </c>
      <c r="E35">
        <v>0</v>
      </c>
      <c r="F35">
        <v>0</v>
      </c>
      <c r="G35">
        <f t="shared" si="0"/>
        <v>0</v>
      </c>
      <c r="H35">
        <v>0</v>
      </c>
      <c r="I35">
        <v>0</v>
      </c>
      <c r="J35">
        <v>0</v>
      </c>
      <c r="K35">
        <f t="shared" si="1"/>
        <v>0</v>
      </c>
      <c r="L35" s="22">
        <f t="shared" si="2"/>
        <v>0</v>
      </c>
      <c r="M35" s="22">
        <f t="shared" si="3"/>
        <v>0</v>
      </c>
    </row>
    <row r="36" spans="1:13" x14ac:dyDescent="0.25">
      <c r="A36">
        <v>20201</v>
      </c>
      <c r="B36" t="s">
        <v>94</v>
      </c>
      <c r="C36">
        <v>0</v>
      </c>
      <c r="D36">
        <v>0</v>
      </c>
      <c r="E36">
        <v>0</v>
      </c>
      <c r="F36">
        <v>0</v>
      </c>
      <c r="G36">
        <f t="shared" si="0"/>
        <v>0</v>
      </c>
      <c r="H36">
        <v>0</v>
      </c>
      <c r="I36">
        <v>0</v>
      </c>
      <c r="J36">
        <v>0</v>
      </c>
      <c r="K36">
        <f t="shared" si="1"/>
        <v>0</v>
      </c>
      <c r="L36" s="22">
        <f t="shared" si="2"/>
        <v>0</v>
      </c>
      <c r="M36" s="22">
        <f t="shared" si="3"/>
        <v>0</v>
      </c>
    </row>
    <row r="37" spans="1:13" x14ac:dyDescent="0.25">
      <c r="A37">
        <v>20202</v>
      </c>
      <c r="B37" t="s">
        <v>95</v>
      </c>
      <c r="C37">
        <v>0</v>
      </c>
      <c r="D37">
        <v>0</v>
      </c>
      <c r="E37">
        <v>0</v>
      </c>
      <c r="F37">
        <v>0</v>
      </c>
      <c r="G37">
        <f t="shared" si="0"/>
        <v>0</v>
      </c>
      <c r="H37">
        <v>0</v>
      </c>
      <c r="I37">
        <v>0</v>
      </c>
      <c r="J37">
        <v>0</v>
      </c>
      <c r="K37">
        <f t="shared" si="1"/>
        <v>0</v>
      </c>
      <c r="L37" s="22">
        <f t="shared" si="2"/>
        <v>0</v>
      </c>
      <c r="M37" s="22">
        <f t="shared" si="3"/>
        <v>0</v>
      </c>
    </row>
    <row r="38" spans="1:13" x14ac:dyDescent="0.25">
      <c r="A38">
        <v>20203</v>
      </c>
      <c r="B38" t="s">
        <v>96</v>
      </c>
      <c r="C38">
        <v>0</v>
      </c>
      <c r="D38">
        <v>0</v>
      </c>
      <c r="E38">
        <v>0</v>
      </c>
      <c r="F38">
        <v>0</v>
      </c>
      <c r="G38">
        <f t="shared" si="0"/>
        <v>0</v>
      </c>
      <c r="H38">
        <v>0</v>
      </c>
      <c r="I38">
        <v>0</v>
      </c>
      <c r="J38">
        <v>0</v>
      </c>
      <c r="K38">
        <f t="shared" si="1"/>
        <v>0</v>
      </c>
      <c r="L38" s="22">
        <f t="shared" si="2"/>
        <v>0</v>
      </c>
      <c r="M38" s="22">
        <f t="shared" si="3"/>
        <v>0</v>
      </c>
    </row>
    <row r="39" spans="1:13" x14ac:dyDescent="0.25">
      <c r="A39">
        <v>20204</v>
      </c>
      <c r="B39" t="s">
        <v>97</v>
      </c>
      <c r="C39">
        <v>0</v>
      </c>
      <c r="D39">
        <v>0</v>
      </c>
      <c r="E39">
        <v>0</v>
      </c>
      <c r="F39">
        <v>0</v>
      </c>
      <c r="G39">
        <f t="shared" si="0"/>
        <v>0</v>
      </c>
      <c r="H39">
        <v>0</v>
      </c>
      <c r="I39">
        <v>0</v>
      </c>
      <c r="J39">
        <v>0</v>
      </c>
      <c r="K39">
        <f t="shared" si="1"/>
        <v>0</v>
      </c>
      <c r="L39" s="22">
        <f t="shared" si="2"/>
        <v>0</v>
      </c>
      <c r="M39" s="22">
        <f t="shared" si="3"/>
        <v>0</v>
      </c>
    </row>
    <row r="40" spans="1:13" x14ac:dyDescent="0.25">
      <c r="A40">
        <v>20205</v>
      </c>
      <c r="B40" t="s">
        <v>98</v>
      </c>
      <c r="C40">
        <v>0</v>
      </c>
      <c r="D40">
        <v>0</v>
      </c>
      <c r="E40">
        <v>0</v>
      </c>
      <c r="F40">
        <v>0</v>
      </c>
      <c r="G40">
        <f t="shared" si="0"/>
        <v>0</v>
      </c>
      <c r="H40">
        <v>0</v>
      </c>
      <c r="I40">
        <v>0</v>
      </c>
      <c r="J40">
        <v>0</v>
      </c>
      <c r="K40">
        <f t="shared" si="1"/>
        <v>0</v>
      </c>
      <c r="L40" s="22">
        <f t="shared" si="2"/>
        <v>0</v>
      </c>
      <c r="M40" s="22">
        <f t="shared" si="3"/>
        <v>0</v>
      </c>
    </row>
    <row r="41" spans="1:13" x14ac:dyDescent="0.25">
      <c r="A41">
        <v>20206</v>
      </c>
      <c r="B41" t="s">
        <v>99</v>
      </c>
      <c r="C41">
        <v>0</v>
      </c>
      <c r="D41">
        <v>0</v>
      </c>
      <c r="E41">
        <v>0</v>
      </c>
      <c r="F41">
        <v>0</v>
      </c>
      <c r="G41">
        <f t="shared" si="0"/>
        <v>0</v>
      </c>
      <c r="H41">
        <v>0</v>
      </c>
      <c r="I41">
        <v>0</v>
      </c>
      <c r="J41">
        <v>0</v>
      </c>
      <c r="K41">
        <f t="shared" si="1"/>
        <v>0</v>
      </c>
      <c r="L41" s="22">
        <f t="shared" si="2"/>
        <v>0</v>
      </c>
      <c r="M41" s="22">
        <f t="shared" si="3"/>
        <v>0</v>
      </c>
    </row>
    <row r="42" spans="1:13" x14ac:dyDescent="0.25">
      <c r="A42">
        <v>20301</v>
      </c>
      <c r="B42" t="s">
        <v>100</v>
      </c>
      <c r="C42">
        <v>0</v>
      </c>
      <c r="D42">
        <v>0</v>
      </c>
      <c r="E42">
        <v>0</v>
      </c>
      <c r="F42">
        <v>0</v>
      </c>
      <c r="G42">
        <f t="shared" si="0"/>
        <v>0</v>
      </c>
      <c r="H42">
        <v>0</v>
      </c>
      <c r="I42">
        <v>0</v>
      </c>
      <c r="J42">
        <v>0</v>
      </c>
      <c r="K42">
        <f t="shared" si="1"/>
        <v>0</v>
      </c>
      <c r="L42" s="22">
        <f t="shared" si="2"/>
        <v>0</v>
      </c>
      <c r="M42" s="22">
        <f t="shared" si="3"/>
        <v>0</v>
      </c>
    </row>
    <row r="43" spans="1:13" x14ac:dyDescent="0.25">
      <c r="A43">
        <v>20302</v>
      </c>
      <c r="B43" t="s">
        <v>101</v>
      </c>
      <c r="C43">
        <v>0</v>
      </c>
      <c r="D43">
        <v>0</v>
      </c>
      <c r="E43">
        <v>0</v>
      </c>
      <c r="F43">
        <v>0</v>
      </c>
      <c r="G43">
        <f t="shared" si="0"/>
        <v>0</v>
      </c>
      <c r="H43">
        <v>0</v>
      </c>
      <c r="I43">
        <v>0</v>
      </c>
      <c r="J43">
        <v>0</v>
      </c>
      <c r="K43">
        <f t="shared" si="1"/>
        <v>0</v>
      </c>
      <c r="L43" s="22">
        <f t="shared" si="2"/>
        <v>0</v>
      </c>
      <c r="M43" s="22">
        <f t="shared" si="3"/>
        <v>0</v>
      </c>
    </row>
    <row r="44" spans="1:13" x14ac:dyDescent="0.25">
      <c r="A44">
        <v>20303</v>
      </c>
      <c r="B44" t="s">
        <v>102</v>
      </c>
      <c r="C44">
        <v>0</v>
      </c>
      <c r="D44">
        <v>0</v>
      </c>
      <c r="E44">
        <v>0</v>
      </c>
      <c r="F44">
        <v>0</v>
      </c>
      <c r="G44">
        <f t="shared" si="0"/>
        <v>0</v>
      </c>
      <c r="H44">
        <v>0</v>
      </c>
      <c r="I44">
        <v>0</v>
      </c>
      <c r="J44">
        <v>0</v>
      </c>
      <c r="K44">
        <f t="shared" si="1"/>
        <v>0</v>
      </c>
      <c r="L44" s="22">
        <f t="shared" si="2"/>
        <v>0</v>
      </c>
      <c r="M44" s="22">
        <f t="shared" si="3"/>
        <v>0</v>
      </c>
    </row>
    <row r="45" spans="1:13" x14ac:dyDescent="0.25">
      <c r="A45">
        <v>20304</v>
      </c>
      <c r="B45" t="s">
        <v>103</v>
      </c>
      <c r="C45">
        <v>0</v>
      </c>
      <c r="D45">
        <v>0</v>
      </c>
      <c r="E45">
        <v>0</v>
      </c>
      <c r="F45">
        <v>0</v>
      </c>
      <c r="G45">
        <f t="shared" si="0"/>
        <v>0</v>
      </c>
      <c r="H45">
        <v>0</v>
      </c>
      <c r="I45">
        <v>0</v>
      </c>
      <c r="J45">
        <v>0</v>
      </c>
      <c r="K45">
        <f t="shared" si="1"/>
        <v>0</v>
      </c>
      <c r="L45" s="22">
        <f t="shared" si="2"/>
        <v>0</v>
      </c>
      <c r="M45" s="22">
        <f t="shared" si="3"/>
        <v>0</v>
      </c>
    </row>
    <row r="46" spans="1:13" x14ac:dyDescent="0.25">
      <c r="A46">
        <v>20305</v>
      </c>
      <c r="B46" t="s">
        <v>104</v>
      </c>
      <c r="C46">
        <v>0</v>
      </c>
      <c r="D46">
        <v>0</v>
      </c>
      <c r="E46">
        <v>0</v>
      </c>
      <c r="F46">
        <v>0</v>
      </c>
      <c r="G46">
        <f t="shared" si="0"/>
        <v>0</v>
      </c>
      <c r="H46">
        <v>0</v>
      </c>
      <c r="I46">
        <v>0</v>
      </c>
      <c r="J46">
        <v>0</v>
      </c>
      <c r="K46">
        <f t="shared" si="1"/>
        <v>0</v>
      </c>
      <c r="L46" s="22">
        <f t="shared" si="2"/>
        <v>0</v>
      </c>
      <c r="M46" s="22">
        <f t="shared" si="3"/>
        <v>0</v>
      </c>
    </row>
    <row r="47" spans="1:13" x14ac:dyDescent="0.25">
      <c r="A47">
        <v>20306</v>
      </c>
      <c r="B47" t="s">
        <v>105</v>
      </c>
      <c r="C47">
        <v>0</v>
      </c>
      <c r="D47">
        <v>0</v>
      </c>
      <c r="E47">
        <v>0</v>
      </c>
      <c r="F47">
        <v>0</v>
      </c>
      <c r="G47">
        <f t="shared" si="0"/>
        <v>0</v>
      </c>
      <c r="H47">
        <v>0</v>
      </c>
      <c r="I47">
        <v>0</v>
      </c>
      <c r="J47">
        <v>0</v>
      </c>
      <c r="K47">
        <f t="shared" si="1"/>
        <v>0</v>
      </c>
      <c r="L47" s="22">
        <f t="shared" si="2"/>
        <v>0</v>
      </c>
      <c r="M47" s="22">
        <f t="shared" si="3"/>
        <v>0</v>
      </c>
    </row>
    <row r="48" spans="1:13" x14ac:dyDescent="0.25">
      <c r="A48">
        <v>20307</v>
      </c>
      <c r="B48" t="s">
        <v>106</v>
      </c>
      <c r="C48">
        <v>0</v>
      </c>
      <c r="D48">
        <v>0</v>
      </c>
      <c r="E48">
        <v>0</v>
      </c>
      <c r="F48">
        <v>0</v>
      </c>
      <c r="G48">
        <f t="shared" si="0"/>
        <v>0</v>
      </c>
      <c r="H48">
        <v>0</v>
      </c>
      <c r="I48">
        <v>0</v>
      </c>
      <c r="J48">
        <v>0</v>
      </c>
      <c r="K48">
        <f t="shared" si="1"/>
        <v>0</v>
      </c>
      <c r="L48" s="22">
        <f t="shared" si="2"/>
        <v>0</v>
      </c>
      <c r="M48" s="22">
        <f t="shared" si="3"/>
        <v>0</v>
      </c>
    </row>
    <row r="49" spans="1:13" x14ac:dyDescent="0.25">
      <c r="A49">
        <v>20308</v>
      </c>
      <c r="B49" t="s">
        <v>107</v>
      </c>
      <c r="C49">
        <v>0</v>
      </c>
      <c r="D49">
        <v>0</v>
      </c>
      <c r="E49">
        <v>0</v>
      </c>
      <c r="F49">
        <v>0</v>
      </c>
      <c r="G49">
        <f t="shared" si="0"/>
        <v>0</v>
      </c>
      <c r="H49">
        <v>0</v>
      </c>
      <c r="I49">
        <v>0</v>
      </c>
      <c r="J49">
        <v>0</v>
      </c>
      <c r="K49">
        <f t="shared" si="1"/>
        <v>0</v>
      </c>
      <c r="L49" s="22">
        <f t="shared" si="2"/>
        <v>0</v>
      </c>
      <c r="M49" s="22">
        <f t="shared" si="3"/>
        <v>0</v>
      </c>
    </row>
    <row r="50" spans="1:13" x14ac:dyDescent="0.25">
      <c r="A50">
        <v>20401</v>
      </c>
      <c r="B50" t="s">
        <v>108</v>
      </c>
      <c r="C50">
        <v>0</v>
      </c>
      <c r="D50">
        <v>0</v>
      </c>
      <c r="E50">
        <v>0</v>
      </c>
      <c r="F50">
        <v>0</v>
      </c>
      <c r="G50">
        <f t="shared" si="0"/>
        <v>0</v>
      </c>
      <c r="H50">
        <v>0</v>
      </c>
      <c r="I50">
        <v>0</v>
      </c>
      <c r="J50">
        <v>0</v>
      </c>
      <c r="K50">
        <f t="shared" si="1"/>
        <v>0</v>
      </c>
      <c r="L50" s="22">
        <f t="shared" si="2"/>
        <v>0</v>
      </c>
      <c r="M50" s="22">
        <f t="shared" si="3"/>
        <v>0</v>
      </c>
    </row>
    <row r="51" spans="1:13" x14ac:dyDescent="0.25">
      <c r="A51">
        <v>20402</v>
      </c>
      <c r="B51" t="s">
        <v>109</v>
      </c>
      <c r="C51">
        <v>3005.1</v>
      </c>
      <c r="D51">
        <v>22.95</v>
      </c>
      <c r="E51">
        <v>20.7</v>
      </c>
      <c r="F51">
        <v>56.16</v>
      </c>
      <c r="G51">
        <f t="shared" si="0"/>
        <v>33.270000000000003</v>
      </c>
      <c r="H51">
        <v>0.72</v>
      </c>
      <c r="I51">
        <v>15.84</v>
      </c>
      <c r="J51">
        <v>44.099999999999987</v>
      </c>
      <c r="K51">
        <f t="shared" si="1"/>
        <v>20.219999999999995</v>
      </c>
      <c r="L51" s="22">
        <f t="shared" si="2"/>
        <v>1.1071178995707298</v>
      </c>
      <c r="M51" s="22">
        <f t="shared" si="3"/>
        <v>0.67285614455425757</v>
      </c>
    </row>
    <row r="52" spans="1:13" x14ac:dyDescent="0.25">
      <c r="A52">
        <v>20403</v>
      </c>
      <c r="B52" t="s">
        <v>110</v>
      </c>
      <c r="C52">
        <v>0</v>
      </c>
      <c r="D52">
        <v>0</v>
      </c>
      <c r="E52">
        <v>0</v>
      </c>
      <c r="F52">
        <v>0</v>
      </c>
      <c r="G52">
        <f t="shared" si="0"/>
        <v>0</v>
      </c>
      <c r="H52">
        <v>0</v>
      </c>
      <c r="I52">
        <v>0</v>
      </c>
      <c r="J52">
        <v>0</v>
      </c>
      <c r="K52">
        <f t="shared" si="1"/>
        <v>0</v>
      </c>
      <c r="L52" s="22">
        <f t="shared" si="2"/>
        <v>0</v>
      </c>
      <c r="M52" s="22">
        <f t="shared" si="3"/>
        <v>0</v>
      </c>
    </row>
    <row r="53" spans="1:13" x14ac:dyDescent="0.25">
      <c r="A53">
        <v>20404</v>
      </c>
      <c r="B53" t="s">
        <v>111</v>
      </c>
      <c r="C53">
        <v>0</v>
      </c>
      <c r="D53">
        <v>0</v>
      </c>
      <c r="E53">
        <v>0</v>
      </c>
      <c r="F53">
        <v>0</v>
      </c>
      <c r="G53">
        <f t="shared" si="0"/>
        <v>0</v>
      </c>
      <c r="H53">
        <v>0</v>
      </c>
      <c r="I53">
        <v>0</v>
      </c>
      <c r="J53">
        <v>0</v>
      </c>
      <c r="K53">
        <f t="shared" si="1"/>
        <v>0</v>
      </c>
      <c r="L53" s="22">
        <f t="shared" si="2"/>
        <v>0</v>
      </c>
      <c r="M53" s="22">
        <f t="shared" si="3"/>
        <v>0</v>
      </c>
    </row>
    <row r="54" spans="1:13" x14ac:dyDescent="0.25">
      <c r="A54">
        <v>20405</v>
      </c>
      <c r="B54" t="s">
        <v>112</v>
      </c>
      <c r="C54">
        <v>0</v>
      </c>
      <c r="D54">
        <v>0</v>
      </c>
      <c r="E54">
        <v>0</v>
      </c>
      <c r="F54">
        <v>0</v>
      </c>
      <c r="G54">
        <f t="shared" si="0"/>
        <v>0</v>
      </c>
      <c r="H54">
        <v>0</v>
      </c>
      <c r="I54">
        <v>0</v>
      </c>
      <c r="J54">
        <v>0</v>
      </c>
      <c r="K54">
        <f t="shared" si="1"/>
        <v>0</v>
      </c>
      <c r="L54" s="22">
        <f t="shared" si="2"/>
        <v>0</v>
      </c>
      <c r="M54" s="22">
        <f t="shared" si="3"/>
        <v>0</v>
      </c>
    </row>
    <row r="55" spans="1:13" x14ac:dyDescent="0.25">
      <c r="A55">
        <v>20501</v>
      </c>
      <c r="B55" t="s">
        <v>113</v>
      </c>
      <c r="C55">
        <v>5788.62</v>
      </c>
      <c r="D55">
        <v>23.49</v>
      </c>
      <c r="E55">
        <v>25.38</v>
      </c>
      <c r="F55">
        <v>49.5</v>
      </c>
      <c r="G55">
        <f t="shared" si="0"/>
        <v>32.79</v>
      </c>
      <c r="H55">
        <v>6.75</v>
      </c>
      <c r="I55">
        <v>35.46</v>
      </c>
      <c r="J55">
        <v>156.78</v>
      </c>
      <c r="K55">
        <f t="shared" si="1"/>
        <v>66.33</v>
      </c>
      <c r="L55" s="22">
        <f t="shared" si="2"/>
        <v>0.56645625382215448</v>
      </c>
      <c r="M55" s="22">
        <f t="shared" si="3"/>
        <v>1.1458689635871762</v>
      </c>
    </row>
    <row r="56" spans="1:13" x14ac:dyDescent="0.25">
      <c r="A56">
        <v>20502</v>
      </c>
      <c r="B56" t="s">
        <v>114</v>
      </c>
      <c r="C56">
        <v>34456.230000000003</v>
      </c>
      <c r="D56">
        <v>107.19</v>
      </c>
      <c r="E56">
        <v>74.97</v>
      </c>
      <c r="F56">
        <v>132.30000000000001</v>
      </c>
      <c r="G56">
        <f t="shared" si="0"/>
        <v>104.82000000000001</v>
      </c>
      <c r="H56">
        <v>24.3</v>
      </c>
      <c r="I56">
        <v>160.65</v>
      </c>
      <c r="J56">
        <v>542.70000000000005</v>
      </c>
      <c r="K56">
        <f t="shared" si="1"/>
        <v>242.55000000000004</v>
      </c>
      <c r="L56" s="22">
        <f t="shared" si="2"/>
        <v>0.30421203944830877</v>
      </c>
      <c r="M56" s="22">
        <f t="shared" si="3"/>
        <v>0.70393655951333045</v>
      </c>
    </row>
    <row r="57" spans="1:13" x14ac:dyDescent="0.25">
      <c r="A57">
        <v>20503</v>
      </c>
      <c r="B57" t="s">
        <v>115</v>
      </c>
      <c r="C57">
        <v>5304.06</v>
      </c>
      <c r="D57">
        <v>83.07</v>
      </c>
      <c r="E57">
        <v>34.200000000000003</v>
      </c>
      <c r="F57">
        <v>46.349999999999987</v>
      </c>
      <c r="G57">
        <f t="shared" si="0"/>
        <v>54.539999999999992</v>
      </c>
      <c r="H57">
        <v>2.4300000000000002</v>
      </c>
      <c r="I57">
        <v>15.03</v>
      </c>
      <c r="J57">
        <v>181.8</v>
      </c>
      <c r="K57">
        <f t="shared" si="1"/>
        <v>66.42</v>
      </c>
      <c r="L57" s="22">
        <f t="shared" si="2"/>
        <v>1.0282689109851697</v>
      </c>
      <c r="M57" s="22">
        <f t="shared" si="3"/>
        <v>1.2522482777344146</v>
      </c>
    </row>
    <row r="58" spans="1:13" x14ac:dyDescent="0.25">
      <c r="A58">
        <v>20601</v>
      </c>
      <c r="B58" t="s">
        <v>116</v>
      </c>
      <c r="C58">
        <v>57828.959999999999</v>
      </c>
      <c r="D58">
        <v>330.66</v>
      </c>
      <c r="E58">
        <v>131.22</v>
      </c>
      <c r="F58">
        <v>189.18</v>
      </c>
      <c r="G58">
        <f t="shared" si="0"/>
        <v>217.01999999999998</v>
      </c>
      <c r="H58">
        <v>32.76</v>
      </c>
      <c r="I58">
        <v>239.85</v>
      </c>
      <c r="J58">
        <v>947.06999999999994</v>
      </c>
      <c r="K58">
        <f t="shared" si="1"/>
        <v>406.55999999999995</v>
      </c>
      <c r="L58" s="22">
        <f t="shared" si="2"/>
        <v>0.3752790989151456</v>
      </c>
      <c r="M58" s="22">
        <f t="shared" si="3"/>
        <v>0.70303875428505014</v>
      </c>
    </row>
    <row r="59" spans="1:13" x14ac:dyDescent="0.25">
      <c r="A59">
        <v>20602</v>
      </c>
      <c r="B59" t="s">
        <v>117</v>
      </c>
      <c r="C59">
        <v>267264.18</v>
      </c>
      <c r="D59">
        <v>402.93</v>
      </c>
      <c r="E59">
        <v>574.20000000000005</v>
      </c>
      <c r="F59">
        <v>795.06</v>
      </c>
      <c r="G59">
        <f t="shared" si="0"/>
        <v>590.73</v>
      </c>
      <c r="H59">
        <v>255.69</v>
      </c>
      <c r="I59">
        <v>4809.0600000000004</v>
      </c>
      <c r="J59">
        <v>2025.63</v>
      </c>
      <c r="K59">
        <f t="shared" si="1"/>
        <v>2363.46</v>
      </c>
      <c r="L59" s="22">
        <f t="shared" si="2"/>
        <v>0.22102849697254603</v>
      </c>
      <c r="M59" s="22">
        <f t="shared" si="3"/>
        <v>0.88431603516790025</v>
      </c>
    </row>
    <row r="60" spans="1:13" x14ac:dyDescent="0.25">
      <c r="A60">
        <v>20603</v>
      </c>
      <c r="B60" t="s">
        <v>118</v>
      </c>
      <c r="C60">
        <v>53398.080000000002</v>
      </c>
      <c r="D60">
        <v>206.55</v>
      </c>
      <c r="E60">
        <v>108.54</v>
      </c>
      <c r="F60">
        <v>147.06</v>
      </c>
      <c r="G60">
        <f t="shared" si="0"/>
        <v>154.05000000000001</v>
      </c>
      <c r="H60">
        <v>33.299999999999997</v>
      </c>
      <c r="I60">
        <v>456.39</v>
      </c>
      <c r="J60">
        <v>736.74</v>
      </c>
      <c r="K60">
        <f t="shared" si="1"/>
        <v>408.81</v>
      </c>
      <c r="L60" s="22">
        <f t="shared" si="2"/>
        <v>0.28849351886809416</v>
      </c>
      <c r="M60" s="22">
        <f t="shared" si="3"/>
        <v>0.76558932455998407</v>
      </c>
    </row>
    <row r="61" spans="1:13" x14ac:dyDescent="0.25">
      <c r="A61">
        <v>20604</v>
      </c>
      <c r="B61" t="s">
        <v>119</v>
      </c>
      <c r="C61">
        <v>958.5</v>
      </c>
      <c r="D61">
        <v>10.71</v>
      </c>
      <c r="E61">
        <v>5.85</v>
      </c>
      <c r="F61">
        <v>12.69</v>
      </c>
      <c r="G61">
        <f t="shared" si="0"/>
        <v>9.75</v>
      </c>
      <c r="H61">
        <v>0.27</v>
      </c>
      <c r="I61">
        <v>5.4</v>
      </c>
      <c r="J61">
        <v>59.94</v>
      </c>
      <c r="K61">
        <f t="shared" si="1"/>
        <v>21.87</v>
      </c>
      <c r="L61" s="22">
        <f t="shared" si="2"/>
        <v>1.0172143974960877</v>
      </c>
      <c r="M61" s="22">
        <f t="shared" si="3"/>
        <v>2.2816901408450705</v>
      </c>
    </row>
    <row r="62" spans="1:13" x14ac:dyDescent="0.25">
      <c r="A62">
        <v>20605</v>
      </c>
      <c r="B62" t="s">
        <v>120</v>
      </c>
      <c r="C62">
        <v>367.56</v>
      </c>
      <c r="D62">
        <v>3.51</v>
      </c>
      <c r="E62">
        <v>2.79</v>
      </c>
      <c r="F62">
        <v>6.48</v>
      </c>
      <c r="G62">
        <f t="shared" si="0"/>
        <v>4.2600000000000007</v>
      </c>
      <c r="H62">
        <v>0</v>
      </c>
      <c r="I62">
        <v>0.18</v>
      </c>
      <c r="J62">
        <v>1.62</v>
      </c>
      <c r="K62">
        <f t="shared" si="1"/>
        <v>0.6</v>
      </c>
      <c r="L62" s="22">
        <f t="shared" si="2"/>
        <v>1.1589944498857332</v>
      </c>
      <c r="M62" s="22">
        <f t="shared" si="3"/>
        <v>0.16323865491348349</v>
      </c>
    </row>
    <row r="63" spans="1:13" x14ac:dyDescent="0.25">
      <c r="A63">
        <v>20606</v>
      </c>
      <c r="B63" t="s">
        <v>121</v>
      </c>
      <c r="C63">
        <v>21546.36</v>
      </c>
      <c r="D63">
        <v>70.11</v>
      </c>
      <c r="E63">
        <v>100.35</v>
      </c>
      <c r="F63">
        <v>122.04</v>
      </c>
      <c r="G63">
        <f t="shared" si="0"/>
        <v>97.5</v>
      </c>
      <c r="H63">
        <v>26.01</v>
      </c>
      <c r="I63">
        <v>597.69000000000005</v>
      </c>
      <c r="J63">
        <v>136.08000000000001</v>
      </c>
      <c r="K63">
        <f t="shared" si="1"/>
        <v>253.26000000000002</v>
      </c>
      <c r="L63" s="22">
        <f t="shared" si="2"/>
        <v>0.45251262858320385</v>
      </c>
      <c r="M63" s="22">
        <f t="shared" si="3"/>
        <v>1.1754189570767406</v>
      </c>
    </row>
    <row r="64" spans="1:13" x14ac:dyDescent="0.25">
      <c r="A64">
        <v>20607</v>
      </c>
      <c r="B64" t="s">
        <v>122</v>
      </c>
      <c r="C64">
        <v>137183.94</v>
      </c>
      <c r="D64">
        <v>388.8</v>
      </c>
      <c r="E64">
        <v>410.58</v>
      </c>
      <c r="F64">
        <v>581.30999999999995</v>
      </c>
      <c r="G64">
        <f t="shared" si="0"/>
        <v>460.23</v>
      </c>
      <c r="H64">
        <v>150.47999999999999</v>
      </c>
      <c r="I64">
        <v>2974.68</v>
      </c>
      <c r="J64">
        <v>2165.04</v>
      </c>
      <c r="K64">
        <f t="shared" si="1"/>
        <v>1763.3999999999999</v>
      </c>
      <c r="L64" s="22">
        <f t="shared" si="2"/>
        <v>0.33548387661121265</v>
      </c>
      <c r="M64" s="22">
        <f t="shared" si="3"/>
        <v>1.2854274341442591</v>
      </c>
    </row>
    <row r="65" spans="1:13" x14ac:dyDescent="0.25">
      <c r="A65">
        <v>20608</v>
      </c>
      <c r="B65" t="s">
        <v>123</v>
      </c>
      <c r="C65">
        <v>122949.99</v>
      </c>
      <c r="D65">
        <v>733.5</v>
      </c>
      <c r="E65">
        <v>740.06999999999994</v>
      </c>
      <c r="F65">
        <v>1042.29</v>
      </c>
      <c r="G65">
        <f t="shared" si="0"/>
        <v>838.61999999999989</v>
      </c>
      <c r="H65">
        <v>813.78</v>
      </c>
      <c r="I65">
        <v>3823.29</v>
      </c>
      <c r="J65">
        <v>1659.06</v>
      </c>
      <c r="K65">
        <f t="shared" si="1"/>
        <v>2098.7099999999996</v>
      </c>
      <c r="L65" s="22">
        <f t="shared" si="2"/>
        <v>0.68208220269070363</v>
      </c>
      <c r="M65" s="22">
        <f t="shared" si="3"/>
        <v>1.7069623185817253</v>
      </c>
    </row>
    <row r="66" spans="1:13" x14ac:dyDescent="0.25">
      <c r="A66">
        <v>20701</v>
      </c>
      <c r="B66" t="s">
        <v>124</v>
      </c>
      <c r="C66">
        <v>1253903.31</v>
      </c>
      <c r="D66">
        <v>2612.6999999999998</v>
      </c>
      <c r="E66">
        <v>2975.4</v>
      </c>
      <c r="F66">
        <v>5211.18</v>
      </c>
      <c r="G66">
        <f t="shared" ref="G66:G129" si="15">AVERAGE(D66:F66)</f>
        <v>3599.76</v>
      </c>
      <c r="H66">
        <v>1316.7</v>
      </c>
      <c r="I66">
        <v>1349.28</v>
      </c>
      <c r="J66">
        <v>5048.7299999999996</v>
      </c>
      <c r="K66">
        <f t="shared" ref="K66:K129" si="16">AVERAGE(H66:J66)</f>
        <v>2571.5699999999997</v>
      </c>
      <c r="L66" s="22">
        <f t="shared" ref="L66:L129" si="17">IF(C66=0,0,(G66/C66)*100)</f>
        <v>0.28708433667026528</v>
      </c>
      <c r="M66" s="22">
        <f t="shared" ref="M66:M129" si="18">IF(C66=0,0,(K66/C66)*100)</f>
        <v>0.20508519113806309</v>
      </c>
    </row>
    <row r="67" spans="1:13" x14ac:dyDescent="0.25">
      <c r="A67">
        <v>20702</v>
      </c>
      <c r="B67" t="s">
        <v>125</v>
      </c>
      <c r="C67">
        <v>56334.15</v>
      </c>
      <c r="D67">
        <v>331.65</v>
      </c>
      <c r="E67">
        <v>457.47</v>
      </c>
      <c r="F67">
        <v>302.67</v>
      </c>
      <c r="G67">
        <f t="shared" si="15"/>
        <v>363.93</v>
      </c>
      <c r="H67">
        <v>118.8</v>
      </c>
      <c r="I67">
        <v>79.56</v>
      </c>
      <c r="J67">
        <v>90.63000000000001</v>
      </c>
      <c r="K67">
        <f t="shared" si="16"/>
        <v>96.33</v>
      </c>
      <c r="L67" s="22">
        <f t="shared" si="17"/>
        <v>0.64602022041692297</v>
      </c>
      <c r="M67" s="22">
        <f t="shared" si="18"/>
        <v>0.1709975210418547</v>
      </c>
    </row>
    <row r="68" spans="1:13" x14ac:dyDescent="0.25">
      <c r="A68">
        <v>20801</v>
      </c>
      <c r="B68" t="s">
        <v>126</v>
      </c>
      <c r="C68">
        <v>0</v>
      </c>
      <c r="D68">
        <v>0</v>
      </c>
      <c r="E68">
        <v>0</v>
      </c>
      <c r="F68">
        <v>0</v>
      </c>
      <c r="G68">
        <f t="shared" si="15"/>
        <v>0</v>
      </c>
      <c r="H68">
        <v>0</v>
      </c>
      <c r="I68">
        <v>0</v>
      </c>
      <c r="J68">
        <v>0</v>
      </c>
      <c r="K68">
        <f t="shared" si="16"/>
        <v>0</v>
      </c>
      <c r="L68" s="22">
        <f t="shared" si="17"/>
        <v>0</v>
      </c>
      <c r="M68" s="22">
        <f t="shared" si="18"/>
        <v>0</v>
      </c>
    </row>
    <row r="69" spans="1:13" x14ac:dyDescent="0.25">
      <c r="A69">
        <v>20802</v>
      </c>
      <c r="B69" t="s">
        <v>127</v>
      </c>
      <c r="C69">
        <v>0</v>
      </c>
      <c r="D69">
        <v>0</v>
      </c>
      <c r="E69">
        <v>0</v>
      </c>
      <c r="F69">
        <v>0</v>
      </c>
      <c r="G69">
        <f t="shared" si="15"/>
        <v>0</v>
      </c>
      <c r="H69">
        <v>0</v>
      </c>
      <c r="I69">
        <v>0</v>
      </c>
      <c r="J69">
        <v>0</v>
      </c>
      <c r="K69">
        <f t="shared" si="16"/>
        <v>0</v>
      </c>
      <c r="L69" s="22">
        <f t="shared" si="17"/>
        <v>0</v>
      </c>
      <c r="M69" s="22">
        <f t="shared" si="18"/>
        <v>0</v>
      </c>
    </row>
    <row r="70" spans="1:13" x14ac:dyDescent="0.25">
      <c r="A70">
        <v>20803</v>
      </c>
      <c r="B70" t="s">
        <v>128</v>
      </c>
      <c r="C70">
        <v>0</v>
      </c>
      <c r="D70">
        <v>0</v>
      </c>
      <c r="E70">
        <v>0</v>
      </c>
      <c r="F70">
        <v>0</v>
      </c>
      <c r="G70">
        <f t="shared" si="15"/>
        <v>0</v>
      </c>
      <c r="H70">
        <v>0</v>
      </c>
      <c r="I70">
        <v>0</v>
      </c>
      <c r="J70">
        <v>0</v>
      </c>
      <c r="K70">
        <f t="shared" si="16"/>
        <v>0</v>
      </c>
      <c r="L70" s="22">
        <f t="shared" si="17"/>
        <v>0</v>
      </c>
      <c r="M70" s="22">
        <f t="shared" si="18"/>
        <v>0</v>
      </c>
    </row>
    <row r="71" spans="1:13" x14ac:dyDescent="0.25">
      <c r="A71">
        <v>20804</v>
      </c>
      <c r="B71" t="s">
        <v>129</v>
      </c>
      <c r="C71">
        <v>0</v>
      </c>
      <c r="D71">
        <v>0</v>
      </c>
      <c r="E71">
        <v>0</v>
      </c>
      <c r="F71">
        <v>0</v>
      </c>
      <c r="G71">
        <f t="shared" si="15"/>
        <v>0</v>
      </c>
      <c r="H71">
        <v>0</v>
      </c>
      <c r="I71">
        <v>0</v>
      </c>
      <c r="J71">
        <v>0</v>
      </c>
      <c r="K71">
        <f t="shared" si="16"/>
        <v>0</v>
      </c>
      <c r="L71" s="22">
        <f t="shared" si="17"/>
        <v>0</v>
      </c>
      <c r="M71" s="22">
        <f t="shared" si="18"/>
        <v>0</v>
      </c>
    </row>
    <row r="72" spans="1:13" x14ac:dyDescent="0.25">
      <c r="A72">
        <v>20805</v>
      </c>
      <c r="B72" t="s">
        <v>130</v>
      </c>
      <c r="C72">
        <v>0</v>
      </c>
      <c r="D72">
        <v>0</v>
      </c>
      <c r="E72">
        <v>0</v>
      </c>
      <c r="F72">
        <v>0</v>
      </c>
      <c r="G72">
        <f t="shared" si="15"/>
        <v>0</v>
      </c>
      <c r="H72">
        <v>0</v>
      </c>
      <c r="I72">
        <v>0</v>
      </c>
      <c r="J72">
        <v>0</v>
      </c>
      <c r="K72">
        <f t="shared" si="16"/>
        <v>0</v>
      </c>
      <c r="L72" s="22">
        <f t="shared" si="17"/>
        <v>0</v>
      </c>
      <c r="M72" s="22">
        <f t="shared" si="18"/>
        <v>0</v>
      </c>
    </row>
    <row r="73" spans="1:13" x14ac:dyDescent="0.25">
      <c r="A73">
        <v>20806</v>
      </c>
      <c r="B73" t="s">
        <v>131</v>
      </c>
      <c r="C73">
        <v>0</v>
      </c>
      <c r="D73">
        <v>0</v>
      </c>
      <c r="E73">
        <v>0</v>
      </c>
      <c r="F73">
        <v>0</v>
      </c>
      <c r="G73">
        <f t="shared" si="15"/>
        <v>0</v>
      </c>
      <c r="H73">
        <v>0</v>
      </c>
      <c r="I73">
        <v>0</v>
      </c>
      <c r="J73">
        <v>0</v>
      </c>
      <c r="K73">
        <f t="shared" si="16"/>
        <v>0</v>
      </c>
      <c r="L73" s="22">
        <f t="shared" si="17"/>
        <v>0</v>
      </c>
      <c r="M73" s="22">
        <f t="shared" si="18"/>
        <v>0</v>
      </c>
    </row>
    <row r="74" spans="1:13" x14ac:dyDescent="0.25">
      <c r="A74">
        <v>20807</v>
      </c>
      <c r="B74" t="s">
        <v>132</v>
      </c>
      <c r="C74">
        <v>0</v>
      </c>
      <c r="D74">
        <v>0</v>
      </c>
      <c r="E74">
        <v>0</v>
      </c>
      <c r="F74">
        <v>0</v>
      </c>
      <c r="G74">
        <f t="shared" si="15"/>
        <v>0</v>
      </c>
      <c r="H74">
        <v>0</v>
      </c>
      <c r="I74">
        <v>0</v>
      </c>
      <c r="J74">
        <v>0</v>
      </c>
      <c r="K74">
        <f t="shared" si="16"/>
        <v>0</v>
      </c>
      <c r="L74" s="22">
        <f t="shared" si="17"/>
        <v>0</v>
      </c>
      <c r="M74" s="22">
        <f t="shared" si="18"/>
        <v>0</v>
      </c>
    </row>
    <row r="75" spans="1:13" x14ac:dyDescent="0.25">
      <c r="A75">
        <v>20901</v>
      </c>
      <c r="B75" t="s">
        <v>133</v>
      </c>
      <c r="C75">
        <v>468.09</v>
      </c>
      <c r="D75">
        <v>0.54</v>
      </c>
      <c r="E75">
        <v>0.81</v>
      </c>
      <c r="F75">
        <v>8.4600000000000009</v>
      </c>
      <c r="G75">
        <f t="shared" si="15"/>
        <v>3.27</v>
      </c>
      <c r="H75">
        <v>2.88</v>
      </c>
      <c r="I75">
        <v>17.37</v>
      </c>
      <c r="J75">
        <v>9.7199999999999989</v>
      </c>
      <c r="K75">
        <f t="shared" si="16"/>
        <v>9.99</v>
      </c>
      <c r="L75" s="22">
        <f t="shared" si="17"/>
        <v>0.6985836057168493</v>
      </c>
      <c r="M75" s="22">
        <f t="shared" si="18"/>
        <v>2.134204960584503</v>
      </c>
    </row>
    <row r="76" spans="1:13" x14ac:dyDescent="0.25">
      <c r="A76">
        <v>20902</v>
      </c>
      <c r="B76" t="s">
        <v>134</v>
      </c>
      <c r="C76">
        <v>841.86</v>
      </c>
      <c r="D76">
        <v>3.87</v>
      </c>
      <c r="E76">
        <v>3.06</v>
      </c>
      <c r="F76">
        <v>17.91</v>
      </c>
      <c r="G76">
        <f t="shared" si="15"/>
        <v>8.2799999999999994</v>
      </c>
      <c r="H76">
        <v>9.99</v>
      </c>
      <c r="I76">
        <v>73.08</v>
      </c>
      <c r="J76">
        <v>15.03</v>
      </c>
      <c r="K76">
        <f t="shared" si="16"/>
        <v>32.699999999999996</v>
      </c>
      <c r="L76" s="22">
        <f t="shared" si="17"/>
        <v>0.98353645499251652</v>
      </c>
      <c r="M76" s="22">
        <f t="shared" si="18"/>
        <v>3.8842562896443584</v>
      </c>
    </row>
    <row r="77" spans="1:13" x14ac:dyDescent="0.25">
      <c r="A77">
        <v>20903</v>
      </c>
      <c r="B77" t="s">
        <v>135</v>
      </c>
      <c r="C77">
        <v>0</v>
      </c>
      <c r="D77">
        <v>0</v>
      </c>
      <c r="E77">
        <v>0</v>
      </c>
      <c r="F77">
        <v>0</v>
      </c>
      <c r="G77">
        <f t="shared" si="15"/>
        <v>0</v>
      </c>
      <c r="H77">
        <v>0</v>
      </c>
      <c r="I77">
        <v>0</v>
      </c>
      <c r="J77">
        <v>0</v>
      </c>
      <c r="K77">
        <f t="shared" si="16"/>
        <v>0</v>
      </c>
      <c r="L77" s="22">
        <f t="shared" si="17"/>
        <v>0</v>
      </c>
      <c r="M77" s="22">
        <f t="shared" si="18"/>
        <v>0</v>
      </c>
    </row>
    <row r="78" spans="1:13" x14ac:dyDescent="0.25">
      <c r="A78">
        <v>20904</v>
      </c>
      <c r="B78" t="s">
        <v>136</v>
      </c>
      <c r="C78">
        <v>0</v>
      </c>
      <c r="D78">
        <v>0</v>
      </c>
      <c r="E78">
        <v>0</v>
      </c>
      <c r="F78">
        <v>0</v>
      </c>
      <c r="G78">
        <f t="shared" si="15"/>
        <v>0</v>
      </c>
      <c r="H78">
        <v>0</v>
      </c>
      <c r="I78">
        <v>0</v>
      </c>
      <c r="J78">
        <v>0</v>
      </c>
      <c r="K78">
        <f t="shared" si="16"/>
        <v>0</v>
      </c>
      <c r="L78" s="22">
        <f t="shared" si="17"/>
        <v>0</v>
      </c>
      <c r="M78" s="22">
        <f t="shared" si="18"/>
        <v>0</v>
      </c>
    </row>
    <row r="79" spans="1:13" x14ac:dyDescent="0.25">
      <c r="A79">
        <v>20905</v>
      </c>
      <c r="B79" t="s">
        <v>137</v>
      </c>
      <c r="C79">
        <v>4399.29</v>
      </c>
      <c r="D79">
        <v>57.87</v>
      </c>
      <c r="E79">
        <v>85.05</v>
      </c>
      <c r="F79">
        <v>86.669999999999987</v>
      </c>
      <c r="G79">
        <f t="shared" si="15"/>
        <v>76.529999999999987</v>
      </c>
      <c r="H79">
        <v>19.440000000000001</v>
      </c>
      <c r="I79">
        <v>257.85000000000002</v>
      </c>
      <c r="J79">
        <v>170.82</v>
      </c>
      <c r="K79">
        <f t="shared" si="16"/>
        <v>149.37</v>
      </c>
      <c r="L79" s="22">
        <f t="shared" si="17"/>
        <v>1.7395988898208572</v>
      </c>
      <c r="M79" s="22">
        <f t="shared" si="18"/>
        <v>3.3953206085527441</v>
      </c>
    </row>
    <row r="80" spans="1:13" x14ac:dyDescent="0.25">
      <c r="A80">
        <v>21001</v>
      </c>
      <c r="B80" t="s">
        <v>138</v>
      </c>
      <c r="C80">
        <v>174734.82</v>
      </c>
      <c r="D80">
        <v>301.05</v>
      </c>
      <c r="E80">
        <v>299.97000000000003</v>
      </c>
      <c r="F80">
        <v>621.99</v>
      </c>
      <c r="G80">
        <f t="shared" si="15"/>
        <v>407.67</v>
      </c>
      <c r="H80">
        <v>211.68</v>
      </c>
      <c r="I80">
        <v>762.56999999999994</v>
      </c>
      <c r="J80">
        <v>4410.18</v>
      </c>
      <c r="K80">
        <f t="shared" si="16"/>
        <v>1794.8100000000002</v>
      </c>
      <c r="L80" s="22">
        <f t="shared" si="17"/>
        <v>0.23330782038748771</v>
      </c>
      <c r="M80" s="22">
        <f t="shared" si="18"/>
        <v>1.0271621878226675</v>
      </c>
    </row>
    <row r="81" spans="1:13" x14ac:dyDescent="0.25">
      <c r="A81">
        <v>21002</v>
      </c>
      <c r="B81" t="s">
        <v>139</v>
      </c>
      <c r="C81">
        <v>23813.64</v>
      </c>
      <c r="D81">
        <v>102.87</v>
      </c>
      <c r="E81">
        <v>95.76</v>
      </c>
      <c r="F81">
        <v>163.71</v>
      </c>
      <c r="G81">
        <f t="shared" si="15"/>
        <v>120.78000000000002</v>
      </c>
      <c r="H81">
        <v>30.78</v>
      </c>
      <c r="I81">
        <v>223.02</v>
      </c>
      <c r="J81">
        <v>633.33000000000004</v>
      </c>
      <c r="K81">
        <f t="shared" si="16"/>
        <v>295.71000000000004</v>
      </c>
      <c r="L81" s="22">
        <f t="shared" si="17"/>
        <v>0.50718831728370806</v>
      </c>
      <c r="M81" s="22">
        <f t="shared" si="18"/>
        <v>1.241767323265154</v>
      </c>
    </row>
    <row r="82" spans="1:13" x14ac:dyDescent="0.25">
      <c r="A82">
        <v>21003</v>
      </c>
      <c r="B82" t="s">
        <v>140</v>
      </c>
      <c r="C82">
        <v>46961.19</v>
      </c>
      <c r="D82">
        <v>107.19</v>
      </c>
      <c r="E82">
        <v>146.61000000000001</v>
      </c>
      <c r="F82">
        <v>266.04000000000002</v>
      </c>
      <c r="G82">
        <f t="shared" si="15"/>
        <v>173.28</v>
      </c>
      <c r="H82">
        <v>158.04</v>
      </c>
      <c r="I82">
        <v>408.15</v>
      </c>
      <c r="J82">
        <v>1329.66</v>
      </c>
      <c r="K82">
        <f t="shared" si="16"/>
        <v>631.94999999999993</v>
      </c>
      <c r="L82" s="22">
        <f t="shared" si="17"/>
        <v>0.36898553890989561</v>
      </c>
      <c r="M82" s="22">
        <f t="shared" si="18"/>
        <v>1.3456856608616603</v>
      </c>
    </row>
    <row r="83" spans="1:13" x14ac:dyDescent="0.25">
      <c r="A83">
        <v>21004</v>
      </c>
      <c r="B83" t="s">
        <v>141</v>
      </c>
      <c r="C83">
        <v>366.03</v>
      </c>
      <c r="D83">
        <v>9.99</v>
      </c>
      <c r="E83">
        <v>4.3199999999999994</v>
      </c>
      <c r="F83">
        <v>6.93</v>
      </c>
      <c r="G83">
        <f t="shared" si="15"/>
        <v>7.0799999999999992</v>
      </c>
      <c r="H83">
        <v>0.36</v>
      </c>
      <c r="I83">
        <v>0.9</v>
      </c>
      <c r="J83">
        <v>12.51</v>
      </c>
      <c r="K83">
        <f t="shared" si="16"/>
        <v>4.59</v>
      </c>
      <c r="L83" s="22">
        <f t="shared" si="17"/>
        <v>1.9342676829768053</v>
      </c>
      <c r="M83" s="22">
        <f t="shared" si="18"/>
        <v>1.2539955741332678</v>
      </c>
    </row>
    <row r="84" spans="1:13" x14ac:dyDescent="0.25">
      <c r="A84">
        <v>21005</v>
      </c>
      <c r="B84" t="s">
        <v>142</v>
      </c>
      <c r="C84">
        <v>1748.52</v>
      </c>
      <c r="D84">
        <v>14.94</v>
      </c>
      <c r="E84">
        <v>9.6300000000000008</v>
      </c>
      <c r="F84">
        <v>18.09</v>
      </c>
      <c r="G84">
        <f t="shared" si="15"/>
        <v>14.219999999999999</v>
      </c>
      <c r="H84">
        <v>3.78</v>
      </c>
      <c r="I84">
        <v>11.97</v>
      </c>
      <c r="J84">
        <v>152.82</v>
      </c>
      <c r="K84">
        <f t="shared" si="16"/>
        <v>56.19</v>
      </c>
      <c r="L84" s="22">
        <f t="shared" si="17"/>
        <v>0.8132592135062795</v>
      </c>
      <c r="M84" s="22">
        <f t="shared" si="18"/>
        <v>3.2135749090659527</v>
      </c>
    </row>
    <row r="85" spans="1:13" x14ac:dyDescent="0.25">
      <c r="A85">
        <v>21006</v>
      </c>
      <c r="B85" t="s">
        <v>143</v>
      </c>
      <c r="C85">
        <v>13737.87</v>
      </c>
      <c r="D85">
        <v>17.190000000000001</v>
      </c>
      <c r="E85">
        <v>21.78</v>
      </c>
      <c r="F85">
        <v>46.98</v>
      </c>
      <c r="G85">
        <f t="shared" si="15"/>
        <v>28.649999999999995</v>
      </c>
      <c r="H85">
        <v>6.75</v>
      </c>
      <c r="I85">
        <v>56.25</v>
      </c>
      <c r="J85">
        <v>261.63</v>
      </c>
      <c r="K85">
        <f t="shared" si="16"/>
        <v>108.21</v>
      </c>
      <c r="L85" s="22">
        <f t="shared" si="17"/>
        <v>0.2085476132762939</v>
      </c>
      <c r="M85" s="22">
        <f t="shared" si="18"/>
        <v>0.78767669223831627</v>
      </c>
    </row>
    <row r="86" spans="1:13" x14ac:dyDescent="0.25">
      <c r="A86">
        <v>21101</v>
      </c>
      <c r="B86" t="s">
        <v>144</v>
      </c>
      <c r="C86">
        <v>18963.09</v>
      </c>
      <c r="D86">
        <v>53.28</v>
      </c>
      <c r="E86">
        <v>37.979999999999997</v>
      </c>
      <c r="F86">
        <v>110.34</v>
      </c>
      <c r="G86">
        <f t="shared" si="15"/>
        <v>67.2</v>
      </c>
      <c r="H86">
        <v>16.920000000000002</v>
      </c>
      <c r="I86">
        <v>1094.31</v>
      </c>
      <c r="J86">
        <v>241.47</v>
      </c>
      <c r="K86">
        <f t="shared" si="16"/>
        <v>450.90000000000003</v>
      </c>
      <c r="L86" s="22">
        <f t="shared" si="17"/>
        <v>0.35437262598025959</v>
      </c>
      <c r="M86" s="22">
        <f t="shared" si="18"/>
        <v>2.3777770395014741</v>
      </c>
    </row>
    <row r="87" spans="1:13" x14ac:dyDescent="0.25">
      <c r="A87">
        <v>21102</v>
      </c>
      <c r="B87" t="s">
        <v>145</v>
      </c>
      <c r="C87">
        <v>75065.94</v>
      </c>
      <c r="D87">
        <v>170.19</v>
      </c>
      <c r="E87">
        <v>200.97</v>
      </c>
      <c r="F87">
        <v>316.89</v>
      </c>
      <c r="G87">
        <f t="shared" si="15"/>
        <v>229.35</v>
      </c>
      <c r="H87">
        <v>82.62</v>
      </c>
      <c r="I87">
        <v>972.99</v>
      </c>
      <c r="J87">
        <v>2210.13</v>
      </c>
      <c r="K87">
        <f t="shared" si="16"/>
        <v>1088.5800000000002</v>
      </c>
      <c r="L87" s="22">
        <f t="shared" si="17"/>
        <v>0.30553137681350556</v>
      </c>
      <c r="M87" s="22">
        <f t="shared" si="18"/>
        <v>1.4501650149188834</v>
      </c>
    </row>
    <row r="88" spans="1:13" x14ac:dyDescent="0.25">
      <c r="A88">
        <v>21103</v>
      </c>
      <c r="B88" t="s">
        <v>146</v>
      </c>
      <c r="C88">
        <v>21799.26</v>
      </c>
      <c r="D88">
        <v>78.75</v>
      </c>
      <c r="E88">
        <v>29.34</v>
      </c>
      <c r="F88">
        <v>91.98</v>
      </c>
      <c r="G88">
        <f t="shared" si="15"/>
        <v>66.69</v>
      </c>
      <c r="H88">
        <v>6.1199999999999992</v>
      </c>
      <c r="I88">
        <v>210.6</v>
      </c>
      <c r="J88">
        <v>319.5</v>
      </c>
      <c r="K88">
        <f t="shared" si="16"/>
        <v>178.74</v>
      </c>
      <c r="L88" s="22">
        <f t="shared" si="17"/>
        <v>0.30592781589833784</v>
      </c>
      <c r="M88" s="22">
        <f t="shared" si="18"/>
        <v>0.81993608957368291</v>
      </c>
    </row>
    <row r="89" spans="1:13" x14ac:dyDescent="0.25">
      <c r="A89">
        <v>21104</v>
      </c>
      <c r="B89" t="s">
        <v>147</v>
      </c>
      <c r="C89">
        <v>348032.16</v>
      </c>
      <c r="D89">
        <v>1413.36</v>
      </c>
      <c r="E89">
        <v>1815.93</v>
      </c>
      <c r="F89">
        <v>2702.16</v>
      </c>
      <c r="G89">
        <f t="shared" si="15"/>
        <v>1977.1499999999999</v>
      </c>
      <c r="H89">
        <v>866.52</v>
      </c>
      <c r="I89">
        <v>4544.1899999999996</v>
      </c>
      <c r="J89">
        <v>4602.96</v>
      </c>
      <c r="K89">
        <f t="shared" si="16"/>
        <v>3337.8899999999994</v>
      </c>
      <c r="L89" s="22">
        <f t="shared" si="17"/>
        <v>0.56809405199795326</v>
      </c>
      <c r="M89" s="22">
        <f t="shared" si="18"/>
        <v>0.95907516132991844</v>
      </c>
    </row>
    <row r="90" spans="1:13" x14ac:dyDescent="0.25">
      <c r="A90">
        <v>21105</v>
      </c>
      <c r="B90" t="s">
        <v>148</v>
      </c>
      <c r="C90">
        <v>263953.26</v>
      </c>
      <c r="D90">
        <v>414.45</v>
      </c>
      <c r="E90">
        <v>841.59</v>
      </c>
      <c r="F90">
        <v>948.87</v>
      </c>
      <c r="G90">
        <f t="shared" si="15"/>
        <v>734.96999999999991</v>
      </c>
      <c r="H90">
        <v>233.82</v>
      </c>
      <c r="I90">
        <v>4739.04</v>
      </c>
      <c r="J90">
        <v>2920.14</v>
      </c>
      <c r="K90">
        <f t="shared" si="16"/>
        <v>2631</v>
      </c>
      <c r="L90" s="22">
        <f t="shared" si="17"/>
        <v>0.27844702505284452</v>
      </c>
      <c r="M90" s="22">
        <f t="shared" si="18"/>
        <v>0.99676738222517125</v>
      </c>
    </row>
    <row r="91" spans="1:13" x14ac:dyDescent="0.25">
      <c r="A91">
        <v>21201</v>
      </c>
      <c r="B91" t="s">
        <v>149</v>
      </c>
      <c r="C91">
        <v>0</v>
      </c>
      <c r="D91">
        <v>0</v>
      </c>
      <c r="E91">
        <v>0</v>
      </c>
      <c r="F91">
        <v>0</v>
      </c>
      <c r="G91">
        <f t="shared" si="15"/>
        <v>0</v>
      </c>
      <c r="H91">
        <v>0</v>
      </c>
      <c r="I91">
        <v>0</v>
      </c>
      <c r="J91">
        <v>0</v>
      </c>
      <c r="K91">
        <f t="shared" si="16"/>
        <v>0</v>
      </c>
      <c r="L91" s="22">
        <f t="shared" si="17"/>
        <v>0</v>
      </c>
      <c r="M91" s="22">
        <f t="shared" si="18"/>
        <v>0</v>
      </c>
    </row>
    <row r="92" spans="1:13" x14ac:dyDescent="0.25">
      <c r="A92">
        <v>21202</v>
      </c>
      <c r="B92" t="s">
        <v>150</v>
      </c>
      <c r="C92">
        <v>0</v>
      </c>
      <c r="D92">
        <v>0</v>
      </c>
      <c r="E92">
        <v>0</v>
      </c>
      <c r="F92">
        <v>0</v>
      </c>
      <c r="G92">
        <f t="shared" si="15"/>
        <v>0</v>
      </c>
      <c r="H92">
        <v>0</v>
      </c>
      <c r="I92">
        <v>0</v>
      </c>
      <c r="J92">
        <v>0</v>
      </c>
      <c r="K92">
        <f t="shared" si="16"/>
        <v>0</v>
      </c>
      <c r="L92" s="22">
        <f t="shared" si="17"/>
        <v>0</v>
      </c>
      <c r="M92" s="22">
        <f t="shared" si="18"/>
        <v>0</v>
      </c>
    </row>
    <row r="93" spans="1:13" x14ac:dyDescent="0.25">
      <c r="A93">
        <v>21203</v>
      </c>
      <c r="B93" t="s">
        <v>151</v>
      </c>
      <c r="C93">
        <v>0</v>
      </c>
      <c r="D93">
        <v>0</v>
      </c>
      <c r="E93">
        <v>0</v>
      </c>
      <c r="F93">
        <v>0</v>
      </c>
      <c r="G93">
        <f t="shared" si="15"/>
        <v>0</v>
      </c>
      <c r="H93">
        <v>0</v>
      </c>
      <c r="I93">
        <v>0</v>
      </c>
      <c r="J93">
        <v>0</v>
      </c>
      <c r="K93">
        <f t="shared" si="16"/>
        <v>0</v>
      </c>
      <c r="L93" s="22">
        <f t="shared" si="17"/>
        <v>0</v>
      </c>
      <c r="M93" s="22">
        <f t="shared" si="18"/>
        <v>0</v>
      </c>
    </row>
    <row r="94" spans="1:13" x14ac:dyDescent="0.25">
      <c r="A94">
        <v>21204</v>
      </c>
      <c r="B94" t="s">
        <v>152</v>
      </c>
      <c r="C94">
        <v>0</v>
      </c>
      <c r="D94">
        <v>0</v>
      </c>
      <c r="E94">
        <v>0</v>
      </c>
      <c r="F94">
        <v>0</v>
      </c>
      <c r="G94">
        <f t="shared" si="15"/>
        <v>0</v>
      </c>
      <c r="H94">
        <v>0</v>
      </c>
      <c r="I94">
        <v>0</v>
      </c>
      <c r="J94">
        <v>0</v>
      </c>
      <c r="K94">
        <f t="shared" si="16"/>
        <v>0</v>
      </c>
      <c r="L94" s="22">
        <f t="shared" si="17"/>
        <v>0</v>
      </c>
      <c r="M94" s="22">
        <f t="shared" si="18"/>
        <v>0</v>
      </c>
    </row>
    <row r="95" spans="1:13" x14ac:dyDescent="0.25">
      <c r="A95">
        <v>21301</v>
      </c>
      <c r="B95" t="s">
        <v>153</v>
      </c>
      <c r="C95">
        <v>0</v>
      </c>
      <c r="D95">
        <v>0</v>
      </c>
      <c r="E95">
        <v>0</v>
      </c>
      <c r="F95">
        <v>0</v>
      </c>
      <c r="G95">
        <f t="shared" si="15"/>
        <v>0</v>
      </c>
      <c r="H95">
        <v>0</v>
      </c>
      <c r="I95">
        <v>0</v>
      </c>
      <c r="J95">
        <v>0</v>
      </c>
      <c r="K95">
        <f t="shared" si="16"/>
        <v>0</v>
      </c>
      <c r="L95" s="22">
        <f t="shared" si="17"/>
        <v>0</v>
      </c>
      <c r="M95" s="22">
        <f t="shared" si="18"/>
        <v>0</v>
      </c>
    </row>
    <row r="96" spans="1:13" x14ac:dyDescent="0.25">
      <c r="A96">
        <v>21302</v>
      </c>
      <c r="B96" t="s">
        <v>154</v>
      </c>
      <c r="C96">
        <v>0</v>
      </c>
      <c r="D96">
        <v>0</v>
      </c>
      <c r="E96">
        <v>0</v>
      </c>
      <c r="F96">
        <v>0</v>
      </c>
      <c r="G96">
        <f t="shared" si="15"/>
        <v>0</v>
      </c>
      <c r="H96">
        <v>0</v>
      </c>
      <c r="I96">
        <v>0</v>
      </c>
      <c r="J96">
        <v>0</v>
      </c>
      <c r="K96">
        <f t="shared" si="16"/>
        <v>0</v>
      </c>
      <c r="L96" s="22">
        <f t="shared" si="17"/>
        <v>0</v>
      </c>
      <c r="M96" s="22">
        <f t="shared" si="18"/>
        <v>0</v>
      </c>
    </row>
    <row r="97" spans="1:13" x14ac:dyDescent="0.25">
      <c r="A97">
        <v>21303</v>
      </c>
      <c r="B97" t="s">
        <v>155</v>
      </c>
      <c r="C97">
        <v>0</v>
      </c>
      <c r="D97">
        <v>0</v>
      </c>
      <c r="E97">
        <v>0</v>
      </c>
      <c r="F97">
        <v>0</v>
      </c>
      <c r="G97">
        <f t="shared" si="15"/>
        <v>0</v>
      </c>
      <c r="H97">
        <v>0</v>
      </c>
      <c r="I97">
        <v>0</v>
      </c>
      <c r="J97">
        <v>0</v>
      </c>
      <c r="K97">
        <f t="shared" si="16"/>
        <v>0</v>
      </c>
      <c r="L97" s="22">
        <f t="shared" si="17"/>
        <v>0</v>
      </c>
      <c r="M97" s="22">
        <f t="shared" si="18"/>
        <v>0</v>
      </c>
    </row>
    <row r="98" spans="1:13" x14ac:dyDescent="0.25">
      <c r="A98">
        <v>21304</v>
      </c>
      <c r="B98" t="s">
        <v>156</v>
      </c>
      <c r="C98">
        <v>0</v>
      </c>
      <c r="D98">
        <v>0</v>
      </c>
      <c r="E98">
        <v>0</v>
      </c>
      <c r="F98">
        <v>0</v>
      </c>
      <c r="G98">
        <f t="shared" si="15"/>
        <v>0</v>
      </c>
      <c r="H98">
        <v>0</v>
      </c>
      <c r="I98">
        <v>0</v>
      </c>
      <c r="J98">
        <v>0</v>
      </c>
      <c r="K98">
        <f t="shared" si="16"/>
        <v>0</v>
      </c>
      <c r="L98" s="22">
        <f t="shared" si="17"/>
        <v>0</v>
      </c>
      <c r="M98" s="22">
        <f t="shared" si="18"/>
        <v>0</v>
      </c>
    </row>
    <row r="99" spans="1:13" x14ac:dyDescent="0.25">
      <c r="A99">
        <v>21305</v>
      </c>
      <c r="B99" t="s">
        <v>157</v>
      </c>
      <c r="C99">
        <v>0</v>
      </c>
      <c r="D99">
        <v>0</v>
      </c>
      <c r="E99">
        <v>0</v>
      </c>
      <c r="F99">
        <v>0</v>
      </c>
      <c r="G99">
        <f t="shared" si="15"/>
        <v>0</v>
      </c>
      <c r="H99">
        <v>0</v>
      </c>
      <c r="I99">
        <v>0</v>
      </c>
      <c r="J99">
        <v>0</v>
      </c>
      <c r="K99">
        <f t="shared" si="16"/>
        <v>0</v>
      </c>
      <c r="L99" s="22">
        <f t="shared" si="17"/>
        <v>0</v>
      </c>
      <c r="M99" s="22">
        <f t="shared" si="18"/>
        <v>0</v>
      </c>
    </row>
    <row r="100" spans="1:13" x14ac:dyDescent="0.25">
      <c r="A100">
        <v>21306</v>
      </c>
      <c r="B100" t="s">
        <v>158</v>
      </c>
      <c r="C100">
        <v>0</v>
      </c>
      <c r="D100">
        <v>0</v>
      </c>
      <c r="E100">
        <v>0</v>
      </c>
      <c r="F100">
        <v>0</v>
      </c>
      <c r="G100">
        <f t="shared" si="15"/>
        <v>0</v>
      </c>
      <c r="H100">
        <v>0</v>
      </c>
      <c r="I100">
        <v>0</v>
      </c>
      <c r="J100">
        <v>0</v>
      </c>
      <c r="K100">
        <f t="shared" si="16"/>
        <v>0</v>
      </c>
      <c r="L100" s="22">
        <f t="shared" si="17"/>
        <v>0</v>
      </c>
      <c r="M100" s="22">
        <f t="shared" si="18"/>
        <v>0</v>
      </c>
    </row>
    <row r="101" spans="1:13" x14ac:dyDescent="0.25">
      <c r="A101">
        <v>21307</v>
      </c>
      <c r="B101" t="s">
        <v>159</v>
      </c>
      <c r="C101">
        <v>0</v>
      </c>
      <c r="D101">
        <v>0</v>
      </c>
      <c r="E101">
        <v>0</v>
      </c>
      <c r="F101">
        <v>0</v>
      </c>
      <c r="G101">
        <f t="shared" si="15"/>
        <v>0</v>
      </c>
      <c r="H101">
        <v>0</v>
      </c>
      <c r="I101">
        <v>0</v>
      </c>
      <c r="J101">
        <v>0</v>
      </c>
      <c r="K101">
        <f t="shared" si="16"/>
        <v>0</v>
      </c>
      <c r="L101" s="22">
        <f t="shared" si="17"/>
        <v>0</v>
      </c>
      <c r="M101" s="22">
        <f t="shared" si="18"/>
        <v>0</v>
      </c>
    </row>
    <row r="102" spans="1:13" x14ac:dyDescent="0.25">
      <c r="A102">
        <v>21401</v>
      </c>
      <c r="B102" t="s">
        <v>160</v>
      </c>
      <c r="C102">
        <v>97249.23000000001</v>
      </c>
      <c r="D102">
        <v>118.53</v>
      </c>
      <c r="E102">
        <v>102.33</v>
      </c>
      <c r="F102">
        <v>192.6</v>
      </c>
      <c r="G102">
        <f t="shared" si="15"/>
        <v>137.82000000000002</v>
      </c>
      <c r="H102">
        <v>155.16</v>
      </c>
      <c r="I102">
        <v>1976.67</v>
      </c>
      <c r="J102">
        <v>381.96</v>
      </c>
      <c r="K102">
        <f t="shared" si="16"/>
        <v>837.93</v>
      </c>
      <c r="L102" s="22">
        <f t="shared" si="17"/>
        <v>0.14171834573908709</v>
      </c>
      <c r="M102" s="22">
        <f t="shared" si="18"/>
        <v>0.86163150083553353</v>
      </c>
    </row>
    <row r="103" spans="1:13" x14ac:dyDescent="0.25">
      <c r="A103">
        <v>21402</v>
      </c>
      <c r="B103" t="s">
        <v>161</v>
      </c>
      <c r="C103">
        <v>59270.67</v>
      </c>
      <c r="D103">
        <v>78.209999999999994</v>
      </c>
      <c r="E103">
        <v>41.58</v>
      </c>
      <c r="F103">
        <v>149.85</v>
      </c>
      <c r="G103">
        <f t="shared" si="15"/>
        <v>89.88</v>
      </c>
      <c r="H103">
        <v>46.53</v>
      </c>
      <c r="I103">
        <v>1142.19</v>
      </c>
      <c r="J103">
        <v>155.79</v>
      </c>
      <c r="K103">
        <f t="shared" si="16"/>
        <v>448.17</v>
      </c>
      <c r="L103" s="22">
        <f t="shared" si="17"/>
        <v>0.15164330013478841</v>
      </c>
      <c r="M103" s="22">
        <f t="shared" si="18"/>
        <v>0.7561412752715635</v>
      </c>
    </row>
    <row r="104" spans="1:13" x14ac:dyDescent="0.25">
      <c r="A104">
        <v>21501</v>
      </c>
      <c r="B104" t="s">
        <v>162</v>
      </c>
      <c r="C104">
        <v>2770533.45</v>
      </c>
      <c r="D104">
        <v>7678.89</v>
      </c>
      <c r="E104">
        <v>5774.9400000000014</v>
      </c>
      <c r="F104">
        <v>8716.23</v>
      </c>
      <c r="G104">
        <f t="shared" si="15"/>
        <v>7390.02</v>
      </c>
      <c r="H104">
        <v>2827.44</v>
      </c>
      <c r="I104">
        <v>5534.37</v>
      </c>
      <c r="J104">
        <v>16877.97</v>
      </c>
      <c r="K104">
        <f t="shared" si="16"/>
        <v>8413.26</v>
      </c>
      <c r="L104" s="22">
        <f t="shared" si="17"/>
        <v>0.26673635721669414</v>
      </c>
      <c r="M104" s="22">
        <f t="shared" si="18"/>
        <v>0.30366931682416609</v>
      </c>
    </row>
    <row r="105" spans="1:13" x14ac:dyDescent="0.25">
      <c r="A105">
        <v>21502</v>
      </c>
      <c r="B105" t="s">
        <v>163</v>
      </c>
      <c r="C105">
        <v>264913.2</v>
      </c>
      <c r="D105">
        <v>2191.5</v>
      </c>
      <c r="E105">
        <v>1751.31</v>
      </c>
      <c r="F105">
        <v>3904.83</v>
      </c>
      <c r="G105">
        <f t="shared" si="15"/>
        <v>2615.8799999999997</v>
      </c>
      <c r="H105">
        <v>739.98</v>
      </c>
      <c r="I105">
        <v>4072.05</v>
      </c>
      <c r="J105">
        <v>1196.3699999999999</v>
      </c>
      <c r="K105">
        <f t="shared" si="16"/>
        <v>2002.8000000000002</v>
      </c>
      <c r="L105" s="22">
        <f t="shared" si="17"/>
        <v>0.98744796408785951</v>
      </c>
      <c r="M105" s="22">
        <f t="shared" si="18"/>
        <v>0.756021217515775</v>
      </c>
    </row>
    <row r="106" spans="1:13" x14ac:dyDescent="0.25">
      <c r="A106">
        <v>21601</v>
      </c>
      <c r="B106" t="s">
        <v>164</v>
      </c>
      <c r="C106">
        <v>140944.04999999999</v>
      </c>
      <c r="D106">
        <v>387.72</v>
      </c>
      <c r="E106">
        <v>390.69</v>
      </c>
      <c r="F106">
        <v>562.86</v>
      </c>
      <c r="G106">
        <f t="shared" si="15"/>
        <v>447.09</v>
      </c>
      <c r="H106">
        <v>75.87</v>
      </c>
      <c r="I106">
        <v>162</v>
      </c>
      <c r="J106">
        <v>969.39</v>
      </c>
      <c r="K106">
        <f t="shared" si="16"/>
        <v>402.42</v>
      </c>
      <c r="L106" s="22">
        <f t="shared" si="17"/>
        <v>0.3172109783988753</v>
      </c>
      <c r="M106" s="22">
        <f t="shared" si="18"/>
        <v>0.28551755111336735</v>
      </c>
    </row>
    <row r="107" spans="1:13" x14ac:dyDescent="0.25">
      <c r="A107">
        <v>21602</v>
      </c>
      <c r="B107" t="s">
        <v>165</v>
      </c>
      <c r="C107">
        <v>8584.74</v>
      </c>
      <c r="D107">
        <v>83.7</v>
      </c>
      <c r="E107">
        <v>97.74</v>
      </c>
      <c r="F107">
        <v>57.6</v>
      </c>
      <c r="G107">
        <f t="shared" si="15"/>
        <v>79.679999999999993</v>
      </c>
      <c r="H107">
        <v>14.94</v>
      </c>
      <c r="I107">
        <v>15.21</v>
      </c>
      <c r="J107">
        <v>15.48</v>
      </c>
      <c r="K107">
        <f t="shared" si="16"/>
        <v>15.209999999999999</v>
      </c>
      <c r="L107" s="22">
        <f t="shared" si="17"/>
        <v>0.92815856974119182</v>
      </c>
      <c r="M107" s="22">
        <f t="shared" si="18"/>
        <v>0.17717484746189166</v>
      </c>
    </row>
    <row r="108" spans="1:13" x14ac:dyDescent="0.25">
      <c r="A108">
        <v>21701</v>
      </c>
      <c r="B108" t="s">
        <v>166</v>
      </c>
      <c r="C108">
        <v>0</v>
      </c>
      <c r="D108">
        <v>0</v>
      </c>
      <c r="E108">
        <v>0</v>
      </c>
      <c r="F108">
        <v>0</v>
      </c>
      <c r="G108">
        <f t="shared" si="15"/>
        <v>0</v>
      </c>
      <c r="H108">
        <v>0</v>
      </c>
      <c r="I108">
        <v>0</v>
      </c>
      <c r="J108">
        <v>0</v>
      </c>
      <c r="K108">
        <f t="shared" si="16"/>
        <v>0</v>
      </c>
      <c r="L108" s="22">
        <f t="shared" si="17"/>
        <v>0</v>
      </c>
      <c r="M108" s="22">
        <f t="shared" si="18"/>
        <v>0</v>
      </c>
    </row>
    <row r="109" spans="1:13" x14ac:dyDescent="0.25">
      <c r="A109">
        <v>21702</v>
      </c>
      <c r="B109" t="s">
        <v>167</v>
      </c>
      <c r="C109">
        <v>0</v>
      </c>
      <c r="D109">
        <v>0</v>
      </c>
      <c r="E109">
        <v>0</v>
      </c>
      <c r="F109">
        <v>0</v>
      </c>
      <c r="G109">
        <f t="shared" si="15"/>
        <v>0</v>
      </c>
      <c r="H109">
        <v>0</v>
      </c>
      <c r="I109">
        <v>0</v>
      </c>
      <c r="J109">
        <v>0</v>
      </c>
      <c r="K109">
        <f t="shared" si="16"/>
        <v>0</v>
      </c>
      <c r="L109" s="22">
        <f t="shared" si="17"/>
        <v>0</v>
      </c>
      <c r="M109" s="22">
        <f t="shared" si="18"/>
        <v>0</v>
      </c>
    </row>
    <row r="110" spans="1:13" x14ac:dyDescent="0.25">
      <c r="A110">
        <v>21703</v>
      </c>
      <c r="B110" t="s">
        <v>168</v>
      </c>
      <c r="C110">
        <v>0</v>
      </c>
      <c r="D110">
        <v>0</v>
      </c>
      <c r="E110">
        <v>0</v>
      </c>
      <c r="F110">
        <v>0</v>
      </c>
      <c r="G110">
        <f t="shared" si="15"/>
        <v>0</v>
      </c>
      <c r="H110">
        <v>0</v>
      </c>
      <c r="I110">
        <v>0</v>
      </c>
      <c r="J110">
        <v>0</v>
      </c>
      <c r="K110">
        <f t="shared" si="16"/>
        <v>0</v>
      </c>
      <c r="L110" s="22">
        <f t="shared" si="17"/>
        <v>0</v>
      </c>
      <c r="M110" s="22">
        <f t="shared" si="18"/>
        <v>0</v>
      </c>
    </row>
    <row r="111" spans="1:13" x14ac:dyDescent="0.25">
      <c r="A111">
        <v>21801</v>
      </c>
      <c r="B111" t="s">
        <v>169</v>
      </c>
      <c r="C111">
        <v>0</v>
      </c>
      <c r="D111">
        <v>0</v>
      </c>
      <c r="E111">
        <v>0</v>
      </c>
      <c r="F111">
        <v>0</v>
      </c>
      <c r="G111">
        <f t="shared" si="15"/>
        <v>0</v>
      </c>
      <c r="H111">
        <v>0</v>
      </c>
      <c r="I111">
        <v>0</v>
      </c>
      <c r="J111">
        <v>0</v>
      </c>
      <c r="K111">
        <f t="shared" si="16"/>
        <v>0</v>
      </c>
      <c r="L111" s="22">
        <f t="shared" si="17"/>
        <v>0</v>
      </c>
      <c r="M111" s="22">
        <f t="shared" si="18"/>
        <v>0</v>
      </c>
    </row>
    <row r="112" spans="1:13" x14ac:dyDescent="0.25">
      <c r="A112">
        <v>21802</v>
      </c>
      <c r="B112" t="s">
        <v>170</v>
      </c>
      <c r="C112">
        <v>0</v>
      </c>
      <c r="D112">
        <v>0</v>
      </c>
      <c r="E112">
        <v>0</v>
      </c>
      <c r="F112">
        <v>0</v>
      </c>
      <c r="G112">
        <f t="shared" si="15"/>
        <v>0</v>
      </c>
      <c r="H112">
        <v>0</v>
      </c>
      <c r="I112">
        <v>0</v>
      </c>
      <c r="J112">
        <v>0</v>
      </c>
      <c r="K112">
        <f t="shared" si="16"/>
        <v>0</v>
      </c>
      <c r="L112" s="22">
        <f t="shared" si="17"/>
        <v>0</v>
      </c>
      <c r="M112" s="22">
        <f t="shared" si="18"/>
        <v>0</v>
      </c>
    </row>
    <row r="113" spans="1:13" x14ac:dyDescent="0.25">
      <c r="A113">
        <v>21803</v>
      </c>
      <c r="B113" t="s">
        <v>171</v>
      </c>
      <c r="C113">
        <v>0</v>
      </c>
      <c r="D113">
        <v>0</v>
      </c>
      <c r="E113">
        <v>0</v>
      </c>
      <c r="F113">
        <v>0</v>
      </c>
      <c r="G113">
        <f t="shared" si="15"/>
        <v>0</v>
      </c>
      <c r="H113">
        <v>0</v>
      </c>
      <c r="I113">
        <v>0</v>
      </c>
      <c r="J113">
        <v>0</v>
      </c>
      <c r="K113">
        <f t="shared" si="16"/>
        <v>0</v>
      </c>
      <c r="L113" s="22">
        <f t="shared" si="17"/>
        <v>0</v>
      </c>
      <c r="M113" s="22">
        <f t="shared" si="18"/>
        <v>0</v>
      </c>
    </row>
    <row r="114" spans="1:13" x14ac:dyDescent="0.25">
      <c r="A114">
        <v>21901</v>
      </c>
      <c r="B114" t="s">
        <v>172</v>
      </c>
      <c r="C114">
        <v>0</v>
      </c>
      <c r="D114">
        <v>0</v>
      </c>
      <c r="E114">
        <v>0</v>
      </c>
      <c r="F114">
        <v>0</v>
      </c>
      <c r="G114">
        <f t="shared" si="15"/>
        <v>0</v>
      </c>
      <c r="H114">
        <v>0</v>
      </c>
      <c r="I114">
        <v>0</v>
      </c>
      <c r="J114">
        <v>0</v>
      </c>
      <c r="K114">
        <f t="shared" si="16"/>
        <v>0</v>
      </c>
      <c r="L114" s="22">
        <f t="shared" si="17"/>
        <v>0</v>
      </c>
      <c r="M114" s="22">
        <f t="shared" si="18"/>
        <v>0</v>
      </c>
    </row>
    <row r="115" spans="1:13" x14ac:dyDescent="0.25">
      <c r="A115">
        <v>21902</v>
      </c>
      <c r="B115" t="s">
        <v>173</v>
      </c>
      <c r="C115">
        <v>0</v>
      </c>
      <c r="D115">
        <v>0</v>
      </c>
      <c r="E115">
        <v>0</v>
      </c>
      <c r="F115">
        <v>0</v>
      </c>
      <c r="G115">
        <f t="shared" si="15"/>
        <v>0</v>
      </c>
      <c r="H115">
        <v>0</v>
      </c>
      <c r="I115">
        <v>0</v>
      </c>
      <c r="J115">
        <v>0</v>
      </c>
      <c r="K115">
        <f t="shared" si="16"/>
        <v>0</v>
      </c>
      <c r="L115" s="22">
        <f t="shared" si="17"/>
        <v>0</v>
      </c>
      <c r="M115" s="22">
        <f t="shared" si="18"/>
        <v>0</v>
      </c>
    </row>
    <row r="116" spans="1:13" x14ac:dyDescent="0.25">
      <c r="A116">
        <v>22001</v>
      </c>
      <c r="B116" t="s">
        <v>174</v>
      </c>
      <c r="C116">
        <v>141188.94</v>
      </c>
      <c r="D116">
        <v>387</v>
      </c>
      <c r="E116">
        <v>386.46</v>
      </c>
      <c r="F116">
        <v>656.91</v>
      </c>
      <c r="G116">
        <f t="shared" si="15"/>
        <v>476.78999999999996</v>
      </c>
      <c r="H116">
        <v>59.22</v>
      </c>
      <c r="I116">
        <v>6429.42</v>
      </c>
      <c r="J116">
        <v>780.12</v>
      </c>
      <c r="K116">
        <f t="shared" si="16"/>
        <v>2422.92</v>
      </c>
      <c r="L116" s="22">
        <f t="shared" si="17"/>
        <v>0.33769642296344171</v>
      </c>
      <c r="M116" s="22">
        <f t="shared" si="18"/>
        <v>1.7160834269313161</v>
      </c>
    </row>
    <row r="117" spans="1:13" x14ac:dyDescent="0.25">
      <c r="A117">
        <v>22002</v>
      </c>
      <c r="B117" t="s">
        <v>175</v>
      </c>
      <c r="C117">
        <v>94250.25</v>
      </c>
      <c r="D117">
        <v>623.42999999999995</v>
      </c>
      <c r="E117">
        <v>882.72</v>
      </c>
      <c r="F117">
        <v>1000.98</v>
      </c>
      <c r="G117">
        <f t="shared" si="15"/>
        <v>835.71</v>
      </c>
      <c r="H117">
        <v>383.13</v>
      </c>
      <c r="I117">
        <v>2332.62</v>
      </c>
      <c r="J117">
        <v>2453.94</v>
      </c>
      <c r="K117">
        <f t="shared" si="16"/>
        <v>1723.2300000000002</v>
      </c>
      <c r="L117" s="22">
        <f t="shared" si="17"/>
        <v>0.88669260824241847</v>
      </c>
      <c r="M117" s="22">
        <f t="shared" si="18"/>
        <v>1.8283558929551913</v>
      </c>
    </row>
    <row r="118" spans="1:13" x14ac:dyDescent="0.25">
      <c r="A118">
        <v>30101</v>
      </c>
      <c r="B118" t="s">
        <v>176</v>
      </c>
      <c r="C118">
        <v>1554.48</v>
      </c>
      <c r="D118">
        <v>11.07</v>
      </c>
      <c r="E118">
        <v>15.75</v>
      </c>
      <c r="F118">
        <v>10.26</v>
      </c>
      <c r="G118">
        <f t="shared" si="15"/>
        <v>12.36</v>
      </c>
      <c r="H118">
        <v>76.319999999999993</v>
      </c>
      <c r="I118">
        <v>99.990000000000009</v>
      </c>
      <c r="J118">
        <v>7.3800000000000008</v>
      </c>
      <c r="K118">
        <f t="shared" si="16"/>
        <v>61.23</v>
      </c>
      <c r="L118" s="22">
        <f t="shared" si="17"/>
        <v>0.79512119808553339</v>
      </c>
      <c r="M118" s="22">
        <f t="shared" si="18"/>
        <v>3.9389377798363432</v>
      </c>
    </row>
    <row r="119" spans="1:13" x14ac:dyDescent="0.25">
      <c r="A119">
        <v>30201</v>
      </c>
      <c r="B119" t="s">
        <v>177</v>
      </c>
      <c r="C119">
        <v>64407.96</v>
      </c>
      <c r="D119">
        <v>65.61</v>
      </c>
      <c r="E119">
        <v>54.9</v>
      </c>
      <c r="F119">
        <v>726.3</v>
      </c>
      <c r="G119">
        <f t="shared" si="15"/>
        <v>282.27</v>
      </c>
      <c r="H119">
        <v>1.8</v>
      </c>
      <c r="I119">
        <v>46.71</v>
      </c>
      <c r="J119">
        <v>14.94</v>
      </c>
      <c r="K119">
        <f t="shared" si="16"/>
        <v>21.15</v>
      </c>
      <c r="L119" s="22">
        <f t="shared" si="17"/>
        <v>0.4382532842213912</v>
      </c>
      <c r="M119" s="22">
        <f t="shared" si="18"/>
        <v>3.2837556103313938E-2</v>
      </c>
    </row>
    <row r="120" spans="1:13" x14ac:dyDescent="0.25">
      <c r="A120">
        <v>30202</v>
      </c>
      <c r="B120" t="s">
        <v>178</v>
      </c>
      <c r="C120">
        <v>73071.45</v>
      </c>
      <c r="D120">
        <v>106.2</v>
      </c>
      <c r="E120">
        <v>161.28</v>
      </c>
      <c r="F120">
        <v>1041.3</v>
      </c>
      <c r="G120">
        <f t="shared" si="15"/>
        <v>436.26</v>
      </c>
      <c r="H120">
        <v>43.83</v>
      </c>
      <c r="I120">
        <v>282.24</v>
      </c>
      <c r="J120">
        <v>142.74</v>
      </c>
      <c r="K120">
        <f t="shared" si="16"/>
        <v>156.27000000000001</v>
      </c>
      <c r="L120" s="22">
        <f t="shared" si="17"/>
        <v>0.59703208298179389</v>
      </c>
      <c r="M120" s="22">
        <f t="shared" si="18"/>
        <v>0.21385917482135636</v>
      </c>
    </row>
    <row r="121" spans="1:13" x14ac:dyDescent="0.25">
      <c r="A121">
        <v>30203</v>
      </c>
      <c r="B121" t="s">
        <v>179</v>
      </c>
      <c r="C121">
        <v>13046.13</v>
      </c>
      <c r="D121">
        <v>5.49</v>
      </c>
      <c r="E121">
        <v>11.07</v>
      </c>
      <c r="F121">
        <v>147.96</v>
      </c>
      <c r="G121">
        <f t="shared" si="15"/>
        <v>54.84</v>
      </c>
      <c r="H121">
        <v>27.63</v>
      </c>
      <c r="I121">
        <v>39.15</v>
      </c>
      <c r="J121">
        <v>18.09</v>
      </c>
      <c r="K121">
        <f t="shared" si="16"/>
        <v>28.290000000000003</v>
      </c>
      <c r="L121" s="22">
        <f t="shared" si="17"/>
        <v>0.42035454192162741</v>
      </c>
      <c r="M121" s="22">
        <f t="shared" si="18"/>
        <v>0.2168459152254347</v>
      </c>
    </row>
    <row r="122" spans="1:13" x14ac:dyDescent="0.25">
      <c r="A122">
        <v>30301</v>
      </c>
      <c r="B122" t="s">
        <v>180</v>
      </c>
      <c r="C122">
        <v>22230.99</v>
      </c>
      <c r="D122">
        <v>110.25</v>
      </c>
      <c r="E122">
        <v>71.099999999999994</v>
      </c>
      <c r="F122">
        <v>247.68</v>
      </c>
      <c r="G122">
        <f t="shared" si="15"/>
        <v>143.01</v>
      </c>
      <c r="H122">
        <v>16.829999999999998</v>
      </c>
      <c r="I122">
        <v>111.15</v>
      </c>
      <c r="J122">
        <v>461.07</v>
      </c>
      <c r="K122">
        <f t="shared" si="16"/>
        <v>196.35</v>
      </c>
      <c r="L122" s="22">
        <f t="shared" si="17"/>
        <v>0.64329118946119801</v>
      </c>
      <c r="M122" s="22">
        <f t="shared" si="18"/>
        <v>0.88322652297536008</v>
      </c>
    </row>
    <row r="123" spans="1:13" x14ac:dyDescent="0.25">
      <c r="A123">
        <v>30302</v>
      </c>
      <c r="B123" t="s">
        <v>181</v>
      </c>
      <c r="C123">
        <v>7965.4499999999989</v>
      </c>
      <c r="D123">
        <v>51.75</v>
      </c>
      <c r="E123">
        <v>18.63</v>
      </c>
      <c r="F123">
        <v>98.46</v>
      </c>
      <c r="G123">
        <f t="shared" si="15"/>
        <v>56.279999999999994</v>
      </c>
      <c r="H123">
        <v>3.15</v>
      </c>
      <c r="I123">
        <v>22.5</v>
      </c>
      <c r="J123">
        <v>153.36000000000001</v>
      </c>
      <c r="K123">
        <f t="shared" si="16"/>
        <v>59.670000000000009</v>
      </c>
      <c r="L123" s="22">
        <f t="shared" si="17"/>
        <v>0.70655141894054951</v>
      </c>
      <c r="M123" s="22">
        <f t="shared" si="18"/>
        <v>0.74911021976159564</v>
      </c>
    </row>
    <row r="124" spans="1:13" x14ac:dyDescent="0.25">
      <c r="A124">
        <v>30303</v>
      </c>
      <c r="B124" t="s">
        <v>182</v>
      </c>
      <c r="C124">
        <v>527519.88</v>
      </c>
      <c r="D124">
        <v>661.86</v>
      </c>
      <c r="E124">
        <v>600.66</v>
      </c>
      <c r="F124">
        <v>970.38</v>
      </c>
      <c r="G124">
        <f t="shared" si="15"/>
        <v>744.30000000000007</v>
      </c>
      <c r="H124">
        <v>609.57000000000005</v>
      </c>
      <c r="I124">
        <v>2108.0700000000002</v>
      </c>
      <c r="J124">
        <v>2199.33</v>
      </c>
      <c r="K124">
        <f t="shared" si="16"/>
        <v>1638.99</v>
      </c>
      <c r="L124" s="22">
        <f t="shared" si="17"/>
        <v>0.14109420862015665</v>
      </c>
      <c r="M124" s="22">
        <f t="shared" si="18"/>
        <v>0.31069729542704627</v>
      </c>
    </row>
    <row r="125" spans="1:13" x14ac:dyDescent="0.25">
      <c r="A125">
        <v>30401</v>
      </c>
      <c r="B125" t="s">
        <v>183</v>
      </c>
      <c r="C125">
        <v>496.98</v>
      </c>
      <c r="D125">
        <v>0.81</v>
      </c>
      <c r="E125">
        <v>0.72</v>
      </c>
      <c r="F125">
        <v>11.52</v>
      </c>
      <c r="G125">
        <f t="shared" si="15"/>
        <v>4.3499999999999996</v>
      </c>
      <c r="H125">
        <v>0.9</v>
      </c>
      <c r="I125">
        <v>3.33</v>
      </c>
      <c r="J125">
        <v>0.09</v>
      </c>
      <c r="K125">
        <f t="shared" si="16"/>
        <v>1.4400000000000002</v>
      </c>
      <c r="L125" s="22">
        <f t="shared" si="17"/>
        <v>0.87528673186043693</v>
      </c>
      <c r="M125" s="22">
        <f t="shared" si="18"/>
        <v>0.28975009054690332</v>
      </c>
    </row>
    <row r="126" spans="1:13" x14ac:dyDescent="0.25">
      <c r="A126">
        <v>30402</v>
      </c>
      <c r="B126" t="s">
        <v>184</v>
      </c>
      <c r="C126">
        <v>1961.55</v>
      </c>
      <c r="D126">
        <v>4.9499999999999993</v>
      </c>
      <c r="E126">
        <v>3.6</v>
      </c>
      <c r="F126">
        <v>46.44</v>
      </c>
      <c r="G126">
        <f t="shared" si="15"/>
        <v>18.329999999999998</v>
      </c>
      <c r="H126">
        <v>0.63</v>
      </c>
      <c r="I126">
        <v>13.59</v>
      </c>
      <c r="J126">
        <v>0.36</v>
      </c>
      <c r="K126">
        <f t="shared" si="16"/>
        <v>4.8600000000000003</v>
      </c>
      <c r="L126" s="22">
        <f t="shared" si="17"/>
        <v>0.93446509138181522</v>
      </c>
      <c r="M126" s="22">
        <f t="shared" si="18"/>
        <v>0.24776324845147973</v>
      </c>
    </row>
    <row r="127" spans="1:13" x14ac:dyDescent="0.25">
      <c r="A127">
        <v>30403</v>
      </c>
      <c r="B127" t="s">
        <v>185</v>
      </c>
      <c r="C127">
        <v>0</v>
      </c>
      <c r="D127">
        <v>0</v>
      </c>
      <c r="E127">
        <v>0</v>
      </c>
      <c r="F127">
        <v>0</v>
      </c>
      <c r="G127">
        <f t="shared" si="15"/>
        <v>0</v>
      </c>
      <c r="H127">
        <v>0</v>
      </c>
      <c r="I127">
        <v>0</v>
      </c>
      <c r="J127">
        <v>0</v>
      </c>
      <c r="K127">
        <f t="shared" si="16"/>
        <v>0</v>
      </c>
      <c r="L127" s="22">
        <f t="shared" si="17"/>
        <v>0</v>
      </c>
      <c r="M127" s="22">
        <f t="shared" si="18"/>
        <v>0</v>
      </c>
    </row>
    <row r="128" spans="1:13" x14ac:dyDescent="0.25">
      <c r="A128">
        <v>30404</v>
      </c>
      <c r="B128" t="s">
        <v>186</v>
      </c>
      <c r="C128">
        <v>0</v>
      </c>
      <c r="D128">
        <v>0</v>
      </c>
      <c r="E128">
        <v>0</v>
      </c>
      <c r="F128">
        <v>0</v>
      </c>
      <c r="G128">
        <f t="shared" si="15"/>
        <v>0</v>
      </c>
      <c r="H128">
        <v>0</v>
      </c>
      <c r="I128">
        <v>0</v>
      </c>
      <c r="J128">
        <v>0</v>
      </c>
      <c r="K128">
        <f t="shared" si="16"/>
        <v>0</v>
      </c>
      <c r="L128" s="22">
        <f t="shared" si="17"/>
        <v>0</v>
      </c>
      <c r="M128" s="22">
        <f t="shared" si="18"/>
        <v>0</v>
      </c>
    </row>
    <row r="129" spans="1:13" x14ac:dyDescent="0.25">
      <c r="A129">
        <v>30501</v>
      </c>
      <c r="B129" t="s">
        <v>187</v>
      </c>
      <c r="C129">
        <v>321.39</v>
      </c>
      <c r="D129">
        <v>1.62</v>
      </c>
      <c r="E129">
        <v>1.35</v>
      </c>
      <c r="F129">
        <v>7.02</v>
      </c>
      <c r="G129">
        <f t="shared" si="15"/>
        <v>3.33</v>
      </c>
      <c r="H129">
        <v>3.87</v>
      </c>
      <c r="I129">
        <v>32.94</v>
      </c>
      <c r="J129">
        <v>1.44</v>
      </c>
      <c r="K129">
        <f t="shared" si="16"/>
        <v>12.749999999999998</v>
      </c>
      <c r="L129" s="22">
        <f t="shared" si="17"/>
        <v>1.0361243349201905</v>
      </c>
      <c r="M129" s="22">
        <f t="shared" si="18"/>
        <v>3.9671427237935215</v>
      </c>
    </row>
    <row r="130" spans="1:13" x14ac:dyDescent="0.25">
      <c r="A130">
        <v>30502</v>
      </c>
      <c r="B130" t="s">
        <v>188</v>
      </c>
      <c r="C130">
        <v>529.38</v>
      </c>
      <c r="D130">
        <v>1.17</v>
      </c>
      <c r="E130">
        <v>1.17</v>
      </c>
      <c r="F130">
        <v>7.38</v>
      </c>
      <c r="G130">
        <f t="shared" ref="G130:G193" si="19">AVERAGE(D130:F130)</f>
        <v>3.2399999999999998</v>
      </c>
      <c r="H130">
        <v>16.649999999999999</v>
      </c>
      <c r="I130">
        <v>49.68</v>
      </c>
      <c r="J130">
        <v>0.80999999999999994</v>
      </c>
      <c r="K130">
        <f t="shared" ref="K130:K193" si="20">AVERAGE(H130:J130)</f>
        <v>22.38</v>
      </c>
      <c r="L130" s="22">
        <f t="shared" ref="L130:L193" si="21">IF(C130=0,0,(G130/C130)*100)</f>
        <v>0.61203672220333216</v>
      </c>
      <c r="M130" s="22">
        <f t="shared" ref="M130:M193" si="22">IF(C130=0,0,(K130/C130)*100)</f>
        <v>4.2275869885526465</v>
      </c>
    </row>
    <row r="131" spans="1:13" x14ac:dyDescent="0.25">
      <c r="A131">
        <v>30601</v>
      </c>
      <c r="B131" t="s">
        <v>189</v>
      </c>
      <c r="C131">
        <v>0</v>
      </c>
      <c r="D131">
        <v>0</v>
      </c>
      <c r="E131">
        <v>0</v>
      </c>
      <c r="F131">
        <v>0</v>
      </c>
      <c r="G131">
        <f t="shared" si="19"/>
        <v>0</v>
      </c>
      <c r="H131">
        <v>0</v>
      </c>
      <c r="I131">
        <v>0</v>
      </c>
      <c r="J131">
        <v>0</v>
      </c>
      <c r="K131">
        <f t="shared" si="20"/>
        <v>0</v>
      </c>
      <c r="L131" s="22">
        <f t="shared" si="21"/>
        <v>0</v>
      </c>
      <c r="M131" s="22">
        <f t="shared" si="22"/>
        <v>0</v>
      </c>
    </row>
    <row r="132" spans="1:13" x14ac:dyDescent="0.25">
      <c r="A132">
        <v>30602</v>
      </c>
      <c r="B132" t="s">
        <v>190</v>
      </c>
      <c r="C132">
        <v>0</v>
      </c>
      <c r="D132">
        <v>0</v>
      </c>
      <c r="E132">
        <v>0</v>
      </c>
      <c r="F132">
        <v>0</v>
      </c>
      <c r="G132">
        <f t="shared" si="19"/>
        <v>0</v>
      </c>
      <c r="H132">
        <v>0</v>
      </c>
      <c r="I132">
        <v>0</v>
      </c>
      <c r="J132">
        <v>0</v>
      </c>
      <c r="K132">
        <f t="shared" si="20"/>
        <v>0</v>
      </c>
      <c r="L132" s="22">
        <f t="shared" si="21"/>
        <v>0</v>
      </c>
      <c r="M132" s="22">
        <f t="shared" si="22"/>
        <v>0</v>
      </c>
    </row>
    <row r="133" spans="1:13" x14ac:dyDescent="0.25">
      <c r="A133">
        <v>30701</v>
      </c>
      <c r="B133" t="s">
        <v>191</v>
      </c>
      <c r="C133">
        <v>571.14</v>
      </c>
      <c r="D133">
        <v>0.81</v>
      </c>
      <c r="E133">
        <v>3.96</v>
      </c>
      <c r="F133">
        <v>10.71</v>
      </c>
      <c r="G133">
        <f t="shared" si="19"/>
        <v>5.16</v>
      </c>
      <c r="H133">
        <v>22.32</v>
      </c>
      <c r="I133">
        <v>19.260000000000002</v>
      </c>
      <c r="J133">
        <v>1.53</v>
      </c>
      <c r="K133">
        <f t="shared" si="20"/>
        <v>14.37</v>
      </c>
      <c r="L133" s="22">
        <f t="shared" si="21"/>
        <v>0.90345624540392899</v>
      </c>
      <c r="M133" s="22">
        <f t="shared" si="22"/>
        <v>2.516020590398151</v>
      </c>
    </row>
    <row r="134" spans="1:13" x14ac:dyDescent="0.25">
      <c r="A134">
        <v>30702</v>
      </c>
      <c r="B134" t="s">
        <v>192</v>
      </c>
      <c r="C134">
        <v>1261.3499999999999</v>
      </c>
      <c r="D134">
        <v>0.72</v>
      </c>
      <c r="E134">
        <v>1.17</v>
      </c>
      <c r="F134">
        <v>30.33</v>
      </c>
      <c r="G134">
        <f t="shared" si="19"/>
        <v>10.74</v>
      </c>
      <c r="H134">
        <v>9.9</v>
      </c>
      <c r="I134">
        <v>6.66</v>
      </c>
      <c r="J134">
        <v>0.18</v>
      </c>
      <c r="K134">
        <f t="shared" si="20"/>
        <v>5.580000000000001</v>
      </c>
      <c r="L134" s="22">
        <f t="shared" si="21"/>
        <v>0.85146866452610304</v>
      </c>
      <c r="M134" s="22">
        <f t="shared" si="22"/>
        <v>0.44238316089903684</v>
      </c>
    </row>
    <row r="135" spans="1:13" x14ac:dyDescent="0.25">
      <c r="A135">
        <v>30703</v>
      </c>
      <c r="B135" t="s">
        <v>193</v>
      </c>
      <c r="C135">
        <v>0</v>
      </c>
      <c r="D135">
        <v>0</v>
      </c>
      <c r="E135">
        <v>0</v>
      </c>
      <c r="F135">
        <v>0</v>
      </c>
      <c r="G135">
        <f t="shared" si="19"/>
        <v>0</v>
      </c>
      <c r="H135">
        <v>0</v>
      </c>
      <c r="I135">
        <v>0</v>
      </c>
      <c r="J135">
        <v>0</v>
      </c>
      <c r="K135">
        <f t="shared" si="20"/>
        <v>0</v>
      </c>
      <c r="L135" s="22">
        <f t="shared" si="21"/>
        <v>0</v>
      </c>
      <c r="M135" s="22">
        <f t="shared" si="22"/>
        <v>0</v>
      </c>
    </row>
    <row r="136" spans="1:13" x14ac:dyDescent="0.25">
      <c r="A136">
        <v>30801</v>
      </c>
      <c r="B136" t="s">
        <v>194</v>
      </c>
      <c r="C136">
        <v>0</v>
      </c>
      <c r="D136">
        <v>0</v>
      </c>
      <c r="E136">
        <v>0</v>
      </c>
      <c r="F136">
        <v>0</v>
      </c>
      <c r="G136">
        <f t="shared" si="19"/>
        <v>0</v>
      </c>
      <c r="H136">
        <v>0</v>
      </c>
      <c r="I136">
        <v>0</v>
      </c>
      <c r="J136">
        <v>0</v>
      </c>
      <c r="K136">
        <f t="shared" si="20"/>
        <v>0</v>
      </c>
      <c r="L136" s="22">
        <f t="shared" si="21"/>
        <v>0</v>
      </c>
      <c r="M136" s="22">
        <f t="shared" si="22"/>
        <v>0</v>
      </c>
    </row>
    <row r="137" spans="1:13" x14ac:dyDescent="0.25">
      <c r="A137">
        <v>30802</v>
      </c>
      <c r="B137" t="s">
        <v>195</v>
      </c>
      <c r="C137">
        <v>0</v>
      </c>
      <c r="D137">
        <v>0</v>
      </c>
      <c r="E137">
        <v>0</v>
      </c>
      <c r="F137">
        <v>0</v>
      </c>
      <c r="G137">
        <f t="shared" si="19"/>
        <v>0</v>
      </c>
      <c r="H137">
        <v>0</v>
      </c>
      <c r="I137">
        <v>0</v>
      </c>
      <c r="J137">
        <v>0</v>
      </c>
      <c r="K137">
        <f t="shared" si="20"/>
        <v>0</v>
      </c>
      <c r="L137" s="22">
        <f t="shared" si="21"/>
        <v>0</v>
      </c>
      <c r="M137" s="22">
        <f t="shared" si="22"/>
        <v>0</v>
      </c>
    </row>
    <row r="138" spans="1:13" x14ac:dyDescent="0.25">
      <c r="A138">
        <v>30803</v>
      </c>
      <c r="B138" t="s">
        <v>196</v>
      </c>
      <c r="C138">
        <v>0</v>
      </c>
      <c r="D138">
        <v>0</v>
      </c>
      <c r="E138">
        <v>0</v>
      </c>
      <c r="F138">
        <v>0</v>
      </c>
      <c r="G138">
        <f t="shared" si="19"/>
        <v>0</v>
      </c>
      <c r="H138">
        <v>0</v>
      </c>
      <c r="I138">
        <v>0</v>
      </c>
      <c r="J138">
        <v>0</v>
      </c>
      <c r="K138">
        <f t="shared" si="20"/>
        <v>0</v>
      </c>
      <c r="L138" s="22">
        <f t="shared" si="21"/>
        <v>0</v>
      </c>
      <c r="M138" s="22">
        <f t="shared" si="22"/>
        <v>0</v>
      </c>
    </row>
    <row r="139" spans="1:13" x14ac:dyDescent="0.25">
      <c r="A139">
        <v>30901</v>
      </c>
      <c r="B139" t="s">
        <v>197</v>
      </c>
      <c r="C139">
        <v>1477.98</v>
      </c>
      <c r="D139">
        <v>7.47</v>
      </c>
      <c r="E139">
        <v>9.7200000000000006</v>
      </c>
      <c r="F139">
        <v>22.05</v>
      </c>
      <c r="G139">
        <f t="shared" si="19"/>
        <v>13.08</v>
      </c>
      <c r="H139">
        <v>154.26</v>
      </c>
      <c r="I139">
        <v>149.49</v>
      </c>
      <c r="J139">
        <v>1.8</v>
      </c>
      <c r="K139">
        <f t="shared" si="20"/>
        <v>101.85000000000001</v>
      </c>
      <c r="L139" s="22">
        <f t="shared" si="21"/>
        <v>0.88499167783055255</v>
      </c>
      <c r="M139" s="22">
        <f t="shared" si="22"/>
        <v>6.8911622620062518</v>
      </c>
    </row>
    <row r="140" spans="1:13" x14ac:dyDescent="0.25">
      <c r="A140">
        <v>30902</v>
      </c>
      <c r="B140" t="s">
        <v>198</v>
      </c>
      <c r="C140">
        <v>1239.75</v>
      </c>
      <c r="D140">
        <v>1.44</v>
      </c>
      <c r="E140">
        <v>3.24</v>
      </c>
      <c r="F140">
        <v>17.28</v>
      </c>
      <c r="G140">
        <f t="shared" si="19"/>
        <v>7.32</v>
      </c>
      <c r="H140">
        <v>72.449999999999989</v>
      </c>
      <c r="I140">
        <v>75.42</v>
      </c>
      <c r="J140">
        <v>3.42</v>
      </c>
      <c r="K140">
        <f t="shared" si="20"/>
        <v>50.43</v>
      </c>
      <c r="L140" s="22">
        <f t="shared" si="21"/>
        <v>0.59044162129461586</v>
      </c>
      <c r="M140" s="22">
        <f t="shared" si="22"/>
        <v>4.0677555958862675</v>
      </c>
    </row>
    <row r="141" spans="1:13" x14ac:dyDescent="0.25">
      <c r="A141">
        <v>30903</v>
      </c>
      <c r="B141" t="s">
        <v>199</v>
      </c>
      <c r="C141">
        <v>1077.1199999999999</v>
      </c>
      <c r="D141">
        <v>4.41</v>
      </c>
      <c r="E141">
        <v>9.4499999999999993</v>
      </c>
      <c r="F141">
        <v>21.24</v>
      </c>
      <c r="G141">
        <f t="shared" si="19"/>
        <v>11.699999999999998</v>
      </c>
      <c r="H141">
        <v>179.82</v>
      </c>
      <c r="I141">
        <v>225.18</v>
      </c>
      <c r="J141">
        <v>3.78</v>
      </c>
      <c r="K141">
        <f t="shared" si="20"/>
        <v>136.26</v>
      </c>
      <c r="L141" s="22">
        <f t="shared" si="21"/>
        <v>1.0862299465240639</v>
      </c>
      <c r="M141" s="22">
        <f t="shared" si="22"/>
        <v>12.650401069518717</v>
      </c>
    </row>
    <row r="142" spans="1:13" x14ac:dyDescent="0.25">
      <c r="A142">
        <v>30904</v>
      </c>
      <c r="B142" t="s">
        <v>200</v>
      </c>
      <c r="C142">
        <v>1631.61</v>
      </c>
      <c r="D142">
        <v>2.97</v>
      </c>
      <c r="E142">
        <v>12.06</v>
      </c>
      <c r="F142">
        <v>24.12</v>
      </c>
      <c r="G142">
        <f t="shared" si="19"/>
        <v>13.050000000000002</v>
      </c>
      <c r="H142">
        <v>140.94</v>
      </c>
      <c r="I142">
        <v>133.91999999999999</v>
      </c>
      <c r="J142">
        <v>3.87</v>
      </c>
      <c r="K142">
        <f t="shared" si="20"/>
        <v>92.910000000000011</v>
      </c>
      <c r="L142" s="22">
        <f t="shared" si="21"/>
        <v>0.79982348723040453</v>
      </c>
      <c r="M142" s="22">
        <f t="shared" si="22"/>
        <v>5.6943754941438218</v>
      </c>
    </row>
    <row r="143" spans="1:13" x14ac:dyDescent="0.25">
      <c r="A143">
        <v>30905</v>
      </c>
      <c r="B143" t="s">
        <v>201</v>
      </c>
      <c r="C143">
        <v>340.92</v>
      </c>
      <c r="D143">
        <v>1.53</v>
      </c>
      <c r="E143">
        <v>3.87</v>
      </c>
      <c r="F143">
        <v>3.87</v>
      </c>
      <c r="G143">
        <f t="shared" si="19"/>
        <v>3.09</v>
      </c>
      <c r="H143">
        <v>82.62</v>
      </c>
      <c r="I143">
        <v>80.55</v>
      </c>
      <c r="J143">
        <v>0.54</v>
      </c>
      <c r="K143">
        <f t="shared" si="20"/>
        <v>54.57</v>
      </c>
      <c r="L143" s="22">
        <f t="shared" si="21"/>
        <v>0.90637099612812388</v>
      </c>
      <c r="M143" s="22">
        <f t="shared" si="22"/>
        <v>16.006687785990849</v>
      </c>
    </row>
    <row r="144" spans="1:13" x14ac:dyDescent="0.25">
      <c r="A144">
        <v>31001</v>
      </c>
      <c r="B144" t="s">
        <v>202</v>
      </c>
      <c r="C144">
        <v>1583.91</v>
      </c>
      <c r="D144">
        <v>12.42</v>
      </c>
      <c r="E144">
        <v>14.31</v>
      </c>
      <c r="F144">
        <v>38.43</v>
      </c>
      <c r="G144">
        <f t="shared" si="19"/>
        <v>21.72</v>
      </c>
      <c r="H144">
        <v>44.46</v>
      </c>
      <c r="I144">
        <v>184.23</v>
      </c>
      <c r="J144">
        <v>4.41</v>
      </c>
      <c r="K144">
        <f t="shared" si="20"/>
        <v>77.7</v>
      </c>
      <c r="L144" s="22">
        <f t="shared" si="21"/>
        <v>1.371290035418679</v>
      </c>
      <c r="M144" s="22">
        <f t="shared" si="22"/>
        <v>4.9055817565391973</v>
      </c>
    </row>
    <row r="145" spans="1:13" x14ac:dyDescent="0.25">
      <c r="A145">
        <v>31002</v>
      </c>
      <c r="B145" t="s">
        <v>203</v>
      </c>
      <c r="C145">
        <v>15156.63</v>
      </c>
      <c r="D145">
        <v>139.13999999999999</v>
      </c>
      <c r="E145">
        <v>133.38</v>
      </c>
      <c r="F145">
        <v>134.01</v>
      </c>
      <c r="G145">
        <f t="shared" si="19"/>
        <v>135.51</v>
      </c>
      <c r="H145">
        <v>178.83</v>
      </c>
      <c r="I145">
        <v>542.97</v>
      </c>
      <c r="J145">
        <v>60.21</v>
      </c>
      <c r="K145">
        <f t="shared" si="20"/>
        <v>260.67</v>
      </c>
      <c r="L145" s="22">
        <f t="shared" si="21"/>
        <v>0.89406418181350344</v>
      </c>
      <c r="M145" s="22">
        <f t="shared" si="22"/>
        <v>1.719841415934809</v>
      </c>
    </row>
    <row r="146" spans="1:13" x14ac:dyDescent="0.25">
      <c r="A146">
        <v>31003</v>
      </c>
      <c r="B146" t="s">
        <v>204</v>
      </c>
      <c r="C146">
        <v>816866.01</v>
      </c>
      <c r="D146">
        <v>8904.6899999999987</v>
      </c>
      <c r="E146">
        <v>6814.62</v>
      </c>
      <c r="F146">
        <v>6939.7199999999993</v>
      </c>
      <c r="G146">
        <f t="shared" si="19"/>
        <v>7553.0099999999993</v>
      </c>
      <c r="H146">
        <v>2427.21</v>
      </c>
      <c r="I146">
        <v>14354.73</v>
      </c>
      <c r="J146">
        <v>9591.57</v>
      </c>
      <c r="K146">
        <f t="shared" si="20"/>
        <v>8791.17</v>
      </c>
      <c r="L146" s="22">
        <f t="shared" si="21"/>
        <v>0.92463267017316575</v>
      </c>
      <c r="M146" s="22">
        <f t="shared" si="22"/>
        <v>1.076207100354194</v>
      </c>
    </row>
    <row r="147" spans="1:13" x14ac:dyDescent="0.25">
      <c r="A147">
        <v>31101</v>
      </c>
      <c r="B147" t="s">
        <v>205</v>
      </c>
      <c r="C147">
        <v>869.04</v>
      </c>
      <c r="D147">
        <v>1.62</v>
      </c>
      <c r="E147">
        <v>0.9</v>
      </c>
      <c r="F147">
        <v>26.1</v>
      </c>
      <c r="G147">
        <f t="shared" si="19"/>
        <v>9.5400000000000009</v>
      </c>
      <c r="H147">
        <v>3.06</v>
      </c>
      <c r="I147">
        <v>8.2799999999999994</v>
      </c>
      <c r="J147">
        <v>4.7699999999999996</v>
      </c>
      <c r="K147">
        <f t="shared" si="20"/>
        <v>5.37</v>
      </c>
      <c r="L147" s="22">
        <f t="shared" si="21"/>
        <v>1.0977630488815247</v>
      </c>
      <c r="M147" s="22">
        <f t="shared" si="22"/>
        <v>0.6179232256282795</v>
      </c>
    </row>
    <row r="148" spans="1:13" x14ac:dyDescent="0.25">
      <c r="A148">
        <v>31201</v>
      </c>
      <c r="B148" t="s">
        <v>206</v>
      </c>
      <c r="C148">
        <v>112411.35</v>
      </c>
      <c r="D148">
        <v>555.39</v>
      </c>
      <c r="E148">
        <v>316.8</v>
      </c>
      <c r="F148">
        <v>531.18000000000006</v>
      </c>
      <c r="G148">
        <f t="shared" si="19"/>
        <v>467.79</v>
      </c>
      <c r="H148">
        <v>253.35</v>
      </c>
      <c r="I148">
        <v>780.12</v>
      </c>
      <c r="J148">
        <v>157.77000000000001</v>
      </c>
      <c r="K148">
        <f t="shared" si="20"/>
        <v>397.08</v>
      </c>
      <c r="L148" s="22">
        <f t="shared" si="21"/>
        <v>0.41614125264041396</v>
      </c>
      <c r="M148" s="22">
        <f t="shared" si="22"/>
        <v>0.35323835182123509</v>
      </c>
    </row>
    <row r="149" spans="1:13" x14ac:dyDescent="0.25">
      <c r="A149">
        <v>31202</v>
      </c>
      <c r="B149" t="s">
        <v>207</v>
      </c>
      <c r="C149">
        <v>166000.68</v>
      </c>
      <c r="D149">
        <v>558.08999999999992</v>
      </c>
      <c r="E149">
        <v>357.21</v>
      </c>
      <c r="F149">
        <v>497.97</v>
      </c>
      <c r="G149">
        <f t="shared" si="19"/>
        <v>471.09</v>
      </c>
      <c r="H149">
        <v>220.68</v>
      </c>
      <c r="I149">
        <v>661.32</v>
      </c>
      <c r="J149">
        <v>113.49</v>
      </c>
      <c r="K149">
        <f t="shared" si="20"/>
        <v>331.83</v>
      </c>
      <c r="L149" s="22">
        <f t="shared" si="21"/>
        <v>0.28378799412146988</v>
      </c>
      <c r="M149" s="22">
        <f t="shared" si="22"/>
        <v>0.19989677150720106</v>
      </c>
    </row>
    <row r="150" spans="1:13" x14ac:dyDescent="0.25">
      <c r="A150">
        <v>31203</v>
      </c>
      <c r="B150" t="s">
        <v>208</v>
      </c>
      <c r="C150">
        <v>10098.81</v>
      </c>
      <c r="D150">
        <v>22.95</v>
      </c>
      <c r="E150">
        <v>19.079999999999998</v>
      </c>
      <c r="F150">
        <v>167.85</v>
      </c>
      <c r="G150">
        <f t="shared" si="19"/>
        <v>69.959999999999994</v>
      </c>
      <c r="H150">
        <v>32.31</v>
      </c>
      <c r="I150">
        <v>322.02</v>
      </c>
      <c r="J150">
        <v>17.91</v>
      </c>
      <c r="K150">
        <f t="shared" si="20"/>
        <v>124.08</v>
      </c>
      <c r="L150" s="22">
        <f t="shared" si="21"/>
        <v>0.69275488894236059</v>
      </c>
      <c r="M150" s="22">
        <f t="shared" si="22"/>
        <v>1.2286596143506019</v>
      </c>
    </row>
    <row r="151" spans="1:13" x14ac:dyDescent="0.25">
      <c r="A151">
        <v>31204</v>
      </c>
      <c r="B151" t="s">
        <v>209</v>
      </c>
      <c r="C151">
        <v>207111.51</v>
      </c>
      <c r="D151">
        <v>3354.48</v>
      </c>
      <c r="E151">
        <v>2905.38</v>
      </c>
      <c r="F151">
        <v>3168.72</v>
      </c>
      <c r="G151">
        <f t="shared" si="19"/>
        <v>3142.86</v>
      </c>
      <c r="H151">
        <v>565.47</v>
      </c>
      <c r="I151">
        <v>2681.46</v>
      </c>
      <c r="J151">
        <v>4749.75</v>
      </c>
      <c r="K151">
        <f t="shared" si="20"/>
        <v>2665.56</v>
      </c>
      <c r="L151" s="22">
        <f t="shared" si="21"/>
        <v>1.5174723992886729</v>
      </c>
      <c r="M151" s="22">
        <f t="shared" si="22"/>
        <v>1.287016834554487</v>
      </c>
    </row>
    <row r="152" spans="1:13" x14ac:dyDescent="0.25">
      <c r="A152">
        <v>31205</v>
      </c>
      <c r="B152" t="s">
        <v>210</v>
      </c>
      <c r="C152">
        <v>123398.37</v>
      </c>
      <c r="D152">
        <v>1999.89</v>
      </c>
      <c r="E152">
        <v>1995.48</v>
      </c>
      <c r="F152">
        <v>2780.73</v>
      </c>
      <c r="G152">
        <f t="shared" si="19"/>
        <v>2258.7000000000003</v>
      </c>
      <c r="H152">
        <v>580.77</v>
      </c>
      <c r="I152">
        <v>3755.79</v>
      </c>
      <c r="J152">
        <v>2308.59</v>
      </c>
      <c r="K152">
        <f t="shared" si="20"/>
        <v>2215.0499999999997</v>
      </c>
      <c r="L152" s="22">
        <f t="shared" si="21"/>
        <v>1.8304131569971307</v>
      </c>
      <c r="M152" s="22">
        <f t="shared" si="22"/>
        <v>1.7950399182744472</v>
      </c>
    </row>
    <row r="153" spans="1:13" x14ac:dyDescent="0.25">
      <c r="A153">
        <v>31206</v>
      </c>
      <c r="B153" t="s">
        <v>211</v>
      </c>
      <c r="C153">
        <v>171517.41</v>
      </c>
      <c r="D153">
        <v>2471.31</v>
      </c>
      <c r="E153">
        <v>1616.58</v>
      </c>
      <c r="F153">
        <v>1980.09</v>
      </c>
      <c r="G153">
        <f t="shared" si="19"/>
        <v>2022.6599999999999</v>
      </c>
      <c r="H153">
        <v>347.67</v>
      </c>
      <c r="I153">
        <v>3510.54</v>
      </c>
      <c r="J153">
        <v>2345.85</v>
      </c>
      <c r="K153">
        <f t="shared" si="20"/>
        <v>2068.02</v>
      </c>
      <c r="L153" s="22">
        <f t="shared" si="21"/>
        <v>1.1792738707983055</v>
      </c>
      <c r="M153" s="22">
        <f t="shared" si="22"/>
        <v>1.205720165667147</v>
      </c>
    </row>
    <row r="154" spans="1:13" x14ac:dyDescent="0.25">
      <c r="A154">
        <v>31301</v>
      </c>
      <c r="B154" t="s">
        <v>212</v>
      </c>
      <c r="C154">
        <v>18117.72</v>
      </c>
      <c r="D154">
        <v>20.25</v>
      </c>
      <c r="E154">
        <v>26.82</v>
      </c>
      <c r="F154">
        <v>246.15</v>
      </c>
      <c r="G154">
        <f t="shared" si="19"/>
        <v>97.740000000000009</v>
      </c>
      <c r="H154">
        <v>8.2799999999999994</v>
      </c>
      <c r="I154">
        <v>67.23</v>
      </c>
      <c r="J154">
        <v>8.4600000000000009</v>
      </c>
      <c r="K154">
        <f t="shared" si="20"/>
        <v>27.99</v>
      </c>
      <c r="L154" s="22">
        <f t="shared" si="21"/>
        <v>0.53947185407435372</v>
      </c>
      <c r="M154" s="22">
        <f t="shared" si="22"/>
        <v>0.15448963776899077</v>
      </c>
    </row>
    <row r="155" spans="1:13" x14ac:dyDescent="0.25">
      <c r="A155">
        <v>31302</v>
      </c>
      <c r="B155" t="s">
        <v>213</v>
      </c>
      <c r="C155">
        <v>4788.45</v>
      </c>
      <c r="D155">
        <v>11.52</v>
      </c>
      <c r="E155">
        <v>17.73</v>
      </c>
      <c r="F155">
        <v>78.39</v>
      </c>
      <c r="G155">
        <f t="shared" si="19"/>
        <v>35.880000000000003</v>
      </c>
      <c r="H155">
        <v>5.67</v>
      </c>
      <c r="I155">
        <v>31.23</v>
      </c>
      <c r="J155">
        <v>0.36</v>
      </c>
      <c r="K155">
        <f t="shared" si="20"/>
        <v>12.42</v>
      </c>
      <c r="L155" s="22">
        <f t="shared" si="21"/>
        <v>0.74930301036869973</v>
      </c>
      <c r="M155" s="22">
        <f t="shared" si="22"/>
        <v>0.25937411897378065</v>
      </c>
    </row>
    <row r="156" spans="1:13" x14ac:dyDescent="0.25">
      <c r="A156">
        <v>31303</v>
      </c>
      <c r="B156" t="s">
        <v>214</v>
      </c>
      <c r="C156">
        <v>688.14</v>
      </c>
      <c r="D156">
        <v>1.26</v>
      </c>
      <c r="E156">
        <v>2.4300000000000002</v>
      </c>
      <c r="F156">
        <v>13.41</v>
      </c>
      <c r="G156">
        <f t="shared" si="19"/>
        <v>5.7</v>
      </c>
      <c r="H156">
        <v>2.4300000000000002</v>
      </c>
      <c r="I156">
        <v>28.62</v>
      </c>
      <c r="J156">
        <v>0.18</v>
      </c>
      <c r="K156">
        <f t="shared" si="20"/>
        <v>10.41</v>
      </c>
      <c r="L156" s="22">
        <f t="shared" si="21"/>
        <v>0.82831981864155546</v>
      </c>
      <c r="M156" s="22">
        <f t="shared" si="22"/>
        <v>1.5127735635190516</v>
      </c>
    </row>
    <row r="157" spans="1:13" x14ac:dyDescent="0.25">
      <c r="A157">
        <v>31304</v>
      </c>
      <c r="B157" t="s">
        <v>215</v>
      </c>
      <c r="C157">
        <v>10414.530000000001</v>
      </c>
      <c r="D157">
        <v>9</v>
      </c>
      <c r="E157">
        <v>11.52</v>
      </c>
      <c r="F157">
        <v>93.69</v>
      </c>
      <c r="G157">
        <f t="shared" si="19"/>
        <v>38.07</v>
      </c>
      <c r="H157">
        <v>0.36</v>
      </c>
      <c r="I157">
        <v>9.99</v>
      </c>
      <c r="J157">
        <v>14.94</v>
      </c>
      <c r="K157">
        <f t="shared" si="20"/>
        <v>8.43</v>
      </c>
      <c r="L157" s="22">
        <f t="shared" si="21"/>
        <v>0.36554698099674199</v>
      </c>
      <c r="M157" s="22">
        <f t="shared" si="22"/>
        <v>8.0944603357040595E-2</v>
      </c>
    </row>
    <row r="158" spans="1:13" x14ac:dyDescent="0.25">
      <c r="A158">
        <v>31401</v>
      </c>
      <c r="B158" t="s">
        <v>216</v>
      </c>
      <c r="C158">
        <v>0</v>
      </c>
      <c r="D158">
        <v>0</v>
      </c>
      <c r="E158">
        <v>0</v>
      </c>
      <c r="F158">
        <v>0</v>
      </c>
      <c r="G158">
        <f t="shared" si="19"/>
        <v>0</v>
      </c>
      <c r="H158">
        <v>0</v>
      </c>
      <c r="I158">
        <v>0</v>
      </c>
      <c r="J158">
        <v>0</v>
      </c>
      <c r="K158">
        <f t="shared" si="20"/>
        <v>0</v>
      </c>
      <c r="L158" s="22">
        <f t="shared" si="21"/>
        <v>0</v>
      </c>
      <c r="M158" s="22">
        <f t="shared" si="22"/>
        <v>0</v>
      </c>
    </row>
    <row r="159" spans="1:13" x14ac:dyDescent="0.25">
      <c r="A159">
        <v>31402</v>
      </c>
      <c r="B159" t="s">
        <v>217</v>
      </c>
      <c r="C159">
        <v>0</v>
      </c>
      <c r="D159">
        <v>0</v>
      </c>
      <c r="E159">
        <v>0</v>
      </c>
      <c r="F159">
        <v>0</v>
      </c>
      <c r="G159">
        <f t="shared" si="19"/>
        <v>0</v>
      </c>
      <c r="H159">
        <v>0</v>
      </c>
      <c r="I159">
        <v>0</v>
      </c>
      <c r="J159">
        <v>0</v>
      </c>
      <c r="K159">
        <f t="shared" si="20"/>
        <v>0</v>
      </c>
      <c r="L159" s="22">
        <f t="shared" si="21"/>
        <v>0</v>
      </c>
      <c r="M159" s="22">
        <f t="shared" si="22"/>
        <v>0</v>
      </c>
    </row>
    <row r="160" spans="1:13" x14ac:dyDescent="0.25">
      <c r="A160">
        <v>31403</v>
      </c>
      <c r="B160" t="s">
        <v>218</v>
      </c>
      <c r="C160">
        <v>478.89</v>
      </c>
      <c r="D160">
        <v>2.88</v>
      </c>
      <c r="E160">
        <v>2.4300000000000002</v>
      </c>
      <c r="F160">
        <v>9.7199999999999989</v>
      </c>
      <c r="G160">
        <f t="shared" si="19"/>
        <v>5.01</v>
      </c>
      <c r="H160">
        <v>1.44</v>
      </c>
      <c r="I160">
        <v>39.510000000000012</v>
      </c>
      <c r="J160">
        <v>0</v>
      </c>
      <c r="K160">
        <f t="shared" si="20"/>
        <v>13.650000000000004</v>
      </c>
      <c r="L160" s="22">
        <f t="shared" si="21"/>
        <v>1.0461692664286162</v>
      </c>
      <c r="M160" s="22">
        <f t="shared" si="22"/>
        <v>2.8503414145210808</v>
      </c>
    </row>
    <row r="161" spans="1:13" x14ac:dyDescent="0.25">
      <c r="A161">
        <v>31404</v>
      </c>
      <c r="B161" t="s">
        <v>219</v>
      </c>
      <c r="C161">
        <v>0</v>
      </c>
      <c r="D161">
        <v>0</v>
      </c>
      <c r="E161">
        <v>0</v>
      </c>
      <c r="F161">
        <v>0</v>
      </c>
      <c r="G161">
        <f t="shared" si="19"/>
        <v>0</v>
      </c>
      <c r="H161">
        <v>0</v>
      </c>
      <c r="I161">
        <v>0</v>
      </c>
      <c r="J161">
        <v>0</v>
      </c>
      <c r="K161">
        <f t="shared" si="20"/>
        <v>0</v>
      </c>
      <c r="L161" s="22">
        <f t="shared" si="21"/>
        <v>0</v>
      </c>
      <c r="M161" s="22">
        <f t="shared" si="22"/>
        <v>0</v>
      </c>
    </row>
    <row r="162" spans="1:13" x14ac:dyDescent="0.25">
      <c r="A162">
        <v>31405</v>
      </c>
      <c r="B162" t="s">
        <v>220</v>
      </c>
      <c r="C162">
        <v>0</v>
      </c>
      <c r="D162">
        <v>0</v>
      </c>
      <c r="E162">
        <v>0</v>
      </c>
      <c r="F162">
        <v>0</v>
      </c>
      <c r="G162">
        <f t="shared" si="19"/>
        <v>0</v>
      </c>
      <c r="H162">
        <v>0</v>
      </c>
      <c r="I162">
        <v>0</v>
      </c>
      <c r="J162">
        <v>0</v>
      </c>
      <c r="K162">
        <f t="shared" si="20"/>
        <v>0</v>
      </c>
      <c r="L162" s="22">
        <f t="shared" si="21"/>
        <v>0</v>
      </c>
      <c r="M162" s="22">
        <f t="shared" si="22"/>
        <v>0</v>
      </c>
    </row>
    <row r="163" spans="1:13" x14ac:dyDescent="0.25">
      <c r="A163">
        <v>31501</v>
      </c>
      <c r="B163" t="s">
        <v>221</v>
      </c>
      <c r="C163">
        <v>0</v>
      </c>
      <c r="D163">
        <v>0</v>
      </c>
      <c r="E163">
        <v>0</v>
      </c>
      <c r="F163">
        <v>0</v>
      </c>
      <c r="G163">
        <f t="shared" si="19"/>
        <v>0</v>
      </c>
      <c r="H163">
        <v>0</v>
      </c>
      <c r="I163">
        <v>0</v>
      </c>
      <c r="J163">
        <v>0</v>
      </c>
      <c r="K163">
        <f t="shared" si="20"/>
        <v>0</v>
      </c>
      <c r="L163" s="22">
        <f t="shared" si="21"/>
        <v>0</v>
      </c>
      <c r="M163" s="22">
        <f t="shared" si="22"/>
        <v>0</v>
      </c>
    </row>
    <row r="164" spans="1:13" x14ac:dyDescent="0.25">
      <c r="A164">
        <v>31601</v>
      </c>
      <c r="B164" t="s">
        <v>222</v>
      </c>
      <c r="C164">
        <v>105730.2</v>
      </c>
      <c r="D164">
        <v>524.79</v>
      </c>
      <c r="E164">
        <v>279.27</v>
      </c>
      <c r="F164">
        <v>281.61</v>
      </c>
      <c r="G164">
        <f t="shared" si="19"/>
        <v>361.89000000000004</v>
      </c>
      <c r="H164">
        <v>145.97999999999999</v>
      </c>
      <c r="I164">
        <v>760.59</v>
      </c>
      <c r="J164">
        <v>115.74</v>
      </c>
      <c r="K164">
        <f t="shared" si="20"/>
        <v>340.77000000000004</v>
      </c>
      <c r="L164" s="22">
        <f t="shared" si="21"/>
        <v>0.34227685183608852</v>
      </c>
      <c r="M164" s="22">
        <f t="shared" si="22"/>
        <v>0.32230148056089936</v>
      </c>
    </row>
    <row r="165" spans="1:13" x14ac:dyDescent="0.25">
      <c r="A165">
        <v>31602</v>
      </c>
      <c r="B165" t="s">
        <v>223</v>
      </c>
      <c r="C165">
        <v>54573.84</v>
      </c>
      <c r="D165">
        <v>666.81000000000006</v>
      </c>
      <c r="E165">
        <v>663.66</v>
      </c>
      <c r="F165">
        <v>778.86</v>
      </c>
      <c r="G165">
        <f t="shared" si="19"/>
        <v>703.11</v>
      </c>
      <c r="H165">
        <v>220.05</v>
      </c>
      <c r="I165">
        <v>955.98</v>
      </c>
      <c r="J165">
        <v>1234.98</v>
      </c>
      <c r="K165">
        <f t="shared" si="20"/>
        <v>803.67000000000007</v>
      </c>
      <c r="L165" s="22">
        <f t="shared" si="21"/>
        <v>1.2883645350959361</v>
      </c>
      <c r="M165" s="22">
        <f t="shared" si="22"/>
        <v>1.4726286440536347</v>
      </c>
    </row>
    <row r="166" spans="1:13" x14ac:dyDescent="0.25">
      <c r="A166">
        <v>40101</v>
      </c>
      <c r="B166" t="s">
        <v>224</v>
      </c>
      <c r="C166">
        <v>0</v>
      </c>
      <c r="D166">
        <v>0</v>
      </c>
      <c r="E166">
        <v>0</v>
      </c>
      <c r="F166">
        <v>0</v>
      </c>
      <c r="G166">
        <f t="shared" si="19"/>
        <v>0</v>
      </c>
      <c r="H166">
        <v>0</v>
      </c>
      <c r="I166">
        <v>0</v>
      </c>
      <c r="J166">
        <v>0</v>
      </c>
      <c r="K166">
        <f t="shared" si="20"/>
        <v>0</v>
      </c>
      <c r="L166" s="22">
        <f t="shared" si="21"/>
        <v>0</v>
      </c>
      <c r="M166" s="22">
        <f t="shared" si="22"/>
        <v>0</v>
      </c>
    </row>
    <row r="167" spans="1:13" x14ac:dyDescent="0.25">
      <c r="A167">
        <v>40102</v>
      </c>
      <c r="B167" t="s">
        <v>225</v>
      </c>
      <c r="C167">
        <v>0</v>
      </c>
      <c r="D167">
        <v>0</v>
      </c>
      <c r="E167">
        <v>0</v>
      </c>
      <c r="F167">
        <v>0</v>
      </c>
      <c r="G167">
        <f t="shared" si="19"/>
        <v>0</v>
      </c>
      <c r="H167">
        <v>0</v>
      </c>
      <c r="I167">
        <v>0</v>
      </c>
      <c r="J167">
        <v>0</v>
      </c>
      <c r="K167">
        <f t="shared" si="20"/>
        <v>0</v>
      </c>
      <c r="L167" s="22">
        <f t="shared" si="21"/>
        <v>0</v>
      </c>
      <c r="M167" s="22">
        <f t="shared" si="22"/>
        <v>0</v>
      </c>
    </row>
    <row r="168" spans="1:13" x14ac:dyDescent="0.25">
      <c r="A168">
        <v>40103</v>
      </c>
      <c r="B168" t="s">
        <v>226</v>
      </c>
      <c r="C168">
        <v>0</v>
      </c>
      <c r="D168">
        <v>0</v>
      </c>
      <c r="E168">
        <v>0</v>
      </c>
      <c r="F168">
        <v>0</v>
      </c>
      <c r="G168">
        <f t="shared" si="19"/>
        <v>0</v>
      </c>
      <c r="H168">
        <v>0</v>
      </c>
      <c r="I168">
        <v>0</v>
      </c>
      <c r="J168">
        <v>0</v>
      </c>
      <c r="K168">
        <f t="shared" si="20"/>
        <v>0</v>
      </c>
      <c r="L168" s="22">
        <f t="shared" si="21"/>
        <v>0</v>
      </c>
      <c r="M168" s="22">
        <f t="shared" si="22"/>
        <v>0</v>
      </c>
    </row>
    <row r="169" spans="1:13" x14ac:dyDescent="0.25">
      <c r="A169">
        <v>40104</v>
      </c>
      <c r="B169" t="s">
        <v>227</v>
      </c>
      <c r="C169">
        <v>0</v>
      </c>
      <c r="D169">
        <v>0</v>
      </c>
      <c r="E169">
        <v>0</v>
      </c>
      <c r="F169">
        <v>0</v>
      </c>
      <c r="G169">
        <f t="shared" si="19"/>
        <v>0</v>
      </c>
      <c r="H169">
        <v>0</v>
      </c>
      <c r="I169">
        <v>0</v>
      </c>
      <c r="J169">
        <v>0</v>
      </c>
      <c r="K169">
        <f t="shared" si="20"/>
        <v>0</v>
      </c>
      <c r="L169" s="22">
        <f t="shared" si="21"/>
        <v>0</v>
      </c>
      <c r="M169" s="22">
        <f t="shared" si="22"/>
        <v>0</v>
      </c>
    </row>
    <row r="170" spans="1:13" x14ac:dyDescent="0.25">
      <c r="A170">
        <v>40201</v>
      </c>
      <c r="B170" t="s">
        <v>228</v>
      </c>
      <c r="C170">
        <v>0</v>
      </c>
      <c r="D170">
        <v>0</v>
      </c>
      <c r="E170">
        <v>0</v>
      </c>
      <c r="F170">
        <v>0</v>
      </c>
      <c r="G170">
        <f t="shared" si="19"/>
        <v>0</v>
      </c>
      <c r="H170">
        <v>0</v>
      </c>
      <c r="I170">
        <v>0</v>
      </c>
      <c r="J170">
        <v>0</v>
      </c>
      <c r="K170">
        <f t="shared" si="20"/>
        <v>0</v>
      </c>
      <c r="L170" s="22">
        <f t="shared" si="21"/>
        <v>0</v>
      </c>
      <c r="M170" s="22">
        <f t="shared" si="22"/>
        <v>0</v>
      </c>
    </row>
    <row r="171" spans="1:13" x14ac:dyDescent="0.25">
      <c r="A171">
        <v>40202</v>
      </c>
      <c r="B171" t="s">
        <v>229</v>
      </c>
      <c r="C171">
        <v>0</v>
      </c>
      <c r="D171">
        <v>0</v>
      </c>
      <c r="E171">
        <v>0</v>
      </c>
      <c r="F171">
        <v>0</v>
      </c>
      <c r="G171">
        <f t="shared" si="19"/>
        <v>0</v>
      </c>
      <c r="H171">
        <v>0</v>
      </c>
      <c r="I171">
        <v>0</v>
      </c>
      <c r="J171">
        <v>0</v>
      </c>
      <c r="K171">
        <f t="shared" si="20"/>
        <v>0</v>
      </c>
      <c r="L171" s="22">
        <f t="shared" si="21"/>
        <v>0</v>
      </c>
      <c r="M171" s="22">
        <f t="shared" si="22"/>
        <v>0</v>
      </c>
    </row>
    <row r="172" spans="1:13" x14ac:dyDescent="0.25">
      <c r="A172">
        <v>40301</v>
      </c>
      <c r="B172" t="s">
        <v>230</v>
      </c>
      <c r="C172">
        <v>0</v>
      </c>
      <c r="D172">
        <v>0</v>
      </c>
      <c r="E172">
        <v>0</v>
      </c>
      <c r="F172">
        <v>0</v>
      </c>
      <c r="G172">
        <f t="shared" si="19"/>
        <v>0</v>
      </c>
      <c r="H172">
        <v>0</v>
      </c>
      <c r="I172">
        <v>0</v>
      </c>
      <c r="J172">
        <v>0</v>
      </c>
      <c r="K172">
        <f t="shared" si="20"/>
        <v>0</v>
      </c>
      <c r="L172" s="22">
        <f t="shared" si="21"/>
        <v>0</v>
      </c>
      <c r="M172" s="22">
        <f t="shared" si="22"/>
        <v>0</v>
      </c>
    </row>
    <row r="173" spans="1:13" x14ac:dyDescent="0.25">
      <c r="A173">
        <v>40302</v>
      </c>
      <c r="B173" t="s">
        <v>231</v>
      </c>
      <c r="C173">
        <v>0</v>
      </c>
      <c r="D173">
        <v>0</v>
      </c>
      <c r="E173">
        <v>0</v>
      </c>
      <c r="F173">
        <v>0</v>
      </c>
      <c r="G173">
        <f t="shared" si="19"/>
        <v>0</v>
      </c>
      <c r="H173">
        <v>0</v>
      </c>
      <c r="I173">
        <v>0</v>
      </c>
      <c r="J173">
        <v>0</v>
      </c>
      <c r="K173">
        <f t="shared" si="20"/>
        <v>0</v>
      </c>
      <c r="L173" s="22">
        <f t="shared" si="21"/>
        <v>0</v>
      </c>
      <c r="M173" s="22">
        <f t="shared" si="22"/>
        <v>0</v>
      </c>
    </row>
    <row r="174" spans="1:13" x14ac:dyDescent="0.25">
      <c r="A174">
        <v>40401</v>
      </c>
      <c r="B174" t="s">
        <v>232</v>
      </c>
      <c r="C174">
        <v>0</v>
      </c>
      <c r="D174">
        <v>0</v>
      </c>
      <c r="E174">
        <v>0</v>
      </c>
      <c r="F174">
        <v>0</v>
      </c>
      <c r="G174">
        <f t="shared" si="19"/>
        <v>0</v>
      </c>
      <c r="H174">
        <v>0</v>
      </c>
      <c r="I174">
        <v>0</v>
      </c>
      <c r="J174">
        <v>0</v>
      </c>
      <c r="K174">
        <f t="shared" si="20"/>
        <v>0</v>
      </c>
      <c r="L174" s="22">
        <f t="shared" si="21"/>
        <v>0</v>
      </c>
      <c r="M174" s="22">
        <f t="shared" si="22"/>
        <v>0</v>
      </c>
    </row>
    <row r="175" spans="1:13" x14ac:dyDescent="0.25">
      <c r="A175">
        <v>40402</v>
      </c>
      <c r="B175" t="s">
        <v>233</v>
      </c>
      <c r="C175">
        <v>0</v>
      </c>
      <c r="D175">
        <v>0</v>
      </c>
      <c r="E175">
        <v>0</v>
      </c>
      <c r="F175">
        <v>0</v>
      </c>
      <c r="G175">
        <f t="shared" si="19"/>
        <v>0</v>
      </c>
      <c r="H175">
        <v>0</v>
      </c>
      <c r="I175">
        <v>0</v>
      </c>
      <c r="J175">
        <v>0</v>
      </c>
      <c r="K175">
        <f t="shared" si="20"/>
        <v>0</v>
      </c>
      <c r="L175" s="22">
        <f t="shared" si="21"/>
        <v>0</v>
      </c>
      <c r="M175" s="22">
        <f t="shared" si="22"/>
        <v>0</v>
      </c>
    </row>
    <row r="176" spans="1:13" x14ac:dyDescent="0.25">
      <c r="A176">
        <v>40501</v>
      </c>
      <c r="B176" t="s">
        <v>234</v>
      </c>
      <c r="C176">
        <v>0</v>
      </c>
      <c r="D176">
        <v>0</v>
      </c>
      <c r="E176">
        <v>0</v>
      </c>
      <c r="F176">
        <v>0</v>
      </c>
      <c r="G176">
        <f t="shared" si="19"/>
        <v>0</v>
      </c>
      <c r="H176">
        <v>0</v>
      </c>
      <c r="I176">
        <v>0</v>
      </c>
      <c r="J176">
        <v>0</v>
      </c>
      <c r="K176">
        <f t="shared" si="20"/>
        <v>0</v>
      </c>
      <c r="L176" s="22">
        <f t="shared" si="21"/>
        <v>0</v>
      </c>
      <c r="M176" s="22">
        <f t="shared" si="22"/>
        <v>0</v>
      </c>
    </row>
    <row r="177" spans="1:13" x14ac:dyDescent="0.25">
      <c r="A177">
        <v>40502</v>
      </c>
      <c r="B177" t="s">
        <v>235</v>
      </c>
      <c r="C177">
        <v>0</v>
      </c>
      <c r="D177">
        <v>0</v>
      </c>
      <c r="E177">
        <v>0</v>
      </c>
      <c r="F177">
        <v>0</v>
      </c>
      <c r="G177">
        <f t="shared" si="19"/>
        <v>0</v>
      </c>
      <c r="H177">
        <v>0</v>
      </c>
      <c r="I177">
        <v>0</v>
      </c>
      <c r="J177">
        <v>0</v>
      </c>
      <c r="K177">
        <f t="shared" si="20"/>
        <v>0</v>
      </c>
      <c r="L177" s="22">
        <f t="shared" si="21"/>
        <v>0</v>
      </c>
      <c r="M177" s="22">
        <f t="shared" si="22"/>
        <v>0</v>
      </c>
    </row>
    <row r="178" spans="1:13" x14ac:dyDescent="0.25">
      <c r="A178">
        <v>40503</v>
      </c>
      <c r="B178" t="s">
        <v>236</v>
      </c>
      <c r="C178">
        <v>0</v>
      </c>
      <c r="D178">
        <v>0</v>
      </c>
      <c r="E178">
        <v>0</v>
      </c>
      <c r="F178">
        <v>0</v>
      </c>
      <c r="G178">
        <f t="shared" si="19"/>
        <v>0</v>
      </c>
      <c r="H178">
        <v>0</v>
      </c>
      <c r="I178">
        <v>0</v>
      </c>
      <c r="J178">
        <v>0</v>
      </c>
      <c r="K178">
        <f t="shared" si="20"/>
        <v>0</v>
      </c>
      <c r="L178" s="22">
        <f t="shared" si="21"/>
        <v>0</v>
      </c>
      <c r="M178" s="22">
        <f t="shared" si="22"/>
        <v>0</v>
      </c>
    </row>
    <row r="179" spans="1:13" x14ac:dyDescent="0.25">
      <c r="A179">
        <v>40504</v>
      </c>
      <c r="B179" t="s">
        <v>237</v>
      </c>
      <c r="C179">
        <v>0</v>
      </c>
      <c r="D179">
        <v>0</v>
      </c>
      <c r="E179">
        <v>0</v>
      </c>
      <c r="F179">
        <v>0</v>
      </c>
      <c r="G179">
        <f t="shared" si="19"/>
        <v>0</v>
      </c>
      <c r="H179">
        <v>0</v>
      </c>
      <c r="I179">
        <v>0</v>
      </c>
      <c r="J179">
        <v>0</v>
      </c>
      <c r="K179">
        <f t="shared" si="20"/>
        <v>0</v>
      </c>
      <c r="L179" s="22">
        <f t="shared" si="21"/>
        <v>0</v>
      </c>
      <c r="M179" s="22">
        <f t="shared" si="22"/>
        <v>0</v>
      </c>
    </row>
    <row r="180" spans="1:13" x14ac:dyDescent="0.25">
      <c r="A180">
        <v>40505</v>
      </c>
      <c r="B180" t="s">
        <v>238</v>
      </c>
      <c r="C180">
        <v>0</v>
      </c>
      <c r="D180">
        <v>0</v>
      </c>
      <c r="E180">
        <v>0</v>
      </c>
      <c r="F180">
        <v>0</v>
      </c>
      <c r="G180">
        <f t="shared" si="19"/>
        <v>0</v>
      </c>
      <c r="H180">
        <v>0</v>
      </c>
      <c r="I180">
        <v>0</v>
      </c>
      <c r="J180">
        <v>0</v>
      </c>
      <c r="K180">
        <f t="shared" si="20"/>
        <v>0</v>
      </c>
      <c r="L180" s="22">
        <f t="shared" si="21"/>
        <v>0</v>
      </c>
      <c r="M180" s="22">
        <f t="shared" si="22"/>
        <v>0</v>
      </c>
    </row>
    <row r="181" spans="1:13" x14ac:dyDescent="0.25">
      <c r="A181">
        <v>40601</v>
      </c>
      <c r="B181" t="s">
        <v>239</v>
      </c>
      <c r="C181">
        <v>0</v>
      </c>
      <c r="D181">
        <v>0</v>
      </c>
      <c r="E181">
        <v>0</v>
      </c>
      <c r="F181">
        <v>0</v>
      </c>
      <c r="G181">
        <f t="shared" si="19"/>
        <v>0</v>
      </c>
      <c r="H181">
        <v>0</v>
      </c>
      <c r="I181">
        <v>0</v>
      </c>
      <c r="J181">
        <v>0</v>
      </c>
      <c r="K181">
        <f t="shared" si="20"/>
        <v>0</v>
      </c>
      <c r="L181" s="22">
        <f t="shared" si="21"/>
        <v>0</v>
      </c>
      <c r="M181" s="22">
        <f t="shared" si="22"/>
        <v>0</v>
      </c>
    </row>
    <row r="182" spans="1:13" x14ac:dyDescent="0.25">
      <c r="A182">
        <v>40602</v>
      </c>
      <c r="B182" t="s">
        <v>240</v>
      </c>
      <c r="C182">
        <v>0</v>
      </c>
      <c r="D182">
        <v>0</v>
      </c>
      <c r="E182">
        <v>0</v>
      </c>
      <c r="F182">
        <v>0</v>
      </c>
      <c r="G182">
        <f t="shared" si="19"/>
        <v>0</v>
      </c>
      <c r="H182">
        <v>0</v>
      </c>
      <c r="I182">
        <v>0</v>
      </c>
      <c r="J182">
        <v>0</v>
      </c>
      <c r="K182">
        <f t="shared" si="20"/>
        <v>0</v>
      </c>
      <c r="L182" s="22">
        <f t="shared" si="21"/>
        <v>0</v>
      </c>
      <c r="M182" s="22">
        <f t="shared" si="22"/>
        <v>0</v>
      </c>
    </row>
    <row r="183" spans="1:13" x14ac:dyDescent="0.25">
      <c r="A183">
        <v>40603</v>
      </c>
      <c r="B183" t="s">
        <v>241</v>
      </c>
      <c r="C183">
        <v>0</v>
      </c>
      <c r="D183">
        <v>0</v>
      </c>
      <c r="E183">
        <v>0</v>
      </c>
      <c r="F183">
        <v>0</v>
      </c>
      <c r="G183">
        <f t="shared" si="19"/>
        <v>0</v>
      </c>
      <c r="H183">
        <v>0</v>
      </c>
      <c r="I183">
        <v>0</v>
      </c>
      <c r="J183">
        <v>0</v>
      </c>
      <c r="K183">
        <f t="shared" si="20"/>
        <v>0</v>
      </c>
      <c r="L183" s="22">
        <f t="shared" si="21"/>
        <v>0</v>
      </c>
      <c r="M183" s="22">
        <f t="shared" si="22"/>
        <v>0</v>
      </c>
    </row>
    <row r="184" spans="1:13" x14ac:dyDescent="0.25">
      <c r="A184">
        <v>40701</v>
      </c>
      <c r="B184" t="s">
        <v>242</v>
      </c>
      <c r="C184">
        <v>0</v>
      </c>
      <c r="D184">
        <v>0</v>
      </c>
      <c r="E184">
        <v>0</v>
      </c>
      <c r="F184">
        <v>0</v>
      </c>
      <c r="G184">
        <f t="shared" si="19"/>
        <v>0</v>
      </c>
      <c r="H184">
        <v>0</v>
      </c>
      <c r="I184">
        <v>0</v>
      </c>
      <c r="J184">
        <v>0</v>
      </c>
      <c r="K184">
        <f t="shared" si="20"/>
        <v>0</v>
      </c>
      <c r="L184" s="22">
        <f t="shared" si="21"/>
        <v>0</v>
      </c>
      <c r="M184" s="22">
        <f t="shared" si="22"/>
        <v>0</v>
      </c>
    </row>
    <row r="185" spans="1:13" x14ac:dyDescent="0.25">
      <c r="A185">
        <v>40702</v>
      </c>
      <c r="B185" t="s">
        <v>243</v>
      </c>
      <c r="C185">
        <v>0</v>
      </c>
      <c r="D185">
        <v>0</v>
      </c>
      <c r="E185">
        <v>0</v>
      </c>
      <c r="F185">
        <v>0</v>
      </c>
      <c r="G185">
        <f t="shared" si="19"/>
        <v>0</v>
      </c>
      <c r="H185">
        <v>0</v>
      </c>
      <c r="I185">
        <v>0</v>
      </c>
      <c r="J185">
        <v>0</v>
      </c>
      <c r="K185">
        <f t="shared" si="20"/>
        <v>0</v>
      </c>
      <c r="L185" s="22">
        <f t="shared" si="21"/>
        <v>0</v>
      </c>
      <c r="M185" s="22">
        <f t="shared" si="22"/>
        <v>0</v>
      </c>
    </row>
    <row r="186" spans="1:13" x14ac:dyDescent="0.25">
      <c r="A186">
        <v>40801</v>
      </c>
      <c r="B186" t="s">
        <v>244</v>
      </c>
      <c r="C186">
        <v>0</v>
      </c>
      <c r="D186">
        <v>0</v>
      </c>
      <c r="E186">
        <v>0</v>
      </c>
      <c r="F186">
        <v>0</v>
      </c>
      <c r="G186">
        <f t="shared" si="19"/>
        <v>0</v>
      </c>
      <c r="H186">
        <v>0</v>
      </c>
      <c r="I186">
        <v>0</v>
      </c>
      <c r="J186">
        <v>0</v>
      </c>
      <c r="K186">
        <f t="shared" si="20"/>
        <v>0</v>
      </c>
      <c r="L186" s="22">
        <f t="shared" si="21"/>
        <v>0</v>
      </c>
      <c r="M186" s="22">
        <f t="shared" si="22"/>
        <v>0</v>
      </c>
    </row>
    <row r="187" spans="1:13" x14ac:dyDescent="0.25">
      <c r="A187">
        <v>40802</v>
      </c>
      <c r="B187" t="s">
        <v>245</v>
      </c>
      <c r="C187">
        <v>0</v>
      </c>
      <c r="D187">
        <v>0</v>
      </c>
      <c r="E187">
        <v>0</v>
      </c>
      <c r="F187">
        <v>0</v>
      </c>
      <c r="G187">
        <f t="shared" si="19"/>
        <v>0</v>
      </c>
      <c r="H187">
        <v>0</v>
      </c>
      <c r="I187">
        <v>0</v>
      </c>
      <c r="J187">
        <v>0</v>
      </c>
      <c r="K187">
        <f t="shared" si="20"/>
        <v>0</v>
      </c>
      <c r="L187" s="22">
        <f t="shared" si="21"/>
        <v>0</v>
      </c>
      <c r="M187" s="22">
        <f t="shared" si="22"/>
        <v>0</v>
      </c>
    </row>
    <row r="188" spans="1:13" x14ac:dyDescent="0.25">
      <c r="A188">
        <v>40901</v>
      </c>
      <c r="B188" t="s">
        <v>246</v>
      </c>
      <c r="C188">
        <v>0</v>
      </c>
      <c r="D188">
        <v>0</v>
      </c>
      <c r="E188">
        <v>0</v>
      </c>
      <c r="F188">
        <v>0</v>
      </c>
      <c r="G188">
        <f t="shared" si="19"/>
        <v>0</v>
      </c>
      <c r="H188">
        <v>0</v>
      </c>
      <c r="I188">
        <v>0</v>
      </c>
      <c r="J188">
        <v>0</v>
      </c>
      <c r="K188">
        <f t="shared" si="20"/>
        <v>0</v>
      </c>
      <c r="L188" s="22">
        <f t="shared" si="21"/>
        <v>0</v>
      </c>
      <c r="M188" s="22">
        <f t="shared" si="22"/>
        <v>0</v>
      </c>
    </row>
    <row r="189" spans="1:13" x14ac:dyDescent="0.25">
      <c r="A189">
        <v>40902</v>
      </c>
      <c r="B189" t="s">
        <v>247</v>
      </c>
      <c r="C189">
        <v>0</v>
      </c>
      <c r="D189">
        <v>0</v>
      </c>
      <c r="E189">
        <v>0</v>
      </c>
      <c r="F189">
        <v>0</v>
      </c>
      <c r="G189">
        <f t="shared" si="19"/>
        <v>0</v>
      </c>
      <c r="H189">
        <v>0</v>
      </c>
      <c r="I189">
        <v>0</v>
      </c>
      <c r="J189">
        <v>0</v>
      </c>
      <c r="K189">
        <f t="shared" si="20"/>
        <v>0</v>
      </c>
      <c r="L189" s="22">
        <f t="shared" si="21"/>
        <v>0</v>
      </c>
      <c r="M189" s="22">
        <f t="shared" si="22"/>
        <v>0</v>
      </c>
    </row>
    <row r="190" spans="1:13" x14ac:dyDescent="0.25">
      <c r="A190">
        <v>40903</v>
      </c>
      <c r="B190" t="s">
        <v>248</v>
      </c>
      <c r="C190">
        <v>0</v>
      </c>
      <c r="D190">
        <v>0</v>
      </c>
      <c r="E190">
        <v>0</v>
      </c>
      <c r="F190">
        <v>0</v>
      </c>
      <c r="G190">
        <f t="shared" si="19"/>
        <v>0</v>
      </c>
      <c r="H190">
        <v>0</v>
      </c>
      <c r="I190">
        <v>0</v>
      </c>
      <c r="J190">
        <v>0</v>
      </c>
      <c r="K190">
        <f t="shared" si="20"/>
        <v>0</v>
      </c>
      <c r="L190" s="22">
        <f t="shared" si="21"/>
        <v>0</v>
      </c>
      <c r="M190" s="22">
        <f t="shared" si="22"/>
        <v>0</v>
      </c>
    </row>
    <row r="191" spans="1:13" x14ac:dyDescent="0.25">
      <c r="A191">
        <v>41001</v>
      </c>
      <c r="B191" t="s">
        <v>249</v>
      </c>
      <c r="C191">
        <v>0</v>
      </c>
      <c r="D191">
        <v>0</v>
      </c>
      <c r="E191">
        <v>0</v>
      </c>
      <c r="F191">
        <v>0</v>
      </c>
      <c r="G191">
        <f t="shared" si="19"/>
        <v>0</v>
      </c>
      <c r="H191">
        <v>0</v>
      </c>
      <c r="I191">
        <v>0</v>
      </c>
      <c r="J191">
        <v>0</v>
      </c>
      <c r="K191">
        <f t="shared" si="20"/>
        <v>0</v>
      </c>
      <c r="L191" s="22">
        <f t="shared" si="21"/>
        <v>0</v>
      </c>
      <c r="M191" s="22">
        <f t="shared" si="22"/>
        <v>0</v>
      </c>
    </row>
    <row r="192" spans="1:13" x14ac:dyDescent="0.25">
      <c r="A192">
        <v>41101</v>
      </c>
      <c r="B192" t="s">
        <v>250</v>
      </c>
      <c r="C192">
        <v>0</v>
      </c>
      <c r="D192">
        <v>0</v>
      </c>
      <c r="E192">
        <v>0</v>
      </c>
      <c r="F192">
        <v>0</v>
      </c>
      <c r="G192">
        <f t="shared" si="19"/>
        <v>0</v>
      </c>
      <c r="H192">
        <v>0</v>
      </c>
      <c r="I192">
        <v>0</v>
      </c>
      <c r="J192">
        <v>0</v>
      </c>
      <c r="K192">
        <f t="shared" si="20"/>
        <v>0</v>
      </c>
      <c r="L192" s="22">
        <f t="shared" si="21"/>
        <v>0</v>
      </c>
      <c r="M192" s="22">
        <f t="shared" si="22"/>
        <v>0</v>
      </c>
    </row>
    <row r="193" spans="1:13" x14ac:dyDescent="0.25">
      <c r="A193">
        <v>41201</v>
      </c>
      <c r="B193" t="s">
        <v>251</v>
      </c>
      <c r="C193">
        <v>0</v>
      </c>
      <c r="D193">
        <v>0</v>
      </c>
      <c r="E193">
        <v>0</v>
      </c>
      <c r="F193">
        <v>0</v>
      </c>
      <c r="G193">
        <f t="shared" si="19"/>
        <v>0</v>
      </c>
      <c r="H193">
        <v>0</v>
      </c>
      <c r="I193">
        <v>0</v>
      </c>
      <c r="J193">
        <v>0</v>
      </c>
      <c r="K193">
        <f t="shared" si="20"/>
        <v>0</v>
      </c>
      <c r="L193" s="22">
        <f t="shared" si="21"/>
        <v>0</v>
      </c>
      <c r="M193" s="22">
        <f t="shared" si="22"/>
        <v>0</v>
      </c>
    </row>
    <row r="194" spans="1:13" x14ac:dyDescent="0.25">
      <c r="A194">
        <v>41202</v>
      </c>
      <c r="B194" t="s">
        <v>252</v>
      </c>
      <c r="C194">
        <v>0</v>
      </c>
      <c r="D194">
        <v>0</v>
      </c>
      <c r="E194">
        <v>0</v>
      </c>
      <c r="F194">
        <v>0</v>
      </c>
      <c r="G194">
        <f t="shared" ref="G194:G257" si="23">AVERAGE(D194:F194)</f>
        <v>0</v>
      </c>
      <c r="H194">
        <v>0</v>
      </c>
      <c r="I194">
        <v>0</v>
      </c>
      <c r="J194">
        <v>0</v>
      </c>
      <c r="K194">
        <f t="shared" ref="K194:K257" si="24">AVERAGE(H194:J194)</f>
        <v>0</v>
      </c>
      <c r="L194" s="22">
        <f t="shared" ref="L194:L257" si="25">IF(C194=0,0,(G194/C194)*100)</f>
        <v>0</v>
      </c>
      <c r="M194" s="22">
        <f t="shared" ref="M194:M257" si="26">IF(C194=0,0,(K194/C194)*100)</f>
        <v>0</v>
      </c>
    </row>
    <row r="195" spans="1:13" x14ac:dyDescent="0.25">
      <c r="A195">
        <v>41301</v>
      </c>
      <c r="B195" t="s">
        <v>206</v>
      </c>
      <c r="C195">
        <v>0</v>
      </c>
      <c r="D195">
        <v>0</v>
      </c>
      <c r="E195">
        <v>0</v>
      </c>
      <c r="F195">
        <v>0</v>
      </c>
      <c r="G195">
        <f t="shared" si="23"/>
        <v>0</v>
      </c>
      <c r="H195">
        <v>0</v>
      </c>
      <c r="I195">
        <v>0</v>
      </c>
      <c r="J195">
        <v>0</v>
      </c>
      <c r="K195">
        <f t="shared" si="24"/>
        <v>0</v>
      </c>
      <c r="L195" s="22">
        <f t="shared" si="25"/>
        <v>0</v>
      </c>
      <c r="M195" s="22">
        <f t="shared" si="26"/>
        <v>0</v>
      </c>
    </row>
    <row r="196" spans="1:13" x14ac:dyDescent="0.25">
      <c r="A196">
        <v>41401</v>
      </c>
      <c r="B196" t="s">
        <v>253</v>
      </c>
      <c r="C196">
        <v>0</v>
      </c>
      <c r="D196">
        <v>0</v>
      </c>
      <c r="E196">
        <v>0</v>
      </c>
      <c r="F196">
        <v>0</v>
      </c>
      <c r="G196">
        <f t="shared" si="23"/>
        <v>0</v>
      </c>
      <c r="H196">
        <v>0</v>
      </c>
      <c r="I196">
        <v>0</v>
      </c>
      <c r="J196">
        <v>0</v>
      </c>
      <c r="K196">
        <f t="shared" si="24"/>
        <v>0</v>
      </c>
      <c r="L196" s="22">
        <f t="shared" si="25"/>
        <v>0</v>
      </c>
      <c r="M196" s="22">
        <f t="shared" si="26"/>
        <v>0</v>
      </c>
    </row>
    <row r="197" spans="1:13" x14ac:dyDescent="0.25">
      <c r="A197">
        <v>41501</v>
      </c>
      <c r="B197" t="s">
        <v>254</v>
      </c>
      <c r="C197">
        <v>0</v>
      </c>
      <c r="D197">
        <v>0</v>
      </c>
      <c r="E197">
        <v>0</v>
      </c>
      <c r="F197">
        <v>0</v>
      </c>
      <c r="G197">
        <f t="shared" si="23"/>
        <v>0</v>
      </c>
      <c r="H197">
        <v>0</v>
      </c>
      <c r="I197">
        <v>0</v>
      </c>
      <c r="J197">
        <v>0</v>
      </c>
      <c r="K197">
        <f t="shared" si="24"/>
        <v>0</v>
      </c>
      <c r="L197" s="22">
        <f t="shared" si="25"/>
        <v>0</v>
      </c>
      <c r="M197" s="22">
        <f t="shared" si="26"/>
        <v>0</v>
      </c>
    </row>
    <row r="198" spans="1:13" x14ac:dyDescent="0.25">
      <c r="A198">
        <v>41502</v>
      </c>
      <c r="B198" t="s">
        <v>255</v>
      </c>
      <c r="C198">
        <v>0</v>
      </c>
      <c r="D198">
        <v>0</v>
      </c>
      <c r="E198">
        <v>0</v>
      </c>
      <c r="F198">
        <v>0</v>
      </c>
      <c r="G198">
        <f t="shared" si="23"/>
        <v>0</v>
      </c>
      <c r="H198">
        <v>0</v>
      </c>
      <c r="I198">
        <v>0</v>
      </c>
      <c r="J198">
        <v>0</v>
      </c>
      <c r="K198">
        <f t="shared" si="24"/>
        <v>0</v>
      </c>
      <c r="L198" s="22">
        <f t="shared" si="25"/>
        <v>0</v>
      </c>
      <c r="M198" s="22">
        <f t="shared" si="26"/>
        <v>0</v>
      </c>
    </row>
    <row r="199" spans="1:13" x14ac:dyDescent="0.25">
      <c r="A199">
        <v>41503</v>
      </c>
      <c r="B199" t="s">
        <v>256</v>
      </c>
      <c r="C199">
        <v>0</v>
      </c>
      <c r="D199">
        <v>0</v>
      </c>
      <c r="E199">
        <v>0</v>
      </c>
      <c r="F199">
        <v>0</v>
      </c>
      <c r="G199">
        <f t="shared" si="23"/>
        <v>0</v>
      </c>
      <c r="H199">
        <v>0</v>
      </c>
      <c r="I199">
        <v>0</v>
      </c>
      <c r="J199">
        <v>0</v>
      </c>
      <c r="K199">
        <f t="shared" si="24"/>
        <v>0</v>
      </c>
      <c r="L199" s="22">
        <f t="shared" si="25"/>
        <v>0</v>
      </c>
      <c r="M199" s="22">
        <f t="shared" si="26"/>
        <v>0</v>
      </c>
    </row>
    <row r="200" spans="1:13" x14ac:dyDescent="0.25">
      <c r="A200">
        <v>41601</v>
      </c>
      <c r="B200" t="s">
        <v>257</v>
      </c>
      <c r="C200">
        <v>0</v>
      </c>
      <c r="D200">
        <v>0</v>
      </c>
      <c r="E200">
        <v>0</v>
      </c>
      <c r="F200">
        <v>0</v>
      </c>
      <c r="G200">
        <f t="shared" si="23"/>
        <v>0</v>
      </c>
      <c r="H200">
        <v>0</v>
      </c>
      <c r="I200">
        <v>0</v>
      </c>
      <c r="J200">
        <v>0</v>
      </c>
      <c r="K200">
        <f t="shared" si="24"/>
        <v>0</v>
      </c>
      <c r="L200" s="22">
        <f t="shared" si="25"/>
        <v>0</v>
      </c>
      <c r="M200" s="22">
        <f t="shared" si="26"/>
        <v>0</v>
      </c>
    </row>
    <row r="201" spans="1:13" x14ac:dyDescent="0.25">
      <c r="A201">
        <v>50101</v>
      </c>
      <c r="B201" t="s">
        <v>258</v>
      </c>
      <c r="C201">
        <v>0</v>
      </c>
      <c r="D201">
        <v>0</v>
      </c>
      <c r="E201">
        <v>0</v>
      </c>
      <c r="F201">
        <v>0</v>
      </c>
      <c r="G201">
        <f t="shared" si="23"/>
        <v>0</v>
      </c>
      <c r="H201">
        <v>0</v>
      </c>
      <c r="I201">
        <v>0</v>
      </c>
      <c r="J201">
        <v>0</v>
      </c>
      <c r="K201">
        <f t="shared" si="24"/>
        <v>0</v>
      </c>
      <c r="L201" s="22">
        <f t="shared" si="25"/>
        <v>0</v>
      </c>
      <c r="M201" s="22">
        <f t="shared" si="26"/>
        <v>0</v>
      </c>
    </row>
    <row r="202" spans="1:13" x14ac:dyDescent="0.25">
      <c r="A202">
        <v>50102</v>
      </c>
      <c r="B202" t="s">
        <v>259</v>
      </c>
      <c r="C202">
        <v>0</v>
      </c>
      <c r="D202">
        <v>0</v>
      </c>
      <c r="E202">
        <v>0</v>
      </c>
      <c r="F202">
        <v>0</v>
      </c>
      <c r="G202">
        <f t="shared" si="23"/>
        <v>0</v>
      </c>
      <c r="H202">
        <v>0</v>
      </c>
      <c r="I202">
        <v>0</v>
      </c>
      <c r="J202">
        <v>0</v>
      </c>
      <c r="K202">
        <f t="shared" si="24"/>
        <v>0</v>
      </c>
      <c r="L202" s="22">
        <f t="shared" si="25"/>
        <v>0</v>
      </c>
      <c r="M202" s="22">
        <f t="shared" si="26"/>
        <v>0</v>
      </c>
    </row>
    <row r="203" spans="1:13" x14ac:dyDescent="0.25">
      <c r="A203">
        <v>50103</v>
      </c>
      <c r="B203" t="s">
        <v>260</v>
      </c>
      <c r="C203">
        <v>0</v>
      </c>
      <c r="D203">
        <v>0</v>
      </c>
      <c r="E203">
        <v>0</v>
      </c>
      <c r="F203">
        <v>0</v>
      </c>
      <c r="G203">
        <f t="shared" si="23"/>
        <v>0</v>
      </c>
      <c r="H203">
        <v>0</v>
      </c>
      <c r="I203">
        <v>0</v>
      </c>
      <c r="J203">
        <v>0</v>
      </c>
      <c r="K203">
        <f t="shared" si="24"/>
        <v>0</v>
      </c>
      <c r="L203" s="22">
        <f t="shared" si="25"/>
        <v>0</v>
      </c>
      <c r="M203" s="22">
        <f t="shared" si="26"/>
        <v>0</v>
      </c>
    </row>
    <row r="204" spans="1:13" x14ac:dyDescent="0.25">
      <c r="A204">
        <v>50104</v>
      </c>
      <c r="B204" t="s">
        <v>261</v>
      </c>
      <c r="C204">
        <v>0</v>
      </c>
      <c r="D204">
        <v>0</v>
      </c>
      <c r="E204">
        <v>0</v>
      </c>
      <c r="F204">
        <v>0</v>
      </c>
      <c r="G204">
        <f t="shared" si="23"/>
        <v>0</v>
      </c>
      <c r="H204">
        <v>0</v>
      </c>
      <c r="I204">
        <v>0</v>
      </c>
      <c r="J204">
        <v>0</v>
      </c>
      <c r="K204">
        <f t="shared" si="24"/>
        <v>0</v>
      </c>
      <c r="L204" s="22">
        <f t="shared" si="25"/>
        <v>0</v>
      </c>
      <c r="M204" s="22">
        <f t="shared" si="26"/>
        <v>0</v>
      </c>
    </row>
    <row r="205" spans="1:13" x14ac:dyDescent="0.25">
      <c r="A205">
        <v>50201</v>
      </c>
      <c r="B205" t="s">
        <v>262</v>
      </c>
      <c r="C205">
        <v>0</v>
      </c>
      <c r="D205">
        <v>0</v>
      </c>
      <c r="E205">
        <v>0</v>
      </c>
      <c r="F205">
        <v>0</v>
      </c>
      <c r="G205">
        <f t="shared" si="23"/>
        <v>0</v>
      </c>
      <c r="H205">
        <v>0</v>
      </c>
      <c r="I205">
        <v>0</v>
      </c>
      <c r="J205">
        <v>0</v>
      </c>
      <c r="K205">
        <f t="shared" si="24"/>
        <v>0</v>
      </c>
      <c r="L205" s="22">
        <f t="shared" si="25"/>
        <v>0</v>
      </c>
      <c r="M205" s="22">
        <f t="shared" si="26"/>
        <v>0</v>
      </c>
    </row>
    <row r="206" spans="1:13" x14ac:dyDescent="0.25">
      <c r="A206">
        <v>50202</v>
      </c>
      <c r="B206" t="s">
        <v>263</v>
      </c>
      <c r="C206">
        <v>0</v>
      </c>
      <c r="D206">
        <v>0</v>
      </c>
      <c r="E206">
        <v>0</v>
      </c>
      <c r="F206">
        <v>0</v>
      </c>
      <c r="G206">
        <f t="shared" si="23"/>
        <v>0</v>
      </c>
      <c r="H206">
        <v>0</v>
      </c>
      <c r="I206">
        <v>0</v>
      </c>
      <c r="J206">
        <v>0</v>
      </c>
      <c r="K206">
        <f t="shared" si="24"/>
        <v>0</v>
      </c>
      <c r="L206" s="22">
        <f t="shared" si="25"/>
        <v>0</v>
      </c>
      <c r="M206" s="22">
        <f t="shared" si="26"/>
        <v>0</v>
      </c>
    </row>
    <row r="207" spans="1:13" x14ac:dyDescent="0.25">
      <c r="A207">
        <v>50203</v>
      </c>
      <c r="B207" t="s">
        <v>264</v>
      </c>
      <c r="C207">
        <v>0</v>
      </c>
      <c r="D207">
        <v>0</v>
      </c>
      <c r="E207">
        <v>0</v>
      </c>
      <c r="F207">
        <v>0</v>
      </c>
      <c r="G207">
        <f t="shared" si="23"/>
        <v>0</v>
      </c>
      <c r="H207">
        <v>0</v>
      </c>
      <c r="I207">
        <v>0</v>
      </c>
      <c r="J207">
        <v>0</v>
      </c>
      <c r="K207">
        <f t="shared" si="24"/>
        <v>0</v>
      </c>
      <c r="L207" s="22">
        <f t="shared" si="25"/>
        <v>0</v>
      </c>
      <c r="M207" s="22">
        <f t="shared" si="26"/>
        <v>0</v>
      </c>
    </row>
    <row r="208" spans="1:13" x14ac:dyDescent="0.25">
      <c r="A208">
        <v>50204</v>
      </c>
      <c r="B208" t="s">
        <v>265</v>
      </c>
      <c r="C208">
        <v>0</v>
      </c>
      <c r="D208">
        <v>0</v>
      </c>
      <c r="E208">
        <v>0</v>
      </c>
      <c r="F208">
        <v>0</v>
      </c>
      <c r="G208">
        <f t="shared" si="23"/>
        <v>0</v>
      </c>
      <c r="H208">
        <v>0</v>
      </c>
      <c r="I208">
        <v>0</v>
      </c>
      <c r="J208">
        <v>0</v>
      </c>
      <c r="K208">
        <f t="shared" si="24"/>
        <v>0</v>
      </c>
      <c r="L208" s="22">
        <f t="shared" si="25"/>
        <v>0</v>
      </c>
      <c r="M208" s="22">
        <f t="shared" si="26"/>
        <v>0</v>
      </c>
    </row>
    <row r="209" spans="1:13" x14ac:dyDescent="0.25">
      <c r="A209">
        <v>50301</v>
      </c>
      <c r="B209" t="s">
        <v>266</v>
      </c>
      <c r="C209">
        <v>1696.68</v>
      </c>
      <c r="D209">
        <v>5.58</v>
      </c>
      <c r="E209">
        <v>2.7</v>
      </c>
      <c r="F209">
        <v>29.43</v>
      </c>
      <c r="G209">
        <f t="shared" si="23"/>
        <v>12.57</v>
      </c>
      <c r="H209">
        <v>0.72</v>
      </c>
      <c r="I209">
        <v>1.44</v>
      </c>
      <c r="J209">
        <v>234.63</v>
      </c>
      <c r="K209">
        <f t="shared" si="24"/>
        <v>78.929999999999993</v>
      </c>
      <c r="L209" s="22">
        <f t="shared" si="25"/>
        <v>0.7408586180069312</v>
      </c>
      <c r="M209" s="22">
        <f t="shared" si="26"/>
        <v>4.6520263102058133</v>
      </c>
    </row>
    <row r="210" spans="1:13" x14ac:dyDescent="0.25">
      <c r="A210">
        <v>50302</v>
      </c>
      <c r="B210" t="s">
        <v>267</v>
      </c>
      <c r="C210">
        <v>0</v>
      </c>
      <c r="D210">
        <v>0</v>
      </c>
      <c r="E210">
        <v>0</v>
      </c>
      <c r="F210">
        <v>0</v>
      </c>
      <c r="G210">
        <f t="shared" si="23"/>
        <v>0</v>
      </c>
      <c r="H210">
        <v>0</v>
      </c>
      <c r="I210">
        <v>0</v>
      </c>
      <c r="J210">
        <v>0</v>
      </c>
      <c r="K210">
        <f t="shared" si="24"/>
        <v>0</v>
      </c>
      <c r="L210" s="22">
        <f t="shared" si="25"/>
        <v>0</v>
      </c>
      <c r="M210" s="22">
        <f t="shared" si="26"/>
        <v>0</v>
      </c>
    </row>
    <row r="211" spans="1:13" x14ac:dyDescent="0.25">
      <c r="A211">
        <v>50303</v>
      </c>
      <c r="B211" t="s">
        <v>268</v>
      </c>
      <c r="C211">
        <v>0</v>
      </c>
      <c r="D211">
        <v>0</v>
      </c>
      <c r="E211">
        <v>0</v>
      </c>
      <c r="F211">
        <v>0</v>
      </c>
      <c r="G211">
        <f t="shared" si="23"/>
        <v>0</v>
      </c>
      <c r="H211">
        <v>0</v>
      </c>
      <c r="I211">
        <v>0</v>
      </c>
      <c r="J211">
        <v>0</v>
      </c>
      <c r="K211">
        <f t="shared" si="24"/>
        <v>0</v>
      </c>
      <c r="L211" s="22">
        <f t="shared" si="25"/>
        <v>0</v>
      </c>
      <c r="M211" s="22">
        <f t="shared" si="26"/>
        <v>0</v>
      </c>
    </row>
    <row r="212" spans="1:13" x14ac:dyDescent="0.25">
      <c r="A212">
        <v>50401</v>
      </c>
      <c r="B212" t="s">
        <v>269</v>
      </c>
      <c r="C212">
        <v>1334.79</v>
      </c>
      <c r="D212">
        <v>6.48</v>
      </c>
      <c r="E212">
        <v>3.69</v>
      </c>
      <c r="F212">
        <v>24.66</v>
      </c>
      <c r="G212">
        <f t="shared" si="23"/>
        <v>11.61</v>
      </c>
      <c r="H212">
        <v>0.89999999999999991</v>
      </c>
      <c r="I212">
        <v>4.7699999999999996</v>
      </c>
      <c r="J212">
        <v>0</v>
      </c>
      <c r="K212">
        <f t="shared" si="24"/>
        <v>1.89</v>
      </c>
      <c r="L212" s="22">
        <f t="shared" si="25"/>
        <v>0.86979974377992042</v>
      </c>
      <c r="M212" s="22">
        <f t="shared" si="26"/>
        <v>0.1415953071269638</v>
      </c>
    </row>
    <row r="213" spans="1:13" x14ac:dyDescent="0.25">
      <c r="A213">
        <v>50402</v>
      </c>
      <c r="B213" t="s">
        <v>270</v>
      </c>
      <c r="C213">
        <v>7140.42</v>
      </c>
      <c r="D213">
        <v>17.100000000000001</v>
      </c>
      <c r="E213">
        <v>9.5399999999999991</v>
      </c>
      <c r="F213">
        <v>116.46</v>
      </c>
      <c r="G213">
        <f t="shared" si="23"/>
        <v>47.699999999999996</v>
      </c>
      <c r="H213">
        <v>3.87</v>
      </c>
      <c r="I213">
        <v>67.59</v>
      </c>
      <c r="J213">
        <v>53.55</v>
      </c>
      <c r="K213">
        <f t="shared" si="24"/>
        <v>41.67</v>
      </c>
      <c r="L213" s="22">
        <f t="shared" si="25"/>
        <v>0.6680279311301015</v>
      </c>
      <c r="M213" s="22">
        <f t="shared" si="26"/>
        <v>0.58357911719478694</v>
      </c>
    </row>
    <row r="214" spans="1:13" x14ac:dyDescent="0.25">
      <c r="A214">
        <v>50403</v>
      </c>
      <c r="B214" t="s">
        <v>271</v>
      </c>
      <c r="C214">
        <v>492.66</v>
      </c>
      <c r="D214">
        <v>4.68</v>
      </c>
      <c r="E214">
        <v>3.69</v>
      </c>
      <c r="F214">
        <v>12.24</v>
      </c>
      <c r="G214">
        <f t="shared" si="23"/>
        <v>6.87</v>
      </c>
      <c r="H214">
        <v>0.27</v>
      </c>
      <c r="I214">
        <v>3.42</v>
      </c>
      <c r="J214">
        <v>2.4300000000000002</v>
      </c>
      <c r="K214">
        <f t="shared" si="24"/>
        <v>2.04</v>
      </c>
      <c r="L214" s="22">
        <f t="shared" si="25"/>
        <v>1.3944708318109853</v>
      </c>
      <c r="M214" s="22">
        <f t="shared" si="26"/>
        <v>0.41407867494824013</v>
      </c>
    </row>
    <row r="215" spans="1:13" x14ac:dyDescent="0.25">
      <c r="A215">
        <v>50404</v>
      </c>
      <c r="B215" t="s">
        <v>272</v>
      </c>
      <c r="C215">
        <v>0</v>
      </c>
      <c r="D215">
        <v>0</v>
      </c>
      <c r="E215">
        <v>0</v>
      </c>
      <c r="F215">
        <v>0</v>
      </c>
      <c r="G215">
        <f t="shared" si="23"/>
        <v>0</v>
      </c>
      <c r="H215">
        <v>0</v>
      </c>
      <c r="I215">
        <v>0</v>
      </c>
      <c r="J215">
        <v>0</v>
      </c>
      <c r="K215">
        <f t="shared" si="24"/>
        <v>0</v>
      </c>
      <c r="L215" s="22">
        <f t="shared" si="25"/>
        <v>0</v>
      </c>
      <c r="M215" s="22">
        <f t="shared" si="26"/>
        <v>0</v>
      </c>
    </row>
    <row r="216" spans="1:13" x14ac:dyDescent="0.25">
      <c r="A216">
        <v>50405</v>
      </c>
      <c r="B216" t="s">
        <v>273</v>
      </c>
      <c r="C216">
        <v>0</v>
      </c>
      <c r="D216">
        <v>0</v>
      </c>
      <c r="E216">
        <v>0</v>
      </c>
      <c r="F216">
        <v>0</v>
      </c>
      <c r="G216">
        <f t="shared" si="23"/>
        <v>0</v>
      </c>
      <c r="H216">
        <v>0</v>
      </c>
      <c r="I216">
        <v>0</v>
      </c>
      <c r="J216">
        <v>0</v>
      </c>
      <c r="K216">
        <f t="shared" si="24"/>
        <v>0</v>
      </c>
      <c r="L216" s="22">
        <f t="shared" si="25"/>
        <v>0</v>
      </c>
      <c r="M216" s="22">
        <f t="shared" si="26"/>
        <v>0</v>
      </c>
    </row>
    <row r="217" spans="1:13" x14ac:dyDescent="0.25">
      <c r="A217">
        <v>50501</v>
      </c>
      <c r="B217" t="s">
        <v>274</v>
      </c>
      <c r="C217">
        <v>12536.73</v>
      </c>
      <c r="D217">
        <v>62.55</v>
      </c>
      <c r="E217">
        <v>45.72</v>
      </c>
      <c r="F217">
        <v>197.28</v>
      </c>
      <c r="G217">
        <f t="shared" si="23"/>
        <v>101.85000000000001</v>
      </c>
      <c r="H217">
        <v>4.1400000000000006</v>
      </c>
      <c r="I217">
        <v>105.84</v>
      </c>
      <c r="J217">
        <v>0.9</v>
      </c>
      <c r="K217">
        <f t="shared" si="24"/>
        <v>36.96</v>
      </c>
      <c r="L217" s="22">
        <f t="shared" si="25"/>
        <v>0.81241280621023193</v>
      </c>
      <c r="M217" s="22">
        <f t="shared" si="26"/>
        <v>0.29481371936701201</v>
      </c>
    </row>
    <row r="218" spans="1:13" x14ac:dyDescent="0.25">
      <c r="A218">
        <v>50502</v>
      </c>
      <c r="B218" t="s">
        <v>275</v>
      </c>
      <c r="C218">
        <v>17932.41</v>
      </c>
      <c r="D218">
        <v>34.47</v>
      </c>
      <c r="E218">
        <v>28.62</v>
      </c>
      <c r="F218">
        <v>166.5</v>
      </c>
      <c r="G218">
        <f t="shared" si="23"/>
        <v>76.53</v>
      </c>
      <c r="H218">
        <v>5.85</v>
      </c>
      <c r="I218">
        <v>70.740000000000009</v>
      </c>
      <c r="J218">
        <v>4.68</v>
      </c>
      <c r="K218">
        <f t="shared" si="24"/>
        <v>27.090000000000003</v>
      </c>
      <c r="L218" s="22">
        <f t="shared" si="25"/>
        <v>0.42676918495617711</v>
      </c>
      <c r="M218" s="22">
        <f t="shared" si="26"/>
        <v>0.15106725755210818</v>
      </c>
    </row>
    <row r="219" spans="1:13" x14ac:dyDescent="0.25">
      <c r="A219">
        <v>50601</v>
      </c>
      <c r="B219" t="s">
        <v>276</v>
      </c>
      <c r="C219">
        <v>0</v>
      </c>
      <c r="D219">
        <v>0</v>
      </c>
      <c r="E219">
        <v>0</v>
      </c>
      <c r="F219">
        <v>0</v>
      </c>
      <c r="G219">
        <f t="shared" si="23"/>
        <v>0</v>
      </c>
      <c r="H219">
        <v>0</v>
      </c>
      <c r="I219">
        <v>0</v>
      </c>
      <c r="J219">
        <v>0</v>
      </c>
      <c r="K219">
        <f t="shared" si="24"/>
        <v>0</v>
      </c>
      <c r="L219" s="22">
        <f t="shared" si="25"/>
        <v>0</v>
      </c>
      <c r="M219" s="22">
        <f t="shared" si="26"/>
        <v>0</v>
      </c>
    </row>
    <row r="220" spans="1:13" x14ac:dyDescent="0.25">
      <c r="A220">
        <v>50602</v>
      </c>
      <c r="B220" t="s">
        <v>277</v>
      </c>
      <c r="C220">
        <v>0</v>
      </c>
      <c r="D220">
        <v>0</v>
      </c>
      <c r="E220">
        <v>0</v>
      </c>
      <c r="F220">
        <v>0</v>
      </c>
      <c r="G220">
        <f t="shared" si="23"/>
        <v>0</v>
      </c>
      <c r="H220">
        <v>0</v>
      </c>
      <c r="I220">
        <v>0</v>
      </c>
      <c r="J220">
        <v>0</v>
      </c>
      <c r="K220">
        <f t="shared" si="24"/>
        <v>0</v>
      </c>
      <c r="L220" s="22">
        <f t="shared" si="25"/>
        <v>0</v>
      </c>
      <c r="M220" s="22">
        <f t="shared" si="26"/>
        <v>0</v>
      </c>
    </row>
    <row r="221" spans="1:13" x14ac:dyDescent="0.25">
      <c r="A221">
        <v>50701</v>
      </c>
      <c r="B221" t="s">
        <v>278</v>
      </c>
      <c r="C221">
        <v>0</v>
      </c>
      <c r="D221">
        <v>0</v>
      </c>
      <c r="E221">
        <v>0</v>
      </c>
      <c r="F221">
        <v>0</v>
      </c>
      <c r="G221">
        <f t="shared" si="23"/>
        <v>0</v>
      </c>
      <c r="H221">
        <v>0</v>
      </c>
      <c r="I221">
        <v>0</v>
      </c>
      <c r="J221">
        <v>0</v>
      </c>
      <c r="K221">
        <f t="shared" si="24"/>
        <v>0</v>
      </c>
      <c r="L221" s="22">
        <f t="shared" si="25"/>
        <v>0</v>
      </c>
      <c r="M221" s="22">
        <f t="shared" si="26"/>
        <v>0</v>
      </c>
    </row>
    <row r="222" spans="1:13" x14ac:dyDescent="0.25">
      <c r="A222">
        <v>50702</v>
      </c>
      <c r="B222" t="s">
        <v>279</v>
      </c>
      <c r="C222">
        <v>0</v>
      </c>
      <c r="D222">
        <v>0</v>
      </c>
      <c r="E222">
        <v>0</v>
      </c>
      <c r="F222">
        <v>0</v>
      </c>
      <c r="G222">
        <f t="shared" si="23"/>
        <v>0</v>
      </c>
      <c r="H222">
        <v>0</v>
      </c>
      <c r="I222">
        <v>0</v>
      </c>
      <c r="J222">
        <v>0</v>
      </c>
      <c r="K222">
        <f t="shared" si="24"/>
        <v>0</v>
      </c>
      <c r="L222" s="22">
        <f t="shared" si="25"/>
        <v>0</v>
      </c>
      <c r="M222" s="22">
        <f t="shared" si="26"/>
        <v>0</v>
      </c>
    </row>
    <row r="223" spans="1:13" x14ac:dyDescent="0.25">
      <c r="A223">
        <v>50801</v>
      </c>
      <c r="B223" t="s">
        <v>280</v>
      </c>
      <c r="C223">
        <v>0</v>
      </c>
      <c r="D223">
        <v>0</v>
      </c>
      <c r="E223">
        <v>0</v>
      </c>
      <c r="F223">
        <v>0</v>
      </c>
      <c r="G223">
        <f t="shared" si="23"/>
        <v>0</v>
      </c>
      <c r="H223">
        <v>0</v>
      </c>
      <c r="I223">
        <v>0</v>
      </c>
      <c r="J223">
        <v>0</v>
      </c>
      <c r="K223">
        <f t="shared" si="24"/>
        <v>0</v>
      </c>
      <c r="L223" s="22">
        <f t="shared" si="25"/>
        <v>0</v>
      </c>
      <c r="M223" s="22">
        <f t="shared" si="26"/>
        <v>0</v>
      </c>
    </row>
    <row r="224" spans="1:13" x14ac:dyDescent="0.25">
      <c r="A224">
        <v>50802</v>
      </c>
      <c r="B224" t="s">
        <v>281</v>
      </c>
      <c r="C224">
        <v>0</v>
      </c>
      <c r="D224">
        <v>0</v>
      </c>
      <c r="E224">
        <v>0</v>
      </c>
      <c r="F224">
        <v>0</v>
      </c>
      <c r="G224">
        <f t="shared" si="23"/>
        <v>0</v>
      </c>
      <c r="H224">
        <v>0</v>
      </c>
      <c r="I224">
        <v>0</v>
      </c>
      <c r="J224">
        <v>0</v>
      </c>
      <c r="K224">
        <f t="shared" si="24"/>
        <v>0</v>
      </c>
      <c r="L224" s="22">
        <f t="shared" si="25"/>
        <v>0</v>
      </c>
      <c r="M224" s="22">
        <f t="shared" si="26"/>
        <v>0</v>
      </c>
    </row>
    <row r="225" spans="1:13" x14ac:dyDescent="0.25">
      <c r="A225">
        <v>50901</v>
      </c>
      <c r="B225" t="s">
        <v>282</v>
      </c>
      <c r="C225">
        <v>0</v>
      </c>
      <c r="D225">
        <v>0</v>
      </c>
      <c r="E225">
        <v>0</v>
      </c>
      <c r="F225">
        <v>0</v>
      </c>
      <c r="G225">
        <f t="shared" si="23"/>
        <v>0</v>
      </c>
      <c r="H225">
        <v>0</v>
      </c>
      <c r="I225">
        <v>0</v>
      </c>
      <c r="J225">
        <v>0</v>
      </c>
      <c r="K225">
        <f t="shared" si="24"/>
        <v>0</v>
      </c>
      <c r="L225" s="22">
        <f t="shared" si="25"/>
        <v>0</v>
      </c>
      <c r="M225" s="22">
        <f t="shared" si="26"/>
        <v>0</v>
      </c>
    </row>
    <row r="226" spans="1:13" x14ac:dyDescent="0.25">
      <c r="A226">
        <v>50902</v>
      </c>
      <c r="B226" t="s">
        <v>283</v>
      </c>
      <c r="C226">
        <v>0</v>
      </c>
      <c r="D226">
        <v>0</v>
      </c>
      <c r="E226">
        <v>0</v>
      </c>
      <c r="F226">
        <v>0</v>
      </c>
      <c r="G226">
        <f t="shared" si="23"/>
        <v>0</v>
      </c>
      <c r="H226">
        <v>0</v>
      </c>
      <c r="I226">
        <v>0</v>
      </c>
      <c r="J226">
        <v>0</v>
      </c>
      <c r="K226">
        <f t="shared" si="24"/>
        <v>0</v>
      </c>
      <c r="L226" s="22">
        <f t="shared" si="25"/>
        <v>0</v>
      </c>
      <c r="M226" s="22">
        <f t="shared" si="26"/>
        <v>0</v>
      </c>
    </row>
    <row r="227" spans="1:13" x14ac:dyDescent="0.25">
      <c r="A227">
        <v>51001</v>
      </c>
      <c r="B227" t="s">
        <v>284</v>
      </c>
      <c r="C227">
        <v>0</v>
      </c>
      <c r="D227">
        <v>0</v>
      </c>
      <c r="E227">
        <v>0</v>
      </c>
      <c r="F227">
        <v>0</v>
      </c>
      <c r="G227">
        <f t="shared" si="23"/>
        <v>0</v>
      </c>
      <c r="H227">
        <v>0</v>
      </c>
      <c r="I227">
        <v>0</v>
      </c>
      <c r="J227">
        <v>0</v>
      </c>
      <c r="K227">
        <f t="shared" si="24"/>
        <v>0</v>
      </c>
      <c r="L227" s="22">
        <f t="shared" si="25"/>
        <v>0</v>
      </c>
      <c r="M227" s="22">
        <f t="shared" si="26"/>
        <v>0</v>
      </c>
    </row>
    <row r="228" spans="1:13" x14ac:dyDescent="0.25">
      <c r="A228">
        <v>51002</v>
      </c>
      <c r="B228" t="s">
        <v>285</v>
      </c>
      <c r="C228">
        <v>0</v>
      </c>
      <c r="D228">
        <v>0</v>
      </c>
      <c r="E228">
        <v>0</v>
      </c>
      <c r="F228">
        <v>0</v>
      </c>
      <c r="G228">
        <f t="shared" si="23"/>
        <v>0</v>
      </c>
      <c r="H228">
        <v>0</v>
      </c>
      <c r="I228">
        <v>0</v>
      </c>
      <c r="J228">
        <v>0</v>
      </c>
      <c r="K228">
        <f t="shared" si="24"/>
        <v>0</v>
      </c>
      <c r="L228" s="22">
        <f t="shared" si="25"/>
        <v>0</v>
      </c>
      <c r="M228" s="22">
        <f t="shared" si="26"/>
        <v>0</v>
      </c>
    </row>
    <row r="229" spans="1:13" x14ac:dyDescent="0.25">
      <c r="A229">
        <v>51003</v>
      </c>
      <c r="B229" t="s">
        <v>286</v>
      </c>
      <c r="C229">
        <v>0</v>
      </c>
      <c r="D229">
        <v>0</v>
      </c>
      <c r="E229">
        <v>0</v>
      </c>
      <c r="F229">
        <v>0</v>
      </c>
      <c r="G229">
        <f t="shared" si="23"/>
        <v>0</v>
      </c>
      <c r="H229">
        <v>0</v>
      </c>
      <c r="I229">
        <v>0</v>
      </c>
      <c r="J229">
        <v>0</v>
      </c>
      <c r="K229">
        <f t="shared" si="24"/>
        <v>0</v>
      </c>
      <c r="L229" s="22">
        <f t="shared" si="25"/>
        <v>0</v>
      </c>
      <c r="M229" s="22">
        <f t="shared" si="26"/>
        <v>0</v>
      </c>
    </row>
    <row r="230" spans="1:13" x14ac:dyDescent="0.25">
      <c r="A230">
        <v>51101</v>
      </c>
      <c r="B230" t="s">
        <v>287</v>
      </c>
      <c r="C230">
        <v>0</v>
      </c>
      <c r="D230">
        <v>0</v>
      </c>
      <c r="E230">
        <v>0</v>
      </c>
      <c r="F230">
        <v>0</v>
      </c>
      <c r="G230">
        <f t="shared" si="23"/>
        <v>0</v>
      </c>
      <c r="H230">
        <v>0</v>
      </c>
      <c r="I230">
        <v>0</v>
      </c>
      <c r="J230">
        <v>0</v>
      </c>
      <c r="K230">
        <f t="shared" si="24"/>
        <v>0</v>
      </c>
      <c r="L230" s="22">
        <f t="shared" si="25"/>
        <v>0</v>
      </c>
      <c r="M230" s="22">
        <f t="shared" si="26"/>
        <v>0</v>
      </c>
    </row>
    <row r="231" spans="1:13" x14ac:dyDescent="0.25">
      <c r="A231">
        <v>51102</v>
      </c>
      <c r="B231" t="s">
        <v>288</v>
      </c>
      <c r="C231">
        <v>0</v>
      </c>
      <c r="D231">
        <v>0</v>
      </c>
      <c r="E231">
        <v>0</v>
      </c>
      <c r="F231">
        <v>0</v>
      </c>
      <c r="G231">
        <f t="shared" si="23"/>
        <v>0</v>
      </c>
      <c r="H231">
        <v>0</v>
      </c>
      <c r="I231">
        <v>0</v>
      </c>
      <c r="J231">
        <v>0</v>
      </c>
      <c r="K231">
        <f t="shared" si="24"/>
        <v>0</v>
      </c>
      <c r="L231" s="22">
        <f t="shared" si="25"/>
        <v>0</v>
      </c>
      <c r="M231" s="22">
        <f t="shared" si="26"/>
        <v>0</v>
      </c>
    </row>
    <row r="232" spans="1:13" x14ac:dyDescent="0.25">
      <c r="A232">
        <v>51103</v>
      </c>
      <c r="B232" t="s">
        <v>289</v>
      </c>
      <c r="C232">
        <v>445.41</v>
      </c>
      <c r="D232">
        <v>1.62</v>
      </c>
      <c r="E232">
        <v>1.98</v>
      </c>
      <c r="F232">
        <v>8.5500000000000007</v>
      </c>
      <c r="G232">
        <f t="shared" si="23"/>
        <v>4.05</v>
      </c>
      <c r="H232">
        <v>0.09</v>
      </c>
      <c r="I232">
        <v>1.98</v>
      </c>
      <c r="J232">
        <v>143.82</v>
      </c>
      <c r="K232">
        <f t="shared" si="24"/>
        <v>48.629999999999995</v>
      </c>
      <c r="L232" s="22">
        <f t="shared" si="25"/>
        <v>0.90927460092948065</v>
      </c>
      <c r="M232" s="22">
        <f t="shared" si="26"/>
        <v>10.918030578568059</v>
      </c>
    </row>
    <row r="233" spans="1:13" x14ac:dyDescent="0.25">
      <c r="A233">
        <v>51201</v>
      </c>
      <c r="B233" t="s">
        <v>290</v>
      </c>
      <c r="C233">
        <v>0</v>
      </c>
      <c r="D233">
        <v>0</v>
      </c>
      <c r="E233">
        <v>0</v>
      </c>
      <c r="F233">
        <v>0</v>
      </c>
      <c r="G233">
        <f t="shared" si="23"/>
        <v>0</v>
      </c>
      <c r="H233">
        <v>0</v>
      </c>
      <c r="I233">
        <v>0</v>
      </c>
      <c r="J233">
        <v>0</v>
      </c>
      <c r="K233">
        <f t="shared" si="24"/>
        <v>0</v>
      </c>
      <c r="L233" s="22">
        <f t="shared" si="25"/>
        <v>0</v>
      </c>
      <c r="M233" s="22">
        <f t="shared" si="26"/>
        <v>0</v>
      </c>
    </row>
    <row r="234" spans="1:13" x14ac:dyDescent="0.25">
      <c r="A234">
        <v>51202</v>
      </c>
      <c r="B234" t="s">
        <v>291</v>
      </c>
      <c r="C234">
        <v>0</v>
      </c>
      <c r="D234">
        <v>0</v>
      </c>
      <c r="E234">
        <v>0</v>
      </c>
      <c r="F234">
        <v>0</v>
      </c>
      <c r="G234">
        <f t="shared" si="23"/>
        <v>0</v>
      </c>
      <c r="H234">
        <v>0</v>
      </c>
      <c r="I234">
        <v>0</v>
      </c>
      <c r="J234">
        <v>0</v>
      </c>
      <c r="K234">
        <f t="shared" si="24"/>
        <v>0</v>
      </c>
      <c r="L234" s="22">
        <f t="shared" si="25"/>
        <v>0</v>
      </c>
      <c r="M234" s="22">
        <f t="shared" si="26"/>
        <v>0</v>
      </c>
    </row>
    <row r="235" spans="1:13" x14ac:dyDescent="0.25">
      <c r="A235">
        <v>51203</v>
      </c>
      <c r="B235" t="s">
        <v>292</v>
      </c>
      <c r="C235">
        <v>0</v>
      </c>
      <c r="D235">
        <v>0</v>
      </c>
      <c r="E235">
        <v>0</v>
      </c>
      <c r="F235">
        <v>0</v>
      </c>
      <c r="G235">
        <f t="shared" si="23"/>
        <v>0</v>
      </c>
      <c r="H235">
        <v>0</v>
      </c>
      <c r="I235">
        <v>0</v>
      </c>
      <c r="J235">
        <v>0</v>
      </c>
      <c r="K235">
        <f t="shared" si="24"/>
        <v>0</v>
      </c>
      <c r="L235" s="22">
        <f t="shared" si="25"/>
        <v>0</v>
      </c>
      <c r="M235" s="22">
        <f t="shared" si="26"/>
        <v>0</v>
      </c>
    </row>
    <row r="236" spans="1:13" x14ac:dyDescent="0.25">
      <c r="A236">
        <v>51204</v>
      </c>
      <c r="B236" t="s">
        <v>293</v>
      </c>
      <c r="C236">
        <v>0</v>
      </c>
      <c r="D236">
        <v>0</v>
      </c>
      <c r="E236">
        <v>0</v>
      </c>
      <c r="F236">
        <v>0</v>
      </c>
      <c r="G236">
        <f t="shared" si="23"/>
        <v>0</v>
      </c>
      <c r="H236">
        <v>0</v>
      </c>
      <c r="I236">
        <v>0</v>
      </c>
      <c r="J236">
        <v>0</v>
      </c>
      <c r="K236">
        <f t="shared" si="24"/>
        <v>0</v>
      </c>
      <c r="L236" s="22">
        <f t="shared" si="25"/>
        <v>0</v>
      </c>
      <c r="M236" s="22">
        <f t="shared" si="26"/>
        <v>0</v>
      </c>
    </row>
    <row r="237" spans="1:13" x14ac:dyDescent="0.25">
      <c r="A237">
        <v>51301</v>
      </c>
      <c r="B237" t="s">
        <v>294</v>
      </c>
      <c r="C237">
        <v>561.78</v>
      </c>
      <c r="D237">
        <v>0.81</v>
      </c>
      <c r="E237">
        <v>0.27</v>
      </c>
      <c r="F237">
        <v>14.31</v>
      </c>
      <c r="G237">
        <f t="shared" si="23"/>
        <v>5.13</v>
      </c>
      <c r="H237">
        <v>0</v>
      </c>
      <c r="I237">
        <v>0.81</v>
      </c>
      <c r="J237">
        <v>0</v>
      </c>
      <c r="K237">
        <f t="shared" si="24"/>
        <v>0.27</v>
      </c>
      <c r="L237" s="22">
        <f t="shared" si="25"/>
        <v>0.91316885613585386</v>
      </c>
      <c r="M237" s="22">
        <f t="shared" si="26"/>
        <v>4.8061518743992317E-2</v>
      </c>
    </row>
    <row r="238" spans="1:13" x14ac:dyDescent="0.25">
      <c r="A238">
        <v>51302</v>
      </c>
      <c r="B238" t="s">
        <v>295</v>
      </c>
      <c r="C238">
        <v>749.16</v>
      </c>
      <c r="D238">
        <v>5.58</v>
      </c>
      <c r="E238">
        <v>2.16</v>
      </c>
      <c r="F238">
        <v>16.29</v>
      </c>
      <c r="G238">
        <f t="shared" si="23"/>
        <v>8.01</v>
      </c>
      <c r="H238">
        <v>1.53</v>
      </c>
      <c r="I238">
        <v>6.3900000000000006</v>
      </c>
      <c r="J238">
        <v>0</v>
      </c>
      <c r="K238">
        <f t="shared" si="24"/>
        <v>2.64</v>
      </c>
      <c r="L238" s="22">
        <f t="shared" si="25"/>
        <v>1.0691975012013455</v>
      </c>
      <c r="M238" s="22">
        <f t="shared" si="26"/>
        <v>0.35239468204388918</v>
      </c>
    </row>
    <row r="239" spans="1:13" x14ac:dyDescent="0.25">
      <c r="A239">
        <v>51401</v>
      </c>
      <c r="B239" t="s">
        <v>296</v>
      </c>
      <c r="C239">
        <v>0</v>
      </c>
      <c r="D239">
        <v>0</v>
      </c>
      <c r="E239">
        <v>0</v>
      </c>
      <c r="F239">
        <v>0</v>
      </c>
      <c r="G239">
        <f t="shared" si="23"/>
        <v>0</v>
      </c>
      <c r="H239">
        <v>0</v>
      </c>
      <c r="I239">
        <v>0</v>
      </c>
      <c r="J239">
        <v>0</v>
      </c>
      <c r="K239">
        <f t="shared" si="24"/>
        <v>0</v>
      </c>
      <c r="L239" s="22">
        <f t="shared" si="25"/>
        <v>0</v>
      </c>
      <c r="M239" s="22">
        <f t="shared" si="26"/>
        <v>0</v>
      </c>
    </row>
    <row r="240" spans="1:13" x14ac:dyDescent="0.25">
      <c r="A240">
        <v>51402</v>
      </c>
      <c r="B240" t="s">
        <v>297</v>
      </c>
      <c r="C240">
        <v>0</v>
      </c>
      <c r="D240">
        <v>0</v>
      </c>
      <c r="E240">
        <v>0</v>
      </c>
      <c r="F240">
        <v>0</v>
      </c>
      <c r="G240">
        <f t="shared" si="23"/>
        <v>0</v>
      </c>
      <c r="H240">
        <v>0</v>
      </c>
      <c r="I240">
        <v>0</v>
      </c>
      <c r="J240">
        <v>0</v>
      </c>
      <c r="K240">
        <f t="shared" si="24"/>
        <v>0</v>
      </c>
      <c r="L240" s="22">
        <f t="shared" si="25"/>
        <v>0</v>
      </c>
      <c r="M240" s="22">
        <f t="shared" si="26"/>
        <v>0</v>
      </c>
    </row>
    <row r="241" spans="1:13" x14ac:dyDescent="0.25">
      <c r="A241">
        <v>51501</v>
      </c>
      <c r="B241" t="s">
        <v>298</v>
      </c>
      <c r="C241">
        <v>0</v>
      </c>
      <c r="D241">
        <v>0</v>
      </c>
      <c r="E241">
        <v>0</v>
      </c>
      <c r="F241">
        <v>0</v>
      </c>
      <c r="G241">
        <f t="shared" si="23"/>
        <v>0</v>
      </c>
      <c r="H241">
        <v>0</v>
      </c>
      <c r="I241">
        <v>0</v>
      </c>
      <c r="J241">
        <v>0</v>
      </c>
      <c r="K241">
        <f t="shared" si="24"/>
        <v>0</v>
      </c>
      <c r="L241" s="22">
        <f t="shared" si="25"/>
        <v>0</v>
      </c>
      <c r="M241" s="22">
        <f t="shared" si="26"/>
        <v>0</v>
      </c>
    </row>
    <row r="242" spans="1:13" x14ac:dyDescent="0.25">
      <c r="A242">
        <v>51601</v>
      </c>
      <c r="B242" t="s">
        <v>299</v>
      </c>
      <c r="C242">
        <v>0</v>
      </c>
      <c r="D242">
        <v>0</v>
      </c>
      <c r="E242">
        <v>0</v>
      </c>
      <c r="F242">
        <v>0</v>
      </c>
      <c r="G242">
        <f t="shared" si="23"/>
        <v>0</v>
      </c>
      <c r="H242">
        <v>0</v>
      </c>
      <c r="I242">
        <v>0</v>
      </c>
      <c r="J242">
        <v>0</v>
      </c>
      <c r="K242">
        <f t="shared" si="24"/>
        <v>0</v>
      </c>
      <c r="L242" s="22">
        <f t="shared" si="25"/>
        <v>0</v>
      </c>
      <c r="M242" s="22">
        <f t="shared" si="26"/>
        <v>0</v>
      </c>
    </row>
    <row r="243" spans="1:13" x14ac:dyDescent="0.25">
      <c r="A243">
        <v>60101</v>
      </c>
      <c r="B243" t="s">
        <v>300</v>
      </c>
      <c r="C243">
        <v>64428.84</v>
      </c>
      <c r="D243">
        <v>107.82</v>
      </c>
      <c r="E243">
        <v>158.85</v>
      </c>
      <c r="F243">
        <v>378.45</v>
      </c>
      <c r="G243">
        <f t="shared" si="23"/>
        <v>215.03999999999996</v>
      </c>
      <c r="H243">
        <v>34.11</v>
      </c>
      <c r="I243">
        <v>71.55</v>
      </c>
      <c r="J243">
        <v>877.58999999999992</v>
      </c>
      <c r="K243">
        <f t="shared" si="24"/>
        <v>327.74999999999994</v>
      </c>
      <c r="L243" s="22">
        <f t="shared" si="25"/>
        <v>0.33376357544230184</v>
      </c>
      <c r="M243" s="22">
        <f t="shared" si="26"/>
        <v>0.50870076195691238</v>
      </c>
    </row>
    <row r="244" spans="1:13" x14ac:dyDescent="0.25">
      <c r="A244">
        <v>60201</v>
      </c>
      <c r="B244" t="s">
        <v>301</v>
      </c>
      <c r="C244">
        <v>331244.28000000003</v>
      </c>
      <c r="D244">
        <v>513.36</v>
      </c>
      <c r="E244">
        <v>974.61</v>
      </c>
      <c r="F244">
        <v>830.16</v>
      </c>
      <c r="G244">
        <f t="shared" si="23"/>
        <v>772.71</v>
      </c>
      <c r="H244">
        <v>305.27999999999997</v>
      </c>
      <c r="I244">
        <v>1320.12</v>
      </c>
      <c r="J244">
        <v>1276.47</v>
      </c>
      <c r="K244">
        <f t="shared" si="24"/>
        <v>967.29</v>
      </c>
      <c r="L244" s="22">
        <f t="shared" si="25"/>
        <v>0.23327497157082985</v>
      </c>
      <c r="M244" s="22">
        <f t="shared" si="26"/>
        <v>0.29201711800125268</v>
      </c>
    </row>
    <row r="245" spans="1:13" x14ac:dyDescent="0.25">
      <c r="A245">
        <v>60202</v>
      </c>
      <c r="B245" t="s">
        <v>302</v>
      </c>
      <c r="C245">
        <v>25936.92</v>
      </c>
      <c r="D245">
        <v>120.96</v>
      </c>
      <c r="E245">
        <v>412.92</v>
      </c>
      <c r="F245">
        <v>137.43</v>
      </c>
      <c r="G245">
        <f t="shared" si="23"/>
        <v>223.76999999999998</v>
      </c>
      <c r="H245">
        <v>233.46</v>
      </c>
      <c r="I245">
        <v>484.92</v>
      </c>
      <c r="J245">
        <v>429.48</v>
      </c>
      <c r="K245">
        <f t="shared" si="24"/>
        <v>382.62000000000006</v>
      </c>
      <c r="L245" s="22">
        <f t="shared" si="25"/>
        <v>0.86274700311370822</v>
      </c>
      <c r="M245" s="22">
        <f t="shared" si="26"/>
        <v>1.4751944332634719</v>
      </c>
    </row>
    <row r="246" spans="1:13" x14ac:dyDescent="0.25">
      <c r="A246">
        <v>60301</v>
      </c>
      <c r="B246" t="s">
        <v>303</v>
      </c>
      <c r="C246">
        <v>305201.25</v>
      </c>
      <c r="D246">
        <v>5157.18</v>
      </c>
      <c r="E246">
        <v>5613.21</v>
      </c>
      <c r="F246">
        <v>2244.96</v>
      </c>
      <c r="G246">
        <f t="shared" si="23"/>
        <v>4338.45</v>
      </c>
      <c r="H246">
        <v>9489.24</v>
      </c>
      <c r="I246">
        <v>10318.32</v>
      </c>
      <c r="J246">
        <v>5043.1499999999996</v>
      </c>
      <c r="K246">
        <f t="shared" si="24"/>
        <v>8283.57</v>
      </c>
      <c r="L246" s="22">
        <f t="shared" si="25"/>
        <v>1.4215046629068524</v>
      </c>
      <c r="M246" s="22">
        <f t="shared" si="26"/>
        <v>2.7141337068573601</v>
      </c>
    </row>
    <row r="247" spans="1:13" x14ac:dyDescent="0.25">
      <c r="A247">
        <v>60302</v>
      </c>
      <c r="B247" t="s">
        <v>304</v>
      </c>
      <c r="C247">
        <v>274668.57</v>
      </c>
      <c r="D247">
        <v>1160.28</v>
      </c>
      <c r="E247">
        <v>1541.25</v>
      </c>
      <c r="F247">
        <v>1084.32</v>
      </c>
      <c r="G247">
        <f t="shared" si="23"/>
        <v>1261.9499999999998</v>
      </c>
      <c r="H247">
        <v>334.62</v>
      </c>
      <c r="I247">
        <v>2550.33</v>
      </c>
      <c r="J247">
        <v>1624.41</v>
      </c>
      <c r="K247">
        <f t="shared" si="24"/>
        <v>1503.12</v>
      </c>
      <c r="L247" s="22">
        <f t="shared" si="25"/>
        <v>0.4594446317611075</v>
      </c>
      <c r="M247" s="22">
        <f t="shared" si="26"/>
        <v>0.54724863496394938</v>
      </c>
    </row>
    <row r="248" spans="1:13" x14ac:dyDescent="0.25">
      <c r="A248">
        <v>60303</v>
      </c>
      <c r="B248" t="s">
        <v>305</v>
      </c>
      <c r="C248">
        <v>966590.19</v>
      </c>
      <c r="D248">
        <v>2158.1999999999998</v>
      </c>
      <c r="E248">
        <v>3347.64</v>
      </c>
      <c r="F248">
        <v>4150.08</v>
      </c>
      <c r="G248">
        <f t="shared" si="23"/>
        <v>3218.64</v>
      </c>
      <c r="H248">
        <v>4530.6900000000014</v>
      </c>
      <c r="I248">
        <v>24164.82</v>
      </c>
      <c r="J248">
        <v>4737.78</v>
      </c>
      <c r="K248">
        <f t="shared" si="24"/>
        <v>11144.43</v>
      </c>
      <c r="L248" s="22">
        <f t="shared" si="25"/>
        <v>0.33298910265166254</v>
      </c>
      <c r="M248" s="22">
        <f t="shared" si="26"/>
        <v>1.1529632842642445</v>
      </c>
    </row>
    <row r="249" spans="1:13" x14ac:dyDescent="0.25">
      <c r="A249">
        <v>60401</v>
      </c>
      <c r="B249" t="s">
        <v>306</v>
      </c>
      <c r="C249">
        <v>12931.2</v>
      </c>
      <c r="D249">
        <v>48.06</v>
      </c>
      <c r="E249">
        <v>75.42</v>
      </c>
      <c r="F249">
        <v>205.56</v>
      </c>
      <c r="G249">
        <f t="shared" si="23"/>
        <v>109.68</v>
      </c>
      <c r="H249">
        <v>5.58</v>
      </c>
      <c r="I249">
        <v>18.09</v>
      </c>
      <c r="J249">
        <v>459.09</v>
      </c>
      <c r="K249">
        <f t="shared" si="24"/>
        <v>160.91999999999999</v>
      </c>
      <c r="L249" s="22">
        <f t="shared" si="25"/>
        <v>0.84818114328136607</v>
      </c>
      <c r="M249" s="22">
        <f t="shared" si="26"/>
        <v>1.2444320712694876</v>
      </c>
    </row>
    <row r="250" spans="1:13" x14ac:dyDescent="0.25">
      <c r="A250">
        <v>60402</v>
      </c>
      <c r="B250" t="s">
        <v>307</v>
      </c>
      <c r="C250">
        <v>0</v>
      </c>
      <c r="D250">
        <v>0</v>
      </c>
      <c r="E250">
        <v>0</v>
      </c>
      <c r="F250">
        <v>0</v>
      </c>
      <c r="G250">
        <f t="shared" si="23"/>
        <v>0</v>
      </c>
      <c r="H250">
        <v>0</v>
      </c>
      <c r="I250">
        <v>0</v>
      </c>
      <c r="J250">
        <v>0</v>
      </c>
      <c r="K250">
        <f t="shared" si="24"/>
        <v>0</v>
      </c>
      <c r="L250" s="22">
        <f t="shared" si="25"/>
        <v>0</v>
      </c>
      <c r="M250" s="22">
        <f t="shared" si="26"/>
        <v>0</v>
      </c>
    </row>
    <row r="251" spans="1:13" x14ac:dyDescent="0.25">
      <c r="A251">
        <v>60501</v>
      </c>
      <c r="B251" t="s">
        <v>308</v>
      </c>
      <c r="C251">
        <v>58561.11</v>
      </c>
      <c r="D251">
        <v>94.05</v>
      </c>
      <c r="E251">
        <v>131.58000000000001</v>
      </c>
      <c r="F251">
        <v>450.81</v>
      </c>
      <c r="G251">
        <f t="shared" si="23"/>
        <v>225.48000000000002</v>
      </c>
      <c r="H251">
        <v>15.75</v>
      </c>
      <c r="I251">
        <v>224.55</v>
      </c>
      <c r="J251">
        <v>420.75</v>
      </c>
      <c r="K251">
        <f t="shared" si="24"/>
        <v>220.35</v>
      </c>
      <c r="L251" s="22">
        <f t="shared" si="25"/>
        <v>0.38503368532461218</v>
      </c>
      <c r="M251" s="22">
        <f t="shared" si="26"/>
        <v>0.3762736054695684</v>
      </c>
    </row>
    <row r="252" spans="1:13" x14ac:dyDescent="0.25">
      <c r="A252">
        <v>60502</v>
      </c>
      <c r="B252" t="s">
        <v>309</v>
      </c>
      <c r="C252">
        <v>559.35</v>
      </c>
      <c r="D252">
        <v>2.25</v>
      </c>
      <c r="E252">
        <v>4.8600000000000003</v>
      </c>
      <c r="F252">
        <v>17.37</v>
      </c>
      <c r="G252">
        <f t="shared" si="23"/>
        <v>8.16</v>
      </c>
      <c r="H252">
        <v>0.54</v>
      </c>
      <c r="I252">
        <v>1.35</v>
      </c>
      <c r="J252">
        <v>105.75</v>
      </c>
      <c r="K252">
        <f t="shared" si="24"/>
        <v>35.880000000000003</v>
      </c>
      <c r="L252" s="22">
        <f t="shared" si="25"/>
        <v>1.4588361491016357</v>
      </c>
      <c r="M252" s="22">
        <f t="shared" si="26"/>
        <v>6.4145883614910169</v>
      </c>
    </row>
    <row r="253" spans="1:13" x14ac:dyDescent="0.25">
      <c r="A253">
        <v>60601</v>
      </c>
      <c r="B253" t="s">
        <v>211</v>
      </c>
      <c r="C253">
        <v>553532.13</v>
      </c>
      <c r="D253">
        <v>476.73</v>
      </c>
      <c r="E253">
        <v>567.72</v>
      </c>
      <c r="F253">
        <v>987.48</v>
      </c>
      <c r="G253">
        <f t="shared" si="23"/>
        <v>677.31000000000006</v>
      </c>
      <c r="H253">
        <v>2190.96</v>
      </c>
      <c r="I253">
        <v>5424.0300000000007</v>
      </c>
      <c r="J253">
        <v>2494.98</v>
      </c>
      <c r="K253">
        <f t="shared" si="24"/>
        <v>3369.9900000000002</v>
      </c>
      <c r="L253" s="22">
        <f t="shared" si="25"/>
        <v>0.1223614607520615</v>
      </c>
      <c r="M253" s="22">
        <f t="shared" si="26"/>
        <v>0.60881560750592745</v>
      </c>
    </row>
    <row r="254" spans="1:13" x14ac:dyDescent="0.25">
      <c r="A254">
        <v>70101</v>
      </c>
      <c r="B254" t="s">
        <v>311</v>
      </c>
      <c r="C254">
        <v>23281.02</v>
      </c>
      <c r="D254">
        <v>2459.4299999999998</v>
      </c>
      <c r="E254">
        <v>1786.23</v>
      </c>
      <c r="F254">
        <v>1160.28</v>
      </c>
      <c r="G254">
        <f t="shared" si="23"/>
        <v>1801.9799999999998</v>
      </c>
      <c r="H254">
        <v>396.27</v>
      </c>
      <c r="I254">
        <v>1354.05</v>
      </c>
      <c r="J254">
        <v>980.01</v>
      </c>
      <c r="K254">
        <f t="shared" si="24"/>
        <v>910.11</v>
      </c>
      <c r="L254" s="22">
        <f t="shared" si="25"/>
        <v>7.7401247883469013</v>
      </c>
      <c r="M254" s="22">
        <f t="shared" si="26"/>
        <v>3.9092359355389066</v>
      </c>
    </row>
    <row r="255" spans="1:13" x14ac:dyDescent="0.25">
      <c r="A255">
        <v>70102</v>
      </c>
      <c r="B255" t="s">
        <v>312</v>
      </c>
      <c r="C255">
        <v>10462.59</v>
      </c>
      <c r="D255">
        <v>687.32999999999993</v>
      </c>
      <c r="E255">
        <v>673.02</v>
      </c>
      <c r="F255">
        <v>567.45000000000005</v>
      </c>
      <c r="G255">
        <f t="shared" si="23"/>
        <v>642.6</v>
      </c>
      <c r="H255">
        <v>35.729999999999997</v>
      </c>
      <c r="I255">
        <v>743.57999999999993</v>
      </c>
      <c r="J255">
        <v>700.29</v>
      </c>
      <c r="K255">
        <f t="shared" si="24"/>
        <v>493.2</v>
      </c>
      <c r="L255" s="22">
        <f t="shared" si="25"/>
        <v>6.1418826504718238</v>
      </c>
      <c r="M255" s="22">
        <f t="shared" si="26"/>
        <v>4.7139379446198308</v>
      </c>
    </row>
    <row r="256" spans="1:13" x14ac:dyDescent="0.25">
      <c r="A256">
        <v>70103</v>
      </c>
      <c r="B256" t="s">
        <v>313</v>
      </c>
      <c r="C256">
        <v>58007.79</v>
      </c>
      <c r="D256">
        <v>2234.6999999999998</v>
      </c>
      <c r="E256">
        <v>1665.45</v>
      </c>
      <c r="F256">
        <v>1302.8399999999999</v>
      </c>
      <c r="G256">
        <f t="shared" si="23"/>
        <v>1734.33</v>
      </c>
      <c r="H256">
        <v>189.99</v>
      </c>
      <c r="I256">
        <v>2249.2800000000002</v>
      </c>
      <c r="J256">
        <v>769.86</v>
      </c>
      <c r="K256">
        <f t="shared" si="24"/>
        <v>1069.7100000000003</v>
      </c>
      <c r="L256" s="22">
        <f t="shared" si="25"/>
        <v>2.9898225738301698</v>
      </c>
      <c r="M256" s="22">
        <f t="shared" si="26"/>
        <v>1.8440799071986715</v>
      </c>
    </row>
    <row r="257" spans="1:13" x14ac:dyDescent="0.25">
      <c r="A257">
        <v>70104</v>
      </c>
      <c r="B257" t="s">
        <v>314</v>
      </c>
      <c r="C257">
        <v>44732.52</v>
      </c>
      <c r="D257">
        <v>2218.86</v>
      </c>
      <c r="E257">
        <v>1681.56</v>
      </c>
      <c r="F257">
        <v>1497.24</v>
      </c>
      <c r="G257">
        <f t="shared" si="23"/>
        <v>1799.22</v>
      </c>
      <c r="H257">
        <v>239.13</v>
      </c>
      <c r="I257">
        <v>2746.62</v>
      </c>
      <c r="J257">
        <v>846</v>
      </c>
      <c r="K257">
        <f t="shared" si="24"/>
        <v>1277.25</v>
      </c>
      <c r="L257" s="22">
        <f t="shared" si="25"/>
        <v>4.0221744717266095</v>
      </c>
      <c r="M257" s="22">
        <f t="shared" si="26"/>
        <v>2.8553052678454067</v>
      </c>
    </row>
    <row r="258" spans="1:13" x14ac:dyDescent="0.25">
      <c r="A258">
        <v>70105</v>
      </c>
      <c r="B258" t="s">
        <v>315</v>
      </c>
      <c r="C258">
        <v>75341.790000000008</v>
      </c>
      <c r="D258">
        <v>1694.79</v>
      </c>
      <c r="E258">
        <v>1557.72</v>
      </c>
      <c r="F258">
        <v>1064.25</v>
      </c>
      <c r="G258">
        <f t="shared" ref="G258:G321" si="27">AVERAGE(D258:F258)</f>
        <v>1438.92</v>
      </c>
      <c r="H258">
        <v>446.49</v>
      </c>
      <c r="I258">
        <v>2285.8200000000002</v>
      </c>
      <c r="J258">
        <v>754.83</v>
      </c>
      <c r="K258">
        <f t="shared" ref="K258:K321" si="28">AVERAGE(H258:J258)</f>
        <v>1162.3800000000001</v>
      </c>
      <c r="L258" s="22">
        <f t="shared" ref="L258:L321" si="29">IF(C258=0,0,(G258/C258)*100)</f>
        <v>1.9098564024029689</v>
      </c>
      <c r="M258" s="22">
        <f t="shared" ref="M258:M321" si="30">IF(C258=0,0,(K258/C258)*100)</f>
        <v>1.5428091103224386</v>
      </c>
    </row>
    <row r="259" spans="1:13" x14ac:dyDescent="0.25">
      <c r="A259">
        <v>70201</v>
      </c>
      <c r="B259" t="s">
        <v>316</v>
      </c>
      <c r="C259">
        <v>17938.169999999998</v>
      </c>
      <c r="D259">
        <v>1336.77</v>
      </c>
      <c r="E259">
        <v>901.98</v>
      </c>
      <c r="F259">
        <v>633.06000000000006</v>
      </c>
      <c r="G259">
        <f t="shared" si="27"/>
        <v>957.27</v>
      </c>
      <c r="H259">
        <v>107.55</v>
      </c>
      <c r="I259">
        <v>806.49</v>
      </c>
      <c r="J259">
        <v>623.79</v>
      </c>
      <c r="K259">
        <f t="shared" si="28"/>
        <v>512.61</v>
      </c>
      <c r="L259" s="22">
        <f t="shared" si="29"/>
        <v>5.3364975357018025</v>
      </c>
      <c r="M259" s="22">
        <f t="shared" si="30"/>
        <v>2.8576493588810901</v>
      </c>
    </row>
    <row r="260" spans="1:13" x14ac:dyDescent="0.25">
      <c r="A260">
        <v>70202</v>
      </c>
      <c r="B260" t="s">
        <v>317</v>
      </c>
      <c r="C260">
        <v>11630.88</v>
      </c>
      <c r="D260">
        <v>1007.55</v>
      </c>
      <c r="E260">
        <v>1106.6400000000001</v>
      </c>
      <c r="F260">
        <v>692.64</v>
      </c>
      <c r="G260">
        <f t="shared" si="27"/>
        <v>935.61</v>
      </c>
      <c r="H260">
        <v>229.23</v>
      </c>
      <c r="I260">
        <v>700.47</v>
      </c>
      <c r="J260">
        <v>528.84</v>
      </c>
      <c r="K260">
        <f t="shared" si="28"/>
        <v>486.18</v>
      </c>
      <c r="L260" s="22">
        <f t="shared" si="29"/>
        <v>8.0441892616895707</v>
      </c>
      <c r="M260" s="22">
        <f t="shared" si="30"/>
        <v>4.1800792373405971</v>
      </c>
    </row>
    <row r="261" spans="1:13" x14ac:dyDescent="0.25">
      <c r="A261">
        <v>70301</v>
      </c>
      <c r="B261" t="s">
        <v>318</v>
      </c>
      <c r="C261">
        <v>3857761.35</v>
      </c>
      <c r="D261">
        <v>25819.919999999998</v>
      </c>
      <c r="E261">
        <v>19086.21</v>
      </c>
      <c r="F261">
        <v>15192.81</v>
      </c>
      <c r="G261">
        <f t="shared" si="27"/>
        <v>20032.98</v>
      </c>
      <c r="H261">
        <v>53663.22</v>
      </c>
      <c r="I261">
        <v>53224.74</v>
      </c>
      <c r="J261">
        <v>45511.92</v>
      </c>
      <c r="K261">
        <f t="shared" si="28"/>
        <v>50799.96</v>
      </c>
      <c r="L261" s="22">
        <f t="shared" si="29"/>
        <v>0.51929028735797766</v>
      </c>
      <c r="M261" s="22">
        <f t="shared" si="30"/>
        <v>1.3168248471357618</v>
      </c>
    </row>
    <row r="262" spans="1:13" x14ac:dyDescent="0.25">
      <c r="A262">
        <v>70302</v>
      </c>
      <c r="B262" t="s">
        <v>319</v>
      </c>
      <c r="C262">
        <v>845629.56</v>
      </c>
      <c r="D262">
        <v>3969</v>
      </c>
      <c r="E262">
        <v>3997.35</v>
      </c>
      <c r="F262">
        <v>2954.7</v>
      </c>
      <c r="G262">
        <f t="shared" si="27"/>
        <v>3640.35</v>
      </c>
      <c r="H262">
        <v>15178.14</v>
      </c>
      <c r="I262">
        <v>21341.61</v>
      </c>
      <c r="J262">
        <v>12826.8</v>
      </c>
      <c r="K262">
        <f t="shared" si="28"/>
        <v>16448.850000000002</v>
      </c>
      <c r="L262" s="22">
        <f t="shared" si="29"/>
        <v>0.43048991806767017</v>
      </c>
      <c r="M262" s="22">
        <f t="shared" si="30"/>
        <v>1.9451602425061869</v>
      </c>
    </row>
    <row r="263" spans="1:13" x14ac:dyDescent="0.25">
      <c r="A263">
        <v>70303</v>
      </c>
      <c r="B263" t="s">
        <v>320</v>
      </c>
      <c r="C263">
        <v>851393.34000000008</v>
      </c>
      <c r="D263">
        <v>2091.5100000000002</v>
      </c>
      <c r="E263">
        <v>2731.86</v>
      </c>
      <c r="F263">
        <v>2410.02</v>
      </c>
      <c r="G263">
        <f t="shared" si="27"/>
        <v>2411.1300000000006</v>
      </c>
      <c r="H263">
        <v>12900.42</v>
      </c>
      <c r="I263">
        <v>10013.67</v>
      </c>
      <c r="J263">
        <v>13080.78</v>
      </c>
      <c r="K263">
        <f t="shared" si="28"/>
        <v>11998.29</v>
      </c>
      <c r="L263" s="22">
        <f t="shared" si="29"/>
        <v>0.28319812790642696</v>
      </c>
      <c r="M263" s="22">
        <f t="shared" si="30"/>
        <v>1.4092534480008969</v>
      </c>
    </row>
    <row r="264" spans="1:13" x14ac:dyDescent="0.25">
      <c r="A264">
        <v>70401</v>
      </c>
      <c r="B264" t="s">
        <v>321</v>
      </c>
      <c r="C264">
        <v>224255.07</v>
      </c>
      <c r="D264">
        <v>2939.49</v>
      </c>
      <c r="E264">
        <v>1943.55</v>
      </c>
      <c r="F264">
        <v>1448.55</v>
      </c>
      <c r="G264">
        <f t="shared" si="27"/>
        <v>2110.5300000000002</v>
      </c>
      <c r="H264">
        <v>425.52</v>
      </c>
      <c r="I264">
        <v>3885.3</v>
      </c>
      <c r="J264">
        <v>1256.58</v>
      </c>
      <c r="K264">
        <f t="shared" si="28"/>
        <v>1855.8</v>
      </c>
      <c r="L264" s="22">
        <f t="shared" si="29"/>
        <v>0.94112922396804677</v>
      </c>
      <c r="M264" s="22">
        <f t="shared" si="30"/>
        <v>0.82753981883218963</v>
      </c>
    </row>
    <row r="265" spans="1:13" x14ac:dyDescent="0.25">
      <c r="A265">
        <v>70402</v>
      </c>
      <c r="B265" t="s">
        <v>322</v>
      </c>
      <c r="C265">
        <v>43491.24</v>
      </c>
      <c r="D265">
        <v>1853.01</v>
      </c>
      <c r="E265">
        <v>1087.56</v>
      </c>
      <c r="F265">
        <v>981.45</v>
      </c>
      <c r="G265">
        <f t="shared" si="27"/>
        <v>1307.3399999999999</v>
      </c>
      <c r="H265">
        <v>300.24</v>
      </c>
      <c r="I265">
        <v>2344.3200000000002</v>
      </c>
      <c r="J265">
        <v>1198.8</v>
      </c>
      <c r="K265">
        <f t="shared" si="28"/>
        <v>1281.1200000000001</v>
      </c>
      <c r="L265" s="22">
        <f t="shared" si="29"/>
        <v>3.0059846534612489</v>
      </c>
      <c r="M265" s="22">
        <f t="shared" si="30"/>
        <v>2.9456966506358526</v>
      </c>
    </row>
    <row r="266" spans="1:13" x14ac:dyDescent="0.25">
      <c r="A266">
        <v>70403</v>
      </c>
      <c r="B266" t="s">
        <v>323</v>
      </c>
      <c r="C266">
        <v>704387.7</v>
      </c>
      <c r="D266">
        <v>26292.42</v>
      </c>
      <c r="E266">
        <v>9811.4399999999987</v>
      </c>
      <c r="F266">
        <v>8741.16</v>
      </c>
      <c r="G266">
        <f t="shared" si="27"/>
        <v>14948.340000000002</v>
      </c>
      <c r="H266">
        <v>2963.52</v>
      </c>
      <c r="I266">
        <v>14889.87</v>
      </c>
      <c r="J266">
        <v>10208.879999999999</v>
      </c>
      <c r="K266">
        <f t="shared" si="28"/>
        <v>9354.0899999999983</v>
      </c>
      <c r="L266" s="22">
        <f t="shared" si="29"/>
        <v>2.1221750464978308</v>
      </c>
      <c r="M266" s="22">
        <f t="shared" si="30"/>
        <v>1.327974636695104</v>
      </c>
    </row>
    <row r="267" spans="1:13" x14ac:dyDescent="0.25">
      <c r="A267">
        <v>70404</v>
      </c>
      <c r="B267" t="s">
        <v>324</v>
      </c>
      <c r="C267">
        <v>66738.78</v>
      </c>
      <c r="D267">
        <v>2733.12</v>
      </c>
      <c r="E267">
        <v>2135.34</v>
      </c>
      <c r="F267">
        <v>1440.9</v>
      </c>
      <c r="G267">
        <f t="shared" si="27"/>
        <v>2103.1200000000003</v>
      </c>
      <c r="H267">
        <v>404.55</v>
      </c>
      <c r="I267">
        <v>1871.55</v>
      </c>
      <c r="J267">
        <v>3160.44</v>
      </c>
      <c r="K267">
        <f t="shared" si="28"/>
        <v>1812.18</v>
      </c>
      <c r="L267" s="22">
        <f t="shared" si="29"/>
        <v>3.1512712698673853</v>
      </c>
      <c r="M267" s="22">
        <f t="shared" si="30"/>
        <v>2.715332824483756</v>
      </c>
    </row>
    <row r="268" spans="1:13" x14ac:dyDescent="0.25">
      <c r="A268">
        <v>70501</v>
      </c>
      <c r="B268" t="s">
        <v>325</v>
      </c>
      <c r="C268">
        <v>1537017.93</v>
      </c>
      <c r="D268">
        <v>5717.07</v>
      </c>
      <c r="E268">
        <v>8434.619999999999</v>
      </c>
      <c r="F268">
        <v>10016.1</v>
      </c>
      <c r="G268">
        <f t="shared" si="27"/>
        <v>8055.93</v>
      </c>
      <c r="H268">
        <v>17625.599999999999</v>
      </c>
      <c r="I268">
        <v>22902.39</v>
      </c>
      <c r="J268">
        <v>49189.41</v>
      </c>
      <c r="K268">
        <f t="shared" si="28"/>
        <v>29905.8</v>
      </c>
      <c r="L268" s="22">
        <f t="shared" si="29"/>
        <v>0.524127262458155</v>
      </c>
      <c r="M268" s="22">
        <f t="shared" si="30"/>
        <v>1.9457027414117416</v>
      </c>
    </row>
    <row r="269" spans="1:13" x14ac:dyDescent="0.25">
      <c r="A269">
        <v>70502</v>
      </c>
      <c r="B269" t="s">
        <v>326</v>
      </c>
      <c r="C269">
        <v>707981.4</v>
      </c>
      <c r="D269">
        <v>26173.17</v>
      </c>
      <c r="E269">
        <v>21198.87</v>
      </c>
      <c r="F269">
        <v>27307.8</v>
      </c>
      <c r="G269">
        <f t="shared" si="27"/>
        <v>24893.279999999999</v>
      </c>
      <c r="H269">
        <v>17122.68</v>
      </c>
      <c r="I269">
        <v>20419.830000000002</v>
      </c>
      <c r="J269">
        <v>16542.810000000001</v>
      </c>
      <c r="K269">
        <f t="shared" si="28"/>
        <v>18028.440000000002</v>
      </c>
      <c r="L269" s="22">
        <f t="shared" si="29"/>
        <v>3.5160923719182455</v>
      </c>
      <c r="M269" s="22">
        <f t="shared" si="30"/>
        <v>2.5464567289479643</v>
      </c>
    </row>
    <row r="270" spans="1:13" x14ac:dyDescent="0.25">
      <c r="A270">
        <v>70503</v>
      </c>
      <c r="B270" t="s">
        <v>327</v>
      </c>
      <c r="C270">
        <v>688852.98</v>
      </c>
      <c r="D270">
        <v>724.59</v>
      </c>
      <c r="E270">
        <v>985.23</v>
      </c>
      <c r="F270">
        <v>861.21</v>
      </c>
      <c r="G270">
        <f t="shared" si="27"/>
        <v>857.0100000000001</v>
      </c>
      <c r="H270">
        <v>5756.94</v>
      </c>
      <c r="I270">
        <v>6082.92</v>
      </c>
      <c r="J270">
        <v>33431.129999999997</v>
      </c>
      <c r="K270">
        <f t="shared" si="28"/>
        <v>15090.33</v>
      </c>
      <c r="L270" s="22">
        <f t="shared" si="29"/>
        <v>0.12441116245152924</v>
      </c>
      <c r="M270" s="22">
        <f t="shared" si="30"/>
        <v>2.1906459633810398</v>
      </c>
    </row>
    <row r="271" spans="1:13" x14ac:dyDescent="0.25">
      <c r="A271">
        <v>70601</v>
      </c>
      <c r="B271" t="s">
        <v>328</v>
      </c>
      <c r="C271">
        <v>37691.46</v>
      </c>
      <c r="D271">
        <v>2725.11</v>
      </c>
      <c r="E271">
        <v>1324.26</v>
      </c>
      <c r="F271">
        <v>949.59</v>
      </c>
      <c r="G271">
        <f t="shared" si="27"/>
        <v>1666.32</v>
      </c>
      <c r="H271">
        <v>154.88999999999999</v>
      </c>
      <c r="I271">
        <v>1691.19</v>
      </c>
      <c r="J271">
        <v>1113.21</v>
      </c>
      <c r="K271">
        <f t="shared" si="28"/>
        <v>986.43</v>
      </c>
      <c r="L271" s="22">
        <f t="shared" si="29"/>
        <v>4.4209484058192494</v>
      </c>
      <c r="M271" s="22">
        <f t="shared" si="30"/>
        <v>2.6171180421241309</v>
      </c>
    </row>
    <row r="272" spans="1:13" x14ac:dyDescent="0.25">
      <c r="A272">
        <v>70602</v>
      </c>
      <c r="B272" t="s">
        <v>329</v>
      </c>
      <c r="C272">
        <v>189111.87</v>
      </c>
      <c r="D272">
        <v>9718.65</v>
      </c>
      <c r="E272">
        <v>9067.0499999999993</v>
      </c>
      <c r="F272">
        <v>5380.47</v>
      </c>
      <c r="G272">
        <f t="shared" si="27"/>
        <v>8055.3899999999994</v>
      </c>
      <c r="H272">
        <v>2672.19</v>
      </c>
      <c r="I272">
        <v>8844.84</v>
      </c>
      <c r="J272">
        <v>10313.280000000001</v>
      </c>
      <c r="K272">
        <f t="shared" si="28"/>
        <v>7276.77</v>
      </c>
      <c r="L272" s="22">
        <f t="shared" si="29"/>
        <v>4.2595898396012899</v>
      </c>
      <c r="M272" s="22">
        <f t="shared" si="30"/>
        <v>3.847865287356103</v>
      </c>
    </row>
    <row r="273" spans="1:13" x14ac:dyDescent="0.25">
      <c r="A273">
        <v>70603</v>
      </c>
      <c r="B273" t="s">
        <v>330</v>
      </c>
      <c r="C273">
        <v>7991.91</v>
      </c>
      <c r="D273">
        <v>241.11</v>
      </c>
      <c r="E273">
        <v>149.94</v>
      </c>
      <c r="F273">
        <v>205.56</v>
      </c>
      <c r="G273">
        <f t="shared" si="27"/>
        <v>198.87</v>
      </c>
      <c r="H273">
        <v>27.36</v>
      </c>
      <c r="I273">
        <v>452.34</v>
      </c>
      <c r="J273">
        <v>463.95</v>
      </c>
      <c r="K273">
        <f t="shared" si="28"/>
        <v>314.55</v>
      </c>
      <c r="L273" s="22">
        <f t="shared" si="29"/>
        <v>2.4883913857888791</v>
      </c>
      <c r="M273" s="22">
        <f t="shared" si="30"/>
        <v>3.9358551335037557</v>
      </c>
    </row>
    <row r="274" spans="1:13" x14ac:dyDescent="0.25">
      <c r="A274">
        <v>70701</v>
      </c>
      <c r="B274" t="s">
        <v>331</v>
      </c>
      <c r="C274">
        <v>95083.29</v>
      </c>
      <c r="D274">
        <v>744.03</v>
      </c>
      <c r="E274">
        <v>704.88</v>
      </c>
      <c r="F274">
        <v>604.79999999999995</v>
      </c>
      <c r="G274">
        <f t="shared" si="27"/>
        <v>684.57</v>
      </c>
      <c r="H274">
        <v>234.27</v>
      </c>
      <c r="I274">
        <v>731.69999999999993</v>
      </c>
      <c r="J274">
        <v>264.06</v>
      </c>
      <c r="K274">
        <f t="shared" si="28"/>
        <v>410.01</v>
      </c>
      <c r="L274" s="22">
        <f t="shared" si="29"/>
        <v>0.71996877684817184</v>
      </c>
      <c r="M274" s="22">
        <f t="shared" si="30"/>
        <v>0.43121141475016278</v>
      </c>
    </row>
    <row r="275" spans="1:13" x14ac:dyDescent="0.25">
      <c r="A275">
        <v>70702</v>
      </c>
      <c r="B275" t="s">
        <v>332</v>
      </c>
      <c r="C275">
        <v>6326742.8700000001</v>
      </c>
      <c r="D275">
        <v>19657.71</v>
      </c>
      <c r="E275">
        <v>14750.19</v>
      </c>
      <c r="F275">
        <v>16189.2</v>
      </c>
      <c r="G275">
        <f t="shared" si="27"/>
        <v>16865.7</v>
      </c>
      <c r="H275">
        <v>31498.74</v>
      </c>
      <c r="I275">
        <v>22288.41</v>
      </c>
      <c r="J275">
        <v>124829.1</v>
      </c>
      <c r="K275">
        <f t="shared" si="28"/>
        <v>59538.75</v>
      </c>
      <c r="L275" s="22">
        <f t="shared" si="29"/>
        <v>0.26657792716649475</v>
      </c>
      <c r="M275" s="22">
        <f t="shared" si="30"/>
        <v>0.94106479784913399</v>
      </c>
    </row>
    <row r="276" spans="1:13" x14ac:dyDescent="0.25">
      <c r="A276">
        <v>70703</v>
      </c>
      <c r="B276" t="s">
        <v>333</v>
      </c>
      <c r="C276">
        <v>296407.53000000003</v>
      </c>
      <c r="D276">
        <v>6353.82</v>
      </c>
      <c r="E276">
        <v>5191.6499999999996</v>
      </c>
      <c r="F276">
        <v>5211.2700000000004</v>
      </c>
      <c r="G276">
        <f t="shared" si="27"/>
        <v>5585.579999999999</v>
      </c>
      <c r="H276">
        <v>3291.84</v>
      </c>
      <c r="I276">
        <v>5694.75</v>
      </c>
      <c r="J276">
        <v>5455.89</v>
      </c>
      <c r="K276">
        <f t="shared" si="28"/>
        <v>4814.16</v>
      </c>
      <c r="L276" s="22">
        <f t="shared" si="29"/>
        <v>1.8844258106398302</v>
      </c>
      <c r="M276" s="22">
        <f t="shared" si="30"/>
        <v>1.6241692645257693</v>
      </c>
    </row>
    <row r="277" spans="1:13" x14ac:dyDescent="0.25">
      <c r="A277">
        <v>70704</v>
      </c>
      <c r="B277" t="s">
        <v>334</v>
      </c>
      <c r="C277">
        <v>71029.440000000002</v>
      </c>
      <c r="D277">
        <v>144.72</v>
      </c>
      <c r="E277">
        <v>124.02</v>
      </c>
      <c r="F277">
        <v>405.63</v>
      </c>
      <c r="G277">
        <f t="shared" si="27"/>
        <v>224.79</v>
      </c>
      <c r="H277">
        <v>85.320000000000007</v>
      </c>
      <c r="I277">
        <v>632.43000000000006</v>
      </c>
      <c r="J277">
        <v>80.820000000000007</v>
      </c>
      <c r="K277">
        <f t="shared" si="28"/>
        <v>266.19000000000005</v>
      </c>
      <c r="L277" s="22">
        <f t="shared" si="29"/>
        <v>0.31647440835799917</v>
      </c>
      <c r="M277" s="22">
        <f t="shared" si="30"/>
        <v>0.37476009947424621</v>
      </c>
    </row>
    <row r="278" spans="1:13" x14ac:dyDescent="0.25">
      <c r="A278">
        <v>70705</v>
      </c>
      <c r="B278" t="s">
        <v>335</v>
      </c>
      <c r="C278">
        <v>244483.65</v>
      </c>
      <c r="D278">
        <v>3554.01</v>
      </c>
      <c r="E278">
        <v>2156.67</v>
      </c>
      <c r="F278">
        <v>1584.09</v>
      </c>
      <c r="G278">
        <f t="shared" si="27"/>
        <v>2431.59</v>
      </c>
      <c r="H278">
        <v>1509.93</v>
      </c>
      <c r="I278">
        <v>2467.8000000000002</v>
      </c>
      <c r="J278">
        <v>1229.76</v>
      </c>
      <c r="K278">
        <f t="shared" si="28"/>
        <v>1735.8300000000002</v>
      </c>
      <c r="L278" s="22">
        <f t="shared" si="29"/>
        <v>0.99458184627070156</v>
      </c>
      <c r="M278" s="22">
        <f t="shared" si="30"/>
        <v>0.70999839866592318</v>
      </c>
    </row>
    <row r="279" spans="1:13" x14ac:dyDescent="0.25">
      <c r="A279">
        <v>70706</v>
      </c>
      <c r="B279" t="s">
        <v>336</v>
      </c>
      <c r="C279">
        <v>87469.74</v>
      </c>
      <c r="D279">
        <v>477.45</v>
      </c>
      <c r="E279">
        <v>537.57000000000005</v>
      </c>
      <c r="F279">
        <v>809.46</v>
      </c>
      <c r="G279">
        <f t="shared" si="27"/>
        <v>608.16</v>
      </c>
      <c r="H279">
        <v>222.21</v>
      </c>
      <c r="I279">
        <v>1170.81</v>
      </c>
      <c r="J279">
        <v>424.8</v>
      </c>
      <c r="K279">
        <f t="shared" si="28"/>
        <v>605.93999999999994</v>
      </c>
      <c r="L279" s="22">
        <f t="shared" si="29"/>
        <v>0.6952804478440201</v>
      </c>
      <c r="M279" s="22">
        <f t="shared" si="30"/>
        <v>0.69274242726684665</v>
      </c>
    </row>
    <row r="280" spans="1:13" x14ac:dyDescent="0.25">
      <c r="A280">
        <v>70707</v>
      </c>
      <c r="B280" t="s">
        <v>337</v>
      </c>
      <c r="C280">
        <v>147199.14000000001</v>
      </c>
      <c r="D280">
        <v>82.35</v>
      </c>
      <c r="E280">
        <v>100.35</v>
      </c>
      <c r="F280">
        <v>344.97</v>
      </c>
      <c r="G280">
        <f t="shared" si="27"/>
        <v>175.89000000000001</v>
      </c>
      <c r="H280">
        <v>2029.41</v>
      </c>
      <c r="I280">
        <v>2905.65</v>
      </c>
      <c r="J280">
        <v>638.55000000000007</v>
      </c>
      <c r="K280">
        <f t="shared" si="28"/>
        <v>1857.8700000000001</v>
      </c>
      <c r="L280" s="22">
        <f t="shared" si="29"/>
        <v>0.11949118724470809</v>
      </c>
      <c r="M280" s="22">
        <f t="shared" si="30"/>
        <v>1.2621473196106987</v>
      </c>
    </row>
    <row r="281" spans="1:13" x14ac:dyDescent="0.25">
      <c r="A281">
        <v>70801</v>
      </c>
      <c r="B281" t="s">
        <v>338</v>
      </c>
      <c r="C281">
        <v>269921.7</v>
      </c>
      <c r="D281">
        <v>726.12</v>
      </c>
      <c r="E281">
        <v>1041.1199999999999</v>
      </c>
      <c r="F281">
        <v>1511.01</v>
      </c>
      <c r="G281">
        <f t="shared" si="27"/>
        <v>1092.75</v>
      </c>
      <c r="H281">
        <v>670.68000000000006</v>
      </c>
      <c r="I281">
        <v>2835.45</v>
      </c>
      <c r="J281">
        <v>1157.76</v>
      </c>
      <c r="K281">
        <f t="shared" si="28"/>
        <v>1554.63</v>
      </c>
      <c r="L281" s="22">
        <f t="shared" si="29"/>
        <v>0.40483962571367921</v>
      </c>
      <c r="M281" s="22">
        <f t="shared" si="30"/>
        <v>0.57595591610455932</v>
      </c>
    </row>
    <row r="282" spans="1:13" x14ac:dyDescent="0.25">
      <c r="A282">
        <v>70802</v>
      </c>
      <c r="B282" t="s">
        <v>339</v>
      </c>
      <c r="C282">
        <v>24363.9</v>
      </c>
      <c r="D282">
        <v>108.81</v>
      </c>
      <c r="E282">
        <v>111.96</v>
      </c>
      <c r="F282">
        <v>193.05</v>
      </c>
      <c r="G282">
        <f t="shared" si="27"/>
        <v>137.94</v>
      </c>
      <c r="H282">
        <v>157.77000000000001</v>
      </c>
      <c r="I282">
        <v>269.27999999999997</v>
      </c>
      <c r="J282">
        <v>48.69</v>
      </c>
      <c r="K282">
        <f t="shared" si="28"/>
        <v>158.57999999999998</v>
      </c>
      <c r="L282" s="22">
        <f t="shared" si="29"/>
        <v>0.56616551537315452</v>
      </c>
      <c r="M282" s="22">
        <f t="shared" si="30"/>
        <v>0.65088101658601449</v>
      </c>
    </row>
    <row r="283" spans="1:13" x14ac:dyDescent="0.25">
      <c r="A283">
        <v>70803</v>
      </c>
      <c r="B283" t="s">
        <v>340</v>
      </c>
      <c r="C283">
        <v>40236.75</v>
      </c>
      <c r="D283">
        <v>46.26</v>
      </c>
      <c r="E283">
        <v>46.98</v>
      </c>
      <c r="F283">
        <v>928.43999999999994</v>
      </c>
      <c r="G283">
        <f t="shared" si="27"/>
        <v>340.56</v>
      </c>
      <c r="H283">
        <v>330.3</v>
      </c>
      <c r="I283">
        <v>468.36</v>
      </c>
      <c r="J283">
        <v>102.51</v>
      </c>
      <c r="K283">
        <f t="shared" si="28"/>
        <v>300.39000000000004</v>
      </c>
      <c r="L283" s="22">
        <f t="shared" si="29"/>
        <v>0.84639042666219311</v>
      </c>
      <c r="M283" s="22">
        <f t="shared" si="30"/>
        <v>0.74655631978228876</v>
      </c>
    </row>
    <row r="284" spans="1:13" x14ac:dyDescent="0.25">
      <c r="A284">
        <v>70804</v>
      </c>
      <c r="B284" t="s">
        <v>341</v>
      </c>
      <c r="C284">
        <v>102421.89</v>
      </c>
      <c r="D284">
        <v>317.16000000000003</v>
      </c>
      <c r="E284">
        <v>358.92</v>
      </c>
      <c r="F284">
        <v>362.34</v>
      </c>
      <c r="G284">
        <f t="shared" si="27"/>
        <v>346.14000000000004</v>
      </c>
      <c r="H284">
        <v>147.87</v>
      </c>
      <c r="I284">
        <v>622.17000000000007</v>
      </c>
      <c r="J284">
        <v>679.77</v>
      </c>
      <c r="K284">
        <f t="shared" si="28"/>
        <v>483.27</v>
      </c>
      <c r="L284" s="22">
        <f t="shared" si="29"/>
        <v>0.33795509924685047</v>
      </c>
      <c r="M284" s="22">
        <f t="shared" si="30"/>
        <v>0.47184249382627097</v>
      </c>
    </row>
    <row r="285" spans="1:13" x14ac:dyDescent="0.25">
      <c r="A285">
        <v>70805</v>
      </c>
      <c r="B285" t="s">
        <v>342</v>
      </c>
      <c r="C285">
        <v>44864.639999999999</v>
      </c>
      <c r="D285">
        <v>158.85</v>
      </c>
      <c r="E285">
        <v>183.69</v>
      </c>
      <c r="F285">
        <v>497.7</v>
      </c>
      <c r="G285">
        <f t="shared" si="27"/>
        <v>280.08</v>
      </c>
      <c r="H285">
        <v>213.3</v>
      </c>
      <c r="I285">
        <v>541.98</v>
      </c>
      <c r="J285">
        <v>199.53</v>
      </c>
      <c r="K285">
        <f t="shared" si="28"/>
        <v>318.27</v>
      </c>
      <c r="L285" s="22">
        <f t="shared" si="29"/>
        <v>0.62427782770573881</v>
      </c>
      <c r="M285" s="22">
        <f t="shared" si="30"/>
        <v>0.70940054350151915</v>
      </c>
    </row>
    <row r="286" spans="1:13" x14ac:dyDescent="0.25">
      <c r="A286">
        <v>70901</v>
      </c>
      <c r="B286" t="s">
        <v>343</v>
      </c>
      <c r="C286">
        <v>167194.07999999999</v>
      </c>
      <c r="D286">
        <v>352.62</v>
      </c>
      <c r="E286">
        <v>480.87</v>
      </c>
      <c r="F286">
        <v>530.19000000000005</v>
      </c>
      <c r="G286">
        <f t="shared" si="27"/>
        <v>454.56</v>
      </c>
      <c r="H286">
        <v>393.48</v>
      </c>
      <c r="I286">
        <v>662.4</v>
      </c>
      <c r="J286">
        <v>457.65</v>
      </c>
      <c r="K286">
        <f t="shared" si="28"/>
        <v>504.51000000000005</v>
      </c>
      <c r="L286" s="22">
        <f t="shared" si="29"/>
        <v>0.27187565492749505</v>
      </c>
      <c r="M286" s="22">
        <f t="shared" si="30"/>
        <v>0.30175111463276699</v>
      </c>
    </row>
    <row r="287" spans="1:13" x14ac:dyDescent="0.25">
      <c r="A287">
        <v>70902</v>
      </c>
      <c r="B287" t="s">
        <v>344</v>
      </c>
      <c r="C287">
        <v>75895.11</v>
      </c>
      <c r="D287">
        <v>474.48</v>
      </c>
      <c r="E287">
        <v>352.8</v>
      </c>
      <c r="F287">
        <v>671.49</v>
      </c>
      <c r="G287">
        <f t="shared" si="27"/>
        <v>499.59</v>
      </c>
      <c r="H287">
        <v>284.04000000000002</v>
      </c>
      <c r="I287">
        <v>616.59</v>
      </c>
      <c r="J287">
        <v>461.25</v>
      </c>
      <c r="K287">
        <f t="shared" si="28"/>
        <v>453.96000000000004</v>
      </c>
      <c r="L287" s="22">
        <f t="shared" si="29"/>
        <v>0.65826375375172386</v>
      </c>
      <c r="M287" s="22">
        <f t="shared" si="30"/>
        <v>0.59814130317486858</v>
      </c>
    </row>
    <row r="288" spans="1:13" x14ac:dyDescent="0.25">
      <c r="A288">
        <v>70903</v>
      </c>
      <c r="B288" t="s">
        <v>345</v>
      </c>
      <c r="C288">
        <v>64372.41</v>
      </c>
      <c r="D288">
        <v>361.89</v>
      </c>
      <c r="E288">
        <v>200.43</v>
      </c>
      <c r="F288">
        <v>294.75</v>
      </c>
      <c r="G288">
        <f t="shared" si="27"/>
        <v>285.69</v>
      </c>
      <c r="H288">
        <v>234.81</v>
      </c>
      <c r="I288">
        <v>477.18</v>
      </c>
      <c r="J288">
        <v>458.18999999999988</v>
      </c>
      <c r="K288">
        <f t="shared" si="28"/>
        <v>390.05999999999995</v>
      </c>
      <c r="L288" s="22">
        <f t="shared" si="29"/>
        <v>0.44380814699962295</v>
      </c>
      <c r="M288" s="22">
        <f t="shared" si="30"/>
        <v>0.60594282550552314</v>
      </c>
    </row>
    <row r="289" spans="1:13" x14ac:dyDescent="0.25">
      <c r="A289">
        <v>70904</v>
      </c>
      <c r="B289" t="s">
        <v>346</v>
      </c>
      <c r="C289">
        <v>22582.71</v>
      </c>
      <c r="D289">
        <v>104.22</v>
      </c>
      <c r="E289">
        <v>96.66</v>
      </c>
      <c r="F289">
        <v>194.13</v>
      </c>
      <c r="G289">
        <f t="shared" si="27"/>
        <v>131.66999999999999</v>
      </c>
      <c r="H289">
        <v>151.47</v>
      </c>
      <c r="I289">
        <v>171.72</v>
      </c>
      <c r="J289">
        <v>71.28</v>
      </c>
      <c r="K289">
        <f t="shared" si="28"/>
        <v>131.49</v>
      </c>
      <c r="L289" s="22">
        <f t="shared" si="29"/>
        <v>0.58305668363097252</v>
      </c>
      <c r="M289" s="22">
        <f t="shared" si="30"/>
        <v>0.58225961366018519</v>
      </c>
    </row>
    <row r="290" spans="1:13" x14ac:dyDescent="0.25">
      <c r="A290">
        <v>71001</v>
      </c>
      <c r="B290" t="s">
        <v>347</v>
      </c>
      <c r="C290">
        <v>3696.57</v>
      </c>
      <c r="D290">
        <v>292.23</v>
      </c>
      <c r="E290">
        <v>189.27</v>
      </c>
      <c r="F290">
        <v>137.79</v>
      </c>
      <c r="G290">
        <f t="shared" si="27"/>
        <v>206.42999999999998</v>
      </c>
      <c r="H290">
        <v>6.48</v>
      </c>
      <c r="I290">
        <v>158.04</v>
      </c>
      <c r="J290">
        <v>151.19999999999999</v>
      </c>
      <c r="K290">
        <f t="shared" si="28"/>
        <v>105.24</v>
      </c>
      <c r="L290" s="22">
        <f t="shared" si="29"/>
        <v>5.5843660474439814</v>
      </c>
      <c r="M290" s="22">
        <f t="shared" si="30"/>
        <v>2.84696353646759</v>
      </c>
    </row>
    <row r="291" spans="1:13" x14ac:dyDescent="0.25">
      <c r="A291">
        <v>71002</v>
      </c>
      <c r="B291" t="s">
        <v>348</v>
      </c>
      <c r="C291">
        <v>3788.19</v>
      </c>
      <c r="D291">
        <v>503.28</v>
      </c>
      <c r="E291">
        <v>181.62</v>
      </c>
      <c r="F291">
        <v>122.94</v>
      </c>
      <c r="G291">
        <f t="shared" si="27"/>
        <v>269.27999999999997</v>
      </c>
      <c r="H291">
        <v>29.7</v>
      </c>
      <c r="I291">
        <v>205.29</v>
      </c>
      <c r="J291">
        <v>293.22000000000003</v>
      </c>
      <c r="K291">
        <f t="shared" si="28"/>
        <v>176.07000000000002</v>
      </c>
      <c r="L291" s="22">
        <f t="shared" si="29"/>
        <v>7.1084079732009213</v>
      </c>
      <c r="M291" s="22">
        <f t="shared" si="30"/>
        <v>4.6478661313186516</v>
      </c>
    </row>
    <row r="292" spans="1:13" x14ac:dyDescent="0.25">
      <c r="A292">
        <v>71003</v>
      </c>
      <c r="B292" t="s">
        <v>349</v>
      </c>
      <c r="C292">
        <v>3309.57</v>
      </c>
      <c r="D292">
        <v>443.07</v>
      </c>
      <c r="E292">
        <v>328.77</v>
      </c>
      <c r="F292">
        <v>141.12</v>
      </c>
      <c r="G292">
        <f t="shared" si="27"/>
        <v>304.32</v>
      </c>
      <c r="H292">
        <v>45.72</v>
      </c>
      <c r="I292">
        <v>300.60000000000002</v>
      </c>
      <c r="J292">
        <v>294.83999999999997</v>
      </c>
      <c r="K292">
        <f t="shared" si="28"/>
        <v>213.72000000000003</v>
      </c>
      <c r="L292" s="22">
        <f t="shared" si="29"/>
        <v>9.1951522403212493</v>
      </c>
      <c r="M292" s="22">
        <f t="shared" si="30"/>
        <v>6.4576364905410673</v>
      </c>
    </row>
    <row r="293" spans="1:13" x14ac:dyDescent="0.25">
      <c r="A293">
        <v>71004</v>
      </c>
      <c r="B293" t="s">
        <v>350</v>
      </c>
      <c r="C293">
        <v>4884.21</v>
      </c>
      <c r="D293">
        <v>525.6</v>
      </c>
      <c r="E293">
        <v>356.67</v>
      </c>
      <c r="F293">
        <v>193.23</v>
      </c>
      <c r="G293">
        <f t="shared" si="27"/>
        <v>358.5</v>
      </c>
      <c r="H293">
        <v>133.47</v>
      </c>
      <c r="I293">
        <v>457.11</v>
      </c>
      <c r="J293">
        <v>167.49</v>
      </c>
      <c r="K293">
        <f t="shared" si="28"/>
        <v>252.69000000000003</v>
      </c>
      <c r="L293" s="22">
        <f t="shared" si="29"/>
        <v>7.3399792392219014</v>
      </c>
      <c r="M293" s="22">
        <f t="shared" si="30"/>
        <v>5.1736104712942321</v>
      </c>
    </row>
    <row r="294" spans="1:13" x14ac:dyDescent="0.25">
      <c r="A294">
        <v>71005</v>
      </c>
      <c r="B294" t="s">
        <v>274</v>
      </c>
      <c r="C294">
        <v>48195.360000000001</v>
      </c>
      <c r="D294">
        <v>3596.58</v>
      </c>
      <c r="E294">
        <v>2199.5100000000002</v>
      </c>
      <c r="F294">
        <v>1057.23</v>
      </c>
      <c r="G294">
        <f t="shared" si="27"/>
        <v>2284.44</v>
      </c>
      <c r="H294">
        <v>672.3</v>
      </c>
      <c r="I294">
        <v>1230.21</v>
      </c>
      <c r="J294">
        <v>2080.5300000000002</v>
      </c>
      <c r="K294">
        <f t="shared" si="28"/>
        <v>1327.68</v>
      </c>
      <c r="L294" s="22">
        <f t="shared" si="29"/>
        <v>4.739958369436394</v>
      </c>
      <c r="M294" s="22">
        <f t="shared" si="30"/>
        <v>2.7547880127879529</v>
      </c>
    </row>
    <row r="295" spans="1:13" x14ac:dyDescent="0.25">
      <c r="A295">
        <v>71101</v>
      </c>
      <c r="B295" t="s">
        <v>351</v>
      </c>
      <c r="C295">
        <v>2713543.38</v>
      </c>
      <c r="D295">
        <v>8116.11</v>
      </c>
      <c r="E295">
        <v>8115.3899999999994</v>
      </c>
      <c r="F295">
        <v>8620.2000000000007</v>
      </c>
      <c r="G295">
        <f t="shared" si="27"/>
        <v>8283.9</v>
      </c>
      <c r="H295">
        <v>21125.34</v>
      </c>
      <c r="I295">
        <v>31114.89</v>
      </c>
      <c r="J295">
        <v>24791.67</v>
      </c>
      <c r="K295">
        <f t="shared" si="28"/>
        <v>25677.3</v>
      </c>
      <c r="L295" s="22">
        <f t="shared" si="29"/>
        <v>0.30527980724597814</v>
      </c>
      <c r="M295" s="22">
        <f t="shared" si="30"/>
        <v>0.94626458486910203</v>
      </c>
    </row>
    <row r="296" spans="1:13" x14ac:dyDescent="0.25">
      <c r="A296">
        <v>71102</v>
      </c>
      <c r="B296" t="s">
        <v>352</v>
      </c>
      <c r="C296">
        <v>144437.94</v>
      </c>
      <c r="D296">
        <v>2414.61</v>
      </c>
      <c r="E296">
        <v>2028.15</v>
      </c>
      <c r="F296">
        <v>2257.83</v>
      </c>
      <c r="G296">
        <f t="shared" si="27"/>
        <v>2233.5300000000002</v>
      </c>
      <c r="H296">
        <v>2735.1</v>
      </c>
      <c r="I296">
        <v>5414.4</v>
      </c>
      <c r="J296">
        <v>2750.04</v>
      </c>
      <c r="K296">
        <f t="shared" si="28"/>
        <v>3633.1800000000003</v>
      </c>
      <c r="L296" s="22">
        <f t="shared" si="29"/>
        <v>1.5463596337638159</v>
      </c>
      <c r="M296" s="22">
        <f t="shared" si="30"/>
        <v>2.5153917315630507</v>
      </c>
    </row>
    <row r="297" spans="1:13" x14ac:dyDescent="0.25">
      <c r="A297">
        <v>71103</v>
      </c>
      <c r="B297" t="s">
        <v>353</v>
      </c>
      <c r="C297">
        <v>33668.82</v>
      </c>
      <c r="D297">
        <v>444.42</v>
      </c>
      <c r="E297">
        <v>538.02</v>
      </c>
      <c r="F297">
        <v>722.52</v>
      </c>
      <c r="G297">
        <f t="shared" si="27"/>
        <v>568.32000000000005</v>
      </c>
      <c r="H297">
        <v>715.59</v>
      </c>
      <c r="I297">
        <v>1435.05</v>
      </c>
      <c r="J297">
        <v>687.24</v>
      </c>
      <c r="K297">
        <f t="shared" si="28"/>
        <v>945.96</v>
      </c>
      <c r="L297" s="22">
        <f t="shared" si="29"/>
        <v>1.6879712446114834</v>
      </c>
      <c r="M297" s="22">
        <f t="shared" si="30"/>
        <v>2.8096024749308115</v>
      </c>
    </row>
    <row r="298" spans="1:13" x14ac:dyDescent="0.25">
      <c r="A298">
        <v>71104</v>
      </c>
      <c r="B298" t="s">
        <v>354</v>
      </c>
      <c r="C298">
        <v>119226.78</v>
      </c>
      <c r="D298">
        <v>21680.82</v>
      </c>
      <c r="E298">
        <v>9136.5300000000007</v>
      </c>
      <c r="F298">
        <v>8329.9500000000007</v>
      </c>
      <c r="G298">
        <f t="shared" si="27"/>
        <v>13049.1</v>
      </c>
      <c r="H298">
        <v>3190.23</v>
      </c>
      <c r="I298">
        <v>6556.68</v>
      </c>
      <c r="J298">
        <v>3736.44</v>
      </c>
      <c r="K298">
        <f t="shared" si="28"/>
        <v>4494.45</v>
      </c>
      <c r="L298" s="22">
        <f t="shared" si="29"/>
        <v>10.944772642522091</v>
      </c>
      <c r="M298" s="22">
        <f t="shared" si="30"/>
        <v>3.7696648353666853</v>
      </c>
    </row>
    <row r="299" spans="1:13" x14ac:dyDescent="0.25">
      <c r="A299">
        <v>71105</v>
      </c>
      <c r="B299" t="s">
        <v>355</v>
      </c>
      <c r="C299">
        <v>168209.19</v>
      </c>
      <c r="D299">
        <v>758.25</v>
      </c>
      <c r="E299">
        <v>1137.69</v>
      </c>
      <c r="F299">
        <v>2150.1</v>
      </c>
      <c r="G299">
        <f t="shared" si="27"/>
        <v>1348.68</v>
      </c>
      <c r="H299">
        <v>721.62</v>
      </c>
      <c r="I299">
        <v>2098.98</v>
      </c>
      <c r="J299">
        <v>1157.31</v>
      </c>
      <c r="K299">
        <f t="shared" si="28"/>
        <v>1325.97</v>
      </c>
      <c r="L299" s="22">
        <f t="shared" si="29"/>
        <v>0.80178734586380218</v>
      </c>
      <c r="M299" s="22">
        <f t="shared" si="30"/>
        <v>0.78828629993402854</v>
      </c>
    </row>
    <row r="300" spans="1:13" x14ac:dyDescent="0.25">
      <c r="A300">
        <v>71106</v>
      </c>
      <c r="B300" t="s">
        <v>356</v>
      </c>
      <c r="C300">
        <v>123518.34</v>
      </c>
      <c r="D300">
        <v>6287.49</v>
      </c>
      <c r="E300">
        <v>5668.29</v>
      </c>
      <c r="F300">
        <v>7055.55</v>
      </c>
      <c r="G300">
        <f t="shared" si="27"/>
        <v>6337.11</v>
      </c>
      <c r="H300">
        <v>3865.14</v>
      </c>
      <c r="I300">
        <v>4085.46</v>
      </c>
      <c r="J300">
        <v>2783.34</v>
      </c>
      <c r="K300">
        <f t="shared" si="28"/>
        <v>3577.98</v>
      </c>
      <c r="L300" s="22">
        <f t="shared" si="29"/>
        <v>5.1305012680707982</v>
      </c>
      <c r="M300" s="22">
        <f t="shared" si="30"/>
        <v>2.8967196288421624</v>
      </c>
    </row>
    <row r="301" spans="1:13" x14ac:dyDescent="0.25">
      <c r="A301">
        <v>71201</v>
      </c>
      <c r="B301" t="s">
        <v>357</v>
      </c>
      <c r="C301">
        <v>1780795.71</v>
      </c>
      <c r="D301">
        <v>1861.11</v>
      </c>
      <c r="E301">
        <v>1580.85</v>
      </c>
      <c r="F301">
        <v>3711.69</v>
      </c>
      <c r="G301">
        <f t="shared" si="27"/>
        <v>2384.5499999999997</v>
      </c>
      <c r="H301">
        <v>4317.57</v>
      </c>
      <c r="I301">
        <v>6201.27</v>
      </c>
      <c r="J301">
        <v>6397.74</v>
      </c>
      <c r="K301">
        <f t="shared" si="28"/>
        <v>5638.8600000000006</v>
      </c>
      <c r="L301" s="22">
        <f t="shared" si="29"/>
        <v>0.13390362446459397</v>
      </c>
      <c r="M301" s="22">
        <f t="shared" si="30"/>
        <v>0.3166483369392214</v>
      </c>
    </row>
    <row r="302" spans="1:13" x14ac:dyDescent="0.25">
      <c r="A302">
        <v>71301</v>
      </c>
      <c r="B302" t="s">
        <v>358</v>
      </c>
      <c r="C302">
        <v>254941.2</v>
      </c>
      <c r="D302">
        <v>712.8</v>
      </c>
      <c r="E302">
        <v>754.82999999999993</v>
      </c>
      <c r="F302">
        <v>1662.84</v>
      </c>
      <c r="G302">
        <f t="shared" si="27"/>
        <v>1043.49</v>
      </c>
      <c r="H302">
        <v>848.61</v>
      </c>
      <c r="I302">
        <v>1421.64</v>
      </c>
      <c r="J302">
        <v>646.29</v>
      </c>
      <c r="K302">
        <f t="shared" si="28"/>
        <v>972.18</v>
      </c>
      <c r="L302" s="22">
        <f t="shared" si="29"/>
        <v>0.4093061458877576</v>
      </c>
      <c r="M302" s="22">
        <f t="shared" si="30"/>
        <v>0.38133499018597222</v>
      </c>
    </row>
    <row r="303" spans="1:13" x14ac:dyDescent="0.25">
      <c r="A303">
        <v>71302</v>
      </c>
      <c r="B303" t="s">
        <v>359</v>
      </c>
      <c r="C303">
        <v>21281.67</v>
      </c>
      <c r="D303">
        <v>39.96</v>
      </c>
      <c r="E303">
        <v>32.58</v>
      </c>
      <c r="F303">
        <v>170.01</v>
      </c>
      <c r="G303">
        <f t="shared" si="27"/>
        <v>80.849999999999994</v>
      </c>
      <c r="H303">
        <v>73.709999999999994</v>
      </c>
      <c r="I303">
        <v>254.43</v>
      </c>
      <c r="J303">
        <v>146.88</v>
      </c>
      <c r="K303">
        <f t="shared" si="28"/>
        <v>158.34</v>
      </c>
      <c r="L303" s="22">
        <f t="shared" si="29"/>
        <v>0.37990439660045477</v>
      </c>
      <c r="M303" s="22">
        <f t="shared" si="30"/>
        <v>0.74402055853699467</v>
      </c>
    </row>
    <row r="304" spans="1:13" x14ac:dyDescent="0.25">
      <c r="A304">
        <v>71401</v>
      </c>
      <c r="B304" t="s">
        <v>360</v>
      </c>
      <c r="C304">
        <v>959463.72</v>
      </c>
      <c r="D304">
        <v>2914.74</v>
      </c>
      <c r="E304">
        <v>3950.46</v>
      </c>
      <c r="F304">
        <v>3979.71</v>
      </c>
      <c r="G304">
        <f t="shared" si="27"/>
        <v>3614.97</v>
      </c>
      <c r="H304">
        <v>2815.83</v>
      </c>
      <c r="I304">
        <v>2310.84</v>
      </c>
      <c r="J304">
        <v>5229</v>
      </c>
      <c r="K304">
        <f t="shared" si="28"/>
        <v>3451.89</v>
      </c>
      <c r="L304" s="22">
        <f t="shared" si="29"/>
        <v>0.37676984805637048</v>
      </c>
      <c r="M304" s="22">
        <f t="shared" si="30"/>
        <v>0.35977285311006862</v>
      </c>
    </row>
    <row r="305" spans="1:13" x14ac:dyDescent="0.25">
      <c r="A305">
        <v>71402</v>
      </c>
      <c r="B305" t="s">
        <v>361</v>
      </c>
      <c r="C305">
        <v>102474.54</v>
      </c>
      <c r="D305">
        <v>366.12</v>
      </c>
      <c r="E305">
        <v>228.87</v>
      </c>
      <c r="F305">
        <v>225.9</v>
      </c>
      <c r="G305">
        <f t="shared" si="27"/>
        <v>273.63</v>
      </c>
      <c r="H305">
        <v>80.010000000000005</v>
      </c>
      <c r="I305">
        <v>174.69</v>
      </c>
      <c r="J305">
        <v>269.01</v>
      </c>
      <c r="K305">
        <f t="shared" si="28"/>
        <v>174.57000000000002</v>
      </c>
      <c r="L305" s="22">
        <f t="shared" si="29"/>
        <v>0.26702242332583292</v>
      </c>
      <c r="M305" s="22">
        <f t="shared" si="30"/>
        <v>0.17035450952012082</v>
      </c>
    </row>
    <row r="306" spans="1:13" x14ac:dyDescent="0.25">
      <c r="A306">
        <v>71403</v>
      </c>
      <c r="B306" t="s">
        <v>362</v>
      </c>
      <c r="C306">
        <v>858557.52</v>
      </c>
      <c r="D306">
        <v>4557.6000000000004</v>
      </c>
      <c r="E306">
        <v>2531.34</v>
      </c>
      <c r="F306">
        <v>2362.0500000000002</v>
      </c>
      <c r="G306">
        <f t="shared" si="27"/>
        <v>3150.3300000000004</v>
      </c>
      <c r="H306">
        <v>11805.12</v>
      </c>
      <c r="I306">
        <v>3964.14</v>
      </c>
      <c r="J306">
        <v>13583.25</v>
      </c>
      <c r="K306">
        <f t="shared" si="28"/>
        <v>9784.17</v>
      </c>
      <c r="L306" s="22">
        <f t="shared" si="29"/>
        <v>0.36693289926573591</v>
      </c>
      <c r="M306" s="22">
        <f t="shared" si="30"/>
        <v>1.1396056492522482</v>
      </c>
    </row>
    <row r="307" spans="1:13" x14ac:dyDescent="0.25">
      <c r="A307">
        <v>71501</v>
      </c>
      <c r="B307" t="s">
        <v>363</v>
      </c>
      <c r="C307">
        <v>707265.36</v>
      </c>
      <c r="D307">
        <v>9355.77</v>
      </c>
      <c r="E307">
        <v>7587.45</v>
      </c>
      <c r="F307">
        <v>14311.8</v>
      </c>
      <c r="G307">
        <f t="shared" si="27"/>
        <v>10418.34</v>
      </c>
      <c r="H307">
        <v>11047.41</v>
      </c>
      <c r="I307">
        <v>17998.38</v>
      </c>
      <c r="J307">
        <v>29664.45</v>
      </c>
      <c r="K307">
        <f t="shared" si="28"/>
        <v>19570.080000000002</v>
      </c>
      <c r="L307" s="22">
        <f t="shared" si="29"/>
        <v>1.4730454210283959</v>
      </c>
      <c r="M307" s="22">
        <f t="shared" si="30"/>
        <v>2.7670067144246966</v>
      </c>
    </row>
    <row r="308" spans="1:13" x14ac:dyDescent="0.25">
      <c r="A308">
        <v>71502</v>
      </c>
      <c r="B308" t="s">
        <v>364</v>
      </c>
      <c r="C308">
        <v>1533241.71</v>
      </c>
      <c r="D308">
        <v>5737.68</v>
      </c>
      <c r="E308">
        <v>4284.8100000000004</v>
      </c>
      <c r="F308">
        <v>3578.22</v>
      </c>
      <c r="G308">
        <f t="shared" si="27"/>
        <v>4533.5700000000006</v>
      </c>
      <c r="H308">
        <v>1343.43</v>
      </c>
      <c r="I308">
        <v>4910.76</v>
      </c>
      <c r="J308">
        <v>10967.31</v>
      </c>
      <c r="K308">
        <f t="shared" si="28"/>
        <v>5740.5</v>
      </c>
      <c r="L308" s="22">
        <f t="shared" si="29"/>
        <v>0.29568527717655169</v>
      </c>
      <c r="M308" s="22">
        <f t="shared" si="30"/>
        <v>0.37440280697816397</v>
      </c>
    </row>
    <row r="309" spans="1:13" x14ac:dyDescent="0.25">
      <c r="A309">
        <v>71503</v>
      </c>
      <c r="B309" t="s">
        <v>309</v>
      </c>
      <c r="C309">
        <v>510386.49</v>
      </c>
      <c r="D309">
        <v>23825.52</v>
      </c>
      <c r="E309">
        <v>13485.96</v>
      </c>
      <c r="F309">
        <v>14507.01</v>
      </c>
      <c r="G309">
        <f t="shared" si="27"/>
        <v>17272.829999999998</v>
      </c>
      <c r="H309">
        <v>11948.13</v>
      </c>
      <c r="I309">
        <v>16453.53</v>
      </c>
      <c r="J309">
        <v>20580.3</v>
      </c>
      <c r="K309">
        <f t="shared" si="28"/>
        <v>16327.319999999998</v>
      </c>
      <c r="L309" s="22">
        <f t="shared" si="29"/>
        <v>3.3842647363177658</v>
      </c>
      <c r="M309" s="22">
        <f t="shared" si="30"/>
        <v>3.1990110083047063</v>
      </c>
    </row>
    <row r="310" spans="1:13" x14ac:dyDescent="0.25">
      <c r="A310">
        <v>80101</v>
      </c>
      <c r="B310" t="s">
        <v>366</v>
      </c>
      <c r="C310">
        <v>60176.43</v>
      </c>
      <c r="D310">
        <v>923.49</v>
      </c>
      <c r="E310">
        <v>576</v>
      </c>
      <c r="F310">
        <v>782.73</v>
      </c>
      <c r="G310">
        <f t="shared" si="27"/>
        <v>760.74000000000012</v>
      </c>
      <c r="H310">
        <v>609.03</v>
      </c>
      <c r="I310">
        <v>780.03</v>
      </c>
      <c r="J310">
        <v>2544.75</v>
      </c>
      <c r="K310">
        <f t="shared" si="28"/>
        <v>1311.27</v>
      </c>
      <c r="L310" s="22">
        <f t="shared" si="29"/>
        <v>1.2641826708563473</v>
      </c>
      <c r="M310" s="22">
        <f t="shared" si="30"/>
        <v>2.1790425254539025</v>
      </c>
    </row>
    <row r="311" spans="1:13" x14ac:dyDescent="0.25">
      <c r="A311">
        <v>80102</v>
      </c>
      <c r="B311" t="s">
        <v>352</v>
      </c>
      <c r="C311">
        <v>334434.24</v>
      </c>
      <c r="D311">
        <v>7365.6900000000014</v>
      </c>
      <c r="E311">
        <v>2780.91</v>
      </c>
      <c r="F311">
        <v>3033.45</v>
      </c>
      <c r="G311">
        <f t="shared" si="27"/>
        <v>4393.3500000000013</v>
      </c>
      <c r="H311">
        <v>2290.0500000000002</v>
      </c>
      <c r="I311">
        <v>5715.18</v>
      </c>
      <c r="J311">
        <v>14024.7</v>
      </c>
      <c r="K311">
        <f t="shared" si="28"/>
        <v>7343.31</v>
      </c>
      <c r="L311" s="22">
        <f t="shared" si="29"/>
        <v>1.3136663279453686</v>
      </c>
      <c r="M311" s="22">
        <f t="shared" si="30"/>
        <v>2.1957410820136123</v>
      </c>
    </row>
    <row r="312" spans="1:13" x14ac:dyDescent="0.25">
      <c r="A312">
        <v>80201</v>
      </c>
      <c r="B312" t="s">
        <v>367</v>
      </c>
      <c r="C312">
        <v>1063728</v>
      </c>
      <c r="D312">
        <v>6211.98</v>
      </c>
      <c r="E312">
        <v>3331.26</v>
      </c>
      <c r="F312">
        <v>5851.89</v>
      </c>
      <c r="G312">
        <f t="shared" si="27"/>
        <v>5131.71</v>
      </c>
      <c r="H312">
        <v>1397.43</v>
      </c>
      <c r="I312">
        <v>2820.15</v>
      </c>
      <c r="J312">
        <v>2405.25</v>
      </c>
      <c r="K312">
        <f t="shared" si="28"/>
        <v>2207.61</v>
      </c>
      <c r="L312" s="22">
        <f t="shared" si="29"/>
        <v>0.48242689860565857</v>
      </c>
      <c r="M312" s="22">
        <f t="shared" si="30"/>
        <v>0.20753519696764589</v>
      </c>
    </row>
    <row r="313" spans="1:13" x14ac:dyDescent="0.25">
      <c r="A313">
        <v>80202</v>
      </c>
      <c r="B313" t="s">
        <v>368</v>
      </c>
      <c r="C313">
        <v>491534.73</v>
      </c>
      <c r="D313">
        <v>7356.24</v>
      </c>
      <c r="E313">
        <v>3266.19</v>
      </c>
      <c r="F313">
        <v>9524.34</v>
      </c>
      <c r="G313">
        <f t="shared" si="27"/>
        <v>6715.59</v>
      </c>
      <c r="H313">
        <v>599.76</v>
      </c>
      <c r="I313">
        <v>1899.72</v>
      </c>
      <c r="J313">
        <v>1936.62</v>
      </c>
      <c r="K313">
        <f t="shared" si="28"/>
        <v>1478.7</v>
      </c>
      <c r="L313" s="22">
        <f t="shared" si="29"/>
        <v>1.3662493390853583</v>
      </c>
      <c r="M313" s="22">
        <f t="shared" si="30"/>
        <v>0.30083326970608976</v>
      </c>
    </row>
    <row r="314" spans="1:13" x14ac:dyDescent="0.25">
      <c r="A314">
        <v>80301</v>
      </c>
      <c r="B314" t="s">
        <v>369</v>
      </c>
      <c r="C314">
        <v>603961.47</v>
      </c>
      <c r="D314">
        <v>9737.01</v>
      </c>
      <c r="E314">
        <v>3540.78</v>
      </c>
      <c r="F314">
        <v>4527.3600000000006</v>
      </c>
      <c r="G314">
        <f t="shared" si="27"/>
        <v>5935.05</v>
      </c>
      <c r="H314">
        <v>2584.08</v>
      </c>
      <c r="I314">
        <v>1852.92</v>
      </c>
      <c r="J314">
        <v>14850.81</v>
      </c>
      <c r="K314">
        <f t="shared" si="28"/>
        <v>6429.2699999999995</v>
      </c>
      <c r="L314" s="22">
        <f t="shared" si="29"/>
        <v>0.98268685914682607</v>
      </c>
      <c r="M314" s="22">
        <f t="shared" si="30"/>
        <v>1.0645165824899394</v>
      </c>
    </row>
    <row r="315" spans="1:13" x14ac:dyDescent="0.25">
      <c r="A315">
        <v>80302</v>
      </c>
      <c r="B315" t="s">
        <v>370</v>
      </c>
      <c r="C315">
        <v>558977.13</v>
      </c>
      <c r="D315">
        <v>4325.58</v>
      </c>
      <c r="E315">
        <v>3793.14</v>
      </c>
      <c r="F315">
        <v>5846.49</v>
      </c>
      <c r="G315">
        <f t="shared" si="27"/>
        <v>4655.07</v>
      </c>
      <c r="H315">
        <v>1588.86</v>
      </c>
      <c r="I315">
        <v>3449.79</v>
      </c>
      <c r="J315">
        <v>6747.48</v>
      </c>
      <c r="K315">
        <f t="shared" si="28"/>
        <v>3928.7099999999996</v>
      </c>
      <c r="L315" s="22">
        <f t="shared" si="29"/>
        <v>0.8327836239024663</v>
      </c>
      <c r="M315" s="22">
        <f t="shared" si="30"/>
        <v>0.70283913046675084</v>
      </c>
    </row>
    <row r="316" spans="1:13" x14ac:dyDescent="0.25">
      <c r="A316">
        <v>80303</v>
      </c>
      <c r="B316" t="s">
        <v>371</v>
      </c>
      <c r="C316">
        <v>201943.35</v>
      </c>
      <c r="D316">
        <v>1146.06</v>
      </c>
      <c r="E316">
        <v>578.97</v>
      </c>
      <c r="F316">
        <v>1156.1400000000001</v>
      </c>
      <c r="G316">
        <f t="shared" si="27"/>
        <v>960.39</v>
      </c>
      <c r="H316">
        <v>1116.0899999999999</v>
      </c>
      <c r="I316">
        <v>615.42000000000007</v>
      </c>
      <c r="J316">
        <v>4005.45</v>
      </c>
      <c r="K316">
        <f t="shared" si="28"/>
        <v>1912.32</v>
      </c>
      <c r="L316" s="22">
        <f t="shared" si="29"/>
        <v>0.47557396665946167</v>
      </c>
      <c r="M316" s="22">
        <f t="shared" si="30"/>
        <v>0.94695863963829463</v>
      </c>
    </row>
    <row r="317" spans="1:13" x14ac:dyDescent="0.25">
      <c r="A317">
        <v>80304</v>
      </c>
      <c r="B317" t="s">
        <v>372</v>
      </c>
      <c r="C317">
        <v>206885.16</v>
      </c>
      <c r="D317">
        <v>1865.79</v>
      </c>
      <c r="E317">
        <v>2359.62</v>
      </c>
      <c r="F317">
        <v>6890.76</v>
      </c>
      <c r="G317">
        <f t="shared" si="27"/>
        <v>3705.39</v>
      </c>
      <c r="H317">
        <v>774.36</v>
      </c>
      <c r="I317">
        <v>2184.0300000000002</v>
      </c>
      <c r="J317">
        <v>2426.58</v>
      </c>
      <c r="K317">
        <f t="shared" si="28"/>
        <v>1794.99</v>
      </c>
      <c r="L317" s="22">
        <f t="shared" si="29"/>
        <v>1.7910371145035247</v>
      </c>
      <c r="M317" s="22">
        <f t="shared" si="30"/>
        <v>0.86762627150250904</v>
      </c>
    </row>
    <row r="318" spans="1:13" x14ac:dyDescent="0.25">
      <c r="A318">
        <v>80401</v>
      </c>
      <c r="B318" t="s">
        <v>373</v>
      </c>
      <c r="C318">
        <v>453998.25</v>
      </c>
      <c r="D318">
        <v>11979.45</v>
      </c>
      <c r="E318">
        <v>4686.57</v>
      </c>
      <c r="F318">
        <v>8220.06</v>
      </c>
      <c r="G318">
        <f t="shared" si="27"/>
        <v>8295.36</v>
      </c>
      <c r="H318">
        <v>2391.39</v>
      </c>
      <c r="I318">
        <v>1475.91</v>
      </c>
      <c r="J318">
        <v>7290.8099999999986</v>
      </c>
      <c r="K318">
        <f t="shared" si="28"/>
        <v>3719.3699999999994</v>
      </c>
      <c r="L318" s="22">
        <f t="shared" si="29"/>
        <v>1.8271788492576788</v>
      </c>
      <c r="M318" s="22">
        <f t="shared" si="30"/>
        <v>0.81924765128499943</v>
      </c>
    </row>
    <row r="319" spans="1:13" x14ac:dyDescent="0.25">
      <c r="A319">
        <v>80402</v>
      </c>
      <c r="B319" t="s">
        <v>374</v>
      </c>
      <c r="C319">
        <v>554632.11</v>
      </c>
      <c r="D319">
        <v>4398.57</v>
      </c>
      <c r="E319">
        <v>2054.4299999999998</v>
      </c>
      <c r="F319">
        <v>5584.41</v>
      </c>
      <c r="G319">
        <f t="shared" si="27"/>
        <v>4012.47</v>
      </c>
      <c r="H319">
        <v>1602.63</v>
      </c>
      <c r="I319">
        <v>1440.63</v>
      </c>
      <c r="J319">
        <v>6385.77</v>
      </c>
      <c r="K319">
        <f t="shared" si="28"/>
        <v>3143.01</v>
      </c>
      <c r="L319" s="22">
        <f t="shared" si="29"/>
        <v>0.72344711524184924</v>
      </c>
      <c r="M319" s="22">
        <f t="shared" si="30"/>
        <v>0.56668374285073397</v>
      </c>
    </row>
    <row r="320" spans="1:13" x14ac:dyDescent="0.25">
      <c r="A320">
        <v>80501</v>
      </c>
      <c r="B320" t="s">
        <v>375</v>
      </c>
      <c r="C320">
        <v>1079191.8</v>
      </c>
      <c r="D320">
        <v>10452.42</v>
      </c>
      <c r="E320">
        <v>5697.27</v>
      </c>
      <c r="F320">
        <v>7201.35</v>
      </c>
      <c r="G320">
        <f t="shared" si="27"/>
        <v>7783.68</v>
      </c>
      <c r="H320">
        <v>3260.34</v>
      </c>
      <c r="I320">
        <v>4909.5</v>
      </c>
      <c r="J320">
        <v>12492.09</v>
      </c>
      <c r="K320">
        <f t="shared" si="28"/>
        <v>6887.31</v>
      </c>
      <c r="L320" s="22">
        <f t="shared" si="29"/>
        <v>0.72125084716173715</v>
      </c>
      <c r="M320" s="22">
        <f t="shared" si="30"/>
        <v>0.63819146883806943</v>
      </c>
    </row>
    <row r="321" spans="1:13" x14ac:dyDescent="0.25">
      <c r="A321">
        <v>80601</v>
      </c>
      <c r="B321" t="s">
        <v>376</v>
      </c>
      <c r="C321">
        <v>267892.65000000002</v>
      </c>
      <c r="D321">
        <v>8147.16</v>
      </c>
      <c r="E321">
        <v>2517.39</v>
      </c>
      <c r="F321">
        <v>3193.2</v>
      </c>
      <c r="G321">
        <f t="shared" si="27"/>
        <v>4619.25</v>
      </c>
      <c r="H321">
        <v>540.36</v>
      </c>
      <c r="I321">
        <v>1326.96</v>
      </c>
      <c r="J321">
        <v>10383.84</v>
      </c>
      <c r="K321">
        <f t="shared" si="28"/>
        <v>4083.72</v>
      </c>
      <c r="L321" s="22">
        <f t="shared" si="29"/>
        <v>1.7242914279283137</v>
      </c>
      <c r="M321" s="22">
        <f t="shared" si="30"/>
        <v>1.5243867272954297</v>
      </c>
    </row>
    <row r="322" spans="1:13" x14ac:dyDescent="0.25">
      <c r="A322">
        <v>80602</v>
      </c>
      <c r="B322" t="s">
        <v>377</v>
      </c>
      <c r="C322">
        <v>485036.55</v>
      </c>
      <c r="D322">
        <v>8475.2099999999991</v>
      </c>
      <c r="E322">
        <v>4002.03</v>
      </c>
      <c r="F322">
        <v>7084.62</v>
      </c>
      <c r="G322">
        <f t="shared" ref="G322:G344" si="31">AVERAGE(D322:F322)</f>
        <v>6520.62</v>
      </c>
      <c r="H322">
        <v>6141.33</v>
      </c>
      <c r="I322">
        <v>8202.06</v>
      </c>
      <c r="J322">
        <v>21828.15</v>
      </c>
      <c r="K322">
        <f t="shared" ref="K322:K344" si="32">AVERAGE(H322:J322)</f>
        <v>12057.18</v>
      </c>
      <c r="L322" s="22">
        <f t="shared" ref="L322:L344" si="33">IF(C322=0,0,(G322/C322)*100)</f>
        <v>1.3443564201501927</v>
      </c>
      <c r="M322" s="22">
        <f t="shared" ref="M322:M344" si="34">IF(C322=0,0,(K322/C322)*100)</f>
        <v>2.4858291607096414</v>
      </c>
    </row>
    <row r="323" spans="1:13" x14ac:dyDescent="0.25">
      <c r="A323">
        <v>80701</v>
      </c>
      <c r="B323" t="s">
        <v>378</v>
      </c>
      <c r="C323">
        <v>265375.17</v>
      </c>
      <c r="D323">
        <v>4831.83</v>
      </c>
      <c r="E323">
        <v>2160.63</v>
      </c>
      <c r="F323">
        <v>4587.93</v>
      </c>
      <c r="G323">
        <f t="shared" si="31"/>
        <v>3860.1299999999997</v>
      </c>
      <c r="H323">
        <v>560.97</v>
      </c>
      <c r="I323">
        <v>992.97</v>
      </c>
      <c r="J323">
        <v>7752.42</v>
      </c>
      <c r="K323">
        <f t="shared" si="32"/>
        <v>3102.1200000000003</v>
      </c>
      <c r="L323" s="22">
        <f t="shared" si="33"/>
        <v>1.4545935100107519</v>
      </c>
      <c r="M323" s="22">
        <f t="shared" si="34"/>
        <v>1.1689563872912452</v>
      </c>
    </row>
    <row r="324" spans="1:13" x14ac:dyDescent="0.25">
      <c r="A324">
        <v>80702</v>
      </c>
      <c r="B324" t="s">
        <v>353</v>
      </c>
      <c r="C324">
        <v>80279.91</v>
      </c>
      <c r="D324">
        <v>2648.07</v>
      </c>
      <c r="E324">
        <v>1004.31</v>
      </c>
      <c r="F324">
        <v>1420.02</v>
      </c>
      <c r="G324">
        <f t="shared" si="31"/>
        <v>1690.8</v>
      </c>
      <c r="H324">
        <v>202.14</v>
      </c>
      <c r="I324">
        <v>836.73</v>
      </c>
      <c r="J324">
        <v>6733.62</v>
      </c>
      <c r="K324">
        <f t="shared" si="32"/>
        <v>2590.83</v>
      </c>
      <c r="L324" s="22">
        <f t="shared" si="33"/>
        <v>2.1061309112080466</v>
      </c>
      <c r="M324" s="22">
        <f t="shared" si="34"/>
        <v>3.2272457704548994</v>
      </c>
    </row>
    <row r="325" spans="1:13" x14ac:dyDescent="0.25">
      <c r="A325">
        <v>80703</v>
      </c>
      <c r="B325" t="s">
        <v>379</v>
      </c>
      <c r="C325">
        <v>85748.400000000009</v>
      </c>
      <c r="D325">
        <v>1965.6</v>
      </c>
      <c r="E325">
        <v>1055.97</v>
      </c>
      <c r="F325">
        <v>3889.71</v>
      </c>
      <c r="G325">
        <f t="shared" si="31"/>
        <v>2303.7599999999998</v>
      </c>
      <c r="H325">
        <v>273.24</v>
      </c>
      <c r="I325">
        <v>410.67</v>
      </c>
      <c r="J325">
        <v>1529.28</v>
      </c>
      <c r="K325">
        <f t="shared" si="32"/>
        <v>737.73</v>
      </c>
      <c r="L325" s="22">
        <f t="shared" si="33"/>
        <v>2.6866507130162192</v>
      </c>
      <c r="M325" s="22">
        <f t="shared" si="34"/>
        <v>0.86034258365170657</v>
      </c>
    </row>
    <row r="326" spans="1:13" x14ac:dyDescent="0.25">
      <c r="A326">
        <v>80801</v>
      </c>
      <c r="B326" t="s">
        <v>380</v>
      </c>
      <c r="C326">
        <v>762624.45</v>
      </c>
      <c r="D326">
        <v>7223.76</v>
      </c>
      <c r="E326">
        <v>2466.27</v>
      </c>
      <c r="F326">
        <v>3128.31</v>
      </c>
      <c r="G326">
        <f t="shared" si="31"/>
        <v>4272.78</v>
      </c>
      <c r="H326">
        <v>1069.92</v>
      </c>
      <c r="I326">
        <v>2182.59</v>
      </c>
      <c r="J326">
        <v>16606.71</v>
      </c>
      <c r="K326">
        <f t="shared" si="32"/>
        <v>6619.7400000000007</v>
      </c>
      <c r="L326" s="22">
        <f t="shared" si="33"/>
        <v>0.56027314623862379</v>
      </c>
      <c r="M326" s="22">
        <f t="shared" si="34"/>
        <v>0.86802095054780914</v>
      </c>
    </row>
    <row r="327" spans="1:13" x14ac:dyDescent="0.25">
      <c r="A327">
        <v>80802</v>
      </c>
      <c r="B327" t="s">
        <v>381</v>
      </c>
      <c r="C327">
        <v>1158756.8400000001</v>
      </c>
      <c r="D327">
        <v>8257.68</v>
      </c>
      <c r="E327">
        <v>3152.34</v>
      </c>
      <c r="F327">
        <v>2736.9</v>
      </c>
      <c r="G327">
        <f t="shared" si="31"/>
        <v>4715.6400000000003</v>
      </c>
      <c r="H327">
        <v>2014.02</v>
      </c>
      <c r="I327">
        <v>2198.6999999999998</v>
      </c>
      <c r="J327">
        <v>20389.95</v>
      </c>
      <c r="K327">
        <f t="shared" si="32"/>
        <v>8200.89</v>
      </c>
      <c r="L327" s="22">
        <f t="shared" si="33"/>
        <v>0.40695682107041548</v>
      </c>
      <c r="M327" s="22">
        <f t="shared" si="34"/>
        <v>0.70773174465144895</v>
      </c>
    </row>
    <row r="328" spans="1:13" x14ac:dyDescent="0.25">
      <c r="A328">
        <v>80803</v>
      </c>
      <c r="B328" t="s">
        <v>382</v>
      </c>
      <c r="C328">
        <v>116038.53</v>
      </c>
      <c r="D328">
        <v>5345.28</v>
      </c>
      <c r="E328">
        <v>2118.87</v>
      </c>
      <c r="F328">
        <v>1430.55</v>
      </c>
      <c r="G328">
        <f t="shared" si="31"/>
        <v>2964.8999999999996</v>
      </c>
      <c r="H328">
        <v>343.89</v>
      </c>
      <c r="I328">
        <v>615.87</v>
      </c>
      <c r="J328">
        <v>5136.75</v>
      </c>
      <c r="K328">
        <f t="shared" si="32"/>
        <v>2032.17</v>
      </c>
      <c r="L328" s="22">
        <f t="shared" si="33"/>
        <v>2.5550995863184407</v>
      </c>
      <c r="M328" s="22">
        <f t="shared" si="34"/>
        <v>1.7512889899587665</v>
      </c>
    </row>
    <row r="329" spans="1:13" x14ac:dyDescent="0.25">
      <c r="A329">
        <v>80901</v>
      </c>
      <c r="B329" t="s">
        <v>383</v>
      </c>
      <c r="C329">
        <v>531983.97</v>
      </c>
      <c r="D329">
        <v>6079.32</v>
      </c>
      <c r="E329">
        <v>1829.97</v>
      </c>
      <c r="F329">
        <v>2131.83</v>
      </c>
      <c r="G329">
        <f t="shared" si="31"/>
        <v>3347.0399999999995</v>
      </c>
      <c r="H329">
        <v>780.12</v>
      </c>
      <c r="I329">
        <v>252.9</v>
      </c>
      <c r="J329">
        <v>3450.06</v>
      </c>
      <c r="K329">
        <f t="shared" si="32"/>
        <v>1494.36</v>
      </c>
      <c r="L329" s="22">
        <f t="shared" si="33"/>
        <v>0.62916181478174982</v>
      </c>
      <c r="M329" s="22">
        <f t="shared" si="34"/>
        <v>0.28090320089907972</v>
      </c>
    </row>
    <row r="330" spans="1:13" x14ac:dyDescent="0.25">
      <c r="A330">
        <v>90101</v>
      </c>
      <c r="B330" t="s">
        <v>385</v>
      </c>
      <c r="C330">
        <v>23278.41</v>
      </c>
      <c r="D330">
        <v>493.74</v>
      </c>
      <c r="E330">
        <v>431.82</v>
      </c>
      <c r="F330">
        <v>409.95</v>
      </c>
      <c r="G330">
        <f t="shared" si="31"/>
        <v>445.17</v>
      </c>
      <c r="H330">
        <v>41.67</v>
      </c>
      <c r="I330">
        <v>677.97</v>
      </c>
      <c r="J330">
        <v>558.45000000000005</v>
      </c>
      <c r="K330">
        <f t="shared" si="32"/>
        <v>426.03000000000003</v>
      </c>
      <c r="L330" s="22">
        <f t="shared" si="33"/>
        <v>1.9123728811375005</v>
      </c>
      <c r="M330" s="22">
        <f t="shared" si="34"/>
        <v>1.8301507706067557</v>
      </c>
    </row>
    <row r="331" spans="1:13" x14ac:dyDescent="0.25">
      <c r="A331">
        <v>90102</v>
      </c>
      <c r="B331" t="s">
        <v>386</v>
      </c>
      <c r="C331">
        <v>76866.75</v>
      </c>
      <c r="D331">
        <v>690.39</v>
      </c>
      <c r="E331">
        <v>593.81999999999994</v>
      </c>
      <c r="F331">
        <v>662.58</v>
      </c>
      <c r="G331">
        <f t="shared" si="31"/>
        <v>648.92999999999995</v>
      </c>
      <c r="H331">
        <v>94.23</v>
      </c>
      <c r="I331">
        <v>705.51</v>
      </c>
      <c r="J331">
        <v>779.76</v>
      </c>
      <c r="K331">
        <f t="shared" si="32"/>
        <v>526.5</v>
      </c>
      <c r="L331" s="22">
        <f t="shared" si="33"/>
        <v>0.84422718535647723</v>
      </c>
      <c r="M331" s="22">
        <f t="shared" si="34"/>
        <v>0.68495155577671751</v>
      </c>
    </row>
    <row r="332" spans="1:13" x14ac:dyDescent="0.25">
      <c r="A332">
        <v>90103</v>
      </c>
      <c r="B332" t="s">
        <v>387</v>
      </c>
      <c r="C332">
        <v>232518.15</v>
      </c>
      <c r="D332">
        <v>856.53</v>
      </c>
      <c r="E332">
        <v>858.87</v>
      </c>
      <c r="F332">
        <v>858.96</v>
      </c>
      <c r="G332">
        <f t="shared" si="31"/>
        <v>858.12</v>
      </c>
      <c r="H332">
        <v>374.58</v>
      </c>
      <c r="I332">
        <v>781.2</v>
      </c>
      <c r="J332">
        <v>1393.47</v>
      </c>
      <c r="K332">
        <f t="shared" si="32"/>
        <v>849.75</v>
      </c>
      <c r="L332" s="22">
        <f t="shared" si="33"/>
        <v>0.36905506086299072</v>
      </c>
      <c r="M332" s="22">
        <f t="shared" si="34"/>
        <v>0.36545534187331186</v>
      </c>
    </row>
    <row r="333" spans="1:13" x14ac:dyDescent="0.25">
      <c r="A333">
        <v>90104</v>
      </c>
      <c r="B333" t="s">
        <v>388</v>
      </c>
      <c r="C333">
        <v>481176.99</v>
      </c>
      <c r="D333">
        <v>1575.63</v>
      </c>
      <c r="E333">
        <v>2038.23</v>
      </c>
      <c r="F333">
        <v>1196.55</v>
      </c>
      <c r="G333">
        <f t="shared" si="31"/>
        <v>1603.47</v>
      </c>
      <c r="H333">
        <v>655.92000000000007</v>
      </c>
      <c r="I333">
        <v>2310.12</v>
      </c>
      <c r="J333">
        <v>2428.92</v>
      </c>
      <c r="K333">
        <f t="shared" si="32"/>
        <v>1798.32</v>
      </c>
      <c r="L333" s="22">
        <f t="shared" si="33"/>
        <v>0.33323912683355872</v>
      </c>
      <c r="M333" s="22">
        <f t="shared" si="34"/>
        <v>0.37373358189883521</v>
      </c>
    </row>
    <row r="334" spans="1:13" x14ac:dyDescent="0.25">
      <c r="A334">
        <v>90201</v>
      </c>
      <c r="B334" t="s">
        <v>389</v>
      </c>
      <c r="C334">
        <v>493769.52</v>
      </c>
      <c r="D334">
        <v>2741.13</v>
      </c>
      <c r="E334">
        <v>1685.88</v>
      </c>
      <c r="F334">
        <v>1121.58</v>
      </c>
      <c r="G334">
        <f t="shared" si="31"/>
        <v>1849.53</v>
      </c>
      <c r="H334">
        <v>216.18</v>
      </c>
      <c r="I334">
        <v>623.43000000000006</v>
      </c>
      <c r="J334">
        <v>627.93000000000006</v>
      </c>
      <c r="K334">
        <f t="shared" si="32"/>
        <v>489.18000000000006</v>
      </c>
      <c r="L334" s="22">
        <f t="shared" si="33"/>
        <v>0.37457354597343312</v>
      </c>
      <c r="M334" s="22">
        <f t="shared" si="34"/>
        <v>9.9070513708501104E-2</v>
      </c>
    </row>
    <row r="335" spans="1:13" x14ac:dyDescent="0.25">
      <c r="A335">
        <v>90202</v>
      </c>
      <c r="B335" t="s">
        <v>274</v>
      </c>
      <c r="C335">
        <v>240183.99</v>
      </c>
      <c r="D335">
        <v>1624.5</v>
      </c>
      <c r="E335">
        <v>1045.6199999999999</v>
      </c>
      <c r="F335">
        <v>1617.93</v>
      </c>
      <c r="G335">
        <f t="shared" si="31"/>
        <v>1429.3500000000001</v>
      </c>
      <c r="H335">
        <v>254.88</v>
      </c>
      <c r="I335">
        <v>944.1</v>
      </c>
      <c r="J335">
        <v>621.18000000000006</v>
      </c>
      <c r="K335">
        <f t="shared" si="32"/>
        <v>606.72</v>
      </c>
      <c r="L335" s="22">
        <f t="shared" si="33"/>
        <v>0.59510627665066274</v>
      </c>
      <c r="M335" s="22">
        <f t="shared" si="34"/>
        <v>0.25260634566025825</v>
      </c>
    </row>
    <row r="336" spans="1:13" x14ac:dyDescent="0.25">
      <c r="A336">
        <v>90203</v>
      </c>
      <c r="B336" t="s">
        <v>390</v>
      </c>
      <c r="C336">
        <v>1144670.3999999999</v>
      </c>
      <c r="D336">
        <v>2373.12</v>
      </c>
      <c r="E336">
        <v>1731.6</v>
      </c>
      <c r="F336">
        <v>1939.59</v>
      </c>
      <c r="G336">
        <f t="shared" si="31"/>
        <v>2014.7699999999998</v>
      </c>
      <c r="H336">
        <v>598.04999999999995</v>
      </c>
      <c r="I336">
        <v>2015.55</v>
      </c>
      <c r="J336">
        <v>2797.47</v>
      </c>
      <c r="K336">
        <f t="shared" si="32"/>
        <v>1803.6899999999998</v>
      </c>
      <c r="L336" s="22">
        <f t="shared" si="33"/>
        <v>0.17601311259555588</v>
      </c>
      <c r="M336" s="22">
        <f t="shared" si="34"/>
        <v>0.15757286988464103</v>
      </c>
    </row>
    <row r="337" spans="1:14" x14ac:dyDescent="0.25">
      <c r="A337">
        <v>90301</v>
      </c>
      <c r="B337" t="s">
        <v>391</v>
      </c>
      <c r="C337">
        <v>109327.14</v>
      </c>
      <c r="D337">
        <v>1185.21</v>
      </c>
      <c r="E337">
        <v>558.17999999999995</v>
      </c>
      <c r="F337">
        <v>1971.99</v>
      </c>
      <c r="G337">
        <f t="shared" si="31"/>
        <v>1238.46</v>
      </c>
      <c r="H337">
        <v>231.12</v>
      </c>
      <c r="I337">
        <v>547.74</v>
      </c>
      <c r="J337">
        <v>597.51</v>
      </c>
      <c r="K337">
        <f t="shared" si="32"/>
        <v>458.78999999999996</v>
      </c>
      <c r="L337" s="22">
        <f t="shared" si="33"/>
        <v>1.1328019739654764</v>
      </c>
      <c r="M337" s="22">
        <f t="shared" si="34"/>
        <v>0.41964877156760894</v>
      </c>
    </row>
    <row r="338" spans="1:14" x14ac:dyDescent="0.25">
      <c r="A338">
        <v>90302</v>
      </c>
      <c r="B338" t="s">
        <v>308</v>
      </c>
      <c r="C338">
        <v>286931.43</v>
      </c>
      <c r="D338">
        <v>1417.59</v>
      </c>
      <c r="E338">
        <v>926.18999999999994</v>
      </c>
      <c r="F338">
        <v>2246.04</v>
      </c>
      <c r="G338">
        <f t="shared" si="31"/>
        <v>1529.9399999999998</v>
      </c>
      <c r="H338">
        <v>270.36</v>
      </c>
      <c r="I338">
        <v>738.36</v>
      </c>
      <c r="J338">
        <v>528.93000000000006</v>
      </c>
      <c r="K338">
        <f t="shared" si="32"/>
        <v>512.55000000000007</v>
      </c>
      <c r="L338" s="22">
        <f t="shared" si="33"/>
        <v>0.53320753324234993</v>
      </c>
      <c r="M338" s="22">
        <f t="shared" si="34"/>
        <v>0.17863152879417918</v>
      </c>
    </row>
    <row r="339" spans="1:14" x14ac:dyDescent="0.25">
      <c r="A339">
        <v>90303</v>
      </c>
      <c r="B339" t="s">
        <v>392</v>
      </c>
      <c r="C339">
        <v>717293.34</v>
      </c>
      <c r="D339">
        <v>1169.82</v>
      </c>
      <c r="E339">
        <v>959.67000000000007</v>
      </c>
      <c r="F339">
        <v>955.62</v>
      </c>
      <c r="G339">
        <f t="shared" si="31"/>
        <v>1028.3699999999999</v>
      </c>
      <c r="H339">
        <v>371.7</v>
      </c>
      <c r="I339">
        <v>553.32000000000005</v>
      </c>
      <c r="J339">
        <v>765.45</v>
      </c>
      <c r="K339">
        <f t="shared" si="32"/>
        <v>563.49</v>
      </c>
      <c r="L339" s="22">
        <f t="shared" si="33"/>
        <v>0.14336812328412252</v>
      </c>
      <c r="M339" s="22">
        <f t="shared" si="34"/>
        <v>7.8557818479117622E-2</v>
      </c>
    </row>
    <row r="340" spans="1:14" x14ac:dyDescent="0.25">
      <c r="A340">
        <v>90401</v>
      </c>
      <c r="B340" t="s">
        <v>371</v>
      </c>
      <c r="C340">
        <v>434458.62</v>
      </c>
      <c r="D340">
        <v>540.81000000000006</v>
      </c>
      <c r="E340">
        <v>742.68000000000006</v>
      </c>
      <c r="F340">
        <v>483.12</v>
      </c>
      <c r="G340">
        <f t="shared" si="31"/>
        <v>588.87</v>
      </c>
      <c r="H340">
        <v>218.88</v>
      </c>
      <c r="I340">
        <v>445.23</v>
      </c>
      <c r="J340">
        <v>420.39</v>
      </c>
      <c r="K340">
        <f t="shared" si="32"/>
        <v>361.5</v>
      </c>
      <c r="L340" s="22">
        <f t="shared" si="33"/>
        <v>0.13554110170492187</v>
      </c>
      <c r="M340" s="22">
        <f t="shared" si="34"/>
        <v>8.3207003695771997E-2</v>
      </c>
    </row>
    <row r="341" spans="1:14" x14ac:dyDescent="0.25">
      <c r="A341">
        <v>90402</v>
      </c>
      <c r="B341" t="s">
        <v>393</v>
      </c>
      <c r="C341">
        <v>538625.16</v>
      </c>
      <c r="D341">
        <v>497.97</v>
      </c>
      <c r="E341">
        <v>356.31</v>
      </c>
      <c r="F341">
        <v>479.7</v>
      </c>
      <c r="G341">
        <f t="shared" si="31"/>
        <v>444.66</v>
      </c>
      <c r="H341">
        <v>306.63</v>
      </c>
      <c r="I341">
        <v>246.69</v>
      </c>
      <c r="J341">
        <v>267.3</v>
      </c>
      <c r="K341">
        <f t="shared" si="32"/>
        <v>273.53999999999996</v>
      </c>
      <c r="L341" s="22">
        <f t="shared" si="33"/>
        <v>8.2554628528678453E-2</v>
      </c>
      <c r="M341" s="22">
        <f t="shared" si="34"/>
        <v>5.0784853793313323E-2</v>
      </c>
    </row>
    <row r="342" spans="1:14" x14ac:dyDescent="0.25">
      <c r="A342">
        <v>90501</v>
      </c>
      <c r="B342" t="s">
        <v>394</v>
      </c>
      <c r="C342">
        <v>359182.98</v>
      </c>
      <c r="D342">
        <v>195.03</v>
      </c>
      <c r="E342">
        <v>179.82</v>
      </c>
      <c r="F342">
        <v>1107.6300000000001</v>
      </c>
      <c r="G342">
        <f t="shared" si="31"/>
        <v>494.16</v>
      </c>
      <c r="H342">
        <v>39.510000000000012</v>
      </c>
      <c r="I342">
        <v>229.86</v>
      </c>
      <c r="J342">
        <v>232.11</v>
      </c>
      <c r="K342">
        <f t="shared" si="32"/>
        <v>167.16</v>
      </c>
      <c r="L342" s="22">
        <f t="shared" si="33"/>
        <v>0.137578901984721</v>
      </c>
      <c r="M342" s="22">
        <f t="shared" si="34"/>
        <v>4.6538953488274977E-2</v>
      </c>
    </row>
    <row r="343" spans="1:14" x14ac:dyDescent="0.25">
      <c r="A343">
        <v>90502</v>
      </c>
      <c r="B343" t="s">
        <v>395</v>
      </c>
      <c r="C343">
        <v>273027.06</v>
      </c>
      <c r="D343">
        <v>417.6</v>
      </c>
      <c r="E343">
        <v>245.97</v>
      </c>
      <c r="F343">
        <v>509.4</v>
      </c>
      <c r="G343">
        <f t="shared" si="31"/>
        <v>390.99</v>
      </c>
      <c r="H343">
        <v>88.740000000000009</v>
      </c>
      <c r="I343">
        <v>489.51</v>
      </c>
      <c r="J343">
        <v>148.94999999999999</v>
      </c>
      <c r="K343">
        <f t="shared" si="32"/>
        <v>242.4</v>
      </c>
      <c r="L343" s="22">
        <f t="shared" si="33"/>
        <v>0.14320558555624488</v>
      </c>
      <c r="M343" s="22">
        <f t="shared" si="34"/>
        <v>8.8782408600817805E-2</v>
      </c>
    </row>
    <row r="344" spans="1:14" x14ac:dyDescent="0.25">
      <c r="A344">
        <v>90503</v>
      </c>
      <c r="B344" t="s">
        <v>396</v>
      </c>
      <c r="C344">
        <v>662358.15</v>
      </c>
      <c r="D344">
        <v>112.95</v>
      </c>
      <c r="E344">
        <v>74.430000000000007</v>
      </c>
      <c r="F344">
        <v>119.61</v>
      </c>
      <c r="G344">
        <f t="shared" si="31"/>
        <v>102.33</v>
      </c>
      <c r="H344">
        <v>48.06</v>
      </c>
      <c r="I344">
        <v>145.35</v>
      </c>
      <c r="J344">
        <v>151.38</v>
      </c>
      <c r="K344">
        <f t="shared" si="32"/>
        <v>114.92999999999999</v>
      </c>
      <c r="L344" s="22">
        <f t="shared" si="33"/>
        <v>1.5449345644799568E-2</v>
      </c>
      <c r="M344" s="22">
        <f t="shared" si="34"/>
        <v>1.7351639743543576E-2</v>
      </c>
    </row>
    <row r="346" spans="1:14" x14ac:dyDescent="0.25">
      <c r="K346" s="14" t="s">
        <v>416</v>
      </c>
      <c r="L346" s="19">
        <f>AVERAGE(L2:L344)</f>
        <v>0.70740809007885408</v>
      </c>
      <c r="N346" s="7">
        <f>+L346+L347</f>
        <v>2.1004569587267237</v>
      </c>
    </row>
    <row r="347" spans="1:14" x14ac:dyDescent="0.25">
      <c r="K347" s="14" t="s">
        <v>417</v>
      </c>
      <c r="L347" s="19">
        <f>+STDEVA(L2:L344)</f>
        <v>1.3930488686478695</v>
      </c>
      <c r="N347" s="7">
        <f>+L346-L347</f>
        <v>-0.6856407785690154</v>
      </c>
    </row>
    <row r="348" spans="1:14" x14ac:dyDescent="0.25">
      <c r="K348" s="14" t="s">
        <v>418</v>
      </c>
      <c r="L348" s="19">
        <f>MIN(L2:L344)</f>
        <v>0</v>
      </c>
    </row>
    <row r="349" spans="1:14" x14ac:dyDescent="0.25">
      <c r="K349" s="14" t="s">
        <v>419</v>
      </c>
      <c r="L349" s="19">
        <f>MAX(L2:L344)</f>
        <v>10.944772642522091</v>
      </c>
    </row>
    <row r="350" spans="1:14" x14ac:dyDescent="0.25">
      <c r="K350" s="14" t="s">
        <v>420</v>
      </c>
      <c r="L350" s="14">
        <v>343</v>
      </c>
    </row>
  </sheetData>
  <autoFilter ref="A1:M1" xr:uid="{83FC015D-5AC3-48F0-9453-D9B51655782C}">
    <sortState xmlns:xlrd2="http://schemas.microsoft.com/office/spreadsheetml/2017/richdata2" ref="A2:M344">
      <sortCondition ref="A1"/>
    </sortState>
  </autoFilter>
  <pageMargins left="0.7" right="0.7" top="0.75" bottom="0.75" header="0.3" footer="0.3"/>
  <ignoredErrors>
    <ignoredError sqref="P2:P10 P1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FB91-6345-409C-A923-1C9D09A3C24B}">
  <sheetPr>
    <tabColor rgb="FFC00000"/>
  </sheetPr>
  <dimension ref="A1:D344"/>
  <sheetViews>
    <sheetView workbookViewId="0">
      <selection activeCell="D68" sqref="D68"/>
    </sheetView>
  </sheetViews>
  <sheetFormatPr baseColWidth="10" defaultRowHeight="15" x14ac:dyDescent="0.25"/>
  <cols>
    <col min="3" max="4" width="12.5703125" bestFit="1" customWidth="1"/>
  </cols>
  <sheetData>
    <row r="1" spans="1:4" s="15" customFormat="1" ht="75" x14ac:dyDescent="0.25">
      <c r="A1" s="20" t="s">
        <v>397</v>
      </c>
      <c r="B1" s="20" t="s">
        <v>2</v>
      </c>
      <c r="C1" s="20" t="s">
        <v>410</v>
      </c>
      <c r="D1" s="20" t="s">
        <v>411</v>
      </c>
    </row>
    <row r="2" spans="1:4" x14ac:dyDescent="0.25">
      <c r="A2" s="14">
        <v>10101</v>
      </c>
      <c r="B2" s="14" t="s">
        <v>59</v>
      </c>
      <c r="C2" s="23">
        <v>0.5362604636188022</v>
      </c>
      <c r="D2" s="23">
        <v>1.068161086069972</v>
      </c>
    </row>
    <row r="3" spans="1:4" x14ac:dyDescent="0.25">
      <c r="A3" s="14">
        <v>10102</v>
      </c>
      <c r="B3" s="14" t="s">
        <v>60</v>
      </c>
      <c r="C3" s="23">
        <v>0.84285132773028759</v>
      </c>
      <c r="D3" s="23">
        <v>0.304096927902689</v>
      </c>
    </row>
    <row r="4" spans="1:4" x14ac:dyDescent="0.25">
      <c r="A4" s="14">
        <v>10103</v>
      </c>
      <c r="B4" s="14" t="s">
        <v>61</v>
      </c>
      <c r="C4" s="23">
        <v>0.4551093067839479</v>
      </c>
      <c r="D4" s="23">
        <v>9.2978083408705434E-2</v>
      </c>
    </row>
    <row r="5" spans="1:4" x14ac:dyDescent="0.25">
      <c r="A5" s="14">
        <v>10201</v>
      </c>
      <c r="B5" s="14" t="s">
        <v>62</v>
      </c>
      <c r="C5" s="23">
        <v>0.23778567729388442</v>
      </c>
      <c r="D5" s="23">
        <v>0.35535019374299431</v>
      </c>
    </row>
    <row r="6" spans="1:4" x14ac:dyDescent="0.25">
      <c r="A6" s="14">
        <v>10202</v>
      </c>
      <c r="B6" s="14" t="s">
        <v>63</v>
      </c>
      <c r="C6" s="23">
        <v>0.40475044425675166</v>
      </c>
      <c r="D6" s="23">
        <v>0.33436564374089917</v>
      </c>
    </row>
    <row r="7" spans="1:4" x14ac:dyDescent="0.25">
      <c r="A7" s="14">
        <v>10301</v>
      </c>
      <c r="B7" s="14" t="s">
        <v>64</v>
      </c>
      <c r="C7" s="23">
        <v>0.56391097486987896</v>
      </c>
      <c r="D7" s="23">
        <v>0.15710317080180092</v>
      </c>
    </row>
    <row r="8" spans="1:4" x14ac:dyDescent="0.25">
      <c r="A8" s="14">
        <v>10302</v>
      </c>
      <c r="B8" s="14" t="s">
        <v>65</v>
      </c>
      <c r="C8" s="23">
        <v>0.40889352470564372</v>
      </c>
      <c r="D8" s="23">
        <v>5.6770646587785342E-2</v>
      </c>
    </row>
    <row r="9" spans="1:4" x14ac:dyDescent="0.25">
      <c r="A9" s="14">
        <v>10303</v>
      </c>
      <c r="B9" s="14" t="s">
        <v>66</v>
      </c>
      <c r="C9" s="23">
        <v>0.34370188465961132</v>
      </c>
      <c r="D9" s="23">
        <v>0.2247169112631312</v>
      </c>
    </row>
    <row r="10" spans="1:4" x14ac:dyDescent="0.25">
      <c r="A10" s="14">
        <v>10304</v>
      </c>
      <c r="B10" s="14" t="s">
        <v>67</v>
      </c>
      <c r="C10" s="23">
        <v>0.70364711629405585</v>
      </c>
      <c r="D10" s="23">
        <v>6.0282913951337148E-2</v>
      </c>
    </row>
    <row r="11" spans="1:4" x14ac:dyDescent="0.25">
      <c r="A11" s="14">
        <v>10401</v>
      </c>
      <c r="B11" s="14" t="s">
        <v>68</v>
      </c>
      <c r="C11" s="23">
        <v>0.31768442444417355</v>
      </c>
      <c r="D11" s="23">
        <v>0.47438046555050434</v>
      </c>
    </row>
    <row r="12" spans="1:4" x14ac:dyDescent="0.25">
      <c r="A12" s="14">
        <v>10402</v>
      </c>
      <c r="B12" s="14" t="s">
        <v>69</v>
      </c>
      <c r="C12" s="23">
        <v>0.49419932032440167</v>
      </c>
      <c r="D12" s="23">
        <v>0.29080848530400194</v>
      </c>
    </row>
    <row r="13" spans="1:4" x14ac:dyDescent="0.25">
      <c r="A13" s="14">
        <v>10403</v>
      </c>
      <c r="B13" s="14" t="s">
        <v>70</v>
      </c>
      <c r="C13" s="23">
        <v>0.43736672905813934</v>
      </c>
      <c r="D13" s="23">
        <v>0.89766044505917175</v>
      </c>
    </row>
    <row r="14" spans="1:4" x14ac:dyDescent="0.25">
      <c r="A14" s="14">
        <v>10404</v>
      </c>
      <c r="B14" s="14" t="s">
        <v>71</v>
      </c>
      <c r="C14" s="23">
        <v>0.35251743428615218</v>
      </c>
      <c r="D14" s="23">
        <v>0.41601436344328513</v>
      </c>
    </row>
    <row r="15" spans="1:4" x14ac:dyDescent="0.25">
      <c r="A15" s="14">
        <v>10405</v>
      </c>
      <c r="B15" s="14" t="s">
        <v>72</v>
      </c>
      <c r="C15" s="23">
        <v>0.39239950046254574</v>
      </c>
      <c r="D15" s="23">
        <v>0.37117575360788707</v>
      </c>
    </row>
    <row r="16" spans="1:4" x14ac:dyDescent="0.25">
      <c r="A16" s="14">
        <v>10501</v>
      </c>
      <c r="B16" s="14" t="s">
        <v>73</v>
      </c>
      <c r="C16" s="23">
        <v>0.45725800682237622</v>
      </c>
      <c r="D16" s="23">
        <v>0.61325090903677448</v>
      </c>
    </row>
    <row r="17" spans="1:4" x14ac:dyDescent="0.25">
      <c r="A17" s="14">
        <v>10502</v>
      </c>
      <c r="B17" s="14" t="s">
        <v>74</v>
      </c>
      <c r="C17" s="23">
        <v>0.18203425801165019</v>
      </c>
      <c r="D17" s="23">
        <v>0.67781243464338004</v>
      </c>
    </row>
    <row r="18" spans="1:4" x14ac:dyDescent="0.25">
      <c r="A18" s="14">
        <v>10601</v>
      </c>
      <c r="B18" s="14" t="s">
        <v>75</v>
      </c>
      <c r="C18" s="23">
        <v>0.6895200783545542</v>
      </c>
      <c r="D18" s="23">
        <v>0.13907933398628794</v>
      </c>
    </row>
    <row r="19" spans="1:4" x14ac:dyDescent="0.25">
      <c r="A19" s="14">
        <v>10602</v>
      </c>
      <c r="B19" s="14" t="s">
        <v>76</v>
      </c>
      <c r="C19" s="23">
        <v>0.82101806239737263</v>
      </c>
      <c r="D19" s="23">
        <v>4.3211476968282779E-2</v>
      </c>
    </row>
    <row r="20" spans="1:4" x14ac:dyDescent="0.25">
      <c r="A20" s="14">
        <v>10701</v>
      </c>
      <c r="B20" s="14" t="s">
        <v>77</v>
      </c>
      <c r="C20" s="23">
        <v>0</v>
      </c>
      <c r="D20" s="23">
        <v>0</v>
      </c>
    </row>
    <row r="21" spans="1:4" x14ac:dyDescent="0.25">
      <c r="A21" s="14">
        <v>10702</v>
      </c>
      <c r="B21" s="14" t="s">
        <v>78</v>
      </c>
      <c r="C21" s="23">
        <v>0.29974939349668345</v>
      </c>
      <c r="D21" s="23">
        <v>0.703640205851636</v>
      </c>
    </row>
    <row r="22" spans="1:4" x14ac:dyDescent="0.25">
      <c r="A22" s="14">
        <v>10703</v>
      </c>
      <c r="B22" s="14" t="s">
        <v>79</v>
      </c>
      <c r="C22" s="23">
        <v>0.30463167565863813</v>
      </c>
      <c r="D22" s="23">
        <v>0.82280171724860207</v>
      </c>
    </row>
    <row r="23" spans="1:4" x14ac:dyDescent="0.25">
      <c r="A23" s="14">
        <v>10704</v>
      </c>
      <c r="B23" s="14" t="s">
        <v>80</v>
      </c>
      <c r="C23" s="23">
        <v>0.39859444481687561</v>
      </c>
      <c r="D23" s="23">
        <v>0.13686844986704208</v>
      </c>
    </row>
    <row r="24" spans="1:4" x14ac:dyDescent="0.25">
      <c r="A24" s="14">
        <v>10801</v>
      </c>
      <c r="B24" s="14" t="s">
        <v>81</v>
      </c>
      <c r="C24" s="23">
        <v>0.5743715568165233</v>
      </c>
      <c r="D24" s="23">
        <v>0.59192297160530916</v>
      </c>
    </row>
    <row r="25" spans="1:4" x14ac:dyDescent="0.25">
      <c r="A25" s="14">
        <v>10901</v>
      </c>
      <c r="B25" s="14" t="s">
        <v>82</v>
      </c>
      <c r="C25" s="23">
        <v>0</v>
      </c>
      <c r="D25" s="23">
        <v>0</v>
      </c>
    </row>
    <row r="26" spans="1:4" x14ac:dyDescent="0.25">
      <c r="A26" s="14">
        <v>10902</v>
      </c>
      <c r="B26" s="14" t="s">
        <v>83</v>
      </c>
      <c r="C26" s="23">
        <v>0.26972635529220312</v>
      </c>
      <c r="D26" s="23">
        <v>0.5425688502693593</v>
      </c>
    </row>
    <row r="27" spans="1:4" x14ac:dyDescent="0.25">
      <c r="A27" s="14">
        <v>10903</v>
      </c>
      <c r="B27" s="14" t="s">
        <v>84</v>
      </c>
      <c r="C27" s="23">
        <v>0</v>
      </c>
      <c r="D27" s="23">
        <v>0</v>
      </c>
    </row>
    <row r="28" spans="1:4" x14ac:dyDescent="0.25">
      <c r="A28" s="14">
        <v>11001</v>
      </c>
      <c r="B28" s="14" t="s">
        <v>85</v>
      </c>
      <c r="C28" s="23">
        <v>0.2862443177758493</v>
      </c>
      <c r="D28" s="23">
        <v>0.38343090144891945</v>
      </c>
    </row>
    <row r="29" spans="1:4" x14ac:dyDescent="0.25">
      <c r="A29" s="14">
        <v>11002</v>
      </c>
      <c r="B29" s="14" t="s">
        <v>86</v>
      </c>
      <c r="C29" s="23">
        <v>7.7970830753870415E-2</v>
      </c>
      <c r="D29" s="23">
        <v>0.14501833117708768</v>
      </c>
    </row>
    <row r="30" spans="1:4" x14ac:dyDescent="0.25">
      <c r="A30" s="14">
        <v>11003</v>
      </c>
      <c r="B30" s="14" t="s">
        <v>87</v>
      </c>
      <c r="C30" s="23">
        <v>0.10887430129394277</v>
      </c>
      <c r="D30" s="23">
        <v>0.71832050795787394</v>
      </c>
    </row>
    <row r="31" spans="1:4" x14ac:dyDescent="0.25">
      <c r="A31" s="14">
        <v>20101</v>
      </c>
      <c r="B31" s="14" t="s">
        <v>89</v>
      </c>
      <c r="C31" s="23">
        <v>0.10885265901063974</v>
      </c>
      <c r="D31" s="23">
        <v>0.37536336579893609</v>
      </c>
    </row>
    <row r="32" spans="1:4" x14ac:dyDescent="0.25">
      <c r="A32" s="14">
        <v>20102</v>
      </c>
      <c r="B32" s="14" t="s">
        <v>90</v>
      </c>
      <c r="C32" s="23">
        <v>1.5795514896095659</v>
      </c>
      <c r="D32" s="23">
        <v>5.8607870346576201</v>
      </c>
    </row>
    <row r="33" spans="1:4" x14ac:dyDescent="0.25">
      <c r="A33" s="14">
        <v>20103</v>
      </c>
      <c r="B33" s="14" t="s">
        <v>91</v>
      </c>
      <c r="C33" s="23">
        <v>0</v>
      </c>
      <c r="D33" s="23">
        <v>0</v>
      </c>
    </row>
    <row r="34" spans="1:4" x14ac:dyDescent="0.25">
      <c r="A34" s="14">
        <v>20104</v>
      </c>
      <c r="B34" s="14" t="s">
        <v>92</v>
      </c>
      <c r="C34" s="23">
        <v>0</v>
      </c>
      <c r="D34" s="23">
        <v>0</v>
      </c>
    </row>
    <row r="35" spans="1:4" x14ac:dyDescent="0.25">
      <c r="A35" s="14">
        <v>20105</v>
      </c>
      <c r="B35" s="14" t="s">
        <v>93</v>
      </c>
      <c r="C35" s="23">
        <v>0</v>
      </c>
      <c r="D35" s="23">
        <v>0</v>
      </c>
    </row>
    <row r="36" spans="1:4" x14ac:dyDescent="0.25">
      <c r="A36" s="14">
        <v>20201</v>
      </c>
      <c r="B36" s="14" t="s">
        <v>94</v>
      </c>
      <c r="C36" s="23">
        <v>0</v>
      </c>
      <c r="D36" s="23">
        <v>0</v>
      </c>
    </row>
    <row r="37" spans="1:4" x14ac:dyDescent="0.25">
      <c r="A37" s="14">
        <v>20202</v>
      </c>
      <c r="B37" s="14" t="s">
        <v>95</v>
      </c>
      <c r="C37" s="23">
        <v>0</v>
      </c>
      <c r="D37" s="23">
        <v>0</v>
      </c>
    </row>
    <row r="38" spans="1:4" x14ac:dyDescent="0.25">
      <c r="A38" s="14">
        <v>20203</v>
      </c>
      <c r="B38" s="14" t="s">
        <v>96</v>
      </c>
      <c r="C38" s="23">
        <v>0</v>
      </c>
      <c r="D38" s="23">
        <v>0</v>
      </c>
    </row>
    <row r="39" spans="1:4" x14ac:dyDescent="0.25">
      <c r="A39" s="14">
        <v>20204</v>
      </c>
      <c r="B39" s="14" t="s">
        <v>97</v>
      </c>
      <c r="C39" s="23">
        <v>0</v>
      </c>
      <c r="D39" s="23">
        <v>0</v>
      </c>
    </row>
    <row r="40" spans="1:4" x14ac:dyDescent="0.25">
      <c r="A40" s="14">
        <v>20205</v>
      </c>
      <c r="B40" s="14" t="s">
        <v>98</v>
      </c>
      <c r="C40" s="23">
        <v>0</v>
      </c>
      <c r="D40" s="23">
        <v>0</v>
      </c>
    </row>
    <row r="41" spans="1:4" x14ac:dyDescent="0.25">
      <c r="A41" s="14">
        <v>20206</v>
      </c>
      <c r="B41" s="14" t="s">
        <v>99</v>
      </c>
      <c r="C41" s="23">
        <v>0</v>
      </c>
      <c r="D41" s="23">
        <v>0</v>
      </c>
    </row>
    <row r="42" spans="1:4" x14ac:dyDescent="0.25">
      <c r="A42" s="14">
        <v>20301</v>
      </c>
      <c r="B42" s="14" t="s">
        <v>100</v>
      </c>
      <c r="C42" s="23">
        <v>0</v>
      </c>
      <c r="D42" s="23">
        <v>0</v>
      </c>
    </row>
    <row r="43" spans="1:4" x14ac:dyDescent="0.25">
      <c r="A43" s="14">
        <v>20302</v>
      </c>
      <c r="B43" s="14" t="s">
        <v>101</v>
      </c>
      <c r="C43" s="23">
        <v>0</v>
      </c>
      <c r="D43" s="23">
        <v>0</v>
      </c>
    </row>
    <row r="44" spans="1:4" x14ac:dyDescent="0.25">
      <c r="A44" s="14">
        <v>20303</v>
      </c>
      <c r="B44" s="14" t="s">
        <v>102</v>
      </c>
      <c r="C44" s="23">
        <v>0</v>
      </c>
      <c r="D44" s="23">
        <v>0</v>
      </c>
    </row>
    <row r="45" spans="1:4" x14ac:dyDescent="0.25">
      <c r="A45" s="14">
        <v>20304</v>
      </c>
      <c r="B45" s="14" t="s">
        <v>103</v>
      </c>
      <c r="C45" s="23">
        <v>0</v>
      </c>
      <c r="D45" s="23">
        <v>0</v>
      </c>
    </row>
    <row r="46" spans="1:4" x14ac:dyDescent="0.25">
      <c r="A46" s="14">
        <v>20305</v>
      </c>
      <c r="B46" s="14" t="s">
        <v>104</v>
      </c>
      <c r="C46" s="23">
        <v>0</v>
      </c>
      <c r="D46" s="23">
        <v>0</v>
      </c>
    </row>
    <row r="47" spans="1:4" x14ac:dyDescent="0.25">
      <c r="A47" s="14">
        <v>20306</v>
      </c>
      <c r="B47" s="14" t="s">
        <v>105</v>
      </c>
      <c r="C47" s="23">
        <v>0</v>
      </c>
      <c r="D47" s="23">
        <v>0</v>
      </c>
    </row>
    <row r="48" spans="1:4" x14ac:dyDescent="0.25">
      <c r="A48" s="14">
        <v>20307</v>
      </c>
      <c r="B48" s="14" t="s">
        <v>106</v>
      </c>
      <c r="C48" s="23">
        <v>0</v>
      </c>
      <c r="D48" s="23">
        <v>0</v>
      </c>
    </row>
    <row r="49" spans="1:4" x14ac:dyDescent="0.25">
      <c r="A49" s="14">
        <v>20308</v>
      </c>
      <c r="B49" s="14" t="s">
        <v>107</v>
      </c>
      <c r="C49" s="23">
        <v>0</v>
      </c>
      <c r="D49" s="23">
        <v>0</v>
      </c>
    </row>
    <row r="50" spans="1:4" x14ac:dyDescent="0.25">
      <c r="A50" s="14">
        <v>20401</v>
      </c>
      <c r="B50" s="14" t="s">
        <v>108</v>
      </c>
      <c r="C50" s="23">
        <v>0</v>
      </c>
      <c r="D50" s="23">
        <v>0</v>
      </c>
    </row>
    <row r="51" spans="1:4" x14ac:dyDescent="0.25">
      <c r="A51" s="14">
        <v>20402</v>
      </c>
      <c r="B51" s="14" t="s">
        <v>109</v>
      </c>
      <c r="C51" s="23">
        <v>1.1071178995707298</v>
      </c>
      <c r="D51" s="23">
        <v>0.67285614455425757</v>
      </c>
    </row>
    <row r="52" spans="1:4" x14ac:dyDescent="0.25">
      <c r="A52" s="14">
        <v>20403</v>
      </c>
      <c r="B52" s="14" t="s">
        <v>110</v>
      </c>
      <c r="C52" s="23">
        <v>0</v>
      </c>
      <c r="D52" s="23">
        <v>0</v>
      </c>
    </row>
    <row r="53" spans="1:4" x14ac:dyDescent="0.25">
      <c r="A53" s="14">
        <v>20404</v>
      </c>
      <c r="B53" s="14" t="s">
        <v>111</v>
      </c>
      <c r="C53" s="23">
        <v>0</v>
      </c>
      <c r="D53" s="23">
        <v>0</v>
      </c>
    </row>
    <row r="54" spans="1:4" x14ac:dyDescent="0.25">
      <c r="A54" s="14">
        <v>20405</v>
      </c>
      <c r="B54" s="14" t="s">
        <v>112</v>
      </c>
      <c r="C54" s="23">
        <v>0</v>
      </c>
      <c r="D54" s="23">
        <v>0</v>
      </c>
    </row>
    <row r="55" spans="1:4" x14ac:dyDescent="0.25">
      <c r="A55" s="14">
        <v>20501</v>
      </c>
      <c r="B55" s="14" t="s">
        <v>113</v>
      </c>
      <c r="C55" s="23">
        <v>0.56645625382215448</v>
      </c>
      <c r="D55" s="23">
        <v>1.1458689635871762</v>
      </c>
    </row>
    <row r="56" spans="1:4" x14ac:dyDescent="0.25">
      <c r="A56" s="14">
        <v>20502</v>
      </c>
      <c r="B56" s="14" t="s">
        <v>114</v>
      </c>
      <c r="C56" s="23">
        <v>0.30421203944830877</v>
      </c>
      <c r="D56" s="23">
        <v>0.70393655951333045</v>
      </c>
    </row>
    <row r="57" spans="1:4" x14ac:dyDescent="0.25">
      <c r="A57" s="14">
        <v>20503</v>
      </c>
      <c r="B57" s="14" t="s">
        <v>115</v>
      </c>
      <c r="C57" s="23">
        <v>1.0282689109851697</v>
      </c>
      <c r="D57" s="23">
        <v>1.2522482777344146</v>
      </c>
    </row>
    <row r="58" spans="1:4" x14ac:dyDescent="0.25">
      <c r="A58" s="14">
        <v>20601</v>
      </c>
      <c r="B58" s="14" t="s">
        <v>116</v>
      </c>
      <c r="C58" s="23">
        <v>0.3752790989151456</v>
      </c>
      <c r="D58" s="23">
        <v>0.70303875428505014</v>
      </c>
    </row>
    <row r="59" spans="1:4" x14ac:dyDescent="0.25">
      <c r="A59" s="14">
        <v>20602</v>
      </c>
      <c r="B59" s="14" t="s">
        <v>117</v>
      </c>
      <c r="C59" s="23">
        <v>0.22102849697254603</v>
      </c>
      <c r="D59" s="23">
        <v>0.88431603516790025</v>
      </c>
    </row>
    <row r="60" spans="1:4" x14ac:dyDescent="0.25">
      <c r="A60" s="14">
        <v>20603</v>
      </c>
      <c r="B60" s="14" t="s">
        <v>118</v>
      </c>
      <c r="C60" s="23">
        <v>0.28849351886809416</v>
      </c>
      <c r="D60" s="23">
        <v>0.76558932455998407</v>
      </c>
    </row>
    <row r="61" spans="1:4" x14ac:dyDescent="0.25">
      <c r="A61" s="14">
        <v>20604</v>
      </c>
      <c r="B61" s="14" t="s">
        <v>119</v>
      </c>
      <c r="C61" s="23">
        <v>1.0172143974960877</v>
      </c>
      <c r="D61" s="23">
        <v>2.2816901408450705</v>
      </c>
    </row>
    <row r="62" spans="1:4" x14ac:dyDescent="0.25">
      <c r="A62" s="14">
        <v>20605</v>
      </c>
      <c r="B62" s="14" t="s">
        <v>120</v>
      </c>
      <c r="C62" s="23">
        <v>1.1589944498857332</v>
      </c>
      <c r="D62" s="23">
        <v>0.16323865491348349</v>
      </c>
    </row>
    <row r="63" spans="1:4" x14ac:dyDescent="0.25">
      <c r="A63" s="14">
        <v>20606</v>
      </c>
      <c r="B63" s="14" t="s">
        <v>121</v>
      </c>
      <c r="C63" s="23">
        <v>0.45251262858320385</v>
      </c>
      <c r="D63" s="23">
        <v>1.1754189570767406</v>
      </c>
    </row>
    <row r="64" spans="1:4" x14ac:dyDescent="0.25">
      <c r="A64" s="14">
        <v>20607</v>
      </c>
      <c r="B64" s="14" t="s">
        <v>122</v>
      </c>
      <c r="C64" s="23">
        <v>0.33548387661121265</v>
      </c>
      <c r="D64" s="23">
        <v>1.2854274341442591</v>
      </c>
    </row>
    <row r="65" spans="1:4" x14ac:dyDescent="0.25">
      <c r="A65" s="14">
        <v>20608</v>
      </c>
      <c r="B65" s="14" t="s">
        <v>123</v>
      </c>
      <c r="C65" s="23">
        <v>0.68208220269070363</v>
      </c>
      <c r="D65" s="23">
        <v>1.7069623185817253</v>
      </c>
    </row>
    <row r="66" spans="1:4" x14ac:dyDescent="0.25">
      <c r="A66" s="14">
        <v>20701</v>
      </c>
      <c r="B66" s="14" t="s">
        <v>124</v>
      </c>
      <c r="C66" s="23">
        <v>0.28708433667026528</v>
      </c>
      <c r="D66" s="23">
        <v>0.20508519113806309</v>
      </c>
    </row>
    <row r="67" spans="1:4" x14ac:dyDescent="0.25">
      <c r="A67" s="14">
        <v>20702</v>
      </c>
      <c r="B67" s="14" t="s">
        <v>125</v>
      </c>
      <c r="C67" s="23">
        <v>0.64602022041692297</v>
      </c>
      <c r="D67" s="23">
        <v>0.1709975210418547</v>
      </c>
    </row>
    <row r="68" spans="1:4" x14ac:dyDescent="0.25">
      <c r="A68" s="14">
        <v>20801</v>
      </c>
      <c r="B68" s="14" t="s">
        <v>126</v>
      </c>
      <c r="C68" s="23">
        <v>0</v>
      </c>
      <c r="D68" s="23">
        <v>0</v>
      </c>
    </row>
    <row r="69" spans="1:4" x14ac:dyDescent="0.25">
      <c r="A69" s="14">
        <v>20802</v>
      </c>
      <c r="B69" s="14" t="s">
        <v>127</v>
      </c>
      <c r="C69" s="23">
        <v>0</v>
      </c>
      <c r="D69" s="23">
        <v>0</v>
      </c>
    </row>
    <row r="70" spans="1:4" x14ac:dyDescent="0.25">
      <c r="A70" s="14">
        <v>20803</v>
      </c>
      <c r="B70" s="14" t="s">
        <v>128</v>
      </c>
      <c r="C70" s="23">
        <v>0</v>
      </c>
      <c r="D70" s="23">
        <v>0</v>
      </c>
    </row>
    <row r="71" spans="1:4" x14ac:dyDescent="0.25">
      <c r="A71" s="14">
        <v>20804</v>
      </c>
      <c r="B71" s="14" t="s">
        <v>129</v>
      </c>
      <c r="C71" s="23">
        <v>0</v>
      </c>
      <c r="D71" s="23">
        <v>0</v>
      </c>
    </row>
    <row r="72" spans="1:4" x14ac:dyDescent="0.25">
      <c r="A72" s="14">
        <v>20805</v>
      </c>
      <c r="B72" s="14" t="s">
        <v>130</v>
      </c>
      <c r="C72" s="23">
        <v>0</v>
      </c>
      <c r="D72" s="23">
        <v>0</v>
      </c>
    </row>
    <row r="73" spans="1:4" x14ac:dyDescent="0.25">
      <c r="A73" s="14">
        <v>20806</v>
      </c>
      <c r="B73" s="14" t="s">
        <v>131</v>
      </c>
      <c r="C73" s="23">
        <v>0</v>
      </c>
      <c r="D73" s="23">
        <v>0</v>
      </c>
    </row>
    <row r="74" spans="1:4" x14ac:dyDescent="0.25">
      <c r="A74" s="14">
        <v>20807</v>
      </c>
      <c r="B74" s="14" t="s">
        <v>132</v>
      </c>
      <c r="C74" s="23">
        <v>0</v>
      </c>
      <c r="D74" s="23">
        <v>0</v>
      </c>
    </row>
    <row r="75" spans="1:4" x14ac:dyDescent="0.25">
      <c r="A75" s="14">
        <v>20901</v>
      </c>
      <c r="B75" s="14" t="s">
        <v>133</v>
      </c>
      <c r="C75" s="23">
        <v>0.6985836057168493</v>
      </c>
      <c r="D75" s="23">
        <v>2.134204960584503</v>
      </c>
    </row>
    <row r="76" spans="1:4" x14ac:dyDescent="0.25">
      <c r="A76" s="14">
        <v>20902</v>
      </c>
      <c r="B76" s="14" t="s">
        <v>134</v>
      </c>
      <c r="C76" s="23">
        <v>0.98353645499251652</v>
      </c>
      <c r="D76" s="23">
        <v>3.8842562896443584</v>
      </c>
    </row>
    <row r="77" spans="1:4" x14ac:dyDescent="0.25">
      <c r="A77" s="14">
        <v>20903</v>
      </c>
      <c r="B77" s="14" t="s">
        <v>135</v>
      </c>
      <c r="C77" s="23">
        <v>0</v>
      </c>
      <c r="D77" s="23">
        <v>0</v>
      </c>
    </row>
    <row r="78" spans="1:4" x14ac:dyDescent="0.25">
      <c r="A78" s="14">
        <v>20904</v>
      </c>
      <c r="B78" s="14" t="s">
        <v>136</v>
      </c>
      <c r="C78" s="23">
        <v>0</v>
      </c>
      <c r="D78" s="23">
        <v>0</v>
      </c>
    </row>
    <row r="79" spans="1:4" x14ac:dyDescent="0.25">
      <c r="A79" s="14">
        <v>20905</v>
      </c>
      <c r="B79" s="14" t="s">
        <v>137</v>
      </c>
      <c r="C79" s="23">
        <v>1.7395988898208572</v>
      </c>
      <c r="D79" s="23">
        <v>3.3953206085527441</v>
      </c>
    </row>
    <row r="80" spans="1:4" x14ac:dyDescent="0.25">
      <c r="A80" s="14">
        <v>21001</v>
      </c>
      <c r="B80" s="14" t="s">
        <v>138</v>
      </c>
      <c r="C80" s="23">
        <v>0.23330782038748771</v>
      </c>
      <c r="D80" s="23">
        <v>1.0271621878226675</v>
      </c>
    </row>
    <row r="81" spans="1:4" x14ac:dyDescent="0.25">
      <c r="A81" s="14">
        <v>21002</v>
      </c>
      <c r="B81" s="14" t="s">
        <v>139</v>
      </c>
      <c r="C81" s="23">
        <v>0.50718831728370806</v>
      </c>
      <c r="D81" s="23">
        <v>1.241767323265154</v>
      </c>
    </row>
    <row r="82" spans="1:4" x14ac:dyDescent="0.25">
      <c r="A82" s="14">
        <v>21003</v>
      </c>
      <c r="B82" s="14" t="s">
        <v>140</v>
      </c>
      <c r="C82" s="23">
        <v>0.36898553890989561</v>
      </c>
      <c r="D82" s="23">
        <v>1.3456856608616603</v>
      </c>
    </row>
    <row r="83" spans="1:4" x14ac:dyDescent="0.25">
      <c r="A83" s="14">
        <v>21004</v>
      </c>
      <c r="B83" s="14" t="s">
        <v>141</v>
      </c>
      <c r="C83" s="23">
        <v>1.9342676829768053</v>
      </c>
      <c r="D83" s="23">
        <v>1.2539955741332678</v>
      </c>
    </row>
    <row r="84" spans="1:4" x14ac:dyDescent="0.25">
      <c r="A84" s="14">
        <v>21005</v>
      </c>
      <c r="B84" s="14" t="s">
        <v>142</v>
      </c>
      <c r="C84" s="23">
        <v>0.8132592135062795</v>
      </c>
      <c r="D84" s="23">
        <v>3.2135749090659527</v>
      </c>
    </row>
    <row r="85" spans="1:4" x14ac:dyDescent="0.25">
      <c r="A85" s="14">
        <v>21006</v>
      </c>
      <c r="B85" s="14" t="s">
        <v>143</v>
      </c>
      <c r="C85" s="23">
        <v>0.2085476132762939</v>
      </c>
      <c r="D85" s="23">
        <v>0.78767669223831627</v>
      </c>
    </row>
    <row r="86" spans="1:4" x14ac:dyDescent="0.25">
      <c r="A86" s="14">
        <v>21101</v>
      </c>
      <c r="B86" s="14" t="s">
        <v>144</v>
      </c>
      <c r="C86" s="23">
        <v>0.35437262598025959</v>
      </c>
      <c r="D86" s="23">
        <v>2.3777770395014741</v>
      </c>
    </row>
    <row r="87" spans="1:4" x14ac:dyDescent="0.25">
      <c r="A87" s="14">
        <v>21102</v>
      </c>
      <c r="B87" s="14" t="s">
        <v>145</v>
      </c>
      <c r="C87" s="23">
        <v>0.30553137681350556</v>
      </c>
      <c r="D87" s="23">
        <v>1.4501650149188834</v>
      </c>
    </row>
    <row r="88" spans="1:4" x14ac:dyDescent="0.25">
      <c r="A88" s="14">
        <v>21103</v>
      </c>
      <c r="B88" s="14" t="s">
        <v>146</v>
      </c>
      <c r="C88" s="23">
        <v>0.30592781589833784</v>
      </c>
      <c r="D88" s="23">
        <v>0.81993608957368291</v>
      </c>
    </row>
    <row r="89" spans="1:4" x14ac:dyDescent="0.25">
      <c r="A89" s="14">
        <v>21104</v>
      </c>
      <c r="B89" s="14" t="s">
        <v>147</v>
      </c>
      <c r="C89" s="23">
        <v>0.56809405199795326</v>
      </c>
      <c r="D89" s="23">
        <v>0.95907516132991844</v>
      </c>
    </row>
    <row r="90" spans="1:4" x14ac:dyDescent="0.25">
      <c r="A90" s="14">
        <v>21105</v>
      </c>
      <c r="B90" s="14" t="s">
        <v>148</v>
      </c>
      <c r="C90" s="23">
        <v>0.27844702505284452</v>
      </c>
      <c r="D90" s="23">
        <v>0.99676738222517125</v>
      </c>
    </row>
    <row r="91" spans="1:4" x14ac:dyDescent="0.25">
      <c r="A91" s="14">
        <v>21201</v>
      </c>
      <c r="B91" s="14" t="s">
        <v>149</v>
      </c>
      <c r="C91" s="23">
        <v>0</v>
      </c>
      <c r="D91" s="23">
        <v>0</v>
      </c>
    </row>
    <row r="92" spans="1:4" x14ac:dyDescent="0.25">
      <c r="A92" s="14">
        <v>21202</v>
      </c>
      <c r="B92" s="14" t="s">
        <v>150</v>
      </c>
      <c r="C92" s="23">
        <v>0</v>
      </c>
      <c r="D92" s="23">
        <v>0</v>
      </c>
    </row>
    <row r="93" spans="1:4" x14ac:dyDescent="0.25">
      <c r="A93" s="14">
        <v>21203</v>
      </c>
      <c r="B93" s="14" t="s">
        <v>151</v>
      </c>
      <c r="C93" s="23">
        <v>0</v>
      </c>
      <c r="D93" s="23">
        <v>0</v>
      </c>
    </row>
    <row r="94" spans="1:4" x14ac:dyDescent="0.25">
      <c r="A94" s="14">
        <v>21204</v>
      </c>
      <c r="B94" s="14" t="s">
        <v>152</v>
      </c>
      <c r="C94" s="23">
        <v>0</v>
      </c>
      <c r="D94" s="23">
        <v>0</v>
      </c>
    </row>
    <row r="95" spans="1:4" x14ac:dyDescent="0.25">
      <c r="A95" s="14">
        <v>21301</v>
      </c>
      <c r="B95" s="14" t="s">
        <v>153</v>
      </c>
      <c r="C95" s="23">
        <v>0</v>
      </c>
      <c r="D95" s="23">
        <v>0</v>
      </c>
    </row>
    <row r="96" spans="1:4" x14ac:dyDescent="0.25">
      <c r="A96" s="14">
        <v>21302</v>
      </c>
      <c r="B96" s="14" t="s">
        <v>154</v>
      </c>
      <c r="C96" s="23">
        <v>0</v>
      </c>
      <c r="D96" s="23">
        <v>0</v>
      </c>
    </row>
    <row r="97" spans="1:4" x14ac:dyDescent="0.25">
      <c r="A97" s="14">
        <v>21303</v>
      </c>
      <c r="B97" s="14" t="s">
        <v>155</v>
      </c>
      <c r="C97" s="23">
        <v>0</v>
      </c>
      <c r="D97" s="23">
        <v>0</v>
      </c>
    </row>
    <row r="98" spans="1:4" x14ac:dyDescent="0.25">
      <c r="A98" s="14">
        <v>21304</v>
      </c>
      <c r="B98" s="14" t="s">
        <v>156</v>
      </c>
      <c r="C98" s="23">
        <v>0</v>
      </c>
      <c r="D98" s="23">
        <v>0</v>
      </c>
    </row>
    <row r="99" spans="1:4" x14ac:dyDescent="0.25">
      <c r="A99" s="14">
        <v>21305</v>
      </c>
      <c r="B99" s="14" t="s">
        <v>157</v>
      </c>
      <c r="C99" s="23">
        <v>0</v>
      </c>
      <c r="D99" s="23">
        <v>0</v>
      </c>
    </row>
    <row r="100" spans="1:4" x14ac:dyDescent="0.25">
      <c r="A100" s="14">
        <v>21306</v>
      </c>
      <c r="B100" s="14" t="s">
        <v>158</v>
      </c>
      <c r="C100" s="23">
        <v>0</v>
      </c>
      <c r="D100" s="23">
        <v>0</v>
      </c>
    </row>
    <row r="101" spans="1:4" x14ac:dyDescent="0.25">
      <c r="A101" s="14">
        <v>21307</v>
      </c>
      <c r="B101" s="14" t="s">
        <v>159</v>
      </c>
      <c r="C101" s="23">
        <v>0</v>
      </c>
      <c r="D101" s="23">
        <v>0</v>
      </c>
    </row>
    <row r="102" spans="1:4" x14ac:dyDescent="0.25">
      <c r="A102" s="14">
        <v>21401</v>
      </c>
      <c r="B102" s="14" t="s">
        <v>160</v>
      </c>
      <c r="C102" s="23">
        <v>0.14171834573908709</v>
      </c>
      <c r="D102" s="23">
        <v>0.86163150083553353</v>
      </c>
    </row>
    <row r="103" spans="1:4" x14ac:dyDescent="0.25">
      <c r="A103" s="14">
        <v>21402</v>
      </c>
      <c r="B103" s="14" t="s">
        <v>161</v>
      </c>
      <c r="C103" s="23">
        <v>0.15164330013478841</v>
      </c>
      <c r="D103" s="23">
        <v>0.7561412752715635</v>
      </c>
    </row>
    <row r="104" spans="1:4" x14ac:dyDescent="0.25">
      <c r="A104" s="14">
        <v>21501</v>
      </c>
      <c r="B104" s="14" t="s">
        <v>162</v>
      </c>
      <c r="C104" s="23">
        <v>0.26673635721669414</v>
      </c>
      <c r="D104" s="23">
        <v>0.30366931682416609</v>
      </c>
    </row>
    <row r="105" spans="1:4" x14ac:dyDescent="0.25">
      <c r="A105" s="14">
        <v>21502</v>
      </c>
      <c r="B105" s="14" t="s">
        <v>163</v>
      </c>
      <c r="C105" s="23">
        <v>0.98744796408785951</v>
      </c>
      <c r="D105" s="23">
        <v>0.756021217515775</v>
      </c>
    </row>
    <row r="106" spans="1:4" x14ac:dyDescent="0.25">
      <c r="A106" s="14">
        <v>21601</v>
      </c>
      <c r="B106" s="14" t="s">
        <v>164</v>
      </c>
      <c r="C106" s="23">
        <v>0.3172109783988753</v>
      </c>
      <c r="D106" s="23">
        <v>0.28551755111336735</v>
      </c>
    </row>
    <row r="107" spans="1:4" x14ac:dyDescent="0.25">
      <c r="A107" s="14">
        <v>21602</v>
      </c>
      <c r="B107" s="14" t="s">
        <v>165</v>
      </c>
      <c r="C107" s="23">
        <v>0.92815856974119182</v>
      </c>
      <c r="D107" s="23">
        <v>0.17717484746189166</v>
      </c>
    </row>
    <row r="108" spans="1:4" x14ac:dyDescent="0.25">
      <c r="A108" s="14">
        <v>21701</v>
      </c>
      <c r="B108" s="14" t="s">
        <v>166</v>
      </c>
      <c r="C108" s="23">
        <v>0</v>
      </c>
      <c r="D108" s="23">
        <v>0</v>
      </c>
    </row>
    <row r="109" spans="1:4" x14ac:dyDescent="0.25">
      <c r="A109" s="14">
        <v>21702</v>
      </c>
      <c r="B109" s="14" t="s">
        <v>167</v>
      </c>
      <c r="C109" s="23">
        <v>0</v>
      </c>
      <c r="D109" s="23">
        <v>0</v>
      </c>
    </row>
    <row r="110" spans="1:4" x14ac:dyDescent="0.25">
      <c r="A110" s="14">
        <v>21703</v>
      </c>
      <c r="B110" s="14" t="s">
        <v>168</v>
      </c>
      <c r="C110" s="23">
        <v>0</v>
      </c>
      <c r="D110" s="23">
        <v>0</v>
      </c>
    </row>
    <row r="111" spans="1:4" x14ac:dyDescent="0.25">
      <c r="A111" s="14">
        <v>21801</v>
      </c>
      <c r="B111" s="14" t="s">
        <v>169</v>
      </c>
      <c r="C111" s="23">
        <v>0</v>
      </c>
      <c r="D111" s="23">
        <v>0</v>
      </c>
    </row>
    <row r="112" spans="1:4" x14ac:dyDescent="0.25">
      <c r="A112" s="14">
        <v>21802</v>
      </c>
      <c r="B112" s="14" t="s">
        <v>170</v>
      </c>
      <c r="C112" s="23">
        <v>0</v>
      </c>
      <c r="D112" s="23">
        <v>0</v>
      </c>
    </row>
    <row r="113" spans="1:4" x14ac:dyDescent="0.25">
      <c r="A113" s="14">
        <v>21803</v>
      </c>
      <c r="B113" s="14" t="s">
        <v>171</v>
      </c>
      <c r="C113" s="23">
        <v>0</v>
      </c>
      <c r="D113" s="23">
        <v>0</v>
      </c>
    </row>
    <row r="114" spans="1:4" x14ac:dyDescent="0.25">
      <c r="A114" s="14">
        <v>21901</v>
      </c>
      <c r="B114" s="14" t="s">
        <v>172</v>
      </c>
      <c r="C114" s="23">
        <v>0</v>
      </c>
      <c r="D114" s="23">
        <v>0</v>
      </c>
    </row>
    <row r="115" spans="1:4" x14ac:dyDescent="0.25">
      <c r="A115" s="14">
        <v>21902</v>
      </c>
      <c r="B115" s="14" t="s">
        <v>173</v>
      </c>
      <c r="C115" s="23">
        <v>0</v>
      </c>
      <c r="D115" s="23">
        <v>0</v>
      </c>
    </row>
    <row r="116" spans="1:4" x14ac:dyDescent="0.25">
      <c r="A116" s="14">
        <v>22001</v>
      </c>
      <c r="B116" s="14" t="s">
        <v>174</v>
      </c>
      <c r="C116" s="23">
        <v>0.33769642296344171</v>
      </c>
      <c r="D116" s="23">
        <v>1.7160834269313161</v>
      </c>
    </row>
    <row r="117" spans="1:4" x14ac:dyDescent="0.25">
      <c r="A117" s="14">
        <v>22002</v>
      </c>
      <c r="B117" s="14" t="s">
        <v>175</v>
      </c>
      <c r="C117" s="23">
        <v>0.88669260824241847</v>
      </c>
      <c r="D117" s="23">
        <v>1.8283558929551913</v>
      </c>
    </row>
    <row r="118" spans="1:4" x14ac:dyDescent="0.25">
      <c r="A118" s="14">
        <v>30101</v>
      </c>
      <c r="B118" s="14" t="s">
        <v>176</v>
      </c>
      <c r="C118" s="23">
        <v>0.79512119808553339</v>
      </c>
      <c r="D118" s="23">
        <v>3.9389377798363432</v>
      </c>
    </row>
    <row r="119" spans="1:4" x14ac:dyDescent="0.25">
      <c r="A119" s="14">
        <v>30201</v>
      </c>
      <c r="B119" s="14" t="s">
        <v>177</v>
      </c>
      <c r="C119" s="23">
        <v>0.4382532842213912</v>
      </c>
      <c r="D119" s="23">
        <v>3.2837556103313938E-2</v>
      </c>
    </row>
    <row r="120" spans="1:4" x14ac:dyDescent="0.25">
      <c r="A120" s="14">
        <v>30202</v>
      </c>
      <c r="B120" s="14" t="s">
        <v>178</v>
      </c>
      <c r="C120" s="23">
        <v>0.59703208298179389</v>
      </c>
      <c r="D120" s="23">
        <v>0.21385917482135636</v>
      </c>
    </row>
    <row r="121" spans="1:4" x14ac:dyDescent="0.25">
      <c r="A121" s="14">
        <v>30203</v>
      </c>
      <c r="B121" s="14" t="s">
        <v>179</v>
      </c>
      <c r="C121" s="23">
        <v>0.42035454192162741</v>
      </c>
      <c r="D121" s="23">
        <v>0.2168459152254347</v>
      </c>
    </row>
    <row r="122" spans="1:4" x14ac:dyDescent="0.25">
      <c r="A122" s="14">
        <v>30301</v>
      </c>
      <c r="B122" s="14" t="s">
        <v>180</v>
      </c>
      <c r="C122" s="23">
        <v>0.64329118946119801</v>
      </c>
      <c r="D122" s="23">
        <v>0.88322652297536008</v>
      </c>
    </row>
    <row r="123" spans="1:4" x14ac:dyDescent="0.25">
      <c r="A123" s="14">
        <v>30302</v>
      </c>
      <c r="B123" s="14" t="s">
        <v>181</v>
      </c>
      <c r="C123" s="23">
        <v>0.70655141894054951</v>
      </c>
      <c r="D123" s="23">
        <v>0.74911021976159564</v>
      </c>
    </row>
    <row r="124" spans="1:4" x14ac:dyDescent="0.25">
      <c r="A124" s="14">
        <v>30303</v>
      </c>
      <c r="B124" s="14" t="s">
        <v>182</v>
      </c>
      <c r="C124" s="23">
        <v>0.14109420862015665</v>
      </c>
      <c r="D124" s="23">
        <v>0.31069729542704627</v>
      </c>
    </row>
    <row r="125" spans="1:4" x14ac:dyDescent="0.25">
      <c r="A125" s="14">
        <v>30401</v>
      </c>
      <c r="B125" s="14" t="s">
        <v>183</v>
      </c>
      <c r="C125" s="23">
        <v>0.87528673186043693</v>
      </c>
      <c r="D125" s="23">
        <v>0.28975009054690332</v>
      </c>
    </row>
    <row r="126" spans="1:4" x14ac:dyDescent="0.25">
      <c r="A126" s="14">
        <v>30402</v>
      </c>
      <c r="B126" s="14" t="s">
        <v>184</v>
      </c>
      <c r="C126" s="23">
        <v>0.93446509138181522</v>
      </c>
      <c r="D126" s="23">
        <v>0.24776324845147973</v>
      </c>
    </row>
    <row r="127" spans="1:4" x14ac:dyDescent="0.25">
      <c r="A127" s="14">
        <v>30403</v>
      </c>
      <c r="B127" s="14" t="s">
        <v>185</v>
      </c>
      <c r="C127" s="23">
        <v>0</v>
      </c>
      <c r="D127" s="23">
        <v>0</v>
      </c>
    </row>
    <row r="128" spans="1:4" x14ac:dyDescent="0.25">
      <c r="A128" s="14">
        <v>30404</v>
      </c>
      <c r="B128" s="14" t="s">
        <v>186</v>
      </c>
      <c r="C128" s="23">
        <v>0</v>
      </c>
      <c r="D128" s="23">
        <v>0</v>
      </c>
    </row>
    <row r="129" spans="1:4" x14ac:dyDescent="0.25">
      <c r="A129" s="14">
        <v>30501</v>
      </c>
      <c r="B129" s="14" t="s">
        <v>187</v>
      </c>
      <c r="C129" s="23">
        <v>1.0361243349201905</v>
      </c>
      <c r="D129" s="23">
        <v>3.9671427237935215</v>
      </c>
    </row>
    <row r="130" spans="1:4" x14ac:dyDescent="0.25">
      <c r="A130" s="14">
        <v>30502</v>
      </c>
      <c r="B130" s="14" t="s">
        <v>188</v>
      </c>
      <c r="C130" s="23">
        <v>0.61203672220333216</v>
      </c>
      <c r="D130" s="23">
        <v>4.2275869885526465</v>
      </c>
    </row>
    <row r="131" spans="1:4" x14ac:dyDescent="0.25">
      <c r="A131" s="14">
        <v>30601</v>
      </c>
      <c r="B131" s="14" t="s">
        <v>189</v>
      </c>
      <c r="C131" s="23">
        <v>0</v>
      </c>
      <c r="D131" s="23">
        <v>0</v>
      </c>
    </row>
    <row r="132" spans="1:4" x14ac:dyDescent="0.25">
      <c r="A132" s="14">
        <v>30602</v>
      </c>
      <c r="B132" s="14" t="s">
        <v>190</v>
      </c>
      <c r="C132" s="23">
        <v>0</v>
      </c>
      <c r="D132" s="23">
        <v>0</v>
      </c>
    </row>
    <row r="133" spans="1:4" x14ac:dyDescent="0.25">
      <c r="A133" s="14">
        <v>30701</v>
      </c>
      <c r="B133" s="14" t="s">
        <v>191</v>
      </c>
      <c r="C133" s="23">
        <v>0.90345624540392899</v>
      </c>
      <c r="D133" s="23">
        <v>2.516020590398151</v>
      </c>
    </row>
    <row r="134" spans="1:4" x14ac:dyDescent="0.25">
      <c r="A134" s="14">
        <v>30702</v>
      </c>
      <c r="B134" s="14" t="s">
        <v>192</v>
      </c>
      <c r="C134" s="23">
        <v>0.85146866452610304</v>
      </c>
      <c r="D134" s="23">
        <v>0.44238316089903684</v>
      </c>
    </row>
    <row r="135" spans="1:4" x14ac:dyDescent="0.25">
      <c r="A135" s="14">
        <v>30703</v>
      </c>
      <c r="B135" s="14" t="s">
        <v>193</v>
      </c>
      <c r="C135" s="23">
        <v>0</v>
      </c>
      <c r="D135" s="23">
        <v>0</v>
      </c>
    </row>
    <row r="136" spans="1:4" x14ac:dyDescent="0.25">
      <c r="A136" s="14">
        <v>30801</v>
      </c>
      <c r="B136" s="14" t="s">
        <v>194</v>
      </c>
      <c r="C136" s="23">
        <v>0</v>
      </c>
      <c r="D136" s="23">
        <v>0</v>
      </c>
    </row>
    <row r="137" spans="1:4" x14ac:dyDescent="0.25">
      <c r="A137" s="14">
        <v>30802</v>
      </c>
      <c r="B137" s="14" t="s">
        <v>195</v>
      </c>
      <c r="C137" s="23">
        <v>0</v>
      </c>
      <c r="D137" s="23">
        <v>0</v>
      </c>
    </row>
    <row r="138" spans="1:4" x14ac:dyDescent="0.25">
      <c r="A138" s="14">
        <v>30803</v>
      </c>
      <c r="B138" s="14" t="s">
        <v>196</v>
      </c>
      <c r="C138" s="23">
        <v>0</v>
      </c>
      <c r="D138" s="23">
        <v>0</v>
      </c>
    </row>
    <row r="139" spans="1:4" x14ac:dyDescent="0.25">
      <c r="A139" s="14">
        <v>30901</v>
      </c>
      <c r="B139" s="14" t="s">
        <v>197</v>
      </c>
      <c r="C139" s="23">
        <v>0.88499167783055255</v>
      </c>
      <c r="D139" s="23">
        <v>6.8911622620062518</v>
      </c>
    </row>
    <row r="140" spans="1:4" x14ac:dyDescent="0.25">
      <c r="A140" s="14">
        <v>30902</v>
      </c>
      <c r="B140" s="14" t="s">
        <v>198</v>
      </c>
      <c r="C140" s="23">
        <v>0.59044162129461586</v>
      </c>
      <c r="D140" s="23">
        <v>4.0677555958862675</v>
      </c>
    </row>
    <row r="141" spans="1:4" x14ac:dyDescent="0.25">
      <c r="A141" s="14">
        <v>30903</v>
      </c>
      <c r="B141" s="14" t="s">
        <v>199</v>
      </c>
      <c r="C141" s="23">
        <v>1.0862299465240639</v>
      </c>
      <c r="D141" s="23">
        <v>12.650401069518717</v>
      </c>
    </row>
    <row r="142" spans="1:4" x14ac:dyDescent="0.25">
      <c r="A142" s="14">
        <v>30904</v>
      </c>
      <c r="B142" s="14" t="s">
        <v>200</v>
      </c>
      <c r="C142" s="23">
        <v>0.79982348723040453</v>
      </c>
      <c r="D142" s="23">
        <v>5.6943754941438218</v>
      </c>
    </row>
    <row r="143" spans="1:4" x14ac:dyDescent="0.25">
      <c r="A143" s="14">
        <v>30905</v>
      </c>
      <c r="B143" s="14" t="s">
        <v>201</v>
      </c>
      <c r="C143" s="23">
        <v>0.90637099612812388</v>
      </c>
      <c r="D143" s="23">
        <v>16.006687785990849</v>
      </c>
    </row>
    <row r="144" spans="1:4" x14ac:dyDescent="0.25">
      <c r="A144" s="14">
        <v>31001</v>
      </c>
      <c r="B144" s="14" t="s">
        <v>202</v>
      </c>
      <c r="C144" s="23">
        <v>1.371290035418679</v>
      </c>
      <c r="D144" s="23">
        <v>4.9055817565391973</v>
      </c>
    </row>
    <row r="145" spans="1:4" x14ac:dyDescent="0.25">
      <c r="A145" s="14">
        <v>31002</v>
      </c>
      <c r="B145" s="14" t="s">
        <v>203</v>
      </c>
      <c r="C145" s="23">
        <v>0.89406418181350344</v>
      </c>
      <c r="D145" s="23">
        <v>1.719841415934809</v>
      </c>
    </row>
    <row r="146" spans="1:4" x14ac:dyDescent="0.25">
      <c r="A146" s="14">
        <v>31003</v>
      </c>
      <c r="B146" s="14" t="s">
        <v>204</v>
      </c>
      <c r="C146" s="23">
        <v>0.92463267017316575</v>
      </c>
      <c r="D146" s="23">
        <v>1.076207100354194</v>
      </c>
    </row>
    <row r="147" spans="1:4" x14ac:dyDescent="0.25">
      <c r="A147" s="14">
        <v>31101</v>
      </c>
      <c r="B147" s="14" t="s">
        <v>205</v>
      </c>
      <c r="C147" s="23">
        <v>1.0977630488815247</v>
      </c>
      <c r="D147" s="23">
        <v>0.6179232256282795</v>
      </c>
    </row>
    <row r="148" spans="1:4" x14ac:dyDescent="0.25">
      <c r="A148" s="14">
        <v>31201</v>
      </c>
      <c r="B148" s="14" t="s">
        <v>206</v>
      </c>
      <c r="C148" s="23">
        <v>0.41614125264041396</v>
      </c>
      <c r="D148" s="23">
        <v>0.35323835182123509</v>
      </c>
    </row>
    <row r="149" spans="1:4" x14ac:dyDescent="0.25">
      <c r="A149" s="14">
        <v>31202</v>
      </c>
      <c r="B149" s="14" t="s">
        <v>207</v>
      </c>
      <c r="C149" s="23">
        <v>0.28378799412146988</v>
      </c>
      <c r="D149" s="23">
        <v>0.19989677150720106</v>
      </c>
    </row>
    <row r="150" spans="1:4" x14ac:dyDescent="0.25">
      <c r="A150" s="14">
        <v>31203</v>
      </c>
      <c r="B150" s="14" t="s">
        <v>208</v>
      </c>
      <c r="C150" s="23">
        <v>0.69275488894236059</v>
      </c>
      <c r="D150" s="23">
        <v>1.2286596143506019</v>
      </c>
    </row>
    <row r="151" spans="1:4" x14ac:dyDescent="0.25">
      <c r="A151" s="14">
        <v>31204</v>
      </c>
      <c r="B151" s="14" t="s">
        <v>209</v>
      </c>
      <c r="C151" s="23">
        <v>1.5174723992886729</v>
      </c>
      <c r="D151" s="23">
        <v>1.287016834554487</v>
      </c>
    </row>
    <row r="152" spans="1:4" x14ac:dyDescent="0.25">
      <c r="A152" s="14">
        <v>31205</v>
      </c>
      <c r="B152" s="14" t="s">
        <v>210</v>
      </c>
      <c r="C152" s="23">
        <v>1.8304131569971307</v>
      </c>
      <c r="D152" s="23">
        <v>1.7950399182744472</v>
      </c>
    </row>
    <row r="153" spans="1:4" x14ac:dyDescent="0.25">
      <c r="A153" s="14">
        <v>31206</v>
      </c>
      <c r="B153" s="14" t="s">
        <v>211</v>
      </c>
      <c r="C153" s="23">
        <v>1.1792738707983055</v>
      </c>
      <c r="D153" s="23">
        <v>1.205720165667147</v>
      </c>
    </row>
    <row r="154" spans="1:4" x14ac:dyDescent="0.25">
      <c r="A154" s="14">
        <v>31301</v>
      </c>
      <c r="B154" s="14" t="s">
        <v>212</v>
      </c>
      <c r="C154" s="23">
        <v>0.53947185407435372</v>
      </c>
      <c r="D154" s="23">
        <v>0.15448963776899077</v>
      </c>
    </row>
    <row r="155" spans="1:4" x14ac:dyDescent="0.25">
      <c r="A155" s="14">
        <v>31302</v>
      </c>
      <c r="B155" s="14" t="s">
        <v>213</v>
      </c>
      <c r="C155" s="23">
        <v>0.74930301036869973</v>
      </c>
      <c r="D155" s="23">
        <v>0.25937411897378065</v>
      </c>
    </row>
    <row r="156" spans="1:4" x14ac:dyDescent="0.25">
      <c r="A156" s="14">
        <v>31303</v>
      </c>
      <c r="B156" s="14" t="s">
        <v>214</v>
      </c>
      <c r="C156" s="23">
        <v>0.82831981864155546</v>
      </c>
      <c r="D156" s="23">
        <v>1.5127735635190516</v>
      </c>
    </row>
    <row r="157" spans="1:4" x14ac:dyDescent="0.25">
      <c r="A157" s="14">
        <v>31304</v>
      </c>
      <c r="B157" s="14" t="s">
        <v>215</v>
      </c>
      <c r="C157" s="23">
        <v>0.36554698099674199</v>
      </c>
      <c r="D157" s="23">
        <v>8.0944603357040595E-2</v>
      </c>
    </row>
    <row r="158" spans="1:4" x14ac:dyDescent="0.25">
      <c r="A158" s="14">
        <v>31401</v>
      </c>
      <c r="B158" s="14" t="s">
        <v>216</v>
      </c>
      <c r="C158" s="23">
        <v>0</v>
      </c>
      <c r="D158" s="23">
        <v>0</v>
      </c>
    </row>
    <row r="159" spans="1:4" x14ac:dyDescent="0.25">
      <c r="A159" s="14">
        <v>31402</v>
      </c>
      <c r="B159" s="14" t="s">
        <v>217</v>
      </c>
      <c r="C159" s="23">
        <v>0</v>
      </c>
      <c r="D159" s="23">
        <v>0</v>
      </c>
    </row>
    <row r="160" spans="1:4" x14ac:dyDescent="0.25">
      <c r="A160" s="14">
        <v>31403</v>
      </c>
      <c r="B160" s="14" t="s">
        <v>218</v>
      </c>
      <c r="C160" s="23">
        <v>1.0461692664286162</v>
      </c>
      <c r="D160" s="23">
        <v>2.8503414145210808</v>
      </c>
    </row>
    <row r="161" spans="1:4" x14ac:dyDescent="0.25">
      <c r="A161" s="14">
        <v>31404</v>
      </c>
      <c r="B161" s="14" t="s">
        <v>219</v>
      </c>
      <c r="C161" s="23">
        <v>0</v>
      </c>
      <c r="D161" s="23">
        <v>0</v>
      </c>
    </row>
    <row r="162" spans="1:4" x14ac:dyDescent="0.25">
      <c r="A162" s="14">
        <v>31405</v>
      </c>
      <c r="B162" s="14" t="s">
        <v>220</v>
      </c>
      <c r="C162" s="23">
        <v>0</v>
      </c>
      <c r="D162" s="23">
        <v>0</v>
      </c>
    </row>
    <row r="163" spans="1:4" x14ac:dyDescent="0.25">
      <c r="A163" s="14">
        <v>31501</v>
      </c>
      <c r="B163" s="14" t="s">
        <v>221</v>
      </c>
      <c r="C163" s="23">
        <v>0</v>
      </c>
      <c r="D163" s="23">
        <v>0</v>
      </c>
    </row>
    <row r="164" spans="1:4" x14ac:dyDescent="0.25">
      <c r="A164" s="14">
        <v>31601</v>
      </c>
      <c r="B164" s="14" t="s">
        <v>222</v>
      </c>
      <c r="C164" s="23">
        <v>0.34227685183608852</v>
      </c>
      <c r="D164" s="23">
        <v>0.32230148056089936</v>
      </c>
    </row>
    <row r="165" spans="1:4" x14ac:dyDescent="0.25">
      <c r="A165" s="14">
        <v>31602</v>
      </c>
      <c r="B165" s="14" t="s">
        <v>223</v>
      </c>
      <c r="C165" s="23">
        <v>1.2883645350959361</v>
      </c>
      <c r="D165" s="23">
        <v>1.4726286440536347</v>
      </c>
    </row>
    <row r="166" spans="1:4" x14ac:dyDescent="0.25">
      <c r="A166" s="14">
        <v>40101</v>
      </c>
      <c r="B166" s="14" t="s">
        <v>224</v>
      </c>
      <c r="C166" s="23">
        <v>0</v>
      </c>
      <c r="D166" s="23">
        <v>0</v>
      </c>
    </row>
    <row r="167" spans="1:4" x14ac:dyDescent="0.25">
      <c r="A167" s="14">
        <v>40102</v>
      </c>
      <c r="B167" s="14" t="s">
        <v>225</v>
      </c>
      <c r="C167" s="23">
        <v>0</v>
      </c>
      <c r="D167" s="23">
        <v>0</v>
      </c>
    </row>
    <row r="168" spans="1:4" x14ac:dyDescent="0.25">
      <c r="A168" s="14">
        <v>40103</v>
      </c>
      <c r="B168" s="14" t="s">
        <v>226</v>
      </c>
      <c r="C168" s="23">
        <v>0</v>
      </c>
      <c r="D168" s="23">
        <v>0</v>
      </c>
    </row>
    <row r="169" spans="1:4" x14ac:dyDescent="0.25">
      <c r="A169" s="14">
        <v>40104</v>
      </c>
      <c r="B169" s="14" t="s">
        <v>227</v>
      </c>
      <c r="C169" s="23">
        <v>0</v>
      </c>
      <c r="D169" s="23">
        <v>0</v>
      </c>
    </row>
    <row r="170" spans="1:4" x14ac:dyDescent="0.25">
      <c r="A170" s="14">
        <v>40201</v>
      </c>
      <c r="B170" s="14" t="s">
        <v>228</v>
      </c>
      <c r="C170" s="23">
        <v>0</v>
      </c>
      <c r="D170" s="23">
        <v>0</v>
      </c>
    </row>
    <row r="171" spans="1:4" x14ac:dyDescent="0.25">
      <c r="A171" s="14">
        <v>40202</v>
      </c>
      <c r="B171" s="14" t="s">
        <v>229</v>
      </c>
      <c r="C171" s="23">
        <v>0</v>
      </c>
      <c r="D171" s="23">
        <v>0</v>
      </c>
    </row>
    <row r="172" spans="1:4" x14ac:dyDescent="0.25">
      <c r="A172" s="14">
        <v>40301</v>
      </c>
      <c r="B172" s="14" t="s">
        <v>230</v>
      </c>
      <c r="C172" s="23">
        <v>0</v>
      </c>
      <c r="D172" s="23">
        <v>0</v>
      </c>
    </row>
    <row r="173" spans="1:4" x14ac:dyDescent="0.25">
      <c r="A173" s="14">
        <v>40302</v>
      </c>
      <c r="B173" s="14" t="s">
        <v>231</v>
      </c>
      <c r="C173" s="23">
        <v>0</v>
      </c>
      <c r="D173" s="23">
        <v>0</v>
      </c>
    </row>
    <row r="174" spans="1:4" x14ac:dyDescent="0.25">
      <c r="A174" s="14">
        <v>40401</v>
      </c>
      <c r="B174" s="14" t="s">
        <v>232</v>
      </c>
      <c r="C174" s="23">
        <v>0</v>
      </c>
      <c r="D174" s="23">
        <v>0</v>
      </c>
    </row>
    <row r="175" spans="1:4" x14ac:dyDescent="0.25">
      <c r="A175" s="14">
        <v>40402</v>
      </c>
      <c r="B175" s="14" t="s">
        <v>233</v>
      </c>
      <c r="C175" s="23">
        <v>0</v>
      </c>
      <c r="D175" s="23">
        <v>0</v>
      </c>
    </row>
    <row r="176" spans="1:4" x14ac:dyDescent="0.25">
      <c r="A176" s="14">
        <v>40501</v>
      </c>
      <c r="B176" s="14" t="s">
        <v>234</v>
      </c>
      <c r="C176" s="23">
        <v>0</v>
      </c>
      <c r="D176" s="23">
        <v>0</v>
      </c>
    </row>
    <row r="177" spans="1:4" x14ac:dyDescent="0.25">
      <c r="A177" s="14">
        <v>40502</v>
      </c>
      <c r="B177" s="14" t="s">
        <v>235</v>
      </c>
      <c r="C177" s="23">
        <v>0</v>
      </c>
      <c r="D177" s="23">
        <v>0</v>
      </c>
    </row>
    <row r="178" spans="1:4" x14ac:dyDescent="0.25">
      <c r="A178" s="14">
        <v>40503</v>
      </c>
      <c r="B178" s="14" t="s">
        <v>236</v>
      </c>
      <c r="C178" s="23">
        <v>0</v>
      </c>
      <c r="D178" s="23">
        <v>0</v>
      </c>
    </row>
    <row r="179" spans="1:4" x14ac:dyDescent="0.25">
      <c r="A179" s="14">
        <v>40504</v>
      </c>
      <c r="B179" s="14" t="s">
        <v>237</v>
      </c>
      <c r="C179" s="23">
        <v>0</v>
      </c>
      <c r="D179" s="23">
        <v>0</v>
      </c>
    </row>
    <row r="180" spans="1:4" x14ac:dyDescent="0.25">
      <c r="A180" s="14">
        <v>40505</v>
      </c>
      <c r="B180" s="14" t="s">
        <v>238</v>
      </c>
      <c r="C180" s="23">
        <v>0</v>
      </c>
      <c r="D180" s="23">
        <v>0</v>
      </c>
    </row>
    <row r="181" spans="1:4" x14ac:dyDescent="0.25">
      <c r="A181" s="14">
        <v>40601</v>
      </c>
      <c r="B181" s="14" t="s">
        <v>239</v>
      </c>
      <c r="C181" s="23">
        <v>0</v>
      </c>
      <c r="D181" s="23">
        <v>0</v>
      </c>
    </row>
    <row r="182" spans="1:4" x14ac:dyDescent="0.25">
      <c r="A182" s="14">
        <v>40602</v>
      </c>
      <c r="B182" s="14" t="s">
        <v>240</v>
      </c>
      <c r="C182" s="23">
        <v>0</v>
      </c>
      <c r="D182" s="23">
        <v>0</v>
      </c>
    </row>
    <row r="183" spans="1:4" x14ac:dyDescent="0.25">
      <c r="A183" s="14">
        <v>40603</v>
      </c>
      <c r="B183" s="14" t="s">
        <v>241</v>
      </c>
      <c r="C183" s="23">
        <v>0</v>
      </c>
      <c r="D183" s="23">
        <v>0</v>
      </c>
    </row>
    <row r="184" spans="1:4" x14ac:dyDescent="0.25">
      <c r="A184" s="14">
        <v>40701</v>
      </c>
      <c r="B184" s="14" t="s">
        <v>242</v>
      </c>
      <c r="C184" s="23">
        <v>0</v>
      </c>
      <c r="D184" s="23">
        <v>0</v>
      </c>
    </row>
    <row r="185" spans="1:4" x14ac:dyDescent="0.25">
      <c r="A185" s="14">
        <v>40702</v>
      </c>
      <c r="B185" s="14" t="s">
        <v>243</v>
      </c>
      <c r="C185" s="23">
        <v>0</v>
      </c>
      <c r="D185" s="23">
        <v>0</v>
      </c>
    </row>
    <row r="186" spans="1:4" x14ac:dyDescent="0.25">
      <c r="A186" s="14">
        <v>40801</v>
      </c>
      <c r="B186" s="14" t="s">
        <v>244</v>
      </c>
      <c r="C186" s="23">
        <v>0</v>
      </c>
      <c r="D186" s="23">
        <v>0</v>
      </c>
    </row>
    <row r="187" spans="1:4" x14ac:dyDescent="0.25">
      <c r="A187" s="14">
        <v>40802</v>
      </c>
      <c r="B187" s="14" t="s">
        <v>245</v>
      </c>
      <c r="C187" s="23">
        <v>0</v>
      </c>
      <c r="D187" s="23">
        <v>0</v>
      </c>
    </row>
    <row r="188" spans="1:4" x14ac:dyDescent="0.25">
      <c r="A188" s="14">
        <v>40901</v>
      </c>
      <c r="B188" s="14" t="s">
        <v>246</v>
      </c>
      <c r="C188" s="23">
        <v>0</v>
      </c>
      <c r="D188" s="23">
        <v>0</v>
      </c>
    </row>
    <row r="189" spans="1:4" x14ac:dyDescent="0.25">
      <c r="A189" s="14">
        <v>40902</v>
      </c>
      <c r="B189" s="14" t="s">
        <v>247</v>
      </c>
      <c r="C189" s="23">
        <v>0</v>
      </c>
      <c r="D189" s="23">
        <v>0</v>
      </c>
    </row>
    <row r="190" spans="1:4" x14ac:dyDescent="0.25">
      <c r="A190" s="14">
        <v>40903</v>
      </c>
      <c r="B190" s="14" t="s">
        <v>248</v>
      </c>
      <c r="C190" s="23">
        <v>0</v>
      </c>
      <c r="D190" s="23">
        <v>0</v>
      </c>
    </row>
    <row r="191" spans="1:4" x14ac:dyDescent="0.25">
      <c r="A191" s="14">
        <v>41001</v>
      </c>
      <c r="B191" s="14" t="s">
        <v>249</v>
      </c>
      <c r="C191" s="23">
        <v>0</v>
      </c>
      <c r="D191" s="23">
        <v>0</v>
      </c>
    </row>
    <row r="192" spans="1:4" x14ac:dyDescent="0.25">
      <c r="A192" s="14">
        <v>41101</v>
      </c>
      <c r="B192" s="14" t="s">
        <v>250</v>
      </c>
      <c r="C192" s="23">
        <v>0</v>
      </c>
      <c r="D192" s="23">
        <v>0</v>
      </c>
    </row>
    <row r="193" spans="1:4" x14ac:dyDescent="0.25">
      <c r="A193" s="14">
        <v>41201</v>
      </c>
      <c r="B193" s="14" t="s">
        <v>251</v>
      </c>
      <c r="C193" s="23">
        <v>0</v>
      </c>
      <c r="D193" s="23">
        <v>0</v>
      </c>
    </row>
    <row r="194" spans="1:4" x14ac:dyDescent="0.25">
      <c r="A194" s="14">
        <v>41202</v>
      </c>
      <c r="B194" s="14" t="s">
        <v>252</v>
      </c>
      <c r="C194" s="23">
        <v>0</v>
      </c>
      <c r="D194" s="23">
        <v>0</v>
      </c>
    </row>
    <row r="195" spans="1:4" x14ac:dyDescent="0.25">
      <c r="A195" s="14">
        <v>41301</v>
      </c>
      <c r="B195" s="14" t="s">
        <v>206</v>
      </c>
      <c r="C195" s="23">
        <v>0</v>
      </c>
      <c r="D195" s="23">
        <v>0</v>
      </c>
    </row>
    <row r="196" spans="1:4" x14ac:dyDescent="0.25">
      <c r="A196" s="14">
        <v>41401</v>
      </c>
      <c r="B196" s="14" t="s">
        <v>253</v>
      </c>
      <c r="C196" s="23">
        <v>0</v>
      </c>
      <c r="D196" s="23">
        <v>0</v>
      </c>
    </row>
    <row r="197" spans="1:4" x14ac:dyDescent="0.25">
      <c r="A197" s="14">
        <v>41501</v>
      </c>
      <c r="B197" s="14" t="s">
        <v>254</v>
      </c>
      <c r="C197" s="23">
        <v>0</v>
      </c>
      <c r="D197" s="23">
        <v>0</v>
      </c>
    </row>
    <row r="198" spans="1:4" x14ac:dyDescent="0.25">
      <c r="A198" s="14">
        <v>41502</v>
      </c>
      <c r="B198" s="14" t="s">
        <v>255</v>
      </c>
      <c r="C198" s="23">
        <v>0</v>
      </c>
      <c r="D198" s="23">
        <v>0</v>
      </c>
    </row>
    <row r="199" spans="1:4" x14ac:dyDescent="0.25">
      <c r="A199" s="14">
        <v>41503</v>
      </c>
      <c r="B199" s="14" t="s">
        <v>256</v>
      </c>
      <c r="C199" s="23">
        <v>0</v>
      </c>
      <c r="D199" s="23">
        <v>0</v>
      </c>
    </row>
    <row r="200" spans="1:4" x14ac:dyDescent="0.25">
      <c r="A200" s="14">
        <v>41601</v>
      </c>
      <c r="B200" s="14" t="s">
        <v>257</v>
      </c>
      <c r="C200" s="23">
        <v>0</v>
      </c>
      <c r="D200" s="23">
        <v>0</v>
      </c>
    </row>
    <row r="201" spans="1:4" x14ac:dyDescent="0.25">
      <c r="A201" s="14">
        <v>50101</v>
      </c>
      <c r="B201" s="14" t="s">
        <v>258</v>
      </c>
      <c r="C201" s="23">
        <v>0</v>
      </c>
      <c r="D201" s="23">
        <v>0</v>
      </c>
    </row>
    <row r="202" spans="1:4" x14ac:dyDescent="0.25">
      <c r="A202" s="14">
        <v>50102</v>
      </c>
      <c r="B202" s="14" t="s">
        <v>259</v>
      </c>
      <c r="C202" s="23">
        <v>0</v>
      </c>
      <c r="D202" s="23">
        <v>0</v>
      </c>
    </row>
    <row r="203" spans="1:4" x14ac:dyDescent="0.25">
      <c r="A203" s="14">
        <v>50103</v>
      </c>
      <c r="B203" s="14" t="s">
        <v>260</v>
      </c>
      <c r="C203" s="23">
        <v>0</v>
      </c>
      <c r="D203" s="23">
        <v>0</v>
      </c>
    </row>
    <row r="204" spans="1:4" x14ac:dyDescent="0.25">
      <c r="A204" s="14">
        <v>50104</v>
      </c>
      <c r="B204" s="14" t="s">
        <v>261</v>
      </c>
      <c r="C204" s="23">
        <v>0</v>
      </c>
      <c r="D204" s="23">
        <v>0</v>
      </c>
    </row>
    <row r="205" spans="1:4" x14ac:dyDescent="0.25">
      <c r="A205" s="14">
        <v>50201</v>
      </c>
      <c r="B205" s="14" t="s">
        <v>262</v>
      </c>
      <c r="C205" s="23">
        <v>0</v>
      </c>
      <c r="D205" s="23">
        <v>0</v>
      </c>
    </row>
    <row r="206" spans="1:4" x14ac:dyDescent="0.25">
      <c r="A206" s="14">
        <v>50202</v>
      </c>
      <c r="B206" s="14" t="s">
        <v>263</v>
      </c>
      <c r="C206" s="23">
        <v>0</v>
      </c>
      <c r="D206" s="23">
        <v>0</v>
      </c>
    </row>
    <row r="207" spans="1:4" x14ac:dyDescent="0.25">
      <c r="A207" s="14">
        <v>50203</v>
      </c>
      <c r="B207" s="14" t="s">
        <v>264</v>
      </c>
      <c r="C207" s="23">
        <v>0</v>
      </c>
      <c r="D207" s="23">
        <v>0</v>
      </c>
    </row>
    <row r="208" spans="1:4" x14ac:dyDescent="0.25">
      <c r="A208" s="14">
        <v>50204</v>
      </c>
      <c r="B208" s="14" t="s">
        <v>265</v>
      </c>
      <c r="C208" s="23">
        <v>0</v>
      </c>
      <c r="D208" s="23">
        <v>0</v>
      </c>
    </row>
    <row r="209" spans="1:4" x14ac:dyDescent="0.25">
      <c r="A209" s="14">
        <v>50301</v>
      </c>
      <c r="B209" s="14" t="s">
        <v>266</v>
      </c>
      <c r="C209" s="23">
        <v>0.7408586180069312</v>
      </c>
      <c r="D209" s="23">
        <v>4.6520263102058133</v>
      </c>
    </row>
    <row r="210" spans="1:4" x14ac:dyDescent="0.25">
      <c r="A210" s="14">
        <v>50302</v>
      </c>
      <c r="B210" s="14" t="s">
        <v>267</v>
      </c>
      <c r="C210" s="23">
        <v>0</v>
      </c>
      <c r="D210" s="23">
        <v>0</v>
      </c>
    </row>
    <row r="211" spans="1:4" x14ac:dyDescent="0.25">
      <c r="A211" s="14">
        <v>50303</v>
      </c>
      <c r="B211" s="14" t="s">
        <v>268</v>
      </c>
      <c r="C211" s="23">
        <v>0</v>
      </c>
      <c r="D211" s="23">
        <v>0</v>
      </c>
    </row>
    <row r="212" spans="1:4" x14ac:dyDescent="0.25">
      <c r="A212" s="14">
        <v>50401</v>
      </c>
      <c r="B212" s="14" t="s">
        <v>269</v>
      </c>
      <c r="C212" s="23">
        <v>0.86979974377992042</v>
      </c>
      <c r="D212" s="23">
        <v>0.1415953071269638</v>
      </c>
    </row>
    <row r="213" spans="1:4" x14ac:dyDescent="0.25">
      <c r="A213" s="14">
        <v>50402</v>
      </c>
      <c r="B213" s="14" t="s">
        <v>270</v>
      </c>
      <c r="C213" s="23">
        <v>0.6680279311301015</v>
      </c>
      <c r="D213" s="23">
        <v>0.58357911719478694</v>
      </c>
    </row>
    <row r="214" spans="1:4" x14ac:dyDescent="0.25">
      <c r="A214" s="14">
        <v>50403</v>
      </c>
      <c r="B214" s="14" t="s">
        <v>271</v>
      </c>
      <c r="C214" s="23">
        <v>1.3944708318109853</v>
      </c>
      <c r="D214" s="23">
        <v>0.41407867494824013</v>
      </c>
    </row>
    <row r="215" spans="1:4" x14ac:dyDescent="0.25">
      <c r="A215" s="14">
        <v>50404</v>
      </c>
      <c r="B215" s="14" t="s">
        <v>272</v>
      </c>
      <c r="C215" s="23">
        <v>0</v>
      </c>
      <c r="D215" s="23">
        <v>0</v>
      </c>
    </row>
    <row r="216" spans="1:4" x14ac:dyDescent="0.25">
      <c r="A216" s="14">
        <v>50405</v>
      </c>
      <c r="B216" s="14" t="s">
        <v>273</v>
      </c>
      <c r="C216" s="23">
        <v>0</v>
      </c>
      <c r="D216" s="23">
        <v>0</v>
      </c>
    </row>
    <row r="217" spans="1:4" x14ac:dyDescent="0.25">
      <c r="A217" s="14">
        <v>50501</v>
      </c>
      <c r="B217" s="14" t="s">
        <v>274</v>
      </c>
      <c r="C217" s="23">
        <v>0.81241280621023193</v>
      </c>
      <c r="D217" s="23">
        <v>0.29481371936701201</v>
      </c>
    </row>
    <row r="218" spans="1:4" x14ac:dyDescent="0.25">
      <c r="A218" s="14">
        <v>50502</v>
      </c>
      <c r="B218" s="14" t="s">
        <v>275</v>
      </c>
      <c r="C218" s="23">
        <v>0.42676918495617711</v>
      </c>
      <c r="D218" s="23">
        <v>0.15106725755210818</v>
      </c>
    </row>
    <row r="219" spans="1:4" x14ac:dyDescent="0.25">
      <c r="A219" s="14">
        <v>50601</v>
      </c>
      <c r="B219" s="14" t="s">
        <v>276</v>
      </c>
      <c r="C219" s="23">
        <v>0</v>
      </c>
      <c r="D219" s="23">
        <v>0</v>
      </c>
    </row>
    <row r="220" spans="1:4" x14ac:dyDescent="0.25">
      <c r="A220" s="14">
        <v>50602</v>
      </c>
      <c r="B220" s="14" t="s">
        <v>277</v>
      </c>
      <c r="C220" s="23">
        <v>0</v>
      </c>
      <c r="D220" s="23">
        <v>0</v>
      </c>
    </row>
    <row r="221" spans="1:4" x14ac:dyDescent="0.25">
      <c r="A221" s="14">
        <v>50701</v>
      </c>
      <c r="B221" s="14" t="s">
        <v>278</v>
      </c>
      <c r="C221" s="23">
        <v>0</v>
      </c>
      <c r="D221" s="23">
        <v>0</v>
      </c>
    </row>
    <row r="222" spans="1:4" x14ac:dyDescent="0.25">
      <c r="A222" s="14">
        <v>50702</v>
      </c>
      <c r="B222" s="14" t="s">
        <v>279</v>
      </c>
      <c r="C222" s="23">
        <v>0</v>
      </c>
      <c r="D222" s="23">
        <v>0</v>
      </c>
    </row>
    <row r="223" spans="1:4" x14ac:dyDescent="0.25">
      <c r="A223" s="14">
        <v>50801</v>
      </c>
      <c r="B223" s="14" t="s">
        <v>280</v>
      </c>
      <c r="C223" s="23">
        <v>0</v>
      </c>
      <c r="D223" s="23">
        <v>0</v>
      </c>
    </row>
    <row r="224" spans="1:4" x14ac:dyDescent="0.25">
      <c r="A224" s="14">
        <v>50802</v>
      </c>
      <c r="B224" s="14" t="s">
        <v>281</v>
      </c>
      <c r="C224" s="23">
        <v>0</v>
      </c>
      <c r="D224" s="23">
        <v>0</v>
      </c>
    </row>
    <row r="225" spans="1:4" x14ac:dyDescent="0.25">
      <c r="A225" s="14">
        <v>50901</v>
      </c>
      <c r="B225" s="14" t="s">
        <v>282</v>
      </c>
      <c r="C225" s="23">
        <v>0</v>
      </c>
      <c r="D225" s="23">
        <v>0</v>
      </c>
    </row>
    <row r="226" spans="1:4" x14ac:dyDescent="0.25">
      <c r="A226" s="14">
        <v>50902</v>
      </c>
      <c r="B226" s="14" t="s">
        <v>283</v>
      </c>
      <c r="C226" s="23">
        <v>0</v>
      </c>
      <c r="D226" s="23">
        <v>0</v>
      </c>
    </row>
    <row r="227" spans="1:4" x14ac:dyDescent="0.25">
      <c r="A227" s="14">
        <v>51001</v>
      </c>
      <c r="B227" s="14" t="s">
        <v>284</v>
      </c>
      <c r="C227" s="23">
        <v>0</v>
      </c>
      <c r="D227" s="23">
        <v>0</v>
      </c>
    </row>
    <row r="228" spans="1:4" x14ac:dyDescent="0.25">
      <c r="A228" s="14">
        <v>51002</v>
      </c>
      <c r="B228" s="14" t="s">
        <v>285</v>
      </c>
      <c r="C228" s="23">
        <v>0</v>
      </c>
      <c r="D228" s="23">
        <v>0</v>
      </c>
    </row>
    <row r="229" spans="1:4" x14ac:dyDescent="0.25">
      <c r="A229" s="14">
        <v>51003</v>
      </c>
      <c r="B229" s="14" t="s">
        <v>286</v>
      </c>
      <c r="C229" s="23">
        <v>0</v>
      </c>
      <c r="D229" s="23">
        <v>0</v>
      </c>
    </row>
    <row r="230" spans="1:4" x14ac:dyDescent="0.25">
      <c r="A230" s="14">
        <v>51101</v>
      </c>
      <c r="B230" s="14" t="s">
        <v>287</v>
      </c>
      <c r="C230" s="23">
        <v>0</v>
      </c>
      <c r="D230" s="23">
        <v>0</v>
      </c>
    </row>
    <row r="231" spans="1:4" x14ac:dyDescent="0.25">
      <c r="A231" s="14">
        <v>51102</v>
      </c>
      <c r="B231" s="14" t="s">
        <v>288</v>
      </c>
      <c r="C231" s="23">
        <v>0</v>
      </c>
      <c r="D231" s="23">
        <v>0</v>
      </c>
    </row>
    <row r="232" spans="1:4" x14ac:dyDescent="0.25">
      <c r="A232" s="14">
        <v>51103</v>
      </c>
      <c r="B232" s="14" t="s">
        <v>289</v>
      </c>
      <c r="C232" s="23">
        <v>0.90927460092948065</v>
      </c>
      <c r="D232" s="23">
        <v>10.918030578568059</v>
      </c>
    </row>
    <row r="233" spans="1:4" x14ac:dyDescent="0.25">
      <c r="A233" s="14">
        <v>51201</v>
      </c>
      <c r="B233" s="14" t="s">
        <v>290</v>
      </c>
      <c r="C233" s="23">
        <v>0</v>
      </c>
      <c r="D233" s="23">
        <v>0</v>
      </c>
    </row>
    <row r="234" spans="1:4" x14ac:dyDescent="0.25">
      <c r="A234" s="14">
        <v>51202</v>
      </c>
      <c r="B234" s="14" t="s">
        <v>291</v>
      </c>
      <c r="C234" s="23">
        <v>0</v>
      </c>
      <c r="D234" s="23">
        <v>0</v>
      </c>
    </row>
    <row r="235" spans="1:4" x14ac:dyDescent="0.25">
      <c r="A235" s="14">
        <v>51203</v>
      </c>
      <c r="B235" s="14" t="s">
        <v>292</v>
      </c>
      <c r="C235" s="23">
        <v>0</v>
      </c>
      <c r="D235" s="23">
        <v>0</v>
      </c>
    </row>
    <row r="236" spans="1:4" x14ac:dyDescent="0.25">
      <c r="A236" s="14">
        <v>51204</v>
      </c>
      <c r="B236" s="14" t="s">
        <v>293</v>
      </c>
      <c r="C236" s="23">
        <v>0</v>
      </c>
      <c r="D236" s="23">
        <v>0</v>
      </c>
    </row>
    <row r="237" spans="1:4" x14ac:dyDescent="0.25">
      <c r="A237" s="14">
        <v>51301</v>
      </c>
      <c r="B237" s="14" t="s">
        <v>294</v>
      </c>
      <c r="C237" s="23">
        <v>0.91316885613585386</v>
      </c>
      <c r="D237" s="23">
        <v>4.8061518743992317E-2</v>
      </c>
    </row>
    <row r="238" spans="1:4" x14ac:dyDescent="0.25">
      <c r="A238" s="14">
        <v>51302</v>
      </c>
      <c r="B238" s="14" t="s">
        <v>295</v>
      </c>
      <c r="C238" s="23">
        <v>1.0691975012013455</v>
      </c>
      <c r="D238" s="23">
        <v>0.35239468204388918</v>
      </c>
    </row>
    <row r="239" spans="1:4" x14ac:dyDescent="0.25">
      <c r="A239" s="14">
        <v>51401</v>
      </c>
      <c r="B239" s="14" t="s">
        <v>296</v>
      </c>
      <c r="C239" s="23">
        <v>0</v>
      </c>
      <c r="D239" s="23">
        <v>0</v>
      </c>
    </row>
    <row r="240" spans="1:4" x14ac:dyDescent="0.25">
      <c r="A240" s="14">
        <v>51402</v>
      </c>
      <c r="B240" s="14" t="s">
        <v>297</v>
      </c>
      <c r="C240" s="23">
        <v>0</v>
      </c>
      <c r="D240" s="23">
        <v>0</v>
      </c>
    </row>
    <row r="241" spans="1:4" x14ac:dyDescent="0.25">
      <c r="A241" s="14">
        <v>51501</v>
      </c>
      <c r="B241" s="14" t="s">
        <v>298</v>
      </c>
      <c r="C241" s="23">
        <v>0</v>
      </c>
      <c r="D241" s="23">
        <v>0</v>
      </c>
    </row>
    <row r="242" spans="1:4" x14ac:dyDescent="0.25">
      <c r="A242" s="14">
        <v>51601</v>
      </c>
      <c r="B242" s="14" t="s">
        <v>299</v>
      </c>
      <c r="C242" s="23">
        <v>0</v>
      </c>
      <c r="D242" s="23">
        <v>0</v>
      </c>
    </row>
    <row r="243" spans="1:4" x14ac:dyDescent="0.25">
      <c r="A243" s="14">
        <v>60101</v>
      </c>
      <c r="B243" s="14" t="s">
        <v>300</v>
      </c>
      <c r="C243" s="23">
        <v>0.33376357544230184</v>
      </c>
      <c r="D243" s="23">
        <v>0.50870076195691238</v>
      </c>
    </row>
    <row r="244" spans="1:4" x14ac:dyDescent="0.25">
      <c r="A244" s="14">
        <v>60201</v>
      </c>
      <c r="B244" s="14" t="s">
        <v>301</v>
      </c>
      <c r="C244" s="23">
        <v>0.23327497157082985</v>
      </c>
      <c r="D244" s="23">
        <v>0.29201711800125268</v>
      </c>
    </row>
    <row r="245" spans="1:4" x14ac:dyDescent="0.25">
      <c r="A245" s="14">
        <v>60202</v>
      </c>
      <c r="B245" s="14" t="s">
        <v>302</v>
      </c>
      <c r="C245" s="23">
        <v>0.86274700311370822</v>
      </c>
      <c r="D245" s="23">
        <v>1.4751944332634719</v>
      </c>
    </row>
    <row r="246" spans="1:4" x14ac:dyDescent="0.25">
      <c r="A246" s="14">
        <v>60301</v>
      </c>
      <c r="B246" s="14" t="s">
        <v>303</v>
      </c>
      <c r="C246" s="23">
        <v>1.4215046629068524</v>
      </c>
      <c r="D246" s="23">
        <v>2.7141337068573601</v>
      </c>
    </row>
    <row r="247" spans="1:4" x14ac:dyDescent="0.25">
      <c r="A247" s="14">
        <v>60302</v>
      </c>
      <c r="B247" s="14" t="s">
        <v>304</v>
      </c>
      <c r="C247" s="23">
        <v>0.4594446317611075</v>
      </c>
      <c r="D247" s="23">
        <v>0.54724863496394938</v>
      </c>
    </row>
    <row r="248" spans="1:4" x14ac:dyDescent="0.25">
      <c r="A248" s="14">
        <v>60303</v>
      </c>
      <c r="B248" s="14" t="s">
        <v>305</v>
      </c>
      <c r="C248" s="23">
        <v>0.33298910265166254</v>
      </c>
      <c r="D248" s="23">
        <v>1.1529632842642445</v>
      </c>
    </row>
    <row r="249" spans="1:4" x14ac:dyDescent="0.25">
      <c r="A249" s="14">
        <v>60401</v>
      </c>
      <c r="B249" s="14" t="s">
        <v>306</v>
      </c>
      <c r="C249" s="23">
        <v>0.84818114328136607</v>
      </c>
      <c r="D249" s="23">
        <v>1.2444320712694876</v>
      </c>
    </row>
    <row r="250" spans="1:4" x14ac:dyDescent="0.25">
      <c r="A250" s="14">
        <v>60402</v>
      </c>
      <c r="B250" s="14" t="s">
        <v>307</v>
      </c>
      <c r="C250" s="23">
        <v>0</v>
      </c>
      <c r="D250" s="23">
        <v>0</v>
      </c>
    </row>
    <row r="251" spans="1:4" x14ac:dyDescent="0.25">
      <c r="A251" s="14">
        <v>60501</v>
      </c>
      <c r="B251" s="14" t="s">
        <v>308</v>
      </c>
      <c r="C251" s="23">
        <v>0.38503368532461218</v>
      </c>
      <c r="D251" s="23">
        <v>0.3762736054695684</v>
      </c>
    </row>
    <row r="252" spans="1:4" x14ac:dyDescent="0.25">
      <c r="A252" s="14">
        <v>60502</v>
      </c>
      <c r="B252" s="14" t="s">
        <v>309</v>
      </c>
      <c r="C252" s="23">
        <v>1.4588361491016357</v>
      </c>
      <c r="D252" s="23">
        <v>6.4145883614910169</v>
      </c>
    </row>
    <row r="253" spans="1:4" x14ac:dyDescent="0.25">
      <c r="A253" s="14">
        <v>60601</v>
      </c>
      <c r="B253" s="14" t="s">
        <v>211</v>
      </c>
      <c r="C253" s="23">
        <v>0.1223614607520615</v>
      </c>
      <c r="D253" s="23">
        <v>0.60881560750592745</v>
      </c>
    </row>
    <row r="254" spans="1:4" x14ac:dyDescent="0.25">
      <c r="A254" s="14">
        <v>70101</v>
      </c>
      <c r="B254" s="14" t="s">
        <v>311</v>
      </c>
      <c r="C254" s="23">
        <v>7.7401247883469013</v>
      </c>
      <c r="D254" s="23">
        <v>3.9092359355389066</v>
      </c>
    </row>
    <row r="255" spans="1:4" x14ac:dyDescent="0.25">
      <c r="A255" s="14">
        <v>70102</v>
      </c>
      <c r="B255" s="14" t="s">
        <v>312</v>
      </c>
      <c r="C255" s="23">
        <v>6.1418826504718238</v>
      </c>
      <c r="D255" s="23">
        <v>4.7139379446198308</v>
      </c>
    </row>
    <row r="256" spans="1:4" x14ac:dyDescent="0.25">
      <c r="A256" s="14">
        <v>70103</v>
      </c>
      <c r="B256" s="14" t="s">
        <v>313</v>
      </c>
      <c r="C256" s="23">
        <v>2.9898225738301698</v>
      </c>
      <c r="D256" s="23">
        <v>1.8440799071986715</v>
      </c>
    </row>
    <row r="257" spans="1:4" x14ac:dyDescent="0.25">
      <c r="A257" s="14">
        <v>70104</v>
      </c>
      <c r="B257" s="14" t="s">
        <v>314</v>
      </c>
      <c r="C257" s="23">
        <v>4.0221744717266095</v>
      </c>
      <c r="D257" s="23">
        <v>2.8553052678454067</v>
      </c>
    </row>
    <row r="258" spans="1:4" x14ac:dyDescent="0.25">
      <c r="A258" s="14">
        <v>70105</v>
      </c>
      <c r="B258" s="14" t="s">
        <v>315</v>
      </c>
      <c r="C258" s="23">
        <v>1.9098564024029689</v>
      </c>
      <c r="D258" s="23">
        <v>1.5428091103224386</v>
      </c>
    </row>
    <row r="259" spans="1:4" x14ac:dyDescent="0.25">
      <c r="A259" s="14">
        <v>70201</v>
      </c>
      <c r="B259" s="14" t="s">
        <v>316</v>
      </c>
      <c r="C259" s="23">
        <v>5.3364975357018025</v>
      </c>
      <c r="D259" s="23">
        <v>2.8576493588810901</v>
      </c>
    </row>
    <row r="260" spans="1:4" x14ac:dyDescent="0.25">
      <c r="A260" s="14">
        <v>70202</v>
      </c>
      <c r="B260" s="14" t="s">
        <v>317</v>
      </c>
      <c r="C260" s="23">
        <v>8.0441892616895707</v>
      </c>
      <c r="D260" s="23">
        <v>4.1800792373405971</v>
      </c>
    </row>
    <row r="261" spans="1:4" x14ac:dyDescent="0.25">
      <c r="A261" s="14">
        <v>70301</v>
      </c>
      <c r="B261" s="14" t="s">
        <v>318</v>
      </c>
      <c r="C261" s="23">
        <v>0.51929028735797766</v>
      </c>
      <c r="D261" s="23">
        <v>1.3168248471357618</v>
      </c>
    </row>
    <row r="262" spans="1:4" x14ac:dyDescent="0.25">
      <c r="A262" s="14">
        <v>70302</v>
      </c>
      <c r="B262" s="14" t="s">
        <v>319</v>
      </c>
      <c r="C262" s="23">
        <v>0.43048991806767017</v>
      </c>
      <c r="D262" s="23">
        <v>1.9451602425061869</v>
      </c>
    </row>
    <row r="263" spans="1:4" x14ac:dyDescent="0.25">
      <c r="A263" s="14">
        <v>70303</v>
      </c>
      <c r="B263" s="14" t="s">
        <v>320</v>
      </c>
      <c r="C263" s="23">
        <v>0.28319812790642696</v>
      </c>
      <c r="D263" s="23">
        <v>1.4092534480008969</v>
      </c>
    </row>
    <row r="264" spans="1:4" x14ac:dyDescent="0.25">
      <c r="A264" s="14">
        <v>70401</v>
      </c>
      <c r="B264" s="14" t="s">
        <v>321</v>
      </c>
      <c r="C264" s="23">
        <v>0.94112922396804677</v>
      </c>
      <c r="D264" s="23">
        <v>0.82753981883218963</v>
      </c>
    </row>
    <row r="265" spans="1:4" x14ac:dyDescent="0.25">
      <c r="A265" s="14">
        <v>70402</v>
      </c>
      <c r="B265" s="14" t="s">
        <v>322</v>
      </c>
      <c r="C265" s="23">
        <v>3.0059846534612489</v>
      </c>
      <c r="D265" s="23">
        <v>2.9456966506358526</v>
      </c>
    </row>
    <row r="266" spans="1:4" x14ac:dyDescent="0.25">
      <c r="A266" s="14">
        <v>70403</v>
      </c>
      <c r="B266" s="14" t="s">
        <v>323</v>
      </c>
      <c r="C266" s="23">
        <v>2.1221750464978308</v>
      </c>
      <c r="D266" s="23">
        <v>1.327974636695104</v>
      </c>
    </row>
    <row r="267" spans="1:4" x14ac:dyDescent="0.25">
      <c r="A267" s="14">
        <v>70404</v>
      </c>
      <c r="B267" s="14" t="s">
        <v>324</v>
      </c>
      <c r="C267" s="23">
        <v>3.1512712698673853</v>
      </c>
      <c r="D267" s="23">
        <v>2.715332824483756</v>
      </c>
    </row>
    <row r="268" spans="1:4" x14ac:dyDescent="0.25">
      <c r="A268" s="14">
        <v>70501</v>
      </c>
      <c r="B268" s="14" t="s">
        <v>325</v>
      </c>
      <c r="C268" s="23">
        <v>0.524127262458155</v>
      </c>
      <c r="D268" s="23">
        <v>1.9457027414117416</v>
      </c>
    </row>
    <row r="269" spans="1:4" x14ac:dyDescent="0.25">
      <c r="A269" s="14">
        <v>70502</v>
      </c>
      <c r="B269" s="14" t="s">
        <v>326</v>
      </c>
      <c r="C269" s="23">
        <v>3.5160923719182455</v>
      </c>
      <c r="D269" s="23">
        <v>2.5464567289479643</v>
      </c>
    </row>
    <row r="270" spans="1:4" x14ac:dyDescent="0.25">
      <c r="A270" s="14">
        <v>70503</v>
      </c>
      <c r="B270" s="14" t="s">
        <v>327</v>
      </c>
      <c r="C270" s="23">
        <v>0.12441116245152924</v>
      </c>
      <c r="D270" s="23">
        <v>2.1906459633810398</v>
      </c>
    </row>
    <row r="271" spans="1:4" x14ac:dyDescent="0.25">
      <c r="A271" s="14">
        <v>70601</v>
      </c>
      <c r="B271" s="14" t="s">
        <v>328</v>
      </c>
      <c r="C271" s="23">
        <v>4.4209484058192494</v>
      </c>
      <c r="D271" s="23">
        <v>2.6171180421241309</v>
      </c>
    </row>
    <row r="272" spans="1:4" x14ac:dyDescent="0.25">
      <c r="A272" s="14">
        <v>70602</v>
      </c>
      <c r="B272" s="14" t="s">
        <v>329</v>
      </c>
      <c r="C272" s="23">
        <v>4.2595898396012899</v>
      </c>
      <c r="D272" s="23">
        <v>3.847865287356103</v>
      </c>
    </row>
    <row r="273" spans="1:4" x14ac:dyDescent="0.25">
      <c r="A273" s="14">
        <v>70603</v>
      </c>
      <c r="B273" s="14" t="s">
        <v>330</v>
      </c>
      <c r="C273" s="23">
        <v>2.4883913857888791</v>
      </c>
      <c r="D273" s="23">
        <v>3.9358551335037557</v>
      </c>
    </row>
    <row r="274" spans="1:4" x14ac:dyDescent="0.25">
      <c r="A274" s="14">
        <v>70701</v>
      </c>
      <c r="B274" s="14" t="s">
        <v>331</v>
      </c>
      <c r="C274" s="23">
        <v>0.71996877684817184</v>
      </c>
      <c r="D274" s="23">
        <v>0.43121141475016278</v>
      </c>
    </row>
    <row r="275" spans="1:4" x14ac:dyDescent="0.25">
      <c r="A275" s="14">
        <v>70702</v>
      </c>
      <c r="B275" s="14" t="s">
        <v>332</v>
      </c>
      <c r="C275" s="23">
        <v>0.26657792716649475</v>
      </c>
      <c r="D275" s="23">
        <v>0.94106479784913399</v>
      </c>
    </row>
    <row r="276" spans="1:4" x14ac:dyDescent="0.25">
      <c r="A276" s="14">
        <v>70703</v>
      </c>
      <c r="B276" s="14" t="s">
        <v>333</v>
      </c>
      <c r="C276" s="23">
        <v>1.8844258106398302</v>
      </c>
      <c r="D276" s="23">
        <v>1.6241692645257693</v>
      </c>
    </row>
    <row r="277" spans="1:4" x14ac:dyDescent="0.25">
      <c r="A277" s="14">
        <v>70704</v>
      </c>
      <c r="B277" s="14" t="s">
        <v>334</v>
      </c>
      <c r="C277" s="23">
        <v>0.31647440835799917</v>
      </c>
      <c r="D277" s="23">
        <v>0.37476009947424621</v>
      </c>
    </row>
    <row r="278" spans="1:4" x14ac:dyDescent="0.25">
      <c r="A278" s="14">
        <v>70705</v>
      </c>
      <c r="B278" s="14" t="s">
        <v>335</v>
      </c>
      <c r="C278" s="23">
        <v>0.99458184627070156</v>
      </c>
      <c r="D278" s="23">
        <v>0.70999839866592318</v>
      </c>
    </row>
    <row r="279" spans="1:4" x14ac:dyDescent="0.25">
      <c r="A279" s="14">
        <v>70706</v>
      </c>
      <c r="B279" s="14" t="s">
        <v>336</v>
      </c>
      <c r="C279" s="23">
        <v>0.6952804478440201</v>
      </c>
      <c r="D279" s="23">
        <v>0.69274242726684665</v>
      </c>
    </row>
    <row r="280" spans="1:4" x14ac:dyDescent="0.25">
      <c r="A280" s="14">
        <v>70707</v>
      </c>
      <c r="B280" s="14" t="s">
        <v>337</v>
      </c>
      <c r="C280" s="23">
        <v>0.11949118724470809</v>
      </c>
      <c r="D280" s="23">
        <v>1.2621473196106987</v>
      </c>
    </row>
    <row r="281" spans="1:4" x14ac:dyDescent="0.25">
      <c r="A281" s="14">
        <v>70801</v>
      </c>
      <c r="B281" s="14" t="s">
        <v>338</v>
      </c>
      <c r="C281" s="23">
        <v>0.40483962571367921</v>
      </c>
      <c r="D281" s="23">
        <v>0.57595591610455932</v>
      </c>
    </row>
    <row r="282" spans="1:4" x14ac:dyDescent="0.25">
      <c r="A282" s="14">
        <v>70802</v>
      </c>
      <c r="B282" s="14" t="s">
        <v>339</v>
      </c>
      <c r="C282" s="23">
        <v>0.56616551537315452</v>
      </c>
      <c r="D282" s="23">
        <v>0.65088101658601449</v>
      </c>
    </row>
    <row r="283" spans="1:4" x14ac:dyDescent="0.25">
      <c r="A283" s="14">
        <v>70803</v>
      </c>
      <c r="B283" s="14" t="s">
        <v>340</v>
      </c>
      <c r="C283" s="23">
        <v>0.84639042666219311</v>
      </c>
      <c r="D283" s="23">
        <v>0.74655631978228876</v>
      </c>
    </row>
    <row r="284" spans="1:4" x14ac:dyDescent="0.25">
      <c r="A284" s="14">
        <v>70804</v>
      </c>
      <c r="B284" s="14" t="s">
        <v>341</v>
      </c>
      <c r="C284" s="23">
        <v>0.33795509924685047</v>
      </c>
      <c r="D284" s="23">
        <v>0.47184249382627097</v>
      </c>
    </row>
    <row r="285" spans="1:4" x14ac:dyDescent="0.25">
      <c r="A285" s="14">
        <v>70805</v>
      </c>
      <c r="B285" s="14" t="s">
        <v>342</v>
      </c>
      <c r="C285" s="23">
        <v>0.62427782770573881</v>
      </c>
      <c r="D285" s="23">
        <v>0.70940054350151915</v>
      </c>
    </row>
    <row r="286" spans="1:4" x14ac:dyDescent="0.25">
      <c r="A286" s="14">
        <v>70901</v>
      </c>
      <c r="B286" s="14" t="s">
        <v>343</v>
      </c>
      <c r="C286" s="23">
        <v>0.27187565492749505</v>
      </c>
      <c r="D286" s="23">
        <v>0.30175111463276699</v>
      </c>
    </row>
    <row r="287" spans="1:4" x14ac:dyDescent="0.25">
      <c r="A287" s="14">
        <v>70902</v>
      </c>
      <c r="B287" s="14" t="s">
        <v>344</v>
      </c>
      <c r="C287" s="23">
        <v>0.65826375375172386</v>
      </c>
      <c r="D287" s="23">
        <v>0.59814130317486858</v>
      </c>
    </row>
    <row r="288" spans="1:4" x14ac:dyDescent="0.25">
      <c r="A288" s="14">
        <v>70903</v>
      </c>
      <c r="B288" s="14" t="s">
        <v>345</v>
      </c>
      <c r="C288" s="23">
        <v>0.44380814699962295</v>
      </c>
      <c r="D288" s="23">
        <v>0.60594282550552314</v>
      </c>
    </row>
    <row r="289" spans="1:4" x14ac:dyDescent="0.25">
      <c r="A289" s="14">
        <v>70904</v>
      </c>
      <c r="B289" s="14" t="s">
        <v>346</v>
      </c>
      <c r="C289" s="23">
        <v>0.58305668363097252</v>
      </c>
      <c r="D289" s="23">
        <v>0.58225961366018519</v>
      </c>
    </row>
    <row r="290" spans="1:4" x14ac:dyDescent="0.25">
      <c r="A290" s="14">
        <v>71001</v>
      </c>
      <c r="B290" s="14" t="s">
        <v>347</v>
      </c>
      <c r="C290" s="23">
        <v>5.5843660474439814</v>
      </c>
      <c r="D290" s="23">
        <v>2.84696353646759</v>
      </c>
    </row>
    <row r="291" spans="1:4" x14ac:dyDescent="0.25">
      <c r="A291" s="14">
        <v>71002</v>
      </c>
      <c r="B291" s="14" t="s">
        <v>348</v>
      </c>
      <c r="C291" s="23">
        <v>7.1084079732009213</v>
      </c>
      <c r="D291" s="23">
        <v>4.6478661313186516</v>
      </c>
    </row>
    <row r="292" spans="1:4" x14ac:dyDescent="0.25">
      <c r="A292" s="14">
        <v>71003</v>
      </c>
      <c r="B292" s="14" t="s">
        <v>349</v>
      </c>
      <c r="C292" s="23">
        <v>9.1951522403212493</v>
      </c>
      <c r="D292" s="23">
        <v>6.4576364905410673</v>
      </c>
    </row>
    <row r="293" spans="1:4" x14ac:dyDescent="0.25">
      <c r="A293" s="14">
        <v>71004</v>
      </c>
      <c r="B293" s="14" t="s">
        <v>350</v>
      </c>
      <c r="C293" s="23">
        <v>7.3399792392219014</v>
      </c>
      <c r="D293" s="23">
        <v>5.1736104712942321</v>
      </c>
    </row>
    <row r="294" spans="1:4" x14ac:dyDescent="0.25">
      <c r="A294" s="14">
        <v>71005</v>
      </c>
      <c r="B294" s="14" t="s">
        <v>274</v>
      </c>
      <c r="C294" s="23">
        <v>4.739958369436394</v>
      </c>
      <c r="D294" s="23">
        <v>2.7547880127879529</v>
      </c>
    </row>
    <row r="295" spans="1:4" x14ac:dyDescent="0.25">
      <c r="A295" s="14">
        <v>71101</v>
      </c>
      <c r="B295" s="14" t="s">
        <v>351</v>
      </c>
      <c r="C295" s="23">
        <v>0.30527980724597814</v>
      </c>
      <c r="D295" s="23">
        <v>0.94626458486910203</v>
      </c>
    </row>
    <row r="296" spans="1:4" x14ac:dyDescent="0.25">
      <c r="A296" s="14">
        <v>71102</v>
      </c>
      <c r="B296" s="14" t="s">
        <v>352</v>
      </c>
      <c r="C296" s="23">
        <v>1.5463596337638159</v>
      </c>
      <c r="D296" s="23">
        <v>2.5153917315630507</v>
      </c>
    </row>
    <row r="297" spans="1:4" x14ac:dyDescent="0.25">
      <c r="A297" s="14">
        <v>71103</v>
      </c>
      <c r="B297" s="14" t="s">
        <v>353</v>
      </c>
      <c r="C297" s="23">
        <v>1.6879712446114834</v>
      </c>
      <c r="D297" s="23">
        <v>2.8096024749308115</v>
      </c>
    </row>
    <row r="298" spans="1:4" x14ac:dyDescent="0.25">
      <c r="A298" s="14">
        <v>71104</v>
      </c>
      <c r="B298" s="14" t="s">
        <v>354</v>
      </c>
      <c r="C298" s="23">
        <v>10.944772642522091</v>
      </c>
      <c r="D298" s="23">
        <v>3.7696648353666853</v>
      </c>
    </row>
    <row r="299" spans="1:4" x14ac:dyDescent="0.25">
      <c r="A299" s="14">
        <v>71105</v>
      </c>
      <c r="B299" s="14" t="s">
        <v>355</v>
      </c>
      <c r="C299" s="23">
        <v>0.80178734586380218</v>
      </c>
      <c r="D299" s="23">
        <v>0.78828629993402854</v>
      </c>
    </row>
    <row r="300" spans="1:4" x14ac:dyDescent="0.25">
      <c r="A300" s="14">
        <v>71106</v>
      </c>
      <c r="B300" s="14" t="s">
        <v>356</v>
      </c>
      <c r="C300" s="23">
        <v>5.1305012680707982</v>
      </c>
      <c r="D300" s="23">
        <v>2.8967196288421624</v>
      </c>
    </row>
    <row r="301" spans="1:4" x14ac:dyDescent="0.25">
      <c r="A301" s="14">
        <v>71201</v>
      </c>
      <c r="B301" s="14" t="s">
        <v>357</v>
      </c>
      <c r="C301" s="23">
        <v>0.13390362446459397</v>
      </c>
      <c r="D301" s="23">
        <v>0.3166483369392214</v>
      </c>
    </row>
    <row r="302" spans="1:4" x14ac:dyDescent="0.25">
      <c r="A302" s="14">
        <v>71301</v>
      </c>
      <c r="B302" s="14" t="s">
        <v>358</v>
      </c>
      <c r="C302" s="23">
        <v>0.4093061458877576</v>
      </c>
      <c r="D302" s="23">
        <v>0.38133499018597222</v>
      </c>
    </row>
    <row r="303" spans="1:4" x14ac:dyDescent="0.25">
      <c r="A303" s="14">
        <v>71302</v>
      </c>
      <c r="B303" s="14" t="s">
        <v>359</v>
      </c>
      <c r="C303" s="23">
        <v>0.37990439660045477</v>
      </c>
      <c r="D303" s="23">
        <v>0.74402055853699467</v>
      </c>
    </row>
    <row r="304" spans="1:4" x14ac:dyDescent="0.25">
      <c r="A304" s="14">
        <v>71401</v>
      </c>
      <c r="B304" s="14" t="s">
        <v>360</v>
      </c>
      <c r="C304" s="23">
        <v>0.37676984805637048</v>
      </c>
      <c r="D304" s="23">
        <v>0.35977285311006862</v>
      </c>
    </row>
    <row r="305" spans="1:4" x14ac:dyDescent="0.25">
      <c r="A305" s="14">
        <v>71402</v>
      </c>
      <c r="B305" s="14" t="s">
        <v>361</v>
      </c>
      <c r="C305" s="23">
        <v>0.26702242332583292</v>
      </c>
      <c r="D305" s="23">
        <v>0.17035450952012082</v>
      </c>
    </row>
    <row r="306" spans="1:4" x14ac:dyDescent="0.25">
      <c r="A306" s="14">
        <v>71403</v>
      </c>
      <c r="B306" s="14" t="s">
        <v>362</v>
      </c>
      <c r="C306" s="23">
        <v>0.36693289926573591</v>
      </c>
      <c r="D306" s="23">
        <v>1.1396056492522482</v>
      </c>
    </row>
    <row r="307" spans="1:4" x14ac:dyDescent="0.25">
      <c r="A307" s="14">
        <v>71501</v>
      </c>
      <c r="B307" s="14" t="s">
        <v>363</v>
      </c>
      <c r="C307" s="23">
        <v>1.4730454210283959</v>
      </c>
      <c r="D307" s="23">
        <v>2.7670067144246966</v>
      </c>
    </row>
    <row r="308" spans="1:4" x14ac:dyDescent="0.25">
      <c r="A308" s="14">
        <v>71502</v>
      </c>
      <c r="B308" s="14" t="s">
        <v>364</v>
      </c>
      <c r="C308" s="23">
        <v>0.29568527717655169</v>
      </c>
      <c r="D308" s="23">
        <v>0.37440280697816397</v>
      </c>
    </row>
    <row r="309" spans="1:4" x14ac:dyDescent="0.25">
      <c r="A309" s="14">
        <v>71503</v>
      </c>
      <c r="B309" s="14" t="s">
        <v>309</v>
      </c>
      <c r="C309" s="23">
        <v>3.3842647363177658</v>
      </c>
      <c r="D309" s="23">
        <v>3.1990110083047063</v>
      </c>
    </row>
    <row r="310" spans="1:4" x14ac:dyDescent="0.25">
      <c r="A310" s="14">
        <v>80101</v>
      </c>
      <c r="B310" s="14" t="s">
        <v>366</v>
      </c>
      <c r="C310" s="23">
        <v>1.2641826708563473</v>
      </c>
      <c r="D310" s="23">
        <v>2.1790425254539025</v>
      </c>
    </row>
    <row r="311" spans="1:4" x14ac:dyDescent="0.25">
      <c r="A311" s="14">
        <v>80102</v>
      </c>
      <c r="B311" s="14" t="s">
        <v>352</v>
      </c>
      <c r="C311" s="23">
        <v>1.3136663279453686</v>
      </c>
      <c r="D311" s="23">
        <v>2.1957410820136123</v>
      </c>
    </row>
    <row r="312" spans="1:4" x14ac:dyDescent="0.25">
      <c r="A312" s="14">
        <v>80201</v>
      </c>
      <c r="B312" s="14" t="s">
        <v>367</v>
      </c>
      <c r="C312" s="23">
        <v>0.48242689860565857</v>
      </c>
      <c r="D312" s="23">
        <v>0.20753519696764589</v>
      </c>
    </row>
    <row r="313" spans="1:4" x14ac:dyDescent="0.25">
      <c r="A313" s="14">
        <v>80202</v>
      </c>
      <c r="B313" s="14" t="s">
        <v>368</v>
      </c>
      <c r="C313" s="23">
        <v>1.3662493390853583</v>
      </c>
      <c r="D313" s="23">
        <v>0.30083326970608976</v>
      </c>
    </row>
    <row r="314" spans="1:4" x14ac:dyDescent="0.25">
      <c r="A314" s="14">
        <v>80301</v>
      </c>
      <c r="B314" s="14" t="s">
        <v>369</v>
      </c>
      <c r="C314" s="23">
        <v>0.98268685914682607</v>
      </c>
      <c r="D314" s="23">
        <v>1.0645165824899394</v>
      </c>
    </row>
    <row r="315" spans="1:4" x14ac:dyDescent="0.25">
      <c r="A315" s="14">
        <v>80302</v>
      </c>
      <c r="B315" s="14" t="s">
        <v>370</v>
      </c>
      <c r="C315" s="23">
        <v>0.8327836239024663</v>
      </c>
      <c r="D315" s="23">
        <v>0.70283913046675084</v>
      </c>
    </row>
    <row r="316" spans="1:4" x14ac:dyDescent="0.25">
      <c r="A316" s="14">
        <v>80303</v>
      </c>
      <c r="B316" s="14" t="s">
        <v>371</v>
      </c>
      <c r="C316" s="23">
        <v>0.47557396665946167</v>
      </c>
      <c r="D316" s="23">
        <v>0.94695863963829463</v>
      </c>
    </row>
    <row r="317" spans="1:4" x14ac:dyDescent="0.25">
      <c r="A317" s="14">
        <v>80304</v>
      </c>
      <c r="B317" s="14" t="s">
        <v>372</v>
      </c>
      <c r="C317" s="23">
        <v>1.7910371145035247</v>
      </c>
      <c r="D317" s="23">
        <v>0.86762627150250904</v>
      </c>
    </row>
    <row r="318" spans="1:4" x14ac:dyDescent="0.25">
      <c r="A318" s="14">
        <v>80401</v>
      </c>
      <c r="B318" s="14" t="s">
        <v>373</v>
      </c>
      <c r="C318" s="23">
        <v>1.8271788492576788</v>
      </c>
      <c r="D318" s="23">
        <v>0.81924765128499943</v>
      </c>
    </row>
    <row r="319" spans="1:4" x14ac:dyDescent="0.25">
      <c r="A319" s="14">
        <v>80402</v>
      </c>
      <c r="B319" s="14" t="s">
        <v>374</v>
      </c>
      <c r="C319" s="23">
        <v>0.72344711524184924</v>
      </c>
      <c r="D319" s="23">
        <v>0.56668374285073397</v>
      </c>
    </row>
    <row r="320" spans="1:4" x14ac:dyDescent="0.25">
      <c r="A320" s="14">
        <v>80501</v>
      </c>
      <c r="B320" s="14" t="s">
        <v>375</v>
      </c>
      <c r="C320" s="23">
        <v>0.72125084716173715</v>
      </c>
      <c r="D320" s="23">
        <v>0.63819146883806943</v>
      </c>
    </row>
    <row r="321" spans="1:4" x14ac:dyDescent="0.25">
      <c r="A321" s="14">
        <v>80601</v>
      </c>
      <c r="B321" s="14" t="s">
        <v>376</v>
      </c>
      <c r="C321" s="23">
        <v>1.7242914279283137</v>
      </c>
      <c r="D321" s="23">
        <v>1.5243867272954297</v>
      </c>
    </row>
    <row r="322" spans="1:4" x14ac:dyDescent="0.25">
      <c r="A322" s="14">
        <v>80602</v>
      </c>
      <c r="B322" s="14" t="s">
        <v>377</v>
      </c>
      <c r="C322" s="23">
        <v>1.3443564201501927</v>
      </c>
      <c r="D322" s="23">
        <v>2.4858291607096414</v>
      </c>
    </row>
    <row r="323" spans="1:4" x14ac:dyDescent="0.25">
      <c r="A323" s="14">
        <v>80701</v>
      </c>
      <c r="B323" s="14" t="s">
        <v>378</v>
      </c>
      <c r="C323" s="23">
        <v>1.4545935100107519</v>
      </c>
      <c r="D323" s="23">
        <v>1.1689563872912452</v>
      </c>
    </row>
    <row r="324" spans="1:4" x14ac:dyDescent="0.25">
      <c r="A324" s="14">
        <v>80702</v>
      </c>
      <c r="B324" s="14" t="s">
        <v>353</v>
      </c>
      <c r="C324" s="23">
        <v>2.1061309112080466</v>
      </c>
      <c r="D324" s="23">
        <v>3.2272457704548994</v>
      </c>
    </row>
    <row r="325" spans="1:4" x14ac:dyDescent="0.25">
      <c r="A325" s="14">
        <v>80703</v>
      </c>
      <c r="B325" s="14" t="s">
        <v>379</v>
      </c>
      <c r="C325" s="23">
        <v>2.6866507130162192</v>
      </c>
      <c r="D325" s="23">
        <v>0.86034258365170657</v>
      </c>
    </row>
    <row r="326" spans="1:4" x14ac:dyDescent="0.25">
      <c r="A326" s="14">
        <v>80801</v>
      </c>
      <c r="B326" s="14" t="s">
        <v>380</v>
      </c>
      <c r="C326" s="23">
        <v>0.56027314623862379</v>
      </c>
      <c r="D326" s="23">
        <v>0.86802095054780914</v>
      </c>
    </row>
    <row r="327" spans="1:4" x14ac:dyDescent="0.25">
      <c r="A327" s="14">
        <v>80802</v>
      </c>
      <c r="B327" s="14" t="s">
        <v>381</v>
      </c>
      <c r="C327" s="23">
        <v>0.40695682107041548</v>
      </c>
      <c r="D327" s="23">
        <v>0.70773174465144895</v>
      </c>
    </row>
    <row r="328" spans="1:4" x14ac:dyDescent="0.25">
      <c r="A328" s="14">
        <v>80803</v>
      </c>
      <c r="B328" s="14" t="s">
        <v>382</v>
      </c>
      <c r="C328" s="23">
        <v>2.5550995863184407</v>
      </c>
      <c r="D328" s="23">
        <v>1.7512889899587665</v>
      </c>
    </row>
    <row r="329" spans="1:4" x14ac:dyDescent="0.25">
      <c r="A329" s="14">
        <v>80901</v>
      </c>
      <c r="B329" s="14" t="s">
        <v>383</v>
      </c>
      <c r="C329" s="23">
        <v>0.62916181478174982</v>
      </c>
      <c r="D329" s="23">
        <v>0.28090320089907972</v>
      </c>
    </row>
    <row r="330" spans="1:4" x14ac:dyDescent="0.25">
      <c r="A330" s="14">
        <v>90101</v>
      </c>
      <c r="B330" s="14" t="s">
        <v>385</v>
      </c>
      <c r="C330" s="23">
        <v>1.9123728811375005</v>
      </c>
      <c r="D330" s="23">
        <v>1.8301507706067557</v>
      </c>
    </row>
    <row r="331" spans="1:4" x14ac:dyDescent="0.25">
      <c r="A331" s="14">
        <v>90102</v>
      </c>
      <c r="B331" s="14" t="s">
        <v>386</v>
      </c>
      <c r="C331" s="23">
        <v>0.84422718535647723</v>
      </c>
      <c r="D331" s="23">
        <v>0.68495155577671751</v>
      </c>
    </row>
    <row r="332" spans="1:4" x14ac:dyDescent="0.25">
      <c r="A332" s="14">
        <v>90103</v>
      </c>
      <c r="B332" s="14" t="s">
        <v>387</v>
      </c>
      <c r="C332" s="23">
        <v>0.36905506086299072</v>
      </c>
      <c r="D332" s="23">
        <v>0.36545534187331186</v>
      </c>
    </row>
    <row r="333" spans="1:4" x14ac:dyDescent="0.25">
      <c r="A333" s="14">
        <v>90104</v>
      </c>
      <c r="B333" s="14" t="s">
        <v>388</v>
      </c>
      <c r="C333" s="23">
        <v>0.33323912683355872</v>
      </c>
      <c r="D333" s="23">
        <v>0.37373358189883521</v>
      </c>
    </row>
    <row r="334" spans="1:4" x14ac:dyDescent="0.25">
      <c r="A334" s="14">
        <v>90201</v>
      </c>
      <c r="B334" s="14" t="s">
        <v>389</v>
      </c>
      <c r="C334" s="23">
        <v>0.37457354597343312</v>
      </c>
      <c r="D334" s="23">
        <v>9.9070513708501104E-2</v>
      </c>
    </row>
    <row r="335" spans="1:4" x14ac:dyDescent="0.25">
      <c r="A335" s="14">
        <v>90202</v>
      </c>
      <c r="B335" s="14" t="s">
        <v>274</v>
      </c>
      <c r="C335" s="23">
        <v>0.59510627665066274</v>
      </c>
      <c r="D335" s="23">
        <v>0.25260634566025825</v>
      </c>
    </row>
    <row r="336" spans="1:4" x14ac:dyDescent="0.25">
      <c r="A336" s="14">
        <v>90203</v>
      </c>
      <c r="B336" s="14" t="s">
        <v>390</v>
      </c>
      <c r="C336" s="23">
        <v>0.17601311259555588</v>
      </c>
      <c r="D336" s="23">
        <v>0.15757286988464103</v>
      </c>
    </row>
    <row r="337" spans="1:4" x14ac:dyDescent="0.25">
      <c r="A337" s="14">
        <v>90301</v>
      </c>
      <c r="B337" s="14" t="s">
        <v>391</v>
      </c>
      <c r="C337" s="23">
        <v>1.1328019739654764</v>
      </c>
      <c r="D337" s="23">
        <v>0.41964877156760894</v>
      </c>
    </row>
    <row r="338" spans="1:4" x14ac:dyDescent="0.25">
      <c r="A338" s="14">
        <v>90302</v>
      </c>
      <c r="B338" s="14" t="s">
        <v>308</v>
      </c>
      <c r="C338" s="23">
        <v>0.53320753324234993</v>
      </c>
      <c r="D338" s="23">
        <v>0.17863152879417918</v>
      </c>
    </row>
    <row r="339" spans="1:4" x14ac:dyDescent="0.25">
      <c r="A339" s="14">
        <v>90303</v>
      </c>
      <c r="B339" s="14" t="s">
        <v>392</v>
      </c>
      <c r="C339" s="23">
        <v>0.14336812328412252</v>
      </c>
      <c r="D339" s="23">
        <v>7.8557818479117622E-2</v>
      </c>
    </row>
    <row r="340" spans="1:4" x14ac:dyDescent="0.25">
      <c r="A340" s="14">
        <v>90401</v>
      </c>
      <c r="B340" s="14" t="s">
        <v>371</v>
      </c>
      <c r="C340" s="23">
        <v>0.13554110170492187</v>
      </c>
      <c r="D340" s="23">
        <v>8.3207003695771997E-2</v>
      </c>
    </row>
    <row r="341" spans="1:4" x14ac:dyDescent="0.25">
      <c r="A341" s="14">
        <v>90402</v>
      </c>
      <c r="B341" s="14" t="s">
        <v>393</v>
      </c>
      <c r="C341" s="23">
        <v>8.2554628528678453E-2</v>
      </c>
      <c r="D341" s="23">
        <v>5.0784853793313323E-2</v>
      </c>
    </row>
    <row r="342" spans="1:4" x14ac:dyDescent="0.25">
      <c r="A342" s="14">
        <v>90501</v>
      </c>
      <c r="B342" s="14" t="s">
        <v>394</v>
      </c>
      <c r="C342" s="23">
        <v>0.137578901984721</v>
      </c>
      <c r="D342" s="23">
        <v>4.6538953488274977E-2</v>
      </c>
    </row>
    <row r="343" spans="1:4" x14ac:dyDescent="0.25">
      <c r="A343" s="14">
        <v>90502</v>
      </c>
      <c r="B343" s="14" t="s">
        <v>395</v>
      </c>
      <c r="C343" s="23">
        <v>0.14320558555624488</v>
      </c>
      <c r="D343" s="23">
        <v>8.8782408600817805E-2</v>
      </c>
    </row>
    <row r="344" spans="1:4" x14ac:dyDescent="0.25">
      <c r="A344" s="14">
        <v>90503</v>
      </c>
      <c r="B344" s="14" t="s">
        <v>396</v>
      </c>
      <c r="C344" s="23">
        <v>1.5449345644799568E-2</v>
      </c>
      <c r="D344" s="23">
        <v>1.7351639743543576E-2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B3FC-64A3-47F6-BBEA-AF976A7DF3A5}">
  <sheetPr>
    <tabColor rgb="FFC00000"/>
  </sheetPr>
  <dimension ref="A1:D344"/>
  <sheetViews>
    <sheetView workbookViewId="0">
      <selection activeCell="B38" sqref="B38"/>
    </sheetView>
  </sheetViews>
  <sheetFormatPr baseColWidth="10" defaultRowHeight="15" x14ac:dyDescent="0.25"/>
  <sheetData>
    <row r="1" spans="1:4" s="15" customFormat="1" ht="45" x14ac:dyDescent="0.25">
      <c r="A1" s="20" t="s">
        <v>397</v>
      </c>
      <c r="B1" s="20" t="s">
        <v>2</v>
      </c>
      <c r="C1" s="20" t="s">
        <v>409</v>
      </c>
      <c r="D1" s="20" t="s">
        <v>408</v>
      </c>
    </row>
    <row r="2" spans="1:4" x14ac:dyDescent="0.25">
      <c r="A2" s="14">
        <v>10101</v>
      </c>
      <c r="B2" s="14" t="s">
        <v>59</v>
      </c>
      <c r="C2" s="21">
        <v>95.94</v>
      </c>
      <c r="D2" s="21">
        <v>191.1</v>
      </c>
    </row>
    <row r="3" spans="1:4" x14ac:dyDescent="0.25">
      <c r="A3" s="14">
        <v>10102</v>
      </c>
      <c r="B3" s="14" t="s">
        <v>60</v>
      </c>
      <c r="C3" s="21">
        <v>10.56</v>
      </c>
      <c r="D3" s="21">
        <v>3.81</v>
      </c>
    </row>
    <row r="4" spans="1:4" x14ac:dyDescent="0.25">
      <c r="A4" s="14">
        <v>10103</v>
      </c>
      <c r="B4" s="14" t="s">
        <v>61</v>
      </c>
      <c r="C4" s="21">
        <v>118.64999999999999</v>
      </c>
      <c r="D4" s="21">
        <v>24.240000000000006</v>
      </c>
    </row>
    <row r="5" spans="1:4" x14ac:dyDescent="0.25">
      <c r="A5" s="14">
        <v>10201</v>
      </c>
      <c r="B5" s="14" t="s">
        <v>62</v>
      </c>
      <c r="C5" s="21">
        <v>222.87</v>
      </c>
      <c r="D5" s="21">
        <v>333.06</v>
      </c>
    </row>
    <row r="6" spans="1:4" x14ac:dyDescent="0.25">
      <c r="A6" s="14">
        <v>10202</v>
      </c>
      <c r="B6" s="14" t="s">
        <v>63</v>
      </c>
      <c r="C6" s="21">
        <v>160.44</v>
      </c>
      <c r="D6" s="21">
        <v>132.54</v>
      </c>
    </row>
    <row r="7" spans="1:4" x14ac:dyDescent="0.25">
      <c r="A7" s="14">
        <v>10301</v>
      </c>
      <c r="B7" s="14" t="s">
        <v>64</v>
      </c>
      <c r="C7" s="21">
        <v>52.98</v>
      </c>
      <c r="D7" s="21">
        <v>14.76</v>
      </c>
    </row>
    <row r="8" spans="1:4" x14ac:dyDescent="0.25">
      <c r="A8" s="14">
        <v>10302</v>
      </c>
      <c r="B8" s="14" t="s">
        <v>65</v>
      </c>
      <c r="C8" s="21">
        <v>135.47999999999999</v>
      </c>
      <c r="D8" s="21">
        <v>18.809999999999999</v>
      </c>
    </row>
    <row r="9" spans="1:4" x14ac:dyDescent="0.25">
      <c r="A9" s="14">
        <v>10303</v>
      </c>
      <c r="B9" s="14" t="s">
        <v>66</v>
      </c>
      <c r="C9" s="21">
        <v>105.80999999999999</v>
      </c>
      <c r="D9" s="21">
        <v>69.179999999999993</v>
      </c>
    </row>
    <row r="10" spans="1:4" x14ac:dyDescent="0.25">
      <c r="A10" s="14">
        <v>10304</v>
      </c>
      <c r="B10" s="14" t="s">
        <v>67</v>
      </c>
      <c r="C10" s="21">
        <v>20.309999999999999</v>
      </c>
      <c r="D10" s="21">
        <v>1.7400000000000002</v>
      </c>
    </row>
    <row r="11" spans="1:4" x14ac:dyDescent="0.25">
      <c r="A11" s="14">
        <v>10401</v>
      </c>
      <c r="B11" s="14" t="s">
        <v>68</v>
      </c>
      <c r="C11" s="21">
        <v>373.02</v>
      </c>
      <c r="D11" s="21">
        <v>557.01</v>
      </c>
    </row>
    <row r="12" spans="1:4" x14ac:dyDescent="0.25">
      <c r="A12" s="14">
        <v>10402</v>
      </c>
      <c r="B12" s="14" t="s">
        <v>69</v>
      </c>
      <c r="C12" s="21">
        <v>110.07000000000001</v>
      </c>
      <c r="D12" s="21">
        <v>64.77</v>
      </c>
    </row>
    <row r="13" spans="1:4" x14ac:dyDescent="0.25">
      <c r="A13" s="14">
        <v>10403</v>
      </c>
      <c r="B13" s="14" t="s">
        <v>70</v>
      </c>
      <c r="C13" s="21">
        <v>104.73</v>
      </c>
      <c r="D13" s="21">
        <v>214.95000000000002</v>
      </c>
    </row>
    <row r="14" spans="1:4" x14ac:dyDescent="0.25">
      <c r="A14" s="14">
        <v>10404</v>
      </c>
      <c r="B14" s="14" t="s">
        <v>71</v>
      </c>
      <c r="C14" s="21">
        <v>28.98</v>
      </c>
      <c r="D14" s="21">
        <v>34.200000000000003</v>
      </c>
    </row>
    <row r="15" spans="1:4" x14ac:dyDescent="0.25">
      <c r="A15" s="14">
        <v>10405</v>
      </c>
      <c r="B15" s="14" t="s">
        <v>72</v>
      </c>
      <c r="C15" s="21">
        <v>196.35</v>
      </c>
      <c r="D15" s="21">
        <v>185.73000000000002</v>
      </c>
    </row>
    <row r="16" spans="1:4" x14ac:dyDescent="0.25">
      <c r="A16" s="14">
        <v>10501</v>
      </c>
      <c r="B16" s="14" t="s">
        <v>73</v>
      </c>
      <c r="C16" s="21">
        <v>1326.8999999999999</v>
      </c>
      <c r="D16" s="21">
        <v>1779.57</v>
      </c>
    </row>
    <row r="17" spans="1:4" x14ac:dyDescent="0.25">
      <c r="A17" s="14">
        <v>10502</v>
      </c>
      <c r="B17" s="14" t="s">
        <v>74</v>
      </c>
      <c r="C17" s="21">
        <v>509.7</v>
      </c>
      <c r="D17" s="21">
        <v>1897.89</v>
      </c>
    </row>
    <row r="18" spans="1:4" x14ac:dyDescent="0.25">
      <c r="A18" s="14">
        <v>10601</v>
      </c>
      <c r="B18" s="14" t="s">
        <v>75</v>
      </c>
      <c r="C18" s="21">
        <v>31.679999999999996</v>
      </c>
      <c r="D18" s="21">
        <v>6.39</v>
      </c>
    </row>
    <row r="19" spans="1:4" x14ac:dyDescent="0.25">
      <c r="A19" s="14">
        <v>10602</v>
      </c>
      <c r="B19" s="14" t="s">
        <v>76</v>
      </c>
      <c r="C19" s="21">
        <v>5.6999999999999993</v>
      </c>
      <c r="D19" s="21">
        <v>0.3</v>
      </c>
    </row>
    <row r="20" spans="1:4" x14ac:dyDescent="0.25">
      <c r="A20" s="14">
        <v>10701</v>
      </c>
      <c r="B20" s="14" t="s">
        <v>77</v>
      </c>
      <c r="C20" s="21">
        <v>0</v>
      </c>
      <c r="D20" s="21">
        <v>0</v>
      </c>
    </row>
    <row r="21" spans="1:4" x14ac:dyDescent="0.25">
      <c r="A21" s="14">
        <v>10702</v>
      </c>
      <c r="B21" s="14" t="s">
        <v>78</v>
      </c>
      <c r="C21" s="21">
        <v>121.32000000000001</v>
      </c>
      <c r="D21" s="21">
        <v>284.79000000000002</v>
      </c>
    </row>
    <row r="22" spans="1:4" x14ac:dyDescent="0.25">
      <c r="A22" s="14">
        <v>10703</v>
      </c>
      <c r="B22" s="14" t="s">
        <v>79</v>
      </c>
      <c r="C22" s="21">
        <v>163.53</v>
      </c>
      <c r="D22" s="21">
        <v>441.69000000000005</v>
      </c>
    </row>
    <row r="23" spans="1:4" x14ac:dyDescent="0.25">
      <c r="A23" s="14">
        <v>10704</v>
      </c>
      <c r="B23" s="14" t="s">
        <v>80</v>
      </c>
      <c r="C23" s="21">
        <v>42.81</v>
      </c>
      <c r="D23" s="21">
        <v>14.700000000000001</v>
      </c>
    </row>
    <row r="24" spans="1:4" x14ac:dyDescent="0.25">
      <c r="A24" s="14">
        <v>10801</v>
      </c>
      <c r="B24" s="14" t="s">
        <v>81</v>
      </c>
      <c r="C24" s="21">
        <v>571.38</v>
      </c>
      <c r="D24" s="21">
        <v>588.84</v>
      </c>
    </row>
    <row r="25" spans="1:4" x14ac:dyDescent="0.25">
      <c r="A25" s="14">
        <v>10901</v>
      </c>
      <c r="B25" s="14" t="s">
        <v>82</v>
      </c>
      <c r="C25" s="21">
        <v>0</v>
      </c>
      <c r="D25" s="21">
        <v>0</v>
      </c>
    </row>
    <row r="26" spans="1:4" x14ac:dyDescent="0.25">
      <c r="A26" s="14">
        <v>10902</v>
      </c>
      <c r="B26" s="14" t="s">
        <v>83</v>
      </c>
      <c r="C26" s="21">
        <v>628.41</v>
      </c>
      <c r="D26" s="21">
        <v>1264.08</v>
      </c>
    </row>
    <row r="27" spans="1:4" x14ac:dyDescent="0.25">
      <c r="A27" s="14">
        <v>10903</v>
      </c>
      <c r="B27" s="14" t="s">
        <v>84</v>
      </c>
      <c r="C27" s="21">
        <v>0</v>
      </c>
      <c r="D27" s="21">
        <v>0</v>
      </c>
    </row>
    <row r="28" spans="1:4" x14ac:dyDescent="0.25">
      <c r="A28" s="14">
        <v>11001</v>
      </c>
      <c r="B28" s="14" t="s">
        <v>85</v>
      </c>
      <c r="C28" s="21">
        <v>990.32999999999993</v>
      </c>
      <c r="D28" s="21">
        <v>1326.57</v>
      </c>
    </row>
    <row r="29" spans="1:4" x14ac:dyDescent="0.25">
      <c r="A29" s="14">
        <v>11002</v>
      </c>
      <c r="B29" s="14" t="s">
        <v>86</v>
      </c>
      <c r="C29" s="21">
        <v>94.649999999999991</v>
      </c>
      <c r="D29" s="21">
        <v>176.04</v>
      </c>
    </row>
    <row r="30" spans="1:4" x14ac:dyDescent="0.25">
      <c r="A30" s="14">
        <v>11003</v>
      </c>
      <c r="B30" s="14" t="s">
        <v>87</v>
      </c>
      <c r="C30" s="21">
        <v>833.94</v>
      </c>
      <c r="D30" s="21">
        <v>5502.0899999999992</v>
      </c>
    </row>
    <row r="31" spans="1:4" x14ac:dyDescent="0.25">
      <c r="A31" s="14">
        <v>20101</v>
      </c>
      <c r="B31" s="14" t="s">
        <v>89</v>
      </c>
      <c r="C31" s="21">
        <v>96.15000000000002</v>
      </c>
      <c r="D31" s="21">
        <v>331.56</v>
      </c>
    </row>
    <row r="32" spans="1:4" x14ac:dyDescent="0.25">
      <c r="A32" s="14">
        <v>20102</v>
      </c>
      <c r="B32" s="14" t="s">
        <v>90</v>
      </c>
      <c r="C32" s="21">
        <v>27.659999999999997</v>
      </c>
      <c r="D32" s="21">
        <v>102.63</v>
      </c>
    </row>
    <row r="33" spans="1:4" x14ac:dyDescent="0.25">
      <c r="A33" s="14">
        <v>20103</v>
      </c>
      <c r="B33" s="14" t="s">
        <v>91</v>
      </c>
      <c r="C33" s="21">
        <v>0</v>
      </c>
      <c r="D33" s="21">
        <v>0</v>
      </c>
    </row>
    <row r="34" spans="1:4" x14ac:dyDescent="0.25">
      <c r="A34" s="14">
        <v>20104</v>
      </c>
      <c r="B34" s="14" t="s">
        <v>92</v>
      </c>
      <c r="C34" s="21">
        <v>0</v>
      </c>
      <c r="D34" s="21">
        <v>0</v>
      </c>
    </row>
    <row r="35" spans="1:4" x14ac:dyDescent="0.25">
      <c r="A35" s="14">
        <v>20105</v>
      </c>
      <c r="B35" s="14" t="s">
        <v>93</v>
      </c>
      <c r="C35" s="21">
        <v>0</v>
      </c>
      <c r="D35" s="21">
        <v>0</v>
      </c>
    </row>
    <row r="36" spans="1:4" x14ac:dyDescent="0.25">
      <c r="A36" s="14">
        <v>20201</v>
      </c>
      <c r="B36" s="14" t="s">
        <v>94</v>
      </c>
      <c r="C36" s="21">
        <v>0</v>
      </c>
      <c r="D36" s="21">
        <v>0</v>
      </c>
    </row>
    <row r="37" spans="1:4" x14ac:dyDescent="0.25">
      <c r="A37" s="14">
        <v>20202</v>
      </c>
      <c r="B37" s="14" t="s">
        <v>95</v>
      </c>
      <c r="C37" s="21">
        <v>0</v>
      </c>
      <c r="D37" s="21">
        <v>0</v>
      </c>
    </row>
    <row r="38" spans="1:4" x14ac:dyDescent="0.25">
      <c r="A38" s="14">
        <v>20203</v>
      </c>
      <c r="B38" s="14" t="s">
        <v>96</v>
      </c>
      <c r="C38" s="21">
        <v>0</v>
      </c>
      <c r="D38" s="21">
        <v>0</v>
      </c>
    </row>
    <row r="39" spans="1:4" x14ac:dyDescent="0.25">
      <c r="A39" s="14">
        <v>20204</v>
      </c>
      <c r="B39" s="14" t="s">
        <v>97</v>
      </c>
      <c r="C39" s="21">
        <v>0</v>
      </c>
      <c r="D39" s="21">
        <v>0</v>
      </c>
    </row>
    <row r="40" spans="1:4" x14ac:dyDescent="0.25">
      <c r="A40" s="14">
        <v>20205</v>
      </c>
      <c r="B40" s="14" t="s">
        <v>98</v>
      </c>
      <c r="C40" s="21">
        <v>0</v>
      </c>
      <c r="D40" s="21">
        <v>0</v>
      </c>
    </row>
    <row r="41" spans="1:4" x14ac:dyDescent="0.25">
      <c r="A41" s="14">
        <v>20206</v>
      </c>
      <c r="B41" s="14" t="s">
        <v>99</v>
      </c>
      <c r="C41" s="21">
        <v>0</v>
      </c>
      <c r="D41" s="21">
        <v>0</v>
      </c>
    </row>
    <row r="42" spans="1:4" x14ac:dyDescent="0.25">
      <c r="A42" s="14">
        <v>20301</v>
      </c>
      <c r="B42" s="14" t="s">
        <v>100</v>
      </c>
      <c r="C42" s="21">
        <v>0</v>
      </c>
      <c r="D42" s="21">
        <v>0</v>
      </c>
    </row>
    <row r="43" spans="1:4" x14ac:dyDescent="0.25">
      <c r="A43" s="14">
        <v>20302</v>
      </c>
      <c r="B43" s="14" t="s">
        <v>101</v>
      </c>
      <c r="C43" s="21">
        <v>0</v>
      </c>
      <c r="D43" s="21">
        <v>0</v>
      </c>
    </row>
    <row r="44" spans="1:4" x14ac:dyDescent="0.25">
      <c r="A44" s="14">
        <v>20303</v>
      </c>
      <c r="B44" s="14" t="s">
        <v>102</v>
      </c>
      <c r="C44" s="21">
        <v>0</v>
      </c>
      <c r="D44" s="21">
        <v>0</v>
      </c>
    </row>
    <row r="45" spans="1:4" x14ac:dyDescent="0.25">
      <c r="A45" s="14">
        <v>20304</v>
      </c>
      <c r="B45" s="14" t="s">
        <v>103</v>
      </c>
      <c r="C45" s="21">
        <v>0</v>
      </c>
      <c r="D45" s="21">
        <v>0</v>
      </c>
    </row>
    <row r="46" spans="1:4" x14ac:dyDescent="0.25">
      <c r="A46" s="14">
        <v>20305</v>
      </c>
      <c r="B46" s="14" t="s">
        <v>104</v>
      </c>
      <c r="C46" s="21">
        <v>0</v>
      </c>
      <c r="D46" s="21">
        <v>0</v>
      </c>
    </row>
    <row r="47" spans="1:4" x14ac:dyDescent="0.25">
      <c r="A47" s="14">
        <v>20306</v>
      </c>
      <c r="B47" s="14" t="s">
        <v>105</v>
      </c>
      <c r="C47" s="21">
        <v>0</v>
      </c>
      <c r="D47" s="21">
        <v>0</v>
      </c>
    </row>
    <row r="48" spans="1:4" x14ac:dyDescent="0.25">
      <c r="A48" s="14">
        <v>20307</v>
      </c>
      <c r="B48" s="14" t="s">
        <v>106</v>
      </c>
      <c r="C48" s="21">
        <v>0</v>
      </c>
      <c r="D48" s="21">
        <v>0</v>
      </c>
    </row>
    <row r="49" spans="1:4" x14ac:dyDescent="0.25">
      <c r="A49" s="14">
        <v>20308</v>
      </c>
      <c r="B49" s="14" t="s">
        <v>107</v>
      </c>
      <c r="C49" s="21">
        <v>0</v>
      </c>
      <c r="D49" s="21">
        <v>0</v>
      </c>
    </row>
    <row r="50" spans="1:4" x14ac:dyDescent="0.25">
      <c r="A50" s="14">
        <v>20401</v>
      </c>
      <c r="B50" s="14" t="s">
        <v>108</v>
      </c>
      <c r="C50" s="21">
        <v>0</v>
      </c>
      <c r="D50" s="21">
        <v>0</v>
      </c>
    </row>
    <row r="51" spans="1:4" x14ac:dyDescent="0.25">
      <c r="A51" s="14">
        <v>20402</v>
      </c>
      <c r="B51" s="14" t="s">
        <v>109</v>
      </c>
      <c r="C51" s="21">
        <v>33.270000000000003</v>
      </c>
      <c r="D51" s="21">
        <v>20.219999999999995</v>
      </c>
    </row>
    <row r="52" spans="1:4" x14ac:dyDescent="0.25">
      <c r="A52" s="14">
        <v>20403</v>
      </c>
      <c r="B52" s="14" t="s">
        <v>110</v>
      </c>
      <c r="C52" s="21">
        <v>0</v>
      </c>
      <c r="D52" s="21">
        <v>0</v>
      </c>
    </row>
    <row r="53" spans="1:4" x14ac:dyDescent="0.25">
      <c r="A53" s="14">
        <v>20404</v>
      </c>
      <c r="B53" s="14" t="s">
        <v>111</v>
      </c>
      <c r="C53" s="21">
        <v>0</v>
      </c>
      <c r="D53" s="21">
        <v>0</v>
      </c>
    </row>
    <row r="54" spans="1:4" x14ac:dyDescent="0.25">
      <c r="A54" s="14">
        <v>20405</v>
      </c>
      <c r="B54" s="14" t="s">
        <v>112</v>
      </c>
      <c r="C54" s="21">
        <v>0</v>
      </c>
      <c r="D54" s="21">
        <v>0</v>
      </c>
    </row>
    <row r="55" spans="1:4" x14ac:dyDescent="0.25">
      <c r="A55" s="14">
        <v>20501</v>
      </c>
      <c r="B55" s="14" t="s">
        <v>113</v>
      </c>
      <c r="C55" s="21">
        <v>32.79</v>
      </c>
      <c r="D55" s="21">
        <v>66.33</v>
      </c>
    </row>
    <row r="56" spans="1:4" x14ac:dyDescent="0.25">
      <c r="A56" s="14">
        <v>20502</v>
      </c>
      <c r="B56" s="14" t="s">
        <v>114</v>
      </c>
      <c r="C56" s="21">
        <v>104.82000000000001</v>
      </c>
      <c r="D56" s="21">
        <v>242.55000000000004</v>
      </c>
    </row>
    <row r="57" spans="1:4" x14ac:dyDescent="0.25">
      <c r="A57" s="14">
        <v>20503</v>
      </c>
      <c r="B57" s="14" t="s">
        <v>115</v>
      </c>
      <c r="C57" s="21">
        <v>54.539999999999992</v>
      </c>
      <c r="D57" s="21">
        <v>66.42</v>
      </c>
    </row>
    <row r="58" spans="1:4" x14ac:dyDescent="0.25">
      <c r="A58" s="14">
        <v>20601</v>
      </c>
      <c r="B58" s="14" t="s">
        <v>116</v>
      </c>
      <c r="C58" s="21">
        <v>217.01999999999998</v>
      </c>
      <c r="D58" s="21">
        <v>406.55999999999995</v>
      </c>
    </row>
    <row r="59" spans="1:4" x14ac:dyDescent="0.25">
      <c r="A59" s="14">
        <v>20602</v>
      </c>
      <c r="B59" s="14" t="s">
        <v>117</v>
      </c>
      <c r="C59" s="21">
        <v>590.73</v>
      </c>
      <c r="D59" s="21">
        <v>2363.46</v>
      </c>
    </row>
    <row r="60" spans="1:4" x14ac:dyDescent="0.25">
      <c r="A60" s="14">
        <v>20603</v>
      </c>
      <c r="B60" s="14" t="s">
        <v>118</v>
      </c>
      <c r="C60" s="21">
        <v>154.05000000000001</v>
      </c>
      <c r="D60" s="21">
        <v>408.81</v>
      </c>
    </row>
    <row r="61" spans="1:4" x14ac:dyDescent="0.25">
      <c r="A61" s="14">
        <v>20604</v>
      </c>
      <c r="B61" s="14" t="s">
        <v>119</v>
      </c>
      <c r="C61" s="21">
        <v>9.75</v>
      </c>
      <c r="D61" s="21">
        <v>21.87</v>
      </c>
    </row>
    <row r="62" spans="1:4" x14ac:dyDescent="0.25">
      <c r="A62" s="14">
        <v>20605</v>
      </c>
      <c r="B62" s="14" t="s">
        <v>120</v>
      </c>
      <c r="C62" s="21">
        <v>4.2600000000000007</v>
      </c>
      <c r="D62" s="21">
        <v>0.6</v>
      </c>
    </row>
    <row r="63" spans="1:4" x14ac:dyDescent="0.25">
      <c r="A63" s="14">
        <v>20606</v>
      </c>
      <c r="B63" s="14" t="s">
        <v>121</v>
      </c>
      <c r="C63" s="21">
        <v>97.5</v>
      </c>
      <c r="D63" s="21">
        <v>253.26000000000002</v>
      </c>
    </row>
    <row r="64" spans="1:4" x14ac:dyDescent="0.25">
      <c r="A64" s="14">
        <v>20607</v>
      </c>
      <c r="B64" s="14" t="s">
        <v>122</v>
      </c>
      <c r="C64" s="21">
        <v>460.23</v>
      </c>
      <c r="D64" s="21">
        <v>1763.3999999999999</v>
      </c>
    </row>
    <row r="65" spans="1:4" x14ac:dyDescent="0.25">
      <c r="A65" s="14">
        <v>20608</v>
      </c>
      <c r="B65" s="14" t="s">
        <v>123</v>
      </c>
      <c r="C65" s="21">
        <v>838.61999999999989</v>
      </c>
      <c r="D65" s="21">
        <v>2098.7099999999996</v>
      </c>
    </row>
    <row r="66" spans="1:4" x14ac:dyDescent="0.25">
      <c r="A66" s="14">
        <v>20701</v>
      </c>
      <c r="B66" s="14" t="s">
        <v>124</v>
      </c>
      <c r="C66" s="21">
        <v>3599.76</v>
      </c>
      <c r="D66" s="21">
        <v>2571.5699999999997</v>
      </c>
    </row>
    <row r="67" spans="1:4" x14ac:dyDescent="0.25">
      <c r="A67" s="14">
        <v>20702</v>
      </c>
      <c r="B67" s="14" t="s">
        <v>125</v>
      </c>
      <c r="C67" s="21">
        <v>363.93</v>
      </c>
      <c r="D67" s="21">
        <v>96.33</v>
      </c>
    </row>
    <row r="68" spans="1:4" x14ac:dyDescent="0.25">
      <c r="A68" s="14">
        <v>20801</v>
      </c>
      <c r="B68" s="14" t="s">
        <v>126</v>
      </c>
      <c r="C68" s="21">
        <v>0</v>
      </c>
      <c r="D68" s="21">
        <v>0</v>
      </c>
    </row>
    <row r="69" spans="1:4" x14ac:dyDescent="0.25">
      <c r="A69" s="14">
        <v>20802</v>
      </c>
      <c r="B69" s="14" t="s">
        <v>127</v>
      </c>
      <c r="C69" s="21">
        <v>0</v>
      </c>
      <c r="D69" s="21">
        <v>0</v>
      </c>
    </row>
    <row r="70" spans="1:4" x14ac:dyDescent="0.25">
      <c r="A70" s="14">
        <v>20803</v>
      </c>
      <c r="B70" s="14" t="s">
        <v>128</v>
      </c>
      <c r="C70" s="21">
        <v>0</v>
      </c>
      <c r="D70" s="21">
        <v>0</v>
      </c>
    </row>
    <row r="71" spans="1:4" x14ac:dyDescent="0.25">
      <c r="A71" s="14">
        <v>20804</v>
      </c>
      <c r="B71" s="14" t="s">
        <v>129</v>
      </c>
      <c r="C71" s="21">
        <v>0</v>
      </c>
      <c r="D71" s="21">
        <v>0</v>
      </c>
    </row>
    <row r="72" spans="1:4" x14ac:dyDescent="0.25">
      <c r="A72" s="14">
        <v>20805</v>
      </c>
      <c r="B72" s="14" t="s">
        <v>130</v>
      </c>
      <c r="C72" s="21">
        <v>0</v>
      </c>
      <c r="D72" s="21">
        <v>0</v>
      </c>
    </row>
    <row r="73" spans="1:4" x14ac:dyDescent="0.25">
      <c r="A73" s="14">
        <v>20806</v>
      </c>
      <c r="B73" s="14" t="s">
        <v>131</v>
      </c>
      <c r="C73" s="21">
        <v>0</v>
      </c>
      <c r="D73" s="21">
        <v>0</v>
      </c>
    </row>
    <row r="74" spans="1:4" x14ac:dyDescent="0.25">
      <c r="A74" s="14">
        <v>20807</v>
      </c>
      <c r="B74" s="14" t="s">
        <v>132</v>
      </c>
      <c r="C74" s="21">
        <v>0</v>
      </c>
      <c r="D74" s="21">
        <v>0</v>
      </c>
    </row>
    <row r="75" spans="1:4" x14ac:dyDescent="0.25">
      <c r="A75" s="14">
        <v>20901</v>
      </c>
      <c r="B75" s="14" t="s">
        <v>133</v>
      </c>
      <c r="C75" s="21">
        <v>3.27</v>
      </c>
      <c r="D75" s="21">
        <v>9.99</v>
      </c>
    </row>
    <row r="76" spans="1:4" x14ac:dyDescent="0.25">
      <c r="A76" s="14">
        <v>20902</v>
      </c>
      <c r="B76" s="14" t="s">
        <v>134</v>
      </c>
      <c r="C76" s="21">
        <v>8.2799999999999994</v>
      </c>
      <c r="D76" s="21">
        <v>32.699999999999996</v>
      </c>
    </row>
    <row r="77" spans="1:4" x14ac:dyDescent="0.25">
      <c r="A77" s="14">
        <v>20903</v>
      </c>
      <c r="B77" s="14" t="s">
        <v>135</v>
      </c>
      <c r="C77" s="21">
        <v>0</v>
      </c>
      <c r="D77" s="21">
        <v>0</v>
      </c>
    </row>
    <row r="78" spans="1:4" x14ac:dyDescent="0.25">
      <c r="A78" s="14">
        <v>20904</v>
      </c>
      <c r="B78" s="14" t="s">
        <v>136</v>
      </c>
      <c r="C78" s="21">
        <v>0</v>
      </c>
      <c r="D78" s="21">
        <v>0</v>
      </c>
    </row>
    <row r="79" spans="1:4" x14ac:dyDescent="0.25">
      <c r="A79" s="14">
        <v>20905</v>
      </c>
      <c r="B79" s="14" t="s">
        <v>137</v>
      </c>
      <c r="C79" s="21">
        <v>76.529999999999987</v>
      </c>
      <c r="D79" s="21">
        <v>149.37</v>
      </c>
    </row>
    <row r="80" spans="1:4" x14ac:dyDescent="0.25">
      <c r="A80" s="14">
        <v>21001</v>
      </c>
      <c r="B80" s="14" t="s">
        <v>138</v>
      </c>
      <c r="C80" s="21">
        <v>407.67</v>
      </c>
      <c r="D80" s="21">
        <v>1794.8100000000002</v>
      </c>
    </row>
    <row r="81" spans="1:4" x14ac:dyDescent="0.25">
      <c r="A81" s="14">
        <v>21002</v>
      </c>
      <c r="B81" s="14" t="s">
        <v>139</v>
      </c>
      <c r="C81" s="21">
        <v>120.78000000000002</v>
      </c>
      <c r="D81" s="21">
        <v>295.71000000000004</v>
      </c>
    </row>
    <row r="82" spans="1:4" x14ac:dyDescent="0.25">
      <c r="A82" s="14">
        <v>21003</v>
      </c>
      <c r="B82" s="14" t="s">
        <v>140</v>
      </c>
      <c r="C82" s="21">
        <v>173.28</v>
      </c>
      <c r="D82" s="21">
        <v>631.94999999999993</v>
      </c>
    </row>
    <row r="83" spans="1:4" x14ac:dyDescent="0.25">
      <c r="A83" s="14">
        <v>21004</v>
      </c>
      <c r="B83" s="14" t="s">
        <v>141</v>
      </c>
      <c r="C83" s="21">
        <v>7.0799999999999992</v>
      </c>
      <c r="D83" s="21">
        <v>4.59</v>
      </c>
    </row>
    <row r="84" spans="1:4" x14ac:dyDescent="0.25">
      <c r="A84" s="14">
        <v>21005</v>
      </c>
      <c r="B84" s="14" t="s">
        <v>142</v>
      </c>
      <c r="C84" s="21">
        <v>14.219999999999999</v>
      </c>
      <c r="D84" s="21">
        <v>56.19</v>
      </c>
    </row>
    <row r="85" spans="1:4" x14ac:dyDescent="0.25">
      <c r="A85" s="14">
        <v>21006</v>
      </c>
      <c r="B85" s="14" t="s">
        <v>143</v>
      </c>
      <c r="C85" s="21">
        <v>28.649999999999995</v>
      </c>
      <c r="D85" s="21">
        <v>108.21</v>
      </c>
    </row>
    <row r="86" spans="1:4" x14ac:dyDescent="0.25">
      <c r="A86" s="14">
        <v>21101</v>
      </c>
      <c r="B86" s="14" t="s">
        <v>144</v>
      </c>
      <c r="C86" s="21">
        <v>67.2</v>
      </c>
      <c r="D86" s="21">
        <v>450.90000000000003</v>
      </c>
    </row>
    <row r="87" spans="1:4" x14ac:dyDescent="0.25">
      <c r="A87" s="14">
        <v>21102</v>
      </c>
      <c r="B87" s="14" t="s">
        <v>145</v>
      </c>
      <c r="C87" s="21">
        <v>229.35</v>
      </c>
      <c r="D87" s="21">
        <v>1088.5800000000002</v>
      </c>
    </row>
    <row r="88" spans="1:4" x14ac:dyDescent="0.25">
      <c r="A88" s="14">
        <v>21103</v>
      </c>
      <c r="B88" s="14" t="s">
        <v>146</v>
      </c>
      <c r="C88" s="21">
        <v>66.69</v>
      </c>
      <c r="D88" s="21">
        <v>178.74</v>
      </c>
    </row>
    <row r="89" spans="1:4" x14ac:dyDescent="0.25">
      <c r="A89" s="14">
        <v>21104</v>
      </c>
      <c r="B89" s="14" t="s">
        <v>147</v>
      </c>
      <c r="C89" s="21">
        <v>1977.1499999999999</v>
      </c>
      <c r="D89" s="21">
        <v>3337.8899999999994</v>
      </c>
    </row>
    <row r="90" spans="1:4" x14ac:dyDescent="0.25">
      <c r="A90" s="14">
        <v>21105</v>
      </c>
      <c r="B90" s="14" t="s">
        <v>148</v>
      </c>
      <c r="C90" s="21">
        <v>734.96999999999991</v>
      </c>
      <c r="D90" s="21">
        <v>2631</v>
      </c>
    </row>
    <row r="91" spans="1:4" x14ac:dyDescent="0.25">
      <c r="A91" s="14">
        <v>21201</v>
      </c>
      <c r="B91" s="14" t="s">
        <v>149</v>
      </c>
      <c r="C91" s="21">
        <v>0</v>
      </c>
      <c r="D91" s="21">
        <v>0</v>
      </c>
    </row>
    <row r="92" spans="1:4" x14ac:dyDescent="0.25">
      <c r="A92" s="14">
        <v>21202</v>
      </c>
      <c r="B92" s="14" t="s">
        <v>150</v>
      </c>
      <c r="C92" s="21">
        <v>0</v>
      </c>
      <c r="D92" s="21">
        <v>0</v>
      </c>
    </row>
    <row r="93" spans="1:4" x14ac:dyDescent="0.25">
      <c r="A93" s="14">
        <v>21203</v>
      </c>
      <c r="B93" s="14" t="s">
        <v>151</v>
      </c>
      <c r="C93" s="21">
        <v>0</v>
      </c>
      <c r="D93" s="21">
        <v>0</v>
      </c>
    </row>
    <row r="94" spans="1:4" x14ac:dyDescent="0.25">
      <c r="A94" s="14">
        <v>21204</v>
      </c>
      <c r="B94" s="14" t="s">
        <v>152</v>
      </c>
      <c r="C94" s="21">
        <v>0</v>
      </c>
      <c r="D94" s="21">
        <v>0</v>
      </c>
    </row>
    <row r="95" spans="1:4" x14ac:dyDescent="0.25">
      <c r="A95" s="14">
        <v>21301</v>
      </c>
      <c r="B95" s="14" t="s">
        <v>153</v>
      </c>
      <c r="C95" s="21">
        <v>0</v>
      </c>
      <c r="D95" s="21">
        <v>0</v>
      </c>
    </row>
    <row r="96" spans="1:4" x14ac:dyDescent="0.25">
      <c r="A96" s="14">
        <v>21302</v>
      </c>
      <c r="B96" s="14" t="s">
        <v>154</v>
      </c>
      <c r="C96" s="21">
        <v>0</v>
      </c>
      <c r="D96" s="21">
        <v>0</v>
      </c>
    </row>
    <row r="97" spans="1:4" x14ac:dyDescent="0.25">
      <c r="A97" s="14">
        <v>21303</v>
      </c>
      <c r="B97" s="14" t="s">
        <v>155</v>
      </c>
      <c r="C97" s="21">
        <v>0</v>
      </c>
      <c r="D97" s="21">
        <v>0</v>
      </c>
    </row>
    <row r="98" spans="1:4" x14ac:dyDescent="0.25">
      <c r="A98" s="14">
        <v>21304</v>
      </c>
      <c r="B98" s="14" t="s">
        <v>156</v>
      </c>
      <c r="C98" s="21">
        <v>0</v>
      </c>
      <c r="D98" s="21">
        <v>0</v>
      </c>
    </row>
    <row r="99" spans="1:4" x14ac:dyDescent="0.25">
      <c r="A99" s="14">
        <v>21305</v>
      </c>
      <c r="B99" s="14" t="s">
        <v>157</v>
      </c>
      <c r="C99" s="21">
        <v>0</v>
      </c>
      <c r="D99" s="21">
        <v>0</v>
      </c>
    </row>
    <row r="100" spans="1:4" x14ac:dyDescent="0.25">
      <c r="A100" s="14">
        <v>21306</v>
      </c>
      <c r="B100" s="14" t="s">
        <v>158</v>
      </c>
      <c r="C100" s="21">
        <v>0</v>
      </c>
      <c r="D100" s="21">
        <v>0</v>
      </c>
    </row>
    <row r="101" spans="1:4" x14ac:dyDescent="0.25">
      <c r="A101" s="14">
        <v>21307</v>
      </c>
      <c r="B101" s="14" t="s">
        <v>159</v>
      </c>
      <c r="C101" s="21">
        <v>0</v>
      </c>
      <c r="D101" s="21">
        <v>0</v>
      </c>
    </row>
    <row r="102" spans="1:4" x14ac:dyDescent="0.25">
      <c r="A102" s="14">
        <v>21401</v>
      </c>
      <c r="B102" s="14" t="s">
        <v>160</v>
      </c>
      <c r="C102" s="21">
        <v>137.82000000000002</v>
      </c>
      <c r="D102" s="21">
        <v>837.93</v>
      </c>
    </row>
    <row r="103" spans="1:4" x14ac:dyDescent="0.25">
      <c r="A103" s="14">
        <v>21402</v>
      </c>
      <c r="B103" s="14" t="s">
        <v>161</v>
      </c>
      <c r="C103" s="21">
        <v>89.88</v>
      </c>
      <c r="D103" s="21">
        <v>448.17</v>
      </c>
    </row>
    <row r="104" spans="1:4" x14ac:dyDescent="0.25">
      <c r="A104" s="14">
        <v>21501</v>
      </c>
      <c r="B104" s="14" t="s">
        <v>162</v>
      </c>
      <c r="C104" s="21">
        <v>7390.02</v>
      </c>
      <c r="D104" s="21">
        <v>8413.26</v>
      </c>
    </row>
    <row r="105" spans="1:4" x14ac:dyDescent="0.25">
      <c r="A105" s="14">
        <v>21502</v>
      </c>
      <c r="B105" s="14" t="s">
        <v>163</v>
      </c>
      <c r="C105" s="21">
        <v>2615.8799999999997</v>
      </c>
      <c r="D105" s="21">
        <v>2002.8000000000002</v>
      </c>
    </row>
    <row r="106" spans="1:4" x14ac:dyDescent="0.25">
      <c r="A106" s="14">
        <v>21601</v>
      </c>
      <c r="B106" s="14" t="s">
        <v>164</v>
      </c>
      <c r="C106" s="21">
        <v>447.09</v>
      </c>
      <c r="D106" s="21">
        <v>402.42</v>
      </c>
    </row>
    <row r="107" spans="1:4" x14ac:dyDescent="0.25">
      <c r="A107" s="14">
        <v>21602</v>
      </c>
      <c r="B107" s="14" t="s">
        <v>165</v>
      </c>
      <c r="C107" s="21">
        <v>79.679999999999993</v>
      </c>
      <c r="D107" s="21">
        <v>15.209999999999999</v>
      </c>
    </row>
    <row r="108" spans="1:4" x14ac:dyDescent="0.25">
      <c r="A108" s="14">
        <v>21701</v>
      </c>
      <c r="B108" s="14" t="s">
        <v>166</v>
      </c>
      <c r="C108" s="21">
        <v>0</v>
      </c>
      <c r="D108" s="21">
        <v>0</v>
      </c>
    </row>
    <row r="109" spans="1:4" x14ac:dyDescent="0.25">
      <c r="A109" s="14">
        <v>21702</v>
      </c>
      <c r="B109" s="14" t="s">
        <v>167</v>
      </c>
      <c r="C109" s="21">
        <v>0</v>
      </c>
      <c r="D109" s="21">
        <v>0</v>
      </c>
    </row>
    <row r="110" spans="1:4" x14ac:dyDescent="0.25">
      <c r="A110" s="14">
        <v>21703</v>
      </c>
      <c r="B110" s="14" t="s">
        <v>168</v>
      </c>
      <c r="C110" s="21">
        <v>0</v>
      </c>
      <c r="D110" s="21">
        <v>0</v>
      </c>
    </row>
    <row r="111" spans="1:4" x14ac:dyDescent="0.25">
      <c r="A111" s="14">
        <v>21801</v>
      </c>
      <c r="B111" s="14" t="s">
        <v>169</v>
      </c>
      <c r="C111" s="21">
        <v>0</v>
      </c>
      <c r="D111" s="21">
        <v>0</v>
      </c>
    </row>
    <row r="112" spans="1:4" x14ac:dyDescent="0.25">
      <c r="A112" s="14">
        <v>21802</v>
      </c>
      <c r="B112" s="14" t="s">
        <v>170</v>
      </c>
      <c r="C112" s="21">
        <v>0</v>
      </c>
      <c r="D112" s="21">
        <v>0</v>
      </c>
    </row>
    <row r="113" spans="1:4" x14ac:dyDescent="0.25">
      <c r="A113" s="14">
        <v>21803</v>
      </c>
      <c r="B113" s="14" t="s">
        <v>171</v>
      </c>
      <c r="C113" s="21">
        <v>0</v>
      </c>
      <c r="D113" s="21">
        <v>0</v>
      </c>
    </row>
    <row r="114" spans="1:4" x14ac:dyDescent="0.25">
      <c r="A114" s="14">
        <v>21901</v>
      </c>
      <c r="B114" s="14" t="s">
        <v>172</v>
      </c>
      <c r="C114" s="21">
        <v>0</v>
      </c>
      <c r="D114" s="21">
        <v>0</v>
      </c>
    </row>
    <row r="115" spans="1:4" x14ac:dyDescent="0.25">
      <c r="A115" s="14">
        <v>21902</v>
      </c>
      <c r="B115" s="14" t="s">
        <v>173</v>
      </c>
      <c r="C115" s="21">
        <v>0</v>
      </c>
      <c r="D115" s="21">
        <v>0</v>
      </c>
    </row>
    <row r="116" spans="1:4" x14ac:dyDescent="0.25">
      <c r="A116" s="14">
        <v>22001</v>
      </c>
      <c r="B116" s="14" t="s">
        <v>174</v>
      </c>
      <c r="C116" s="21">
        <v>476.78999999999996</v>
      </c>
      <c r="D116" s="21">
        <v>2422.92</v>
      </c>
    </row>
    <row r="117" spans="1:4" x14ac:dyDescent="0.25">
      <c r="A117" s="14">
        <v>22002</v>
      </c>
      <c r="B117" s="14" t="s">
        <v>175</v>
      </c>
      <c r="C117" s="21">
        <v>835.71</v>
      </c>
      <c r="D117" s="21">
        <v>1723.2300000000002</v>
      </c>
    </row>
    <row r="118" spans="1:4" x14ac:dyDescent="0.25">
      <c r="A118" s="14">
        <v>30101</v>
      </c>
      <c r="B118" s="14" t="s">
        <v>176</v>
      </c>
      <c r="C118" s="21">
        <v>12.36</v>
      </c>
      <c r="D118" s="21">
        <v>61.23</v>
      </c>
    </row>
    <row r="119" spans="1:4" x14ac:dyDescent="0.25">
      <c r="A119" s="14">
        <v>30201</v>
      </c>
      <c r="B119" s="14" t="s">
        <v>177</v>
      </c>
      <c r="C119" s="21">
        <v>282.27</v>
      </c>
      <c r="D119" s="21">
        <v>21.15</v>
      </c>
    </row>
    <row r="120" spans="1:4" x14ac:dyDescent="0.25">
      <c r="A120" s="14">
        <v>30202</v>
      </c>
      <c r="B120" s="14" t="s">
        <v>178</v>
      </c>
      <c r="C120" s="21">
        <v>436.26</v>
      </c>
      <c r="D120" s="21">
        <v>156.27000000000001</v>
      </c>
    </row>
    <row r="121" spans="1:4" x14ac:dyDescent="0.25">
      <c r="A121" s="14">
        <v>30203</v>
      </c>
      <c r="B121" s="14" t="s">
        <v>179</v>
      </c>
      <c r="C121" s="21">
        <v>54.84</v>
      </c>
      <c r="D121" s="21">
        <v>28.290000000000003</v>
      </c>
    </row>
    <row r="122" spans="1:4" x14ac:dyDescent="0.25">
      <c r="A122" s="14">
        <v>30301</v>
      </c>
      <c r="B122" s="14" t="s">
        <v>180</v>
      </c>
      <c r="C122" s="21">
        <v>143.01</v>
      </c>
      <c r="D122" s="21">
        <v>196.35</v>
      </c>
    </row>
    <row r="123" spans="1:4" x14ac:dyDescent="0.25">
      <c r="A123" s="14">
        <v>30302</v>
      </c>
      <c r="B123" s="14" t="s">
        <v>181</v>
      </c>
      <c r="C123" s="21">
        <v>56.279999999999994</v>
      </c>
      <c r="D123" s="21">
        <v>59.670000000000009</v>
      </c>
    </row>
    <row r="124" spans="1:4" x14ac:dyDescent="0.25">
      <c r="A124" s="14">
        <v>30303</v>
      </c>
      <c r="B124" s="14" t="s">
        <v>182</v>
      </c>
      <c r="C124" s="21">
        <v>744.30000000000007</v>
      </c>
      <c r="D124" s="21">
        <v>1638.99</v>
      </c>
    </row>
    <row r="125" spans="1:4" x14ac:dyDescent="0.25">
      <c r="A125" s="14">
        <v>30401</v>
      </c>
      <c r="B125" s="14" t="s">
        <v>183</v>
      </c>
      <c r="C125" s="21">
        <v>4.3499999999999996</v>
      </c>
      <c r="D125" s="21">
        <v>1.4400000000000002</v>
      </c>
    </row>
    <row r="126" spans="1:4" x14ac:dyDescent="0.25">
      <c r="A126" s="14">
        <v>30402</v>
      </c>
      <c r="B126" s="14" t="s">
        <v>184</v>
      </c>
      <c r="C126" s="21">
        <v>18.329999999999998</v>
      </c>
      <c r="D126" s="21">
        <v>4.8600000000000003</v>
      </c>
    </row>
    <row r="127" spans="1:4" x14ac:dyDescent="0.25">
      <c r="A127" s="14">
        <v>30403</v>
      </c>
      <c r="B127" s="14" t="s">
        <v>185</v>
      </c>
      <c r="C127" s="21">
        <v>0</v>
      </c>
      <c r="D127" s="21">
        <v>0</v>
      </c>
    </row>
    <row r="128" spans="1:4" x14ac:dyDescent="0.25">
      <c r="A128" s="14">
        <v>30404</v>
      </c>
      <c r="B128" s="14" t="s">
        <v>186</v>
      </c>
      <c r="C128" s="21">
        <v>0</v>
      </c>
      <c r="D128" s="21">
        <v>0</v>
      </c>
    </row>
    <row r="129" spans="1:4" x14ac:dyDescent="0.25">
      <c r="A129" s="14">
        <v>30501</v>
      </c>
      <c r="B129" s="14" t="s">
        <v>187</v>
      </c>
      <c r="C129" s="21">
        <v>3.33</v>
      </c>
      <c r="D129" s="21">
        <v>12.749999999999998</v>
      </c>
    </row>
    <row r="130" spans="1:4" x14ac:dyDescent="0.25">
      <c r="A130" s="14">
        <v>30502</v>
      </c>
      <c r="B130" s="14" t="s">
        <v>188</v>
      </c>
      <c r="C130" s="21">
        <v>3.2399999999999998</v>
      </c>
      <c r="D130" s="21">
        <v>22.38</v>
      </c>
    </row>
    <row r="131" spans="1:4" x14ac:dyDescent="0.25">
      <c r="A131" s="14">
        <v>30601</v>
      </c>
      <c r="B131" s="14" t="s">
        <v>189</v>
      </c>
      <c r="C131" s="21">
        <v>0</v>
      </c>
      <c r="D131" s="21">
        <v>0</v>
      </c>
    </row>
    <row r="132" spans="1:4" x14ac:dyDescent="0.25">
      <c r="A132" s="14">
        <v>30602</v>
      </c>
      <c r="B132" s="14" t="s">
        <v>190</v>
      </c>
      <c r="C132" s="21">
        <v>0</v>
      </c>
      <c r="D132" s="21">
        <v>0</v>
      </c>
    </row>
    <row r="133" spans="1:4" x14ac:dyDescent="0.25">
      <c r="A133" s="14">
        <v>30701</v>
      </c>
      <c r="B133" s="14" t="s">
        <v>191</v>
      </c>
      <c r="C133" s="21">
        <v>5.16</v>
      </c>
      <c r="D133" s="21">
        <v>14.37</v>
      </c>
    </row>
    <row r="134" spans="1:4" x14ac:dyDescent="0.25">
      <c r="A134" s="14">
        <v>30702</v>
      </c>
      <c r="B134" s="14" t="s">
        <v>192</v>
      </c>
      <c r="C134" s="21">
        <v>10.74</v>
      </c>
      <c r="D134" s="21">
        <v>5.580000000000001</v>
      </c>
    </row>
    <row r="135" spans="1:4" x14ac:dyDescent="0.25">
      <c r="A135" s="14">
        <v>30703</v>
      </c>
      <c r="B135" s="14" t="s">
        <v>193</v>
      </c>
      <c r="C135" s="21">
        <v>0</v>
      </c>
      <c r="D135" s="21">
        <v>0</v>
      </c>
    </row>
    <row r="136" spans="1:4" x14ac:dyDescent="0.25">
      <c r="A136" s="14">
        <v>30801</v>
      </c>
      <c r="B136" s="14" t="s">
        <v>194</v>
      </c>
      <c r="C136" s="21">
        <v>0</v>
      </c>
      <c r="D136" s="21">
        <v>0</v>
      </c>
    </row>
    <row r="137" spans="1:4" x14ac:dyDescent="0.25">
      <c r="A137" s="14">
        <v>30802</v>
      </c>
      <c r="B137" s="14" t="s">
        <v>195</v>
      </c>
      <c r="C137" s="21">
        <v>0</v>
      </c>
      <c r="D137" s="21">
        <v>0</v>
      </c>
    </row>
    <row r="138" spans="1:4" x14ac:dyDescent="0.25">
      <c r="A138" s="14">
        <v>30803</v>
      </c>
      <c r="B138" s="14" t="s">
        <v>196</v>
      </c>
      <c r="C138" s="21">
        <v>0</v>
      </c>
      <c r="D138" s="21">
        <v>0</v>
      </c>
    </row>
    <row r="139" spans="1:4" x14ac:dyDescent="0.25">
      <c r="A139" s="14">
        <v>30901</v>
      </c>
      <c r="B139" s="14" t="s">
        <v>197</v>
      </c>
      <c r="C139" s="21">
        <v>13.08</v>
      </c>
      <c r="D139" s="21">
        <v>101.85000000000001</v>
      </c>
    </row>
    <row r="140" spans="1:4" x14ac:dyDescent="0.25">
      <c r="A140" s="14">
        <v>30902</v>
      </c>
      <c r="B140" s="14" t="s">
        <v>198</v>
      </c>
      <c r="C140" s="21">
        <v>7.32</v>
      </c>
      <c r="D140" s="21">
        <v>50.43</v>
      </c>
    </row>
    <row r="141" spans="1:4" x14ac:dyDescent="0.25">
      <c r="A141" s="14">
        <v>30903</v>
      </c>
      <c r="B141" s="14" t="s">
        <v>199</v>
      </c>
      <c r="C141" s="21">
        <v>11.699999999999998</v>
      </c>
      <c r="D141" s="21">
        <v>136.26</v>
      </c>
    </row>
    <row r="142" spans="1:4" x14ac:dyDescent="0.25">
      <c r="A142" s="14">
        <v>30904</v>
      </c>
      <c r="B142" s="14" t="s">
        <v>200</v>
      </c>
      <c r="C142" s="21">
        <v>13.050000000000002</v>
      </c>
      <c r="D142" s="21">
        <v>92.910000000000011</v>
      </c>
    </row>
    <row r="143" spans="1:4" x14ac:dyDescent="0.25">
      <c r="A143" s="14">
        <v>30905</v>
      </c>
      <c r="B143" s="14" t="s">
        <v>201</v>
      </c>
      <c r="C143" s="21">
        <v>3.09</v>
      </c>
      <c r="D143" s="21">
        <v>54.57</v>
      </c>
    </row>
    <row r="144" spans="1:4" x14ac:dyDescent="0.25">
      <c r="A144" s="14">
        <v>31001</v>
      </c>
      <c r="B144" s="14" t="s">
        <v>202</v>
      </c>
      <c r="C144" s="21">
        <v>21.72</v>
      </c>
      <c r="D144" s="21">
        <v>77.7</v>
      </c>
    </row>
    <row r="145" spans="1:4" x14ac:dyDescent="0.25">
      <c r="A145" s="14">
        <v>31002</v>
      </c>
      <c r="B145" s="14" t="s">
        <v>203</v>
      </c>
      <c r="C145" s="21">
        <v>135.51</v>
      </c>
      <c r="D145" s="21">
        <v>260.67</v>
      </c>
    </row>
    <row r="146" spans="1:4" x14ac:dyDescent="0.25">
      <c r="A146" s="14">
        <v>31003</v>
      </c>
      <c r="B146" s="14" t="s">
        <v>204</v>
      </c>
      <c r="C146" s="21">
        <v>7553.0099999999993</v>
      </c>
      <c r="D146" s="21">
        <v>8791.17</v>
      </c>
    </row>
    <row r="147" spans="1:4" x14ac:dyDescent="0.25">
      <c r="A147" s="14">
        <v>31101</v>
      </c>
      <c r="B147" s="14" t="s">
        <v>205</v>
      </c>
      <c r="C147" s="21">
        <v>9.5400000000000009</v>
      </c>
      <c r="D147" s="21">
        <v>5.37</v>
      </c>
    </row>
    <row r="148" spans="1:4" x14ac:dyDescent="0.25">
      <c r="A148" s="14">
        <v>31201</v>
      </c>
      <c r="B148" s="14" t="s">
        <v>206</v>
      </c>
      <c r="C148" s="21">
        <v>467.79</v>
      </c>
      <c r="D148" s="21">
        <v>397.08</v>
      </c>
    </row>
    <row r="149" spans="1:4" x14ac:dyDescent="0.25">
      <c r="A149" s="14">
        <v>31202</v>
      </c>
      <c r="B149" s="14" t="s">
        <v>207</v>
      </c>
      <c r="C149" s="21">
        <v>471.09</v>
      </c>
      <c r="D149" s="21">
        <v>331.83</v>
      </c>
    </row>
    <row r="150" spans="1:4" x14ac:dyDescent="0.25">
      <c r="A150" s="14">
        <v>31203</v>
      </c>
      <c r="B150" s="14" t="s">
        <v>208</v>
      </c>
      <c r="C150" s="21">
        <v>69.959999999999994</v>
      </c>
      <c r="D150" s="21">
        <v>124.08</v>
      </c>
    </row>
    <row r="151" spans="1:4" x14ac:dyDescent="0.25">
      <c r="A151" s="14">
        <v>31204</v>
      </c>
      <c r="B151" s="14" t="s">
        <v>209</v>
      </c>
      <c r="C151" s="21">
        <v>3142.86</v>
      </c>
      <c r="D151" s="21">
        <v>2665.56</v>
      </c>
    </row>
    <row r="152" spans="1:4" x14ac:dyDescent="0.25">
      <c r="A152" s="14">
        <v>31205</v>
      </c>
      <c r="B152" s="14" t="s">
        <v>210</v>
      </c>
      <c r="C152" s="21">
        <v>2258.7000000000003</v>
      </c>
      <c r="D152" s="21">
        <v>2215.0499999999997</v>
      </c>
    </row>
    <row r="153" spans="1:4" x14ac:dyDescent="0.25">
      <c r="A153" s="14">
        <v>31206</v>
      </c>
      <c r="B153" s="14" t="s">
        <v>211</v>
      </c>
      <c r="C153" s="21">
        <v>2022.6599999999999</v>
      </c>
      <c r="D153" s="21">
        <v>2068.02</v>
      </c>
    </row>
    <row r="154" spans="1:4" x14ac:dyDescent="0.25">
      <c r="A154" s="14">
        <v>31301</v>
      </c>
      <c r="B154" s="14" t="s">
        <v>212</v>
      </c>
      <c r="C154" s="21">
        <v>97.740000000000009</v>
      </c>
      <c r="D154" s="21">
        <v>27.99</v>
      </c>
    </row>
    <row r="155" spans="1:4" x14ac:dyDescent="0.25">
      <c r="A155" s="14">
        <v>31302</v>
      </c>
      <c r="B155" s="14" t="s">
        <v>213</v>
      </c>
      <c r="C155" s="21">
        <v>35.880000000000003</v>
      </c>
      <c r="D155" s="21">
        <v>12.42</v>
      </c>
    </row>
    <row r="156" spans="1:4" x14ac:dyDescent="0.25">
      <c r="A156" s="14">
        <v>31303</v>
      </c>
      <c r="B156" s="14" t="s">
        <v>214</v>
      </c>
      <c r="C156" s="21">
        <v>5.7</v>
      </c>
      <c r="D156" s="21">
        <v>10.41</v>
      </c>
    </row>
    <row r="157" spans="1:4" x14ac:dyDescent="0.25">
      <c r="A157" s="14">
        <v>31304</v>
      </c>
      <c r="B157" s="14" t="s">
        <v>215</v>
      </c>
      <c r="C157" s="21">
        <v>38.07</v>
      </c>
      <c r="D157" s="21">
        <v>8.43</v>
      </c>
    </row>
    <row r="158" spans="1:4" x14ac:dyDescent="0.25">
      <c r="A158" s="14">
        <v>31401</v>
      </c>
      <c r="B158" s="14" t="s">
        <v>216</v>
      </c>
      <c r="C158" s="21">
        <v>0</v>
      </c>
      <c r="D158" s="21">
        <v>0</v>
      </c>
    </row>
    <row r="159" spans="1:4" x14ac:dyDescent="0.25">
      <c r="A159" s="14">
        <v>31402</v>
      </c>
      <c r="B159" s="14" t="s">
        <v>217</v>
      </c>
      <c r="C159" s="21">
        <v>0</v>
      </c>
      <c r="D159" s="21">
        <v>0</v>
      </c>
    </row>
    <row r="160" spans="1:4" x14ac:dyDescent="0.25">
      <c r="A160" s="14">
        <v>31403</v>
      </c>
      <c r="B160" s="14" t="s">
        <v>218</v>
      </c>
      <c r="C160" s="21">
        <v>5.01</v>
      </c>
      <c r="D160" s="21">
        <v>13.650000000000004</v>
      </c>
    </row>
    <row r="161" spans="1:4" x14ac:dyDescent="0.25">
      <c r="A161" s="14">
        <v>31404</v>
      </c>
      <c r="B161" s="14" t="s">
        <v>219</v>
      </c>
      <c r="C161" s="21">
        <v>0</v>
      </c>
      <c r="D161" s="21">
        <v>0</v>
      </c>
    </row>
    <row r="162" spans="1:4" x14ac:dyDescent="0.25">
      <c r="A162" s="14">
        <v>31405</v>
      </c>
      <c r="B162" s="14" t="s">
        <v>220</v>
      </c>
      <c r="C162" s="21">
        <v>0</v>
      </c>
      <c r="D162" s="21">
        <v>0</v>
      </c>
    </row>
    <row r="163" spans="1:4" x14ac:dyDescent="0.25">
      <c r="A163" s="14">
        <v>31501</v>
      </c>
      <c r="B163" s="14" t="s">
        <v>221</v>
      </c>
      <c r="C163" s="21">
        <v>0</v>
      </c>
      <c r="D163" s="21">
        <v>0</v>
      </c>
    </row>
    <row r="164" spans="1:4" x14ac:dyDescent="0.25">
      <c r="A164" s="14">
        <v>31601</v>
      </c>
      <c r="B164" s="14" t="s">
        <v>222</v>
      </c>
      <c r="C164" s="21">
        <v>361.89000000000004</v>
      </c>
      <c r="D164" s="21">
        <v>340.77000000000004</v>
      </c>
    </row>
    <row r="165" spans="1:4" x14ac:dyDescent="0.25">
      <c r="A165" s="14">
        <v>31602</v>
      </c>
      <c r="B165" s="14" t="s">
        <v>223</v>
      </c>
      <c r="C165" s="21">
        <v>703.11</v>
      </c>
      <c r="D165" s="21">
        <v>803.67000000000007</v>
      </c>
    </row>
    <row r="166" spans="1:4" x14ac:dyDescent="0.25">
      <c r="A166" s="14">
        <v>40101</v>
      </c>
      <c r="B166" s="14" t="s">
        <v>224</v>
      </c>
      <c r="C166" s="21">
        <v>0</v>
      </c>
      <c r="D166" s="21">
        <v>0</v>
      </c>
    </row>
    <row r="167" spans="1:4" x14ac:dyDescent="0.25">
      <c r="A167" s="14">
        <v>40102</v>
      </c>
      <c r="B167" s="14" t="s">
        <v>225</v>
      </c>
      <c r="C167" s="21">
        <v>0</v>
      </c>
      <c r="D167" s="21">
        <v>0</v>
      </c>
    </row>
    <row r="168" spans="1:4" x14ac:dyDescent="0.25">
      <c r="A168" s="14">
        <v>40103</v>
      </c>
      <c r="B168" s="14" t="s">
        <v>226</v>
      </c>
      <c r="C168" s="21">
        <v>0</v>
      </c>
      <c r="D168" s="21">
        <v>0</v>
      </c>
    </row>
    <row r="169" spans="1:4" x14ac:dyDescent="0.25">
      <c r="A169" s="14">
        <v>40104</v>
      </c>
      <c r="B169" s="14" t="s">
        <v>227</v>
      </c>
      <c r="C169" s="21">
        <v>0</v>
      </c>
      <c r="D169" s="21">
        <v>0</v>
      </c>
    </row>
    <row r="170" spans="1:4" x14ac:dyDescent="0.25">
      <c r="A170" s="14">
        <v>40201</v>
      </c>
      <c r="B170" s="14" t="s">
        <v>228</v>
      </c>
      <c r="C170" s="21">
        <v>0</v>
      </c>
      <c r="D170" s="21">
        <v>0</v>
      </c>
    </row>
    <row r="171" spans="1:4" x14ac:dyDescent="0.25">
      <c r="A171" s="14">
        <v>40202</v>
      </c>
      <c r="B171" s="14" t="s">
        <v>229</v>
      </c>
      <c r="C171" s="21">
        <v>0</v>
      </c>
      <c r="D171" s="21">
        <v>0</v>
      </c>
    </row>
    <row r="172" spans="1:4" x14ac:dyDescent="0.25">
      <c r="A172" s="14">
        <v>40301</v>
      </c>
      <c r="B172" s="14" t="s">
        <v>230</v>
      </c>
      <c r="C172" s="21">
        <v>0</v>
      </c>
      <c r="D172" s="21">
        <v>0</v>
      </c>
    </row>
    <row r="173" spans="1:4" x14ac:dyDescent="0.25">
      <c r="A173" s="14">
        <v>40302</v>
      </c>
      <c r="B173" s="14" t="s">
        <v>231</v>
      </c>
      <c r="C173" s="21">
        <v>0</v>
      </c>
      <c r="D173" s="21">
        <v>0</v>
      </c>
    </row>
    <row r="174" spans="1:4" x14ac:dyDescent="0.25">
      <c r="A174" s="14">
        <v>40401</v>
      </c>
      <c r="B174" s="14" t="s">
        <v>232</v>
      </c>
      <c r="C174" s="21">
        <v>0</v>
      </c>
      <c r="D174" s="21">
        <v>0</v>
      </c>
    </row>
    <row r="175" spans="1:4" x14ac:dyDescent="0.25">
      <c r="A175" s="14">
        <v>40402</v>
      </c>
      <c r="B175" s="14" t="s">
        <v>233</v>
      </c>
      <c r="C175" s="21">
        <v>0</v>
      </c>
      <c r="D175" s="21">
        <v>0</v>
      </c>
    </row>
    <row r="176" spans="1:4" x14ac:dyDescent="0.25">
      <c r="A176" s="14">
        <v>40501</v>
      </c>
      <c r="B176" s="14" t="s">
        <v>234</v>
      </c>
      <c r="C176" s="21">
        <v>0</v>
      </c>
      <c r="D176" s="21">
        <v>0</v>
      </c>
    </row>
    <row r="177" spans="1:4" x14ac:dyDescent="0.25">
      <c r="A177" s="14">
        <v>40502</v>
      </c>
      <c r="B177" s="14" t="s">
        <v>235</v>
      </c>
      <c r="C177" s="21">
        <v>0</v>
      </c>
      <c r="D177" s="21">
        <v>0</v>
      </c>
    </row>
    <row r="178" spans="1:4" x14ac:dyDescent="0.25">
      <c r="A178" s="14">
        <v>40503</v>
      </c>
      <c r="B178" s="14" t="s">
        <v>236</v>
      </c>
      <c r="C178" s="21">
        <v>0</v>
      </c>
      <c r="D178" s="21">
        <v>0</v>
      </c>
    </row>
    <row r="179" spans="1:4" x14ac:dyDescent="0.25">
      <c r="A179" s="14">
        <v>40504</v>
      </c>
      <c r="B179" s="14" t="s">
        <v>237</v>
      </c>
      <c r="C179" s="21">
        <v>0</v>
      </c>
      <c r="D179" s="21">
        <v>0</v>
      </c>
    </row>
    <row r="180" spans="1:4" x14ac:dyDescent="0.25">
      <c r="A180" s="14">
        <v>40505</v>
      </c>
      <c r="B180" s="14" t="s">
        <v>238</v>
      </c>
      <c r="C180" s="21">
        <v>0</v>
      </c>
      <c r="D180" s="21">
        <v>0</v>
      </c>
    </row>
    <row r="181" spans="1:4" x14ac:dyDescent="0.25">
      <c r="A181" s="14">
        <v>40601</v>
      </c>
      <c r="B181" s="14" t="s">
        <v>239</v>
      </c>
      <c r="C181" s="21">
        <v>0</v>
      </c>
      <c r="D181" s="21">
        <v>0</v>
      </c>
    </row>
    <row r="182" spans="1:4" x14ac:dyDescent="0.25">
      <c r="A182" s="14">
        <v>40602</v>
      </c>
      <c r="B182" s="14" t="s">
        <v>240</v>
      </c>
      <c r="C182" s="21">
        <v>0</v>
      </c>
      <c r="D182" s="21">
        <v>0</v>
      </c>
    </row>
    <row r="183" spans="1:4" x14ac:dyDescent="0.25">
      <c r="A183" s="14">
        <v>40603</v>
      </c>
      <c r="B183" s="14" t="s">
        <v>241</v>
      </c>
      <c r="C183" s="21">
        <v>0</v>
      </c>
      <c r="D183" s="21">
        <v>0</v>
      </c>
    </row>
    <row r="184" spans="1:4" x14ac:dyDescent="0.25">
      <c r="A184" s="14">
        <v>40701</v>
      </c>
      <c r="B184" s="14" t="s">
        <v>242</v>
      </c>
      <c r="C184" s="21">
        <v>0</v>
      </c>
      <c r="D184" s="21">
        <v>0</v>
      </c>
    </row>
    <row r="185" spans="1:4" x14ac:dyDescent="0.25">
      <c r="A185" s="14">
        <v>40702</v>
      </c>
      <c r="B185" s="14" t="s">
        <v>243</v>
      </c>
      <c r="C185" s="21">
        <v>0</v>
      </c>
      <c r="D185" s="21">
        <v>0</v>
      </c>
    </row>
    <row r="186" spans="1:4" x14ac:dyDescent="0.25">
      <c r="A186" s="14">
        <v>40801</v>
      </c>
      <c r="B186" s="14" t="s">
        <v>244</v>
      </c>
      <c r="C186" s="21">
        <v>0</v>
      </c>
      <c r="D186" s="21">
        <v>0</v>
      </c>
    </row>
    <row r="187" spans="1:4" x14ac:dyDescent="0.25">
      <c r="A187" s="14">
        <v>40802</v>
      </c>
      <c r="B187" s="14" t="s">
        <v>245</v>
      </c>
      <c r="C187" s="21">
        <v>0</v>
      </c>
      <c r="D187" s="21">
        <v>0</v>
      </c>
    </row>
    <row r="188" spans="1:4" x14ac:dyDescent="0.25">
      <c r="A188" s="14">
        <v>40901</v>
      </c>
      <c r="B188" s="14" t="s">
        <v>246</v>
      </c>
      <c r="C188" s="21">
        <v>0</v>
      </c>
      <c r="D188" s="21">
        <v>0</v>
      </c>
    </row>
    <row r="189" spans="1:4" x14ac:dyDescent="0.25">
      <c r="A189" s="14">
        <v>40902</v>
      </c>
      <c r="B189" s="14" t="s">
        <v>247</v>
      </c>
      <c r="C189" s="21">
        <v>0</v>
      </c>
      <c r="D189" s="21">
        <v>0</v>
      </c>
    </row>
    <row r="190" spans="1:4" x14ac:dyDescent="0.25">
      <c r="A190" s="14">
        <v>40903</v>
      </c>
      <c r="B190" s="14" t="s">
        <v>248</v>
      </c>
      <c r="C190" s="21">
        <v>0</v>
      </c>
      <c r="D190" s="21">
        <v>0</v>
      </c>
    </row>
    <row r="191" spans="1:4" x14ac:dyDescent="0.25">
      <c r="A191" s="14">
        <v>41001</v>
      </c>
      <c r="B191" s="14" t="s">
        <v>249</v>
      </c>
      <c r="C191" s="21">
        <v>0</v>
      </c>
      <c r="D191" s="21">
        <v>0</v>
      </c>
    </row>
    <row r="192" spans="1:4" x14ac:dyDescent="0.25">
      <c r="A192" s="14">
        <v>41101</v>
      </c>
      <c r="B192" s="14" t="s">
        <v>250</v>
      </c>
      <c r="C192" s="21">
        <v>0</v>
      </c>
      <c r="D192" s="21">
        <v>0</v>
      </c>
    </row>
    <row r="193" spans="1:4" x14ac:dyDescent="0.25">
      <c r="A193" s="14">
        <v>41201</v>
      </c>
      <c r="B193" s="14" t="s">
        <v>251</v>
      </c>
      <c r="C193" s="21">
        <v>0</v>
      </c>
      <c r="D193" s="21">
        <v>0</v>
      </c>
    </row>
    <row r="194" spans="1:4" x14ac:dyDescent="0.25">
      <c r="A194" s="14">
        <v>41202</v>
      </c>
      <c r="B194" s="14" t="s">
        <v>252</v>
      </c>
      <c r="C194" s="21">
        <v>0</v>
      </c>
      <c r="D194" s="21">
        <v>0</v>
      </c>
    </row>
    <row r="195" spans="1:4" x14ac:dyDescent="0.25">
      <c r="A195" s="14">
        <v>41301</v>
      </c>
      <c r="B195" s="14" t="s">
        <v>206</v>
      </c>
      <c r="C195" s="21">
        <v>0</v>
      </c>
      <c r="D195" s="21">
        <v>0</v>
      </c>
    </row>
    <row r="196" spans="1:4" x14ac:dyDescent="0.25">
      <c r="A196" s="14">
        <v>41401</v>
      </c>
      <c r="B196" s="14" t="s">
        <v>253</v>
      </c>
      <c r="C196" s="21">
        <v>0</v>
      </c>
      <c r="D196" s="21">
        <v>0</v>
      </c>
    </row>
    <row r="197" spans="1:4" x14ac:dyDescent="0.25">
      <c r="A197" s="14">
        <v>41501</v>
      </c>
      <c r="B197" s="14" t="s">
        <v>254</v>
      </c>
      <c r="C197" s="21">
        <v>0</v>
      </c>
      <c r="D197" s="21">
        <v>0</v>
      </c>
    </row>
    <row r="198" spans="1:4" x14ac:dyDescent="0.25">
      <c r="A198" s="14">
        <v>41502</v>
      </c>
      <c r="B198" s="14" t="s">
        <v>255</v>
      </c>
      <c r="C198" s="21">
        <v>0</v>
      </c>
      <c r="D198" s="21">
        <v>0</v>
      </c>
    </row>
    <row r="199" spans="1:4" x14ac:dyDescent="0.25">
      <c r="A199" s="14">
        <v>41503</v>
      </c>
      <c r="B199" s="14" t="s">
        <v>256</v>
      </c>
      <c r="C199" s="21">
        <v>0</v>
      </c>
      <c r="D199" s="21">
        <v>0</v>
      </c>
    </row>
    <row r="200" spans="1:4" x14ac:dyDescent="0.25">
      <c r="A200" s="14">
        <v>41601</v>
      </c>
      <c r="B200" s="14" t="s">
        <v>257</v>
      </c>
      <c r="C200" s="21">
        <v>0</v>
      </c>
      <c r="D200" s="21">
        <v>0</v>
      </c>
    </row>
    <row r="201" spans="1:4" x14ac:dyDescent="0.25">
      <c r="A201" s="14">
        <v>50101</v>
      </c>
      <c r="B201" s="14" t="s">
        <v>258</v>
      </c>
      <c r="C201" s="21">
        <v>0</v>
      </c>
      <c r="D201" s="21">
        <v>0</v>
      </c>
    </row>
    <row r="202" spans="1:4" x14ac:dyDescent="0.25">
      <c r="A202" s="14">
        <v>50102</v>
      </c>
      <c r="B202" s="14" t="s">
        <v>259</v>
      </c>
      <c r="C202" s="21">
        <v>0</v>
      </c>
      <c r="D202" s="21">
        <v>0</v>
      </c>
    </row>
    <row r="203" spans="1:4" x14ac:dyDescent="0.25">
      <c r="A203" s="14">
        <v>50103</v>
      </c>
      <c r="B203" s="14" t="s">
        <v>260</v>
      </c>
      <c r="C203" s="21">
        <v>0</v>
      </c>
      <c r="D203" s="21">
        <v>0</v>
      </c>
    </row>
    <row r="204" spans="1:4" x14ac:dyDescent="0.25">
      <c r="A204" s="14">
        <v>50104</v>
      </c>
      <c r="B204" s="14" t="s">
        <v>261</v>
      </c>
      <c r="C204" s="21">
        <v>0</v>
      </c>
      <c r="D204" s="21">
        <v>0</v>
      </c>
    </row>
    <row r="205" spans="1:4" x14ac:dyDescent="0.25">
      <c r="A205" s="14">
        <v>50201</v>
      </c>
      <c r="B205" s="14" t="s">
        <v>262</v>
      </c>
      <c r="C205" s="21">
        <v>0</v>
      </c>
      <c r="D205" s="21">
        <v>0</v>
      </c>
    </row>
    <row r="206" spans="1:4" x14ac:dyDescent="0.25">
      <c r="A206" s="14">
        <v>50202</v>
      </c>
      <c r="B206" s="14" t="s">
        <v>263</v>
      </c>
      <c r="C206" s="21">
        <v>0</v>
      </c>
      <c r="D206" s="21">
        <v>0</v>
      </c>
    </row>
    <row r="207" spans="1:4" x14ac:dyDescent="0.25">
      <c r="A207" s="14">
        <v>50203</v>
      </c>
      <c r="B207" s="14" t="s">
        <v>264</v>
      </c>
      <c r="C207" s="21">
        <v>0</v>
      </c>
      <c r="D207" s="21">
        <v>0</v>
      </c>
    </row>
    <row r="208" spans="1:4" x14ac:dyDescent="0.25">
      <c r="A208" s="14">
        <v>50204</v>
      </c>
      <c r="B208" s="14" t="s">
        <v>265</v>
      </c>
      <c r="C208" s="21">
        <v>0</v>
      </c>
      <c r="D208" s="21">
        <v>0</v>
      </c>
    </row>
    <row r="209" spans="1:4" x14ac:dyDescent="0.25">
      <c r="A209" s="14">
        <v>50301</v>
      </c>
      <c r="B209" s="14" t="s">
        <v>266</v>
      </c>
      <c r="C209" s="21">
        <v>12.57</v>
      </c>
      <c r="D209" s="21">
        <v>78.929999999999993</v>
      </c>
    </row>
    <row r="210" spans="1:4" x14ac:dyDescent="0.25">
      <c r="A210" s="14">
        <v>50302</v>
      </c>
      <c r="B210" s="14" t="s">
        <v>267</v>
      </c>
      <c r="C210" s="21">
        <v>0</v>
      </c>
      <c r="D210" s="21">
        <v>0</v>
      </c>
    </row>
    <row r="211" spans="1:4" x14ac:dyDescent="0.25">
      <c r="A211" s="14">
        <v>50303</v>
      </c>
      <c r="B211" s="14" t="s">
        <v>268</v>
      </c>
      <c r="C211" s="21">
        <v>0</v>
      </c>
      <c r="D211" s="21">
        <v>0</v>
      </c>
    </row>
    <row r="212" spans="1:4" x14ac:dyDescent="0.25">
      <c r="A212" s="14">
        <v>50401</v>
      </c>
      <c r="B212" s="14" t="s">
        <v>269</v>
      </c>
      <c r="C212" s="21">
        <v>11.61</v>
      </c>
      <c r="D212" s="21">
        <v>1.89</v>
      </c>
    </row>
    <row r="213" spans="1:4" x14ac:dyDescent="0.25">
      <c r="A213" s="14">
        <v>50402</v>
      </c>
      <c r="B213" s="14" t="s">
        <v>270</v>
      </c>
      <c r="C213" s="21">
        <v>47.699999999999996</v>
      </c>
      <c r="D213" s="21">
        <v>41.67</v>
      </c>
    </row>
    <row r="214" spans="1:4" x14ac:dyDescent="0.25">
      <c r="A214" s="14">
        <v>50403</v>
      </c>
      <c r="B214" s="14" t="s">
        <v>271</v>
      </c>
      <c r="C214" s="21">
        <v>6.87</v>
      </c>
      <c r="D214" s="21">
        <v>2.04</v>
      </c>
    </row>
    <row r="215" spans="1:4" x14ac:dyDescent="0.25">
      <c r="A215" s="14">
        <v>50404</v>
      </c>
      <c r="B215" s="14" t="s">
        <v>272</v>
      </c>
      <c r="C215" s="21">
        <v>0</v>
      </c>
      <c r="D215" s="21">
        <v>0</v>
      </c>
    </row>
    <row r="216" spans="1:4" x14ac:dyDescent="0.25">
      <c r="A216" s="14">
        <v>50405</v>
      </c>
      <c r="B216" s="14" t="s">
        <v>273</v>
      </c>
      <c r="C216" s="21">
        <v>0</v>
      </c>
      <c r="D216" s="21">
        <v>0</v>
      </c>
    </row>
    <row r="217" spans="1:4" x14ac:dyDescent="0.25">
      <c r="A217" s="14">
        <v>50501</v>
      </c>
      <c r="B217" s="14" t="s">
        <v>274</v>
      </c>
      <c r="C217" s="21">
        <v>101.85000000000001</v>
      </c>
      <c r="D217" s="21">
        <v>36.96</v>
      </c>
    </row>
    <row r="218" spans="1:4" x14ac:dyDescent="0.25">
      <c r="A218" s="14">
        <v>50502</v>
      </c>
      <c r="B218" s="14" t="s">
        <v>275</v>
      </c>
      <c r="C218" s="21">
        <v>76.53</v>
      </c>
      <c r="D218" s="21">
        <v>27.090000000000003</v>
      </c>
    </row>
    <row r="219" spans="1:4" x14ac:dyDescent="0.25">
      <c r="A219" s="14">
        <v>50601</v>
      </c>
      <c r="B219" s="14" t="s">
        <v>276</v>
      </c>
      <c r="C219" s="21">
        <v>0</v>
      </c>
      <c r="D219" s="21">
        <v>0</v>
      </c>
    </row>
    <row r="220" spans="1:4" x14ac:dyDescent="0.25">
      <c r="A220" s="14">
        <v>50602</v>
      </c>
      <c r="B220" s="14" t="s">
        <v>277</v>
      </c>
      <c r="C220" s="21">
        <v>0</v>
      </c>
      <c r="D220" s="21">
        <v>0</v>
      </c>
    </row>
    <row r="221" spans="1:4" x14ac:dyDescent="0.25">
      <c r="A221" s="14">
        <v>50701</v>
      </c>
      <c r="B221" s="14" t="s">
        <v>278</v>
      </c>
      <c r="C221" s="21">
        <v>0</v>
      </c>
      <c r="D221" s="21">
        <v>0</v>
      </c>
    </row>
    <row r="222" spans="1:4" x14ac:dyDescent="0.25">
      <c r="A222" s="14">
        <v>50702</v>
      </c>
      <c r="B222" s="14" t="s">
        <v>279</v>
      </c>
      <c r="C222" s="21">
        <v>0</v>
      </c>
      <c r="D222" s="21">
        <v>0</v>
      </c>
    </row>
    <row r="223" spans="1:4" x14ac:dyDescent="0.25">
      <c r="A223" s="14">
        <v>50801</v>
      </c>
      <c r="B223" s="14" t="s">
        <v>280</v>
      </c>
      <c r="C223" s="21">
        <v>0</v>
      </c>
      <c r="D223" s="21">
        <v>0</v>
      </c>
    </row>
    <row r="224" spans="1:4" x14ac:dyDescent="0.25">
      <c r="A224" s="14">
        <v>50802</v>
      </c>
      <c r="B224" s="14" t="s">
        <v>281</v>
      </c>
      <c r="C224" s="21">
        <v>0</v>
      </c>
      <c r="D224" s="21">
        <v>0</v>
      </c>
    </row>
    <row r="225" spans="1:4" x14ac:dyDescent="0.25">
      <c r="A225" s="14">
        <v>50901</v>
      </c>
      <c r="B225" s="14" t="s">
        <v>282</v>
      </c>
      <c r="C225" s="21">
        <v>0</v>
      </c>
      <c r="D225" s="21">
        <v>0</v>
      </c>
    </row>
    <row r="226" spans="1:4" x14ac:dyDescent="0.25">
      <c r="A226" s="14">
        <v>50902</v>
      </c>
      <c r="B226" s="14" t="s">
        <v>283</v>
      </c>
      <c r="C226" s="21">
        <v>0</v>
      </c>
      <c r="D226" s="21">
        <v>0</v>
      </c>
    </row>
    <row r="227" spans="1:4" x14ac:dyDescent="0.25">
      <c r="A227" s="14">
        <v>51001</v>
      </c>
      <c r="B227" s="14" t="s">
        <v>284</v>
      </c>
      <c r="C227" s="21">
        <v>0</v>
      </c>
      <c r="D227" s="21">
        <v>0</v>
      </c>
    </row>
    <row r="228" spans="1:4" x14ac:dyDescent="0.25">
      <c r="A228" s="14">
        <v>51002</v>
      </c>
      <c r="B228" s="14" t="s">
        <v>285</v>
      </c>
      <c r="C228" s="21">
        <v>0</v>
      </c>
      <c r="D228" s="21">
        <v>0</v>
      </c>
    </row>
    <row r="229" spans="1:4" x14ac:dyDescent="0.25">
      <c r="A229" s="14">
        <v>51003</v>
      </c>
      <c r="B229" s="14" t="s">
        <v>286</v>
      </c>
      <c r="C229" s="21">
        <v>0</v>
      </c>
      <c r="D229" s="21">
        <v>0</v>
      </c>
    </row>
    <row r="230" spans="1:4" x14ac:dyDescent="0.25">
      <c r="A230" s="14">
        <v>51101</v>
      </c>
      <c r="B230" s="14" t="s">
        <v>287</v>
      </c>
      <c r="C230" s="21">
        <v>0</v>
      </c>
      <c r="D230" s="21">
        <v>0</v>
      </c>
    </row>
    <row r="231" spans="1:4" x14ac:dyDescent="0.25">
      <c r="A231" s="14">
        <v>51102</v>
      </c>
      <c r="B231" s="14" t="s">
        <v>288</v>
      </c>
      <c r="C231" s="21">
        <v>0</v>
      </c>
      <c r="D231" s="21">
        <v>0</v>
      </c>
    </row>
    <row r="232" spans="1:4" x14ac:dyDescent="0.25">
      <c r="A232" s="14">
        <v>51103</v>
      </c>
      <c r="B232" s="14" t="s">
        <v>289</v>
      </c>
      <c r="C232" s="21">
        <v>4.05</v>
      </c>
      <c r="D232" s="21">
        <v>48.629999999999995</v>
      </c>
    </row>
    <row r="233" spans="1:4" x14ac:dyDescent="0.25">
      <c r="A233" s="14">
        <v>51201</v>
      </c>
      <c r="B233" s="14" t="s">
        <v>290</v>
      </c>
      <c r="C233" s="21">
        <v>0</v>
      </c>
      <c r="D233" s="21">
        <v>0</v>
      </c>
    </row>
    <row r="234" spans="1:4" x14ac:dyDescent="0.25">
      <c r="A234" s="14">
        <v>51202</v>
      </c>
      <c r="B234" s="14" t="s">
        <v>291</v>
      </c>
      <c r="C234" s="21">
        <v>0</v>
      </c>
      <c r="D234" s="21">
        <v>0</v>
      </c>
    </row>
    <row r="235" spans="1:4" x14ac:dyDescent="0.25">
      <c r="A235" s="14">
        <v>51203</v>
      </c>
      <c r="B235" s="14" t="s">
        <v>292</v>
      </c>
      <c r="C235" s="21">
        <v>0</v>
      </c>
      <c r="D235" s="21">
        <v>0</v>
      </c>
    </row>
    <row r="236" spans="1:4" x14ac:dyDescent="0.25">
      <c r="A236" s="14">
        <v>51204</v>
      </c>
      <c r="B236" s="14" t="s">
        <v>293</v>
      </c>
      <c r="C236" s="21">
        <v>0</v>
      </c>
      <c r="D236" s="21">
        <v>0</v>
      </c>
    </row>
    <row r="237" spans="1:4" x14ac:dyDescent="0.25">
      <c r="A237" s="14">
        <v>51301</v>
      </c>
      <c r="B237" s="14" t="s">
        <v>294</v>
      </c>
      <c r="C237" s="21">
        <v>5.13</v>
      </c>
      <c r="D237" s="21">
        <v>0.27</v>
      </c>
    </row>
    <row r="238" spans="1:4" x14ac:dyDescent="0.25">
      <c r="A238" s="14">
        <v>51302</v>
      </c>
      <c r="B238" s="14" t="s">
        <v>295</v>
      </c>
      <c r="C238" s="21">
        <v>8.01</v>
      </c>
      <c r="D238" s="21">
        <v>2.64</v>
      </c>
    </row>
    <row r="239" spans="1:4" x14ac:dyDescent="0.25">
      <c r="A239" s="14">
        <v>51401</v>
      </c>
      <c r="B239" s="14" t="s">
        <v>296</v>
      </c>
      <c r="C239" s="21">
        <v>0</v>
      </c>
      <c r="D239" s="21">
        <v>0</v>
      </c>
    </row>
    <row r="240" spans="1:4" x14ac:dyDescent="0.25">
      <c r="A240" s="14">
        <v>51402</v>
      </c>
      <c r="B240" s="14" t="s">
        <v>297</v>
      </c>
      <c r="C240" s="21">
        <v>0</v>
      </c>
      <c r="D240" s="21">
        <v>0</v>
      </c>
    </row>
    <row r="241" spans="1:4" x14ac:dyDescent="0.25">
      <c r="A241" s="14">
        <v>51501</v>
      </c>
      <c r="B241" s="14" t="s">
        <v>298</v>
      </c>
      <c r="C241" s="21">
        <v>0</v>
      </c>
      <c r="D241" s="21">
        <v>0</v>
      </c>
    </row>
    <row r="242" spans="1:4" x14ac:dyDescent="0.25">
      <c r="A242" s="14">
        <v>51601</v>
      </c>
      <c r="B242" s="14" t="s">
        <v>299</v>
      </c>
      <c r="C242" s="21">
        <v>0</v>
      </c>
      <c r="D242" s="21">
        <v>0</v>
      </c>
    </row>
    <row r="243" spans="1:4" x14ac:dyDescent="0.25">
      <c r="A243" s="14">
        <v>60101</v>
      </c>
      <c r="B243" s="14" t="s">
        <v>300</v>
      </c>
      <c r="C243" s="21">
        <v>215.03999999999996</v>
      </c>
      <c r="D243" s="21">
        <v>327.74999999999994</v>
      </c>
    </row>
    <row r="244" spans="1:4" x14ac:dyDescent="0.25">
      <c r="A244" s="14">
        <v>60201</v>
      </c>
      <c r="B244" s="14" t="s">
        <v>301</v>
      </c>
      <c r="C244" s="21">
        <v>772.71</v>
      </c>
      <c r="D244" s="21">
        <v>967.29</v>
      </c>
    </row>
    <row r="245" spans="1:4" x14ac:dyDescent="0.25">
      <c r="A245" s="14">
        <v>60202</v>
      </c>
      <c r="B245" s="14" t="s">
        <v>302</v>
      </c>
      <c r="C245" s="21">
        <v>223.76999999999998</v>
      </c>
      <c r="D245" s="21">
        <v>382.62000000000006</v>
      </c>
    </row>
    <row r="246" spans="1:4" x14ac:dyDescent="0.25">
      <c r="A246" s="14">
        <v>60301</v>
      </c>
      <c r="B246" s="14" t="s">
        <v>303</v>
      </c>
      <c r="C246" s="21">
        <v>4338.45</v>
      </c>
      <c r="D246" s="21">
        <v>8283.57</v>
      </c>
    </row>
    <row r="247" spans="1:4" x14ac:dyDescent="0.25">
      <c r="A247" s="14">
        <v>60302</v>
      </c>
      <c r="B247" s="14" t="s">
        <v>304</v>
      </c>
      <c r="C247" s="21">
        <v>1261.9499999999998</v>
      </c>
      <c r="D247" s="21">
        <v>1503.12</v>
      </c>
    </row>
    <row r="248" spans="1:4" x14ac:dyDescent="0.25">
      <c r="A248" s="14">
        <v>60303</v>
      </c>
      <c r="B248" s="14" t="s">
        <v>305</v>
      </c>
      <c r="C248" s="21">
        <v>3218.64</v>
      </c>
      <c r="D248" s="21">
        <v>11144.43</v>
      </c>
    </row>
    <row r="249" spans="1:4" x14ac:dyDescent="0.25">
      <c r="A249" s="14">
        <v>60401</v>
      </c>
      <c r="B249" s="14" t="s">
        <v>306</v>
      </c>
      <c r="C249" s="21">
        <v>109.68</v>
      </c>
      <c r="D249" s="21">
        <v>160.91999999999999</v>
      </c>
    </row>
    <row r="250" spans="1:4" x14ac:dyDescent="0.25">
      <c r="A250" s="14">
        <v>60402</v>
      </c>
      <c r="B250" s="14" t="s">
        <v>307</v>
      </c>
      <c r="C250" s="21">
        <v>0</v>
      </c>
      <c r="D250" s="21">
        <v>0</v>
      </c>
    </row>
    <row r="251" spans="1:4" x14ac:dyDescent="0.25">
      <c r="A251" s="14">
        <v>60501</v>
      </c>
      <c r="B251" s="14" t="s">
        <v>308</v>
      </c>
      <c r="C251" s="21">
        <v>225.48000000000002</v>
      </c>
      <c r="D251" s="21">
        <v>220.35</v>
      </c>
    </row>
    <row r="252" spans="1:4" x14ac:dyDescent="0.25">
      <c r="A252" s="14">
        <v>60502</v>
      </c>
      <c r="B252" s="14" t="s">
        <v>309</v>
      </c>
      <c r="C252" s="21">
        <v>8.16</v>
      </c>
      <c r="D252" s="21">
        <v>35.880000000000003</v>
      </c>
    </row>
    <row r="253" spans="1:4" x14ac:dyDescent="0.25">
      <c r="A253" s="14">
        <v>60601</v>
      </c>
      <c r="B253" s="14" t="s">
        <v>211</v>
      </c>
      <c r="C253" s="21">
        <v>677.31000000000006</v>
      </c>
      <c r="D253" s="21">
        <v>3369.9900000000002</v>
      </c>
    </row>
    <row r="254" spans="1:4" x14ac:dyDescent="0.25">
      <c r="A254" s="14">
        <v>70101</v>
      </c>
      <c r="B254" s="14" t="s">
        <v>311</v>
      </c>
      <c r="C254" s="21">
        <v>1801.9799999999998</v>
      </c>
      <c r="D254" s="21">
        <v>910.11</v>
      </c>
    </row>
    <row r="255" spans="1:4" x14ac:dyDescent="0.25">
      <c r="A255" s="14">
        <v>70102</v>
      </c>
      <c r="B255" s="14" t="s">
        <v>312</v>
      </c>
      <c r="C255" s="21">
        <v>642.6</v>
      </c>
      <c r="D255" s="21">
        <v>493.2</v>
      </c>
    </row>
    <row r="256" spans="1:4" x14ac:dyDescent="0.25">
      <c r="A256" s="14">
        <v>70103</v>
      </c>
      <c r="B256" s="14" t="s">
        <v>313</v>
      </c>
      <c r="C256" s="21">
        <v>1734.33</v>
      </c>
      <c r="D256" s="21">
        <v>1069.7100000000003</v>
      </c>
    </row>
    <row r="257" spans="1:4" x14ac:dyDescent="0.25">
      <c r="A257" s="14">
        <v>70104</v>
      </c>
      <c r="B257" s="14" t="s">
        <v>314</v>
      </c>
      <c r="C257" s="21">
        <v>1799.22</v>
      </c>
      <c r="D257" s="21">
        <v>1277.25</v>
      </c>
    </row>
    <row r="258" spans="1:4" x14ac:dyDescent="0.25">
      <c r="A258" s="14">
        <v>70105</v>
      </c>
      <c r="B258" s="14" t="s">
        <v>315</v>
      </c>
      <c r="C258" s="21">
        <v>1438.92</v>
      </c>
      <c r="D258" s="21">
        <v>1162.3800000000001</v>
      </c>
    </row>
    <row r="259" spans="1:4" x14ac:dyDescent="0.25">
      <c r="A259" s="14">
        <v>70201</v>
      </c>
      <c r="B259" s="14" t="s">
        <v>316</v>
      </c>
      <c r="C259" s="21">
        <v>957.27</v>
      </c>
      <c r="D259" s="21">
        <v>512.61</v>
      </c>
    </row>
    <row r="260" spans="1:4" x14ac:dyDescent="0.25">
      <c r="A260" s="14">
        <v>70202</v>
      </c>
      <c r="B260" s="14" t="s">
        <v>317</v>
      </c>
      <c r="C260" s="21">
        <v>935.61</v>
      </c>
      <c r="D260" s="21">
        <v>486.18</v>
      </c>
    </row>
    <row r="261" spans="1:4" x14ac:dyDescent="0.25">
      <c r="A261" s="14">
        <v>70301</v>
      </c>
      <c r="B261" s="14" t="s">
        <v>318</v>
      </c>
      <c r="C261" s="21">
        <v>20032.98</v>
      </c>
      <c r="D261" s="21">
        <v>50799.96</v>
      </c>
    </row>
    <row r="262" spans="1:4" x14ac:dyDescent="0.25">
      <c r="A262" s="14">
        <v>70302</v>
      </c>
      <c r="B262" s="14" t="s">
        <v>319</v>
      </c>
      <c r="C262" s="21">
        <v>3640.35</v>
      </c>
      <c r="D262" s="21">
        <v>16448.850000000002</v>
      </c>
    </row>
    <row r="263" spans="1:4" x14ac:dyDescent="0.25">
      <c r="A263" s="14">
        <v>70303</v>
      </c>
      <c r="B263" s="14" t="s">
        <v>320</v>
      </c>
      <c r="C263" s="21">
        <v>2411.1300000000006</v>
      </c>
      <c r="D263" s="21">
        <v>11998.29</v>
      </c>
    </row>
    <row r="264" spans="1:4" x14ac:dyDescent="0.25">
      <c r="A264" s="14">
        <v>70401</v>
      </c>
      <c r="B264" s="14" t="s">
        <v>321</v>
      </c>
      <c r="C264" s="21">
        <v>2110.5300000000002</v>
      </c>
      <c r="D264" s="21">
        <v>1855.8</v>
      </c>
    </row>
    <row r="265" spans="1:4" x14ac:dyDescent="0.25">
      <c r="A265" s="14">
        <v>70402</v>
      </c>
      <c r="B265" s="14" t="s">
        <v>322</v>
      </c>
      <c r="C265" s="21">
        <v>1307.3399999999999</v>
      </c>
      <c r="D265" s="21">
        <v>1281.1200000000001</v>
      </c>
    </row>
    <row r="266" spans="1:4" x14ac:dyDescent="0.25">
      <c r="A266" s="14">
        <v>70403</v>
      </c>
      <c r="B266" s="14" t="s">
        <v>323</v>
      </c>
      <c r="C266" s="21">
        <v>14948.340000000002</v>
      </c>
      <c r="D266" s="21">
        <v>9354.0899999999983</v>
      </c>
    </row>
    <row r="267" spans="1:4" x14ac:dyDescent="0.25">
      <c r="A267" s="14">
        <v>70404</v>
      </c>
      <c r="B267" s="14" t="s">
        <v>324</v>
      </c>
      <c r="C267" s="21">
        <v>2103.1200000000003</v>
      </c>
      <c r="D267" s="21">
        <v>1812.18</v>
      </c>
    </row>
    <row r="268" spans="1:4" x14ac:dyDescent="0.25">
      <c r="A268" s="14">
        <v>70501</v>
      </c>
      <c r="B268" s="14" t="s">
        <v>325</v>
      </c>
      <c r="C268" s="21">
        <v>8055.93</v>
      </c>
      <c r="D268" s="21">
        <v>29905.8</v>
      </c>
    </row>
    <row r="269" spans="1:4" x14ac:dyDescent="0.25">
      <c r="A269" s="14">
        <v>70502</v>
      </c>
      <c r="B269" s="14" t="s">
        <v>326</v>
      </c>
      <c r="C269" s="21">
        <v>24893.279999999999</v>
      </c>
      <c r="D269" s="21">
        <v>18028.440000000002</v>
      </c>
    </row>
    <row r="270" spans="1:4" x14ac:dyDescent="0.25">
      <c r="A270" s="14">
        <v>70503</v>
      </c>
      <c r="B270" s="14" t="s">
        <v>327</v>
      </c>
      <c r="C270" s="21">
        <v>857.0100000000001</v>
      </c>
      <c r="D270" s="21">
        <v>15090.33</v>
      </c>
    </row>
    <row r="271" spans="1:4" x14ac:dyDescent="0.25">
      <c r="A271" s="14">
        <v>70601</v>
      </c>
      <c r="B271" s="14" t="s">
        <v>328</v>
      </c>
      <c r="C271" s="21">
        <v>1666.32</v>
      </c>
      <c r="D271" s="21">
        <v>986.43</v>
      </c>
    </row>
    <row r="272" spans="1:4" x14ac:dyDescent="0.25">
      <c r="A272" s="14">
        <v>70602</v>
      </c>
      <c r="B272" s="14" t="s">
        <v>329</v>
      </c>
      <c r="C272" s="21">
        <v>8055.3899999999994</v>
      </c>
      <c r="D272" s="21">
        <v>7276.77</v>
      </c>
    </row>
    <row r="273" spans="1:4" x14ac:dyDescent="0.25">
      <c r="A273" s="14">
        <v>70603</v>
      </c>
      <c r="B273" s="14" t="s">
        <v>330</v>
      </c>
      <c r="C273" s="21">
        <v>198.87</v>
      </c>
      <c r="D273" s="21">
        <v>314.55</v>
      </c>
    </row>
    <row r="274" spans="1:4" x14ac:dyDescent="0.25">
      <c r="A274" s="14">
        <v>70701</v>
      </c>
      <c r="B274" s="14" t="s">
        <v>331</v>
      </c>
      <c r="C274" s="21">
        <v>684.57</v>
      </c>
      <c r="D274" s="21">
        <v>410.01</v>
      </c>
    </row>
    <row r="275" spans="1:4" x14ac:dyDescent="0.25">
      <c r="A275" s="14">
        <v>70702</v>
      </c>
      <c r="B275" s="14" t="s">
        <v>332</v>
      </c>
      <c r="C275" s="21">
        <v>16865.7</v>
      </c>
      <c r="D275" s="21">
        <v>59538.75</v>
      </c>
    </row>
    <row r="276" spans="1:4" x14ac:dyDescent="0.25">
      <c r="A276" s="14">
        <v>70703</v>
      </c>
      <c r="B276" s="14" t="s">
        <v>333</v>
      </c>
      <c r="C276" s="21">
        <v>5585.579999999999</v>
      </c>
      <c r="D276" s="21">
        <v>4814.16</v>
      </c>
    </row>
    <row r="277" spans="1:4" x14ac:dyDescent="0.25">
      <c r="A277" s="14">
        <v>70704</v>
      </c>
      <c r="B277" s="14" t="s">
        <v>334</v>
      </c>
      <c r="C277" s="21">
        <v>224.79</v>
      </c>
      <c r="D277" s="21">
        <v>266.19000000000005</v>
      </c>
    </row>
    <row r="278" spans="1:4" x14ac:dyDescent="0.25">
      <c r="A278" s="14">
        <v>70705</v>
      </c>
      <c r="B278" s="14" t="s">
        <v>335</v>
      </c>
      <c r="C278" s="21">
        <v>2431.59</v>
      </c>
      <c r="D278" s="21">
        <v>1735.8300000000002</v>
      </c>
    </row>
    <row r="279" spans="1:4" x14ac:dyDescent="0.25">
      <c r="A279" s="14">
        <v>70706</v>
      </c>
      <c r="B279" s="14" t="s">
        <v>336</v>
      </c>
      <c r="C279" s="21">
        <v>608.16</v>
      </c>
      <c r="D279" s="21">
        <v>605.93999999999994</v>
      </c>
    </row>
    <row r="280" spans="1:4" x14ac:dyDescent="0.25">
      <c r="A280" s="14">
        <v>70707</v>
      </c>
      <c r="B280" s="14" t="s">
        <v>337</v>
      </c>
      <c r="C280" s="21">
        <v>175.89000000000001</v>
      </c>
      <c r="D280" s="21">
        <v>1857.8700000000001</v>
      </c>
    </row>
    <row r="281" spans="1:4" x14ac:dyDescent="0.25">
      <c r="A281" s="14">
        <v>70801</v>
      </c>
      <c r="B281" s="14" t="s">
        <v>338</v>
      </c>
      <c r="C281" s="21">
        <v>1092.75</v>
      </c>
      <c r="D281" s="21">
        <v>1554.63</v>
      </c>
    </row>
    <row r="282" spans="1:4" x14ac:dyDescent="0.25">
      <c r="A282" s="14">
        <v>70802</v>
      </c>
      <c r="B282" s="14" t="s">
        <v>339</v>
      </c>
      <c r="C282" s="21">
        <v>137.94</v>
      </c>
      <c r="D282" s="21">
        <v>158.57999999999998</v>
      </c>
    </row>
    <row r="283" spans="1:4" x14ac:dyDescent="0.25">
      <c r="A283" s="14">
        <v>70803</v>
      </c>
      <c r="B283" s="14" t="s">
        <v>340</v>
      </c>
      <c r="C283" s="21">
        <v>340.56</v>
      </c>
      <c r="D283" s="21">
        <v>300.39000000000004</v>
      </c>
    </row>
    <row r="284" spans="1:4" x14ac:dyDescent="0.25">
      <c r="A284" s="14">
        <v>70804</v>
      </c>
      <c r="B284" s="14" t="s">
        <v>341</v>
      </c>
      <c r="C284" s="21">
        <v>346.14000000000004</v>
      </c>
      <c r="D284" s="21">
        <v>483.27</v>
      </c>
    </row>
    <row r="285" spans="1:4" x14ac:dyDescent="0.25">
      <c r="A285" s="14">
        <v>70805</v>
      </c>
      <c r="B285" s="14" t="s">
        <v>342</v>
      </c>
      <c r="C285" s="21">
        <v>280.08</v>
      </c>
      <c r="D285" s="21">
        <v>318.27</v>
      </c>
    </row>
    <row r="286" spans="1:4" x14ac:dyDescent="0.25">
      <c r="A286" s="14">
        <v>70901</v>
      </c>
      <c r="B286" s="14" t="s">
        <v>343</v>
      </c>
      <c r="C286" s="21">
        <v>454.56</v>
      </c>
      <c r="D286" s="21">
        <v>504.51000000000005</v>
      </c>
    </row>
    <row r="287" spans="1:4" x14ac:dyDescent="0.25">
      <c r="A287" s="14">
        <v>70902</v>
      </c>
      <c r="B287" s="14" t="s">
        <v>344</v>
      </c>
      <c r="C287" s="21">
        <v>499.59</v>
      </c>
      <c r="D287" s="21">
        <v>453.96000000000004</v>
      </c>
    </row>
    <row r="288" spans="1:4" x14ac:dyDescent="0.25">
      <c r="A288" s="14">
        <v>70903</v>
      </c>
      <c r="B288" s="14" t="s">
        <v>345</v>
      </c>
      <c r="C288" s="21">
        <v>285.69</v>
      </c>
      <c r="D288" s="21">
        <v>390.05999999999995</v>
      </c>
    </row>
    <row r="289" spans="1:4" x14ac:dyDescent="0.25">
      <c r="A289" s="14">
        <v>70904</v>
      </c>
      <c r="B289" s="14" t="s">
        <v>346</v>
      </c>
      <c r="C289" s="21">
        <v>131.66999999999999</v>
      </c>
      <c r="D289" s="21">
        <v>131.49</v>
      </c>
    </row>
    <row r="290" spans="1:4" x14ac:dyDescent="0.25">
      <c r="A290" s="14">
        <v>71001</v>
      </c>
      <c r="B290" s="14" t="s">
        <v>347</v>
      </c>
      <c r="C290" s="21">
        <v>206.42999999999998</v>
      </c>
      <c r="D290" s="21">
        <v>105.24</v>
      </c>
    </row>
    <row r="291" spans="1:4" x14ac:dyDescent="0.25">
      <c r="A291" s="14">
        <v>71002</v>
      </c>
      <c r="B291" s="14" t="s">
        <v>348</v>
      </c>
      <c r="C291" s="21">
        <v>269.27999999999997</v>
      </c>
      <c r="D291" s="21">
        <v>176.07000000000002</v>
      </c>
    </row>
    <row r="292" spans="1:4" x14ac:dyDescent="0.25">
      <c r="A292" s="14">
        <v>71003</v>
      </c>
      <c r="B292" s="14" t="s">
        <v>349</v>
      </c>
      <c r="C292" s="21">
        <v>304.32</v>
      </c>
      <c r="D292" s="21">
        <v>213.72000000000003</v>
      </c>
    </row>
    <row r="293" spans="1:4" x14ac:dyDescent="0.25">
      <c r="A293" s="14">
        <v>71004</v>
      </c>
      <c r="B293" s="14" t="s">
        <v>350</v>
      </c>
      <c r="C293" s="21">
        <v>358.5</v>
      </c>
      <c r="D293" s="21">
        <v>252.69000000000003</v>
      </c>
    </row>
    <row r="294" spans="1:4" x14ac:dyDescent="0.25">
      <c r="A294" s="14">
        <v>71005</v>
      </c>
      <c r="B294" s="14" t="s">
        <v>274</v>
      </c>
      <c r="C294" s="21">
        <v>2284.44</v>
      </c>
      <c r="D294" s="21">
        <v>1327.68</v>
      </c>
    </row>
    <row r="295" spans="1:4" x14ac:dyDescent="0.25">
      <c r="A295" s="14">
        <v>71101</v>
      </c>
      <c r="B295" s="14" t="s">
        <v>351</v>
      </c>
      <c r="C295" s="21">
        <v>8283.9</v>
      </c>
      <c r="D295" s="21">
        <v>25677.3</v>
      </c>
    </row>
    <row r="296" spans="1:4" x14ac:dyDescent="0.25">
      <c r="A296" s="14">
        <v>71102</v>
      </c>
      <c r="B296" s="14" t="s">
        <v>352</v>
      </c>
      <c r="C296" s="21">
        <v>2233.5300000000002</v>
      </c>
      <c r="D296" s="21">
        <v>3633.1800000000003</v>
      </c>
    </row>
    <row r="297" spans="1:4" x14ac:dyDescent="0.25">
      <c r="A297" s="14">
        <v>71103</v>
      </c>
      <c r="B297" s="14" t="s">
        <v>353</v>
      </c>
      <c r="C297" s="21">
        <v>568.32000000000005</v>
      </c>
      <c r="D297" s="21">
        <v>945.96</v>
      </c>
    </row>
    <row r="298" spans="1:4" x14ac:dyDescent="0.25">
      <c r="A298" s="14">
        <v>71104</v>
      </c>
      <c r="B298" s="14" t="s">
        <v>354</v>
      </c>
      <c r="C298" s="21">
        <v>13049.1</v>
      </c>
      <c r="D298" s="21">
        <v>4494.45</v>
      </c>
    </row>
    <row r="299" spans="1:4" x14ac:dyDescent="0.25">
      <c r="A299" s="14">
        <v>71105</v>
      </c>
      <c r="B299" s="14" t="s">
        <v>355</v>
      </c>
      <c r="C299" s="21">
        <v>1348.68</v>
      </c>
      <c r="D299" s="21">
        <v>1325.97</v>
      </c>
    </row>
    <row r="300" spans="1:4" x14ac:dyDescent="0.25">
      <c r="A300" s="14">
        <v>71106</v>
      </c>
      <c r="B300" s="14" t="s">
        <v>356</v>
      </c>
      <c r="C300" s="21">
        <v>6337.11</v>
      </c>
      <c r="D300" s="21">
        <v>3577.98</v>
      </c>
    </row>
    <row r="301" spans="1:4" x14ac:dyDescent="0.25">
      <c r="A301" s="14">
        <v>71201</v>
      </c>
      <c r="B301" s="14" t="s">
        <v>357</v>
      </c>
      <c r="C301" s="21">
        <v>2384.5499999999997</v>
      </c>
      <c r="D301" s="21">
        <v>5638.8600000000006</v>
      </c>
    </row>
    <row r="302" spans="1:4" x14ac:dyDescent="0.25">
      <c r="A302" s="14">
        <v>71301</v>
      </c>
      <c r="B302" s="14" t="s">
        <v>358</v>
      </c>
      <c r="C302" s="21">
        <v>1043.49</v>
      </c>
      <c r="D302" s="21">
        <v>972.18</v>
      </c>
    </row>
    <row r="303" spans="1:4" x14ac:dyDescent="0.25">
      <c r="A303" s="14">
        <v>71302</v>
      </c>
      <c r="B303" s="14" t="s">
        <v>359</v>
      </c>
      <c r="C303" s="21">
        <v>80.849999999999994</v>
      </c>
      <c r="D303" s="21">
        <v>158.34</v>
      </c>
    </row>
    <row r="304" spans="1:4" x14ac:dyDescent="0.25">
      <c r="A304" s="14">
        <v>71401</v>
      </c>
      <c r="B304" s="14" t="s">
        <v>360</v>
      </c>
      <c r="C304" s="21">
        <v>3614.97</v>
      </c>
      <c r="D304" s="21">
        <v>3451.89</v>
      </c>
    </row>
    <row r="305" spans="1:4" x14ac:dyDescent="0.25">
      <c r="A305" s="14">
        <v>71402</v>
      </c>
      <c r="B305" s="14" t="s">
        <v>361</v>
      </c>
      <c r="C305" s="21">
        <v>273.63</v>
      </c>
      <c r="D305" s="21">
        <v>174.57000000000002</v>
      </c>
    </row>
    <row r="306" spans="1:4" x14ac:dyDescent="0.25">
      <c r="A306" s="14">
        <v>71403</v>
      </c>
      <c r="B306" s="14" t="s">
        <v>362</v>
      </c>
      <c r="C306" s="21">
        <v>3150.3300000000004</v>
      </c>
      <c r="D306" s="21">
        <v>9784.17</v>
      </c>
    </row>
    <row r="307" spans="1:4" x14ac:dyDescent="0.25">
      <c r="A307" s="14">
        <v>71501</v>
      </c>
      <c r="B307" s="14" t="s">
        <v>363</v>
      </c>
      <c r="C307" s="21">
        <v>10418.34</v>
      </c>
      <c r="D307" s="21">
        <v>19570.080000000002</v>
      </c>
    </row>
    <row r="308" spans="1:4" x14ac:dyDescent="0.25">
      <c r="A308" s="14">
        <v>71502</v>
      </c>
      <c r="B308" s="14" t="s">
        <v>364</v>
      </c>
      <c r="C308" s="21">
        <v>4533.5700000000006</v>
      </c>
      <c r="D308" s="21">
        <v>5740.5</v>
      </c>
    </row>
    <row r="309" spans="1:4" x14ac:dyDescent="0.25">
      <c r="A309" s="14">
        <v>71503</v>
      </c>
      <c r="B309" s="14" t="s">
        <v>309</v>
      </c>
      <c r="C309" s="21">
        <v>17272.829999999998</v>
      </c>
      <c r="D309" s="21">
        <v>16327.319999999998</v>
      </c>
    </row>
    <row r="310" spans="1:4" x14ac:dyDescent="0.25">
      <c r="A310" s="14">
        <v>80101</v>
      </c>
      <c r="B310" s="14" t="s">
        <v>366</v>
      </c>
      <c r="C310" s="21">
        <v>760.74000000000012</v>
      </c>
      <c r="D310" s="21">
        <v>1311.27</v>
      </c>
    </row>
    <row r="311" spans="1:4" x14ac:dyDescent="0.25">
      <c r="A311" s="14">
        <v>80102</v>
      </c>
      <c r="B311" s="14" t="s">
        <v>352</v>
      </c>
      <c r="C311" s="21">
        <v>4393.3500000000013</v>
      </c>
      <c r="D311" s="21">
        <v>7343.31</v>
      </c>
    </row>
    <row r="312" spans="1:4" x14ac:dyDescent="0.25">
      <c r="A312" s="14">
        <v>80201</v>
      </c>
      <c r="B312" s="14" t="s">
        <v>367</v>
      </c>
      <c r="C312" s="21">
        <v>5131.71</v>
      </c>
      <c r="D312" s="21">
        <v>2207.61</v>
      </c>
    </row>
    <row r="313" spans="1:4" x14ac:dyDescent="0.25">
      <c r="A313" s="14">
        <v>80202</v>
      </c>
      <c r="B313" s="14" t="s">
        <v>368</v>
      </c>
      <c r="C313" s="21">
        <v>6715.59</v>
      </c>
      <c r="D313" s="21">
        <v>1478.7</v>
      </c>
    </row>
    <row r="314" spans="1:4" x14ac:dyDescent="0.25">
      <c r="A314" s="14">
        <v>80301</v>
      </c>
      <c r="B314" s="14" t="s">
        <v>369</v>
      </c>
      <c r="C314" s="21">
        <v>5935.05</v>
      </c>
      <c r="D314" s="21">
        <v>6429.2699999999995</v>
      </c>
    </row>
    <row r="315" spans="1:4" x14ac:dyDescent="0.25">
      <c r="A315" s="14">
        <v>80302</v>
      </c>
      <c r="B315" s="14" t="s">
        <v>370</v>
      </c>
      <c r="C315" s="21">
        <v>4655.07</v>
      </c>
      <c r="D315" s="21">
        <v>3928.7099999999996</v>
      </c>
    </row>
    <row r="316" spans="1:4" x14ac:dyDescent="0.25">
      <c r="A316" s="14">
        <v>80303</v>
      </c>
      <c r="B316" s="14" t="s">
        <v>371</v>
      </c>
      <c r="C316" s="21">
        <v>960.39</v>
      </c>
      <c r="D316" s="21">
        <v>1912.32</v>
      </c>
    </row>
    <row r="317" spans="1:4" x14ac:dyDescent="0.25">
      <c r="A317" s="14">
        <v>80304</v>
      </c>
      <c r="B317" s="14" t="s">
        <v>372</v>
      </c>
      <c r="C317" s="21">
        <v>3705.39</v>
      </c>
      <c r="D317" s="21">
        <v>1794.99</v>
      </c>
    </row>
    <row r="318" spans="1:4" x14ac:dyDescent="0.25">
      <c r="A318" s="14">
        <v>80401</v>
      </c>
      <c r="B318" s="14" t="s">
        <v>373</v>
      </c>
      <c r="C318" s="21">
        <v>8295.36</v>
      </c>
      <c r="D318" s="21">
        <v>3719.3699999999994</v>
      </c>
    </row>
    <row r="319" spans="1:4" x14ac:dyDescent="0.25">
      <c r="A319" s="14">
        <v>80402</v>
      </c>
      <c r="B319" s="14" t="s">
        <v>374</v>
      </c>
      <c r="C319" s="21">
        <v>4012.47</v>
      </c>
      <c r="D319" s="21">
        <v>3143.01</v>
      </c>
    </row>
    <row r="320" spans="1:4" x14ac:dyDescent="0.25">
      <c r="A320" s="14">
        <v>80501</v>
      </c>
      <c r="B320" s="14" t="s">
        <v>375</v>
      </c>
      <c r="C320" s="21">
        <v>7783.68</v>
      </c>
      <c r="D320" s="21">
        <v>6887.31</v>
      </c>
    </row>
    <row r="321" spans="1:4" x14ac:dyDescent="0.25">
      <c r="A321" s="14">
        <v>80601</v>
      </c>
      <c r="B321" s="14" t="s">
        <v>376</v>
      </c>
      <c r="C321" s="21">
        <v>4619.25</v>
      </c>
      <c r="D321" s="21">
        <v>4083.72</v>
      </c>
    </row>
    <row r="322" spans="1:4" x14ac:dyDescent="0.25">
      <c r="A322" s="14">
        <v>80602</v>
      </c>
      <c r="B322" s="14" t="s">
        <v>377</v>
      </c>
      <c r="C322" s="21">
        <v>6520.62</v>
      </c>
      <c r="D322" s="21">
        <v>12057.18</v>
      </c>
    </row>
    <row r="323" spans="1:4" x14ac:dyDescent="0.25">
      <c r="A323" s="14">
        <v>80701</v>
      </c>
      <c r="B323" s="14" t="s">
        <v>378</v>
      </c>
      <c r="C323" s="21">
        <v>3860.1299999999997</v>
      </c>
      <c r="D323" s="21">
        <v>3102.1200000000003</v>
      </c>
    </row>
    <row r="324" spans="1:4" x14ac:dyDescent="0.25">
      <c r="A324" s="14">
        <v>80702</v>
      </c>
      <c r="B324" s="14" t="s">
        <v>353</v>
      </c>
      <c r="C324" s="21">
        <v>1690.8</v>
      </c>
      <c r="D324" s="21">
        <v>2590.83</v>
      </c>
    </row>
    <row r="325" spans="1:4" x14ac:dyDescent="0.25">
      <c r="A325" s="14">
        <v>80703</v>
      </c>
      <c r="B325" s="14" t="s">
        <v>379</v>
      </c>
      <c r="C325" s="21">
        <v>2303.7599999999998</v>
      </c>
      <c r="D325" s="21">
        <v>737.73</v>
      </c>
    </row>
    <row r="326" spans="1:4" x14ac:dyDescent="0.25">
      <c r="A326" s="14">
        <v>80801</v>
      </c>
      <c r="B326" s="14" t="s">
        <v>380</v>
      </c>
      <c r="C326" s="21">
        <v>4272.78</v>
      </c>
      <c r="D326" s="21">
        <v>6619.7400000000007</v>
      </c>
    </row>
    <row r="327" spans="1:4" x14ac:dyDescent="0.25">
      <c r="A327" s="14">
        <v>80802</v>
      </c>
      <c r="B327" s="14" t="s">
        <v>381</v>
      </c>
      <c r="C327" s="21">
        <v>4715.6400000000003</v>
      </c>
      <c r="D327" s="21">
        <v>8200.89</v>
      </c>
    </row>
    <row r="328" spans="1:4" x14ac:dyDescent="0.25">
      <c r="A328" s="14">
        <v>80803</v>
      </c>
      <c r="B328" s="14" t="s">
        <v>382</v>
      </c>
      <c r="C328" s="21">
        <v>2964.8999999999996</v>
      </c>
      <c r="D328" s="21">
        <v>2032.17</v>
      </c>
    </row>
    <row r="329" spans="1:4" x14ac:dyDescent="0.25">
      <c r="A329" s="14">
        <v>80901</v>
      </c>
      <c r="B329" s="14" t="s">
        <v>383</v>
      </c>
      <c r="C329" s="21">
        <v>3347.0399999999995</v>
      </c>
      <c r="D329" s="21">
        <v>1494.36</v>
      </c>
    </row>
    <row r="330" spans="1:4" x14ac:dyDescent="0.25">
      <c r="A330" s="14">
        <v>90101</v>
      </c>
      <c r="B330" s="14" t="s">
        <v>385</v>
      </c>
      <c r="C330" s="21">
        <v>445.17</v>
      </c>
      <c r="D330" s="21">
        <v>426.03000000000003</v>
      </c>
    </row>
    <row r="331" spans="1:4" x14ac:dyDescent="0.25">
      <c r="A331" s="14">
        <v>90102</v>
      </c>
      <c r="B331" s="14" t="s">
        <v>386</v>
      </c>
      <c r="C331" s="21">
        <v>648.92999999999995</v>
      </c>
      <c r="D331" s="21">
        <v>526.5</v>
      </c>
    </row>
    <row r="332" spans="1:4" x14ac:dyDescent="0.25">
      <c r="A332" s="14">
        <v>90103</v>
      </c>
      <c r="B332" s="14" t="s">
        <v>387</v>
      </c>
      <c r="C332" s="21">
        <v>858.12</v>
      </c>
      <c r="D332" s="21">
        <v>849.75</v>
      </c>
    </row>
    <row r="333" spans="1:4" x14ac:dyDescent="0.25">
      <c r="A333" s="14">
        <v>90104</v>
      </c>
      <c r="B333" s="14" t="s">
        <v>388</v>
      </c>
      <c r="C333" s="21">
        <v>1603.47</v>
      </c>
      <c r="D333" s="21">
        <v>1798.32</v>
      </c>
    </row>
    <row r="334" spans="1:4" x14ac:dyDescent="0.25">
      <c r="A334" s="14">
        <v>90201</v>
      </c>
      <c r="B334" s="14" t="s">
        <v>389</v>
      </c>
      <c r="C334" s="21">
        <v>1849.53</v>
      </c>
      <c r="D334" s="21">
        <v>489.18000000000006</v>
      </c>
    </row>
    <row r="335" spans="1:4" x14ac:dyDescent="0.25">
      <c r="A335" s="14">
        <v>90202</v>
      </c>
      <c r="B335" s="14" t="s">
        <v>274</v>
      </c>
      <c r="C335" s="21">
        <v>1429.3500000000001</v>
      </c>
      <c r="D335" s="21">
        <v>606.72</v>
      </c>
    </row>
    <row r="336" spans="1:4" x14ac:dyDescent="0.25">
      <c r="A336" s="14">
        <v>90203</v>
      </c>
      <c r="B336" s="14" t="s">
        <v>390</v>
      </c>
      <c r="C336" s="21">
        <v>2014.7699999999998</v>
      </c>
      <c r="D336" s="21">
        <v>1803.6899999999998</v>
      </c>
    </row>
    <row r="337" spans="1:4" x14ac:dyDescent="0.25">
      <c r="A337" s="14">
        <v>90301</v>
      </c>
      <c r="B337" s="14" t="s">
        <v>391</v>
      </c>
      <c r="C337" s="21">
        <v>1238.46</v>
      </c>
      <c r="D337" s="21">
        <v>458.78999999999996</v>
      </c>
    </row>
    <row r="338" spans="1:4" x14ac:dyDescent="0.25">
      <c r="A338" s="14">
        <v>90302</v>
      </c>
      <c r="B338" s="14" t="s">
        <v>308</v>
      </c>
      <c r="C338" s="21">
        <v>1529.9399999999998</v>
      </c>
      <c r="D338" s="21">
        <v>512.55000000000007</v>
      </c>
    </row>
    <row r="339" spans="1:4" x14ac:dyDescent="0.25">
      <c r="A339" s="14">
        <v>90303</v>
      </c>
      <c r="B339" s="14" t="s">
        <v>392</v>
      </c>
      <c r="C339" s="21">
        <v>1028.3699999999999</v>
      </c>
      <c r="D339" s="21">
        <v>563.49</v>
      </c>
    </row>
    <row r="340" spans="1:4" x14ac:dyDescent="0.25">
      <c r="A340" s="14">
        <v>90401</v>
      </c>
      <c r="B340" s="14" t="s">
        <v>371</v>
      </c>
      <c r="C340" s="21">
        <v>588.87</v>
      </c>
      <c r="D340" s="21">
        <v>361.5</v>
      </c>
    </row>
    <row r="341" spans="1:4" x14ac:dyDescent="0.25">
      <c r="A341" s="14">
        <v>90402</v>
      </c>
      <c r="B341" s="14" t="s">
        <v>393</v>
      </c>
      <c r="C341" s="21">
        <v>444.66</v>
      </c>
      <c r="D341" s="21">
        <v>273.53999999999996</v>
      </c>
    </row>
    <row r="342" spans="1:4" x14ac:dyDescent="0.25">
      <c r="A342" s="14">
        <v>90501</v>
      </c>
      <c r="B342" s="14" t="s">
        <v>394</v>
      </c>
      <c r="C342" s="21">
        <v>494.16</v>
      </c>
      <c r="D342" s="21">
        <v>167.16</v>
      </c>
    </row>
    <row r="343" spans="1:4" x14ac:dyDescent="0.25">
      <c r="A343" s="14">
        <v>90502</v>
      </c>
      <c r="B343" s="14" t="s">
        <v>395</v>
      </c>
      <c r="C343" s="21">
        <v>390.99</v>
      </c>
      <c r="D343" s="21">
        <v>242.4</v>
      </c>
    </row>
    <row r="344" spans="1:4" x14ac:dyDescent="0.25">
      <c r="A344" s="14">
        <v>90503</v>
      </c>
      <c r="B344" s="14" t="s">
        <v>396</v>
      </c>
      <c r="C344" s="21">
        <v>102.33</v>
      </c>
      <c r="D344" s="21">
        <v>114.92999999999999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1B30-0E7C-444E-ADC8-B958CD721189}">
  <sheetPr>
    <tabColor rgb="FFC00000"/>
  </sheetPr>
  <dimension ref="A1:D12"/>
  <sheetViews>
    <sheetView workbookViewId="0">
      <selection activeCell="F11" sqref="F11"/>
    </sheetView>
  </sheetViews>
  <sheetFormatPr baseColWidth="10" defaultRowHeight="15" x14ac:dyDescent="0.25"/>
  <sheetData>
    <row r="1" spans="1:4" s="15" customFormat="1" ht="75" x14ac:dyDescent="0.25">
      <c r="A1" s="20" t="s">
        <v>414</v>
      </c>
      <c r="B1" s="20" t="s">
        <v>1</v>
      </c>
      <c r="C1" s="20" t="s">
        <v>410</v>
      </c>
      <c r="D1" s="20" t="s">
        <v>411</v>
      </c>
    </row>
    <row r="2" spans="1:4" x14ac:dyDescent="0.25">
      <c r="A2" s="14">
        <v>1</v>
      </c>
      <c r="B2" s="14" t="s">
        <v>58</v>
      </c>
      <c r="C2" s="23">
        <v>0.25916104684456731</v>
      </c>
      <c r="D2" s="23">
        <v>0.55562763104218682</v>
      </c>
    </row>
    <row r="3" spans="1:4" x14ac:dyDescent="0.25">
      <c r="A3" s="14">
        <v>2</v>
      </c>
      <c r="B3" s="14" t="s">
        <v>88</v>
      </c>
      <c r="C3" s="23">
        <v>0.33930596943370722</v>
      </c>
      <c r="D3" s="23">
        <v>0.56644377462513174</v>
      </c>
    </row>
    <row r="4" spans="1:4" x14ac:dyDescent="0.25">
      <c r="A4" s="14">
        <v>3</v>
      </c>
      <c r="B4" s="14" t="s">
        <v>176</v>
      </c>
      <c r="C4" s="23">
        <v>0.75665683006292817</v>
      </c>
      <c r="D4" s="23">
        <v>0.81925329195583063</v>
      </c>
    </row>
    <row r="5" spans="1:4" x14ac:dyDescent="0.25">
      <c r="A5" s="14">
        <v>4</v>
      </c>
      <c r="B5" s="14" t="s">
        <v>224</v>
      </c>
      <c r="C5" s="23">
        <v>0</v>
      </c>
      <c r="D5" s="23">
        <v>0</v>
      </c>
    </row>
    <row r="6" spans="1:4" x14ac:dyDescent="0.25">
      <c r="A6" s="14">
        <v>5</v>
      </c>
      <c r="B6" s="14" t="s">
        <v>258</v>
      </c>
      <c r="C6" s="23">
        <v>0.63958905144411138</v>
      </c>
      <c r="D6" s="23">
        <v>0.55985025894123663</v>
      </c>
    </row>
    <row r="7" spans="1:4" x14ac:dyDescent="0.25">
      <c r="A7" s="14">
        <v>6</v>
      </c>
      <c r="B7" s="14" t="s">
        <v>300</v>
      </c>
      <c r="C7" s="23">
        <v>0.42608577249460544</v>
      </c>
      <c r="D7" s="23">
        <v>1.0177117544722158</v>
      </c>
    </row>
    <row r="8" spans="1:4" x14ac:dyDescent="0.25">
      <c r="A8" s="14">
        <v>7</v>
      </c>
      <c r="B8" s="14" t="s">
        <v>310</v>
      </c>
      <c r="C8" s="23">
        <v>0.73726187209341132</v>
      </c>
      <c r="D8" s="23">
        <v>1.2354516056379632</v>
      </c>
    </row>
    <row r="9" spans="1:4" x14ac:dyDescent="0.25">
      <c r="A9" s="14">
        <v>8</v>
      </c>
      <c r="B9" s="14" t="s">
        <v>365</v>
      </c>
      <c r="C9" s="23">
        <v>0.92536449032525836</v>
      </c>
      <c r="D9" s="23">
        <v>0.86588578100027458</v>
      </c>
    </row>
    <row r="10" spans="1:4" x14ac:dyDescent="0.25">
      <c r="A10" s="14">
        <v>9</v>
      </c>
      <c r="B10" s="14" t="s">
        <v>384</v>
      </c>
      <c r="C10" s="23">
        <v>0.24148701876134296</v>
      </c>
      <c r="D10" s="23">
        <v>0.15138380734268936</v>
      </c>
    </row>
    <row r="11" spans="1:4" x14ac:dyDescent="0.25">
      <c r="A11" s="24">
        <v>10</v>
      </c>
      <c r="B11" s="24" t="s">
        <v>421</v>
      </c>
      <c r="C11" s="23">
        <v>0.57027274827494567</v>
      </c>
      <c r="D11" s="23">
        <v>1.3534860173978891</v>
      </c>
    </row>
    <row r="12" spans="1:4" x14ac:dyDescent="0.25">
      <c r="A12" s="24">
        <v>11</v>
      </c>
      <c r="B12" s="24" t="s">
        <v>413</v>
      </c>
      <c r="C12" s="23">
        <v>0.6346302076760435</v>
      </c>
      <c r="D12" s="23">
        <v>0.92586690594661292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6F62-D3C6-43A3-B1A0-FF8041C49D9C}">
  <sheetPr>
    <tabColor rgb="FFC00000"/>
  </sheetPr>
  <dimension ref="A1:G12"/>
  <sheetViews>
    <sheetView workbookViewId="0">
      <selection activeCell="G5" sqref="G5"/>
    </sheetView>
  </sheetViews>
  <sheetFormatPr baseColWidth="10" defaultRowHeight="15" x14ac:dyDescent="0.25"/>
  <sheetData>
    <row r="1" spans="1:7" s="15" customFormat="1" ht="45" x14ac:dyDescent="0.25">
      <c r="A1" s="20" t="s">
        <v>414</v>
      </c>
      <c r="B1" s="20" t="s">
        <v>1</v>
      </c>
      <c r="C1" s="20" t="s">
        <v>409</v>
      </c>
      <c r="D1" s="20" t="s">
        <v>408</v>
      </c>
    </row>
    <row r="2" spans="1:7" x14ac:dyDescent="0.25">
      <c r="A2" s="14">
        <v>1</v>
      </c>
      <c r="B2" s="14" t="s">
        <v>58</v>
      </c>
      <c r="C2" s="26">
        <v>7056.5399999999991</v>
      </c>
      <c r="D2" s="26">
        <v>15128.850000000002</v>
      </c>
    </row>
    <row r="3" spans="1:7" x14ac:dyDescent="0.25">
      <c r="A3" s="14">
        <v>2</v>
      </c>
      <c r="B3" s="14" t="s">
        <v>88</v>
      </c>
      <c r="C3" s="26">
        <v>22673.07</v>
      </c>
      <c r="D3" s="26">
        <v>37850.85</v>
      </c>
    </row>
    <row r="4" spans="1:7" x14ac:dyDescent="0.25">
      <c r="A4" s="14">
        <v>3</v>
      </c>
      <c r="B4" s="14" t="s">
        <v>176</v>
      </c>
      <c r="C4" s="26">
        <v>19222.950000000004</v>
      </c>
      <c r="D4" s="26">
        <v>20813.22</v>
      </c>
      <c r="F4" s="25"/>
      <c r="G4" s="25"/>
    </row>
    <row r="5" spans="1:7" x14ac:dyDescent="0.25">
      <c r="A5" s="14">
        <v>4</v>
      </c>
      <c r="B5" s="14" t="s">
        <v>224</v>
      </c>
      <c r="C5" s="26">
        <v>0</v>
      </c>
      <c r="D5" s="26">
        <v>0</v>
      </c>
    </row>
    <row r="6" spans="1:7" x14ac:dyDescent="0.25">
      <c r="A6" s="14">
        <v>5</v>
      </c>
      <c r="B6" s="14" t="s">
        <v>258</v>
      </c>
      <c r="C6" s="26">
        <v>274.32</v>
      </c>
      <c r="D6" s="26">
        <v>240.12</v>
      </c>
    </row>
    <row r="7" spans="1:7" x14ac:dyDescent="0.25">
      <c r="A7" s="14">
        <v>6</v>
      </c>
      <c r="B7" s="14" t="s">
        <v>300</v>
      </c>
      <c r="C7" s="26">
        <v>11051.189999999999</v>
      </c>
      <c r="D7" s="26">
        <v>26395.919999999998</v>
      </c>
    </row>
    <row r="8" spans="1:7" x14ac:dyDescent="0.25">
      <c r="A8" s="14">
        <v>7</v>
      </c>
      <c r="B8" s="14" t="s">
        <v>310</v>
      </c>
      <c r="C8" s="26">
        <v>207751.94999999992</v>
      </c>
      <c r="D8" s="26">
        <v>348136.10999999993</v>
      </c>
    </row>
    <row r="9" spans="1:7" x14ac:dyDescent="0.25">
      <c r="A9" s="14">
        <v>8</v>
      </c>
      <c r="B9" s="14" t="s">
        <v>365</v>
      </c>
      <c r="C9" s="26">
        <v>86643.719999999987</v>
      </c>
      <c r="D9" s="26">
        <v>81074.61</v>
      </c>
    </row>
    <row r="10" spans="1:7" x14ac:dyDescent="0.25">
      <c r="A10" s="14">
        <v>9</v>
      </c>
      <c r="B10" s="14" t="s">
        <v>384</v>
      </c>
      <c r="C10" s="26">
        <v>14667.12</v>
      </c>
      <c r="D10" s="26">
        <v>9194.5500000000011</v>
      </c>
    </row>
    <row r="11" spans="1:7" x14ac:dyDescent="0.25">
      <c r="A11" s="24">
        <v>10</v>
      </c>
      <c r="B11" s="24" t="s">
        <v>421</v>
      </c>
      <c r="C11" s="26">
        <v>8819.0399999999991</v>
      </c>
      <c r="D11" s="26">
        <v>20931.12</v>
      </c>
    </row>
    <row r="12" spans="1:7" x14ac:dyDescent="0.25">
      <c r="A12" s="24">
        <v>11</v>
      </c>
      <c r="B12" s="24" t="s">
        <v>413</v>
      </c>
      <c r="C12" s="26">
        <v>369340.85999999987</v>
      </c>
      <c r="D12" s="26">
        <v>538834.23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3978-AD25-4BC1-8B6D-1686AAF07153}">
  <sheetPr>
    <tabColor rgb="FFC00000"/>
  </sheetPr>
  <dimension ref="A1:J2"/>
  <sheetViews>
    <sheetView workbookViewId="0">
      <selection activeCell="A3" sqref="A3"/>
    </sheetView>
  </sheetViews>
  <sheetFormatPr baseColWidth="10" defaultRowHeight="15" x14ac:dyDescent="0.25"/>
  <sheetData>
    <row r="1" spans="1:10" s="13" customFormat="1" ht="31.15" customHeight="1" x14ac:dyDescent="0.25">
      <c r="A1" s="8" t="s">
        <v>398</v>
      </c>
      <c r="B1" s="8" t="s">
        <v>399</v>
      </c>
      <c r="C1" s="9" t="s">
        <v>400</v>
      </c>
      <c r="D1" s="9" t="s">
        <v>401</v>
      </c>
      <c r="E1" s="10" t="s">
        <v>402</v>
      </c>
      <c r="F1" s="10" t="s">
        <v>403</v>
      </c>
      <c r="G1" s="11" t="s">
        <v>404</v>
      </c>
      <c r="H1" s="11" t="s">
        <v>405</v>
      </c>
      <c r="I1" s="12" t="s">
        <v>406</v>
      </c>
      <c r="J1" s="12" t="s">
        <v>407</v>
      </c>
    </row>
    <row r="2" spans="1:10" x14ac:dyDescent="0.25">
      <c r="A2" s="14">
        <v>15</v>
      </c>
      <c r="B2" s="14" t="s">
        <v>415</v>
      </c>
      <c r="C2" s="14">
        <v>0</v>
      </c>
      <c r="D2" s="14">
        <v>0</v>
      </c>
      <c r="E2" s="14">
        <v>0</v>
      </c>
      <c r="F2" s="14">
        <v>0.71</v>
      </c>
      <c r="G2" s="14">
        <v>0.71</v>
      </c>
      <c r="H2" s="14">
        <v>2.1</v>
      </c>
      <c r="I2" s="14">
        <v>2.1</v>
      </c>
      <c r="J2" s="1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Datos_originales</vt:lpstr>
      <vt:lpstr>Datos_procesados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Valeria Aramayo</cp:lastModifiedBy>
  <dcterms:created xsi:type="dcterms:W3CDTF">2026-04-06T19:31:42Z</dcterms:created>
  <dcterms:modified xsi:type="dcterms:W3CDTF">2026-05-05T17:49:26Z</dcterms:modified>
</cp:coreProperties>
</file>